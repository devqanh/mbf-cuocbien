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81" visibility="visible"/>
  </bookViews>
  <sheets>
    <sheet name="XUẤT-HPH" sheetId="1" r:id="rId4"/>
  </sheets>
  <definedNames>
    <definedName name="_xlnm.Print_Titles" localSheetId="0">'XUẤT-HPH'!$21:$21</definedName>
    <definedName name="_xlnm.Print_Area" localSheetId="0">'XUẤT-HPH'!$A$1:$P$72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<sst xmlns="http://schemas.openxmlformats.org/spreadsheetml/2006/main" uniqueCount="186">
  <si>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CỘNG HÒA XÃ HỘI CHỦ NGHĨA VIỆT NAM</t>
  </si>
  <si>
    <t>Độc lập - Tự do - Hạnh Phúc</t>
  </si>
  <si>
    <t>STATEMENT ACCOUNT FOR EXPORT CUSTOM CLEARANCE AND TRANSPORTATION FEE</t>
  </si>
  <si>
    <t>Căn cứ vào tình hình thực tế thực hiện,</t>
  </si>
  <si>
    <t>Chúng tôi gồm:</t>
  </si>
  <si>
    <t>BÊN MUA:  CÔNG TY TNHH CANON VIỆT NAM - CHI NHÁNH TIÊN SƠN</t>
  </si>
  <si>
    <t>Địa chỉ: Số 12, đường TS10, Khu công nghiệp Tiên Sơn, Xã Đại Đồng, Tỉnh Bắc Ninh, Việt Nam</t>
  </si>
  <si>
    <t>MST: 0101125340002</t>
  </si>
  <si>
    <t>Đại diện:</t>
  </si>
  <si>
    <t>Chức vụ:</t>
  </si>
  <si>
    <t>BÊN BÁN: CÔNG TY CỔ PHẦN MBF</t>
  </si>
  <si>
    <t>Địa chỉ: Số 58 Xóm Giếng, Thôn Cổ Điển A, Xã Thanh Trì, Thành phố Hà Nội, Việt Nam</t>
  </si>
  <si>
    <t>MST: 0105040296</t>
  </si>
  <si>
    <t>Cùng đối chiếu như sau:</t>
  </si>
  <si>
    <t>Debit No.:</t>
  </si>
  <si>
    <t>Date</t>
  </si>
  <si>
    <t>STT</t>
  </si>
  <si>
    <t>Tuyến vận chuyển</t>
  </si>
  <si>
    <t xml:space="preserve">Ngày vận chuyển </t>
  </si>
  <si>
    <t>BL/ BKG</t>
  </si>
  <si>
    <t>Tờ khai</t>
  </si>
  <si>
    <t>Loại Conts</t>
  </si>
  <si>
    <t>CVN Invoice no</t>
  </si>
  <si>
    <t>Số Conts</t>
  </si>
  <si>
    <t>Biển kiểm soát/ Số hiệu sà lan</t>
  </si>
  <si>
    <t>Cước vận chuyển (chưa VAT)</t>
  </si>
  <si>
    <t>Lưu ca</t>
  </si>
  <si>
    <t>Tờ khai không phơi</t>
  </si>
  <si>
    <t>Phí tái sử dụng container rỗng</t>
  </si>
  <si>
    <t>Phí thanh lý tờ khai</t>
  </si>
  <si>
    <t>Tổng tiền</t>
  </si>
  <si>
    <t>Ghi chú</t>
  </si>
  <si>
    <t>237500707611</t>
  </si>
  <si>
    <t>40HC</t>
  </si>
  <si>
    <t>VS-26/50066</t>
  </si>
  <si>
    <t>EMCU8313605</t>
  </si>
  <si>
    <t>29H-81871</t>
  </si>
  <si>
    <t>Lấy HPH - TS EX - Hạ HPH Disconnect</t>
  </si>
  <si>
    <t>HPH26A00675</t>
  </si>
  <si>
    <t>VF-26/50009</t>
  </si>
  <si>
    <t>NSSU7171637</t>
  </si>
  <si>
    <t>29E-38441</t>
  </si>
  <si>
    <t>Lấy HPH - TS EX - Hạ HPH Connect</t>
  </si>
  <si>
    <t>VS-26/50065</t>
  </si>
  <si>
    <t>BMOU6012145</t>
  </si>
  <si>
    <t>29H-81743</t>
  </si>
  <si>
    <t>VS-26/50067</t>
  </si>
  <si>
    <t>EGSU9553960</t>
  </si>
  <si>
    <t>29E-28914</t>
  </si>
  <si>
    <t>SGN2987352</t>
  </si>
  <si>
    <t>VH-26/50087</t>
  </si>
  <si>
    <t>TRHU5424799</t>
  </si>
  <si>
    <t xml:space="preserve"> 15H-05911</t>
  </si>
  <si>
    <t>Lấy Hưng Yên - RU TS EX - Hạ HPH</t>
  </si>
  <si>
    <t>SGN2991014</t>
  </si>
  <si>
    <t>VH-26/50089</t>
  </si>
  <si>
    <t>TCNU7535165</t>
  </si>
  <si>
    <t>15H-18666</t>
  </si>
  <si>
    <t>BHAIC26000188</t>
  </si>
  <si>
    <t>VS-26/50079</t>
  </si>
  <si>
    <t>REGU5201120</t>
  </si>
  <si>
    <t>29E-28922</t>
  </si>
  <si>
    <t>VS-26/50074</t>
  </si>
  <si>
    <t>TIIU5347234</t>
  </si>
  <si>
    <t>29H-81846</t>
  </si>
  <si>
    <t>Lấy HPH - TS IM - RU TS EX - Hạ HPH</t>
  </si>
  <si>
    <t>VS-26/50089</t>
  </si>
  <si>
    <t>CSNU8639981</t>
  </si>
  <si>
    <t>15C-02338</t>
  </si>
  <si>
    <t>237600063367</t>
  </si>
  <si>
    <t>20DC</t>
  </si>
  <si>
    <t>VH-26/50108</t>
  </si>
  <si>
    <t>EITU3162502</t>
  </si>
  <si>
    <t>237500733123</t>
  </si>
  <si>
    <t>VH-26/50120</t>
  </si>
  <si>
    <t>EGSU6484249</t>
  </si>
  <si>
    <t>29E-38562</t>
  </si>
  <si>
    <t>237500736122</t>
  </si>
  <si>
    <t>VS-26/50113</t>
  </si>
  <si>
    <t>TGBU6583045</t>
  </si>
  <si>
    <t>237500737447</t>
  </si>
  <si>
    <t>VS-26/50107</t>
  </si>
  <si>
    <t>EGHU9330270</t>
  </si>
  <si>
    <t>VS-26/50115</t>
  </si>
  <si>
    <t>TIIU5457859</t>
  </si>
  <si>
    <t>VS-26/50112</t>
  </si>
  <si>
    <t>FFAU1594240</t>
  </si>
  <si>
    <t>VH-26/50128</t>
  </si>
  <si>
    <t>EGSU6484172</t>
  </si>
  <si>
    <t>VH-26/50129</t>
  </si>
  <si>
    <t>EGSU6489718</t>
  </si>
  <si>
    <t>29H-81921</t>
  </si>
  <si>
    <t>VH-26/50138</t>
  </si>
  <si>
    <t>EGHU9777247</t>
  </si>
  <si>
    <t>29H-88946</t>
  </si>
  <si>
    <t>HANA57597700</t>
  </si>
  <si>
    <t>VS-26/50105</t>
  </si>
  <si>
    <t>HMMU7026820</t>
  </si>
  <si>
    <t>29H-81607</t>
  </si>
  <si>
    <t>VH-26/50144</t>
  </si>
  <si>
    <t>GCXU6443400</t>
  </si>
  <si>
    <t>237600097369</t>
  </si>
  <si>
    <t>VH-26/50156</t>
  </si>
  <si>
    <t>EGSU1600794</t>
  </si>
  <si>
    <t>237600056956</t>
  </si>
  <si>
    <t>VS-26/50138</t>
  </si>
  <si>
    <t>TLLU7977255</t>
  </si>
  <si>
    <t>SGN3036238</t>
  </si>
  <si>
    <t>VH-26/50157</t>
  </si>
  <si>
    <t xml:space="preserve">CMAU7489161 </t>
  </si>
  <si>
    <t xml:space="preserve">15C-16755 </t>
  </si>
  <si>
    <t>237500724574</t>
  </si>
  <si>
    <t>VH-26/50160</t>
  </si>
  <si>
    <t>TGBU7742141</t>
  </si>
  <si>
    <t>VH-26/50161</t>
  </si>
  <si>
    <t>EGSU6255047</t>
  </si>
  <si>
    <t>VS-26/50143</t>
  </si>
  <si>
    <t>TGBU4372613</t>
  </si>
  <si>
    <t>15C-06471</t>
  </si>
  <si>
    <t>VS-26/50154</t>
  </si>
  <si>
    <t>OOCU9677689</t>
  </si>
  <si>
    <t>VS-26/50148</t>
  </si>
  <si>
    <t>OOCU9724332</t>
  </si>
  <si>
    <t>15H-05911</t>
  </si>
  <si>
    <t>VH-26/50168</t>
  </si>
  <si>
    <t>OOLU9182201</t>
  </si>
  <si>
    <t>VH-26/50167</t>
  </si>
  <si>
    <t>TCNU4314670</t>
  </si>
  <si>
    <t>ONEYHANG07483500</t>
  </si>
  <si>
    <t>VS-26/50164</t>
  </si>
  <si>
    <t>ONEU2350452</t>
  </si>
  <si>
    <t>15H-08558</t>
  </si>
  <si>
    <t>Lấy HPH - TS EX - Hạ Lạch Huyện Disconnect</t>
  </si>
  <si>
    <t>SNLGHPCL000748</t>
  </si>
  <si>
    <t>VH-26/50193</t>
  </si>
  <si>
    <t>SNBU8270906</t>
  </si>
  <si>
    <t>15H-00820</t>
  </si>
  <si>
    <t>ONEYHANG11282400</t>
  </si>
  <si>
    <t>VH-26/50191</t>
  </si>
  <si>
    <t>ONEU5769530</t>
  </si>
  <si>
    <t>237600079000</t>
  </si>
  <si>
    <t>VS-26/50176</t>
  </si>
  <si>
    <t>EMCU9928728</t>
  </si>
  <si>
    <t>237600097407</t>
  </si>
  <si>
    <t>VH-26/50197</t>
  </si>
  <si>
    <t>EGSU1767971</t>
  </si>
  <si>
    <t>237600104039</t>
  </si>
  <si>
    <t>VH-26/50198</t>
  </si>
  <si>
    <t>EGHU8316929</t>
  </si>
  <si>
    <t>EBKG15775597</t>
  </si>
  <si>
    <t>VH-26/50205</t>
  </si>
  <si>
    <t>MSDU2090600</t>
  </si>
  <si>
    <t>Lấy HPH - TS EX - Hạ Lạch Huyện Connect</t>
  </si>
  <si>
    <t>SGN3044758</t>
  </si>
  <si>
    <t>VH-26/50209</t>
  </si>
  <si>
    <t>CMAU3236720</t>
  </si>
  <si>
    <t>VH-26/50207</t>
  </si>
  <si>
    <t>UETU5660170</t>
  </si>
  <si>
    <t>VH-26/50217</t>
  </si>
  <si>
    <t>SNBU2409126</t>
  </si>
  <si>
    <t>VH-26/50221</t>
  </si>
  <si>
    <t>WSDU5035910</t>
  </si>
  <si>
    <t>29C-18195</t>
  </si>
  <si>
    <t>HANG04220500</t>
  </si>
  <si>
    <t>VS-26/50226</t>
  </si>
  <si>
    <t>ONEU2971320</t>
  </si>
  <si>
    <t>237600106449</t>
  </si>
  <si>
    <t>VH-26/50232</t>
  </si>
  <si>
    <t>EGSU3767625</t>
  </si>
  <si>
    <t>Canon Tiên Sơn - Hải Phòng</t>
  </si>
  <si>
    <t>COSU6438439150</t>
  </si>
  <si>
    <t>VH-26/50203</t>
  </si>
  <si>
    <t>FCIU9815555</t>
  </si>
  <si>
    <t>Lấy HPH - Trả nhập 2 điểm QV , TS - RU TS EX - Hạ HPH</t>
  </si>
  <si>
    <t>COSU6444384720</t>
  </si>
  <si>
    <t>VH-26/50206</t>
  </si>
  <si>
    <t>CSNU7713111</t>
  </si>
  <si>
    <t>15H-11783</t>
  </si>
  <si>
    <t>6438439150</t>
  </si>
  <si>
    <t>VH-26/50210</t>
  </si>
  <si>
    <t>OOCU6133470</t>
  </si>
  <si>
    <t>15H-09256</t>
  </si>
  <si>
    <t>Tổng</t>
  </si>
  <si>
    <t>ĐẠI DIỆN BÊN MUA</t>
  </si>
  <si>
    <t xml:space="preserve">   ĐẠI DIỆN BÊN BÁN</t>
  </si>
  <si>
    <t>(Ký, ghi rõ họ tên)</t>
  </si>
</sst>
</file>

<file path=xl/styles.xml><?xml version="1.0" encoding="utf-8"?>
<styleSheet xmlns="http://schemas.openxmlformats.org/spreadsheetml/2006/main">
  <numFmts count="3">
    <numFmt numFmtId="164" formatCode="0000000"/>
    <numFmt numFmtId="165" formatCode="_(* #,##0_);_(* \(#,##0\);_(* &quot;-&quot;??_);_(@_)"/>
    <numFmt numFmtId="166" formatCode="[$-1010000]d/m/yyyy;@"/>
  </numFmts>
  <fonts count="1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Times New Roman"/>
    </font>
    <font>
      <b val="1"/>
      <i val="0"/>
      <strike val="0"/>
      <u val="none"/>
      <sz val="12"/>
      <color theme="1"/>
      <name val="Times New Roman"/>
    </font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20"/>
      <color rgb="FFFF0000"/>
      <name val="Times New Roman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3"/>
      <color theme="1"/>
      <name val="Times New Roman"/>
    </font>
    <font>
      <b val="1"/>
      <i val="0"/>
      <strike val="0"/>
      <u val="none"/>
      <sz val="13"/>
      <color theme="1"/>
      <name val="Times New Roman"/>
    </font>
    <font>
      <b val="0"/>
      <i val="1"/>
      <strike val="0"/>
      <u val="none"/>
      <sz val="13"/>
      <color theme="1"/>
      <name val="Times New Roman"/>
    </font>
    <font>
      <b val="0"/>
      <i val="0"/>
      <strike val="0"/>
      <u val="none"/>
      <sz val="16"/>
      <color rgb="FF000000"/>
      <name val="Times New Roman"/>
    </font>
    <font>
      <b val="0"/>
      <i val="0"/>
      <strike val="0"/>
      <u val="none"/>
      <sz val="16"/>
      <color theme="1"/>
      <name val="Times New Roman"/>
    </font>
    <font>
      <b val="1"/>
      <i val="0"/>
      <strike val="0"/>
      <u val="none"/>
      <sz val="16"/>
      <color theme="1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4"/>
      <color theme="1"/>
      <name val="Times New Roman"/>
    </font>
    <font>
      <b val="0"/>
      <i val="1"/>
      <strike val="0"/>
      <u val="none"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164" fillId="0" borderId="0" applyFont="1" applyNumberFormat="1" applyFill="0" applyBorder="0" applyAlignment="0"/>
    <xf xfId="0" fontId="1" numFmtId="165" fillId="0" borderId="0" applyFont="1" applyNumberFormat="1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165" fillId="0" borderId="1" applyFont="1" applyNumberFormat="1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165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65" fillId="0" borderId="1" applyFont="1" applyNumberFormat="1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1" fillId="0" borderId="0" applyFont="1" applyNumberFormat="1" applyFill="0" applyBorder="0" applyAlignment="0"/>
    <xf xfId="0" fontId="2" numFmtId="1" fillId="0" borderId="1" applyFont="1" applyNumberFormat="1" applyFill="0" applyBorder="1" applyAlignment="1">
      <alignment horizontal="center" vertical="center" textRotation="0" wrapText="true" shrinkToFit="false"/>
    </xf>
    <xf xfId="0" fontId="5" numFmtId="165" fillId="0" borderId="1" applyFont="1" applyNumberFormat="1" applyFill="0" applyBorder="1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0"/>
    <xf xfId="0" fontId="6" numFmtId="1" fillId="0" borderId="0" applyFont="1" applyNumberFormat="1" applyFill="0" applyBorder="0" applyAlignment="0"/>
    <xf xfId="0" fontId="6" numFmtId="0" fillId="0" borderId="0" applyFont="1" applyNumberFormat="0" applyFill="0" applyBorder="0" applyAlignment="0"/>
    <xf xfId="0" fontId="1" numFmtId="165" fillId="0" borderId="0" applyFont="1" applyNumberFormat="1" applyFill="0" applyBorder="0" applyAlignment="0"/>
    <xf xfId="0" fontId="7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1" fillId="0" borderId="0" applyFont="1" applyNumberFormat="1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165" fillId="0" borderId="0" applyFont="1" applyNumberFormat="1" applyFill="0" applyBorder="0" applyAlignment="1">
      <alignment vertical="center" textRotation="0" wrapText="false" shrinkToFit="false"/>
    </xf>
    <xf xfId="0" fontId="1" numFmtId="164" fillId="0" borderId="0" applyFont="1" applyNumberFormat="1" applyFill="0" applyBorder="0" applyAlignment="1">
      <alignment vertical="center" textRotation="0" wrapText="false" shrinkToFit="false"/>
    </xf>
    <xf xfId="0" fontId="1" numFmtId="165" fillId="0" borderId="0" applyFont="1" applyNumberFormat="1" applyFill="0" applyBorder="0" applyAlignment="1">
      <alignment vertical="center" textRotation="0" wrapText="false" shrinkToFit="false"/>
    </xf>
    <xf xfId="0" fontId="1" numFmtId="165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3" fillId="0" borderId="0" applyFont="1" applyNumberFormat="1" applyFill="0" applyBorder="0" applyAlignment="1">
      <alignment horizontal="left" vertical="bottom" textRotation="0" wrapText="false" shrinkToFit="false"/>
    </xf>
    <xf xfId="0" fontId="1" numFmtId="166" fillId="0" borderId="0" applyFont="1" applyNumberFormat="1" applyFill="0" applyBorder="0" applyAlignment="0"/>
    <xf xfId="0" fontId="6" numFmtId="166" fillId="0" borderId="0" applyFont="1" applyNumberFormat="1" applyFill="0" applyBorder="0" applyAlignment="1">
      <alignment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166" fillId="0" borderId="0" applyFont="1" applyNumberFormat="1" applyFill="0" applyBorder="0" applyAlignment="0"/>
    <xf xfId="0" fontId="2" numFmtId="166" fillId="0" borderId="1" applyFont="1" applyNumberFormat="1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9" numFmtId="0" fillId="0" borderId="1" applyFont="1" applyNumberFormat="0" applyFill="0" applyBorder="1" applyAlignment="1">
      <alignment horizontal="center" vertical="center" textRotation="0" wrapText="true" shrinkToFit="false"/>
    </xf>
    <xf xfId="0" fontId="9" numFmtId="166" fillId="0" borderId="1" applyFont="1" applyNumberFormat="1" applyFill="0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1">
      <alignment horizontal="center" vertical="center" textRotation="0" wrapText="true" shrinkToFit="false"/>
    </xf>
    <xf xfId="0" fontId="9" numFmtId="1" fillId="0" borderId="1" applyFont="1" applyNumberFormat="1" applyFill="0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1">
      <alignment horizontal="center" vertical="center" textRotation="0" wrapText="false" shrinkToFit="false"/>
    </xf>
    <xf xfId="0" fontId="10" numFmtId="1" fillId="0" borderId="1" applyFont="1" applyNumberFormat="1" applyFill="0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1">
      <alignment horizontal="center" vertical="center" textRotation="0" wrapText="true" shrinkToFit="false"/>
    </xf>
    <xf xfId="0" fontId="10" numFmtId="165" fillId="0" borderId="1" applyFont="1" applyNumberFormat="1" applyFill="0" applyBorder="1" applyAlignment="1">
      <alignment horizontal="center" vertical="center" textRotation="0" wrapText="false" shrinkToFit="false"/>
    </xf>
    <xf xfId="0" fontId="10" numFmtId="0" fillId="0" borderId="1" applyFont="1" applyNumberFormat="0" applyFill="0" applyBorder="1" applyAlignment="1">
      <alignment horizontal="center" vertical="center" textRotation="0" wrapText="true" shrinkToFit="false"/>
    </xf>
    <xf xfId="0" fontId="10" numFmtId="165" fillId="0" borderId="1" applyFont="1" applyNumberFormat="1" applyFill="0" applyBorder="1" applyAlignment="1">
      <alignment horizontal="center" vertical="center" textRotation="0" wrapText="true" shrinkToFit="false"/>
    </xf>
    <xf xfId="0" fontId="11" numFmtId="165" fillId="0" borderId="1" applyFont="1" applyNumberFormat="1" applyFill="0" applyBorder="1" applyAlignment="1">
      <alignment horizontal="center" vertical="center" textRotation="0" wrapText="true" shrinkToFit="false"/>
    </xf>
    <xf xfId="0" fontId="10" numFmtId="2" fillId="0" borderId="1" applyFont="1" applyNumberFormat="1" applyFill="0" applyBorder="1" applyAlignment="1">
      <alignment horizontal="center" vertical="center" textRotation="0" wrapText="true" shrinkToFit="false"/>
    </xf>
    <xf xfId="0" fontId="12" numFmtId="165" fillId="0" borderId="1" applyFont="1" applyNumberFormat="1" applyFill="0" applyBorder="1" applyAlignment="1">
      <alignment horizontal="center" vertical="center" textRotation="0" wrapText="false" shrinkToFit="false"/>
    </xf>
    <xf xfId="0" fontId="10" numFmtId="11" fillId="0" borderId="1" applyFont="1" applyNumberFormat="1" applyFill="0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0"/>
    <xf xfId="0" fontId="14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166" fillId="0" borderId="0" applyFont="1" applyNumberFormat="1" applyFill="0" applyBorder="0" applyAlignment="0"/>
    <xf xfId="0" fontId="14" numFmtId="1" fillId="0" borderId="0" applyFont="1" applyNumberFormat="1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165" fillId="0" borderId="0" applyFont="1" applyNumberFormat="1" applyFill="0" applyBorder="0" applyAlignment="1">
      <alignment horizontal="center" vertical="center" textRotation="0" wrapText="false" shrinkToFit="false"/>
    </xf>
    <xf xfId="0" fontId="14" numFmtId="165" fillId="0" borderId="0" applyFont="1" applyNumberFormat="1" applyFill="0" applyBorder="0" applyAlignment="0"/>
    <xf xfId="0" fontId="14" numFmtId="164" fillId="0" borderId="0" applyFont="1" applyNumberFormat="1" applyFill="0" applyBorder="0" applyAlignment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P73"/>
  <sheetViews>
    <sheetView tabSelected="1" workbookViewId="0" zoomScale="85" zoomScaleNormal="85" zoomScaleSheetLayoutView="85" view="pageBreakPreview" showGridLines="true" showRowColHeaders="1">
      <pane ySplit="21" activePane="bottomLeft" state="frozen" topLeftCell="A67"/>
      <selection pane="bottomLeft" activeCell="J73" sqref="J73"/>
    </sheetView>
  </sheetViews>
  <sheetFormatPr defaultRowHeight="14.4" defaultColWidth="9.140625" outlineLevelRow="0" outlineLevelCol="0"/>
  <cols>
    <col min="1" max="1" width="5.28515625" customWidth="true" style="1"/>
    <col min="2" max="2" width="37.42578125" customWidth="true" style="2"/>
    <col min="3" max="3" width="19.28515625" customWidth="true" style="39"/>
    <col min="4" max="4" width="25" customWidth="true" style="17"/>
    <col min="5" max="5" width="21.140625" customWidth="true" style="17"/>
    <col min="6" max="6" width="10.5703125" customWidth="true" style="1"/>
    <col min="7" max="7" width="18" customWidth="true" style="44"/>
    <col min="8" max="8" width="24.28515625" customWidth="true" style="1"/>
    <col min="9" max="9" width="25.5703125" customWidth="true" style="1"/>
    <col min="10" max="10" width="22.5703125" customWidth="true" style="35"/>
    <col min="11" max="11" width="9.85546875" hidden="true" customWidth="true" style="4"/>
    <col min="12" max="12" width="17" hidden="true" customWidth="true" style="1"/>
    <col min="13" max="13" width="18.140625" hidden="true" customWidth="true" style="4"/>
    <col min="14" max="14" width="18.140625" customWidth="true" style="3"/>
    <col min="15" max="15" width="20.5703125" customWidth="true" style="3"/>
    <col min="16" max="16" width="36.28515625" customWidth="true" style="4"/>
  </cols>
  <sheetData>
    <row r="1" spans="1:16" customHeight="1" ht="21.75" s="20" customForma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customHeight="1" ht="21.75" s="20" customFormat="1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</row>
    <row r="3" spans="1:16" customHeight="1" ht="5.25"/>
    <row r="4" spans="1:16" customHeight="1" ht="32.25">
      <c r="A4" s="65" t="s">
        <v>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spans="1:16" customHeight="1" ht="1.5"/>
    <row r="6" spans="1:16" customHeight="1" ht="17.25" s="20" customFormat="1">
      <c r="A6" s="41" t="s">
        <v>3</v>
      </c>
      <c r="B6" s="27"/>
      <c r="C6" s="40"/>
      <c r="D6" s="29"/>
      <c r="E6" s="29"/>
      <c r="F6" s="28"/>
      <c r="G6" s="36"/>
      <c r="J6" s="35"/>
      <c r="K6" s="34"/>
      <c r="M6" s="34"/>
      <c r="N6" s="33"/>
      <c r="O6" s="33"/>
      <c r="P6" s="34"/>
    </row>
    <row r="7" spans="1:16" customHeight="1" ht="17.25" s="20" customFormat="1">
      <c r="A7" s="28" t="s">
        <v>4</v>
      </c>
      <c r="B7" s="27"/>
      <c r="C7" s="40"/>
      <c r="D7" s="29"/>
      <c r="E7" s="29"/>
      <c r="F7" s="28"/>
      <c r="G7" s="36"/>
      <c r="J7" s="35"/>
      <c r="K7" s="34"/>
      <c r="M7" s="34"/>
      <c r="N7" s="33"/>
      <c r="O7" s="33"/>
      <c r="P7" s="34"/>
    </row>
    <row r="8" spans="1:16" customHeight="1" ht="21.75" s="20" customFormat="1">
      <c r="A8" s="26" t="s">
        <v>5</v>
      </c>
      <c r="B8" s="27"/>
      <c r="C8" s="40"/>
      <c r="D8" s="29"/>
      <c r="E8" s="29"/>
      <c r="F8" s="30"/>
      <c r="G8" s="45"/>
      <c r="H8" s="31"/>
      <c r="I8" s="31"/>
      <c r="J8" s="12"/>
      <c r="K8" s="32"/>
      <c r="L8" s="31"/>
      <c r="M8" s="32"/>
      <c r="N8" s="33"/>
      <c r="O8" s="33"/>
      <c r="P8" s="34"/>
    </row>
    <row r="9" spans="1:16" customHeight="1" ht="19.5">
      <c r="A9" s="22" t="s">
        <v>6</v>
      </c>
      <c r="B9" s="21"/>
      <c r="C9" s="47"/>
      <c r="D9" s="23"/>
      <c r="E9" s="23"/>
      <c r="F9" s="24"/>
      <c r="G9" s="46"/>
      <c r="H9" s="7"/>
      <c r="I9" s="7"/>
      <c r="J9" s="12"/>
      <c r="K9" s="25"/>
      <c r="L9" s="6"/>
      <c r="M9" s="25"/>
    </row>
    <row r="10" spans="1:16" customHeight="1" ht="19.5">
      <c r="A10" s="22" t="s">
        <v>7</v>
      </c>
      <c r="B10" s="21"/>
      <c r="C10" s="47"/>
      <c r="D10" s="23"/>
      <c r="E10" s="23"/>
      <c r="F10" s="24"/>
      <c r="G10" s="46"/>
      <c r="H10" s="6"/>
      <c r="I10" s="6"/>
      <c r="J10" s="12"/>
      <c r="K10" s="25"/>
      <c r="L10" s="6"/>
      <c r="M10" s="25"/>
    </row>
    <row r="11" spans="1:16" customHeight="1" ht="19.5">
      <c r="A11" s="22" t="s">
        <v>8</v>
      </c>
      <c r="B11" s="21"/>
      <c r="C11" s="47"/>
      <c r="D11" s="23" t="s">
        <v>9</v>
      </c>
      <c r="E11" s="23"/>
      <c r="F11" s="22"/>
    </row>
    <row r="12" spans="1:16" customHeight="1" ht="3">
      <c r="A12" s="22"/>
      <c r="B12" s="21"/>
      <c r="C12" s="47"/>
      <c r="D12" s="23"/>
      <c r="E12" s="23"/>
      <c r="F12" s="22"/>
    </row>
    <row r="13" spans="1:16" customHeight="1" ht="21.75" s="20" customFormat="1">
      <c r="A13" s="26" t="s">
        <v>10</v>
      </c>
      <c r="B13" s="27"/>
      <c r="C13" s="40"/>
      <c r="D13" s="29"/>
      <c r="E13" s="29"/>
      <c r="F13" s="28"/>
      <c r="G13" s="36"/>
      <c r="J13" s="35"/>
      <c r="K13" s="34"/>
      <c r="M13" s="34"/>
      <c r="N13" s="33"/>
      <c r="O13" s="33"/>
      <c r="P13" s="34"/>
    </row>
    <row r="14" spans="1:16" customHeight="1" ht="19.5">
      <c r="A14" s="22" t="s">
        <v>11</v>
      </c>
      <c r="B14" s="21"/>
      <c r="C14" s="47"/>
      <c r="D14" s="23"/>
      <c r="E14" s="23"/>
      <c r="F14" s="22"/>
    </row>
    <row r="15" spans="1:16" customHeight="1" ht="19.5">
      <c r="A15" s="22" t="s">
        <v>12</v>
      </c>
      <c r="B15" s="21"/>
      <c r="C15" s="47"/>
      <c r="D15" s="23"/>
      <c r="E15" s="23"/>
      <c r="F15" s="22"/>
    </row>
    <row r="16" spans="1:16" customHeight="1" ht="19.5">
      <c r="A16" s="22" t="s">
        <v>8</v>
      </c>
      <c r="B16" s="21"/>
      <c r="C16" s="47"/>
      <c r="D16" s="23" t="s">
        <v>9</v>
      </c>
      <c r="E16" s="23"/>
      <c r="F16" s="22"/>
    </row>
    <row r="17" spans="1:16" customHeight="1" ht="18.75">
      <c r="A17" s="22" t="s">
        <v>13</v>
      </c>
      <c r="B17" s="21"/>
      <c r="C17" s="47"/>
      <c r="D17" s="23"/>
      <c r="E17" s="23"/>
      <c r="F17" s="22"/>
    </row>
    <row r="18" spans="1:16" customHeight="1" ht="25.5">
      <c r="N18" s="38" t="s">
        <v>14</v>
      </c>
      <c r="O18" s="16" t="e">
        <f>'COVER DN XUẤT'!D18</f>
        <v>#REF!</v>
      </c>
      <c r="P18" s="8"/>
    </row>
    <row r="19" spans="1:16" customHeight="1" ht="25.5">
      <c r="N19" s="38" t="s">
        <v>15</v>
      </c>
      <c r="O19" s="16" t="e">
        <f>'COVER DN XUẤT'!D19</f>
        <v>#REF!</v>
      </c>
      <c r="P19" s="8"/>
    </row>
    <row r="20" spans="1:16" customHeight="1" ht="6.75"/>
    <row r="21" spans="1:16" customHeight="1" ht="51" s="11" customFormat="1">
      <c r="A21" s="42" t="s">
        <v>16</v>
      </c>
      <c r="B21" s="42" t="s">
        <v>17</v>
      </c>
      <c r="C21" s="48" t="s">
        <v>18</v>
      </c>
      <c r="D21" s="18" t="s">
        <v>19</v>
      </c>
      <c r="E21" s="18" t="s">
        <v>20</v>
      </c>
      <c r="F21" s="42" t="s">
        <v>21</v>
      </c>
      <c r="G21" s="9" t="s">
        <v>22</v>
      </c>
      <c r="H21" s="9" t="s">
        <v>23</v>
      </c>
      <c r="I21" s="9" t="s">
        <v>24</v>
      </c>
      <c r="J21" s="10" t="s">
        <v>25</v>
      </c>
      <c r="K21" s="10" t="s">
        <v>26</v>
      </c>
      <c r="L21" s="9" t="s">
        <v>27</v>
      </c>
      <c r="M21" s="10" t="s">
        <v>28</v>
      </c>
      <c r="N21" s="14" t="s">
        <v>29</v>
      </c>
      <c r="O21" s="10" t="s">
        <v>30</v>
      </c>
      <c r="P21" s="15" t="s">
        <v>31</v>
      </c>
    </row>
    <row r="22" spans="1:16" customHeight="1" ht="63" s="11" customFormat="1">
      <c r="A22" s="42">
        <f>ROW()-21</f>
        <v>1</v>
      </c>
      <c r="B22" s="50" t="e">
        <f>VLOOKUP(P22,'chuyển 26.12'!$O$5:$P$6000,2,0)</f>
        <v>#N/A</v>
      </c>
      <c r="C22" s="51">
        <v>46038</v>
      </c>
      <c r="D22" s="52" t="s">
        <v>32</v>
      </c>
      <c r="E22" s="53">
        <f>VLOOKUP(H22,[1]Sheet1!$I$1:$Q$180000,9,0)</f>
        <v>308158278210</v>
      </c>
      <c r="F22" s="54" t="s">
        <v>33</v>
      </c>
      <c r="G22" s="55" t="s">
        <v>34</v>
      </c>
      <c r="H22" s="54" t="s">
        <v>35</v>
      </c>
      <c r="I22" s="56" t="s">
        <v>36</v>
      </c>
      <c r="J22" s="57">
        <v>3588286</v>
      </c>
      <c r="K22" s="57"/>
      <c r="L22" s="58"/>
      <c r="M22" s="59"/>
      <c r="N22" s="57">
        <v>100000</v>
      </c>
      <c r="O22" s="60">
        <f>SUM(J22:N22)</f>
        <v>3688286</v>
      </c>
      <c r="P22" s="58" t="s">
        <v>37</v>
      </c>
    </row>
    <row r="23" spans="1:16" customHeight="1" ht="63" s="11" customFormat="1">
      <c r="A23" s="43">
        <f>ROW()-21</f>
        <v>2</v>
      </c>
      <c r="B23" s="50" t="e">
        <f>VLOOKUP(P23,'chuyển 26.12'!$O$5:$P$6000,2,0)</f>
        <v>#N/A</v>
      </c>
      <c r="C23" s="51">
        <v>46038</v>
      </c>
      <c r="D23" s="52" t="s">
        <v>38</v>
      </c>
      <c r="E23" s="53">
        <f>VLOOKUP(H23,[1]Sheet1!$I$1:$Q$180000,9,0)</f>
        <v>308158323820</v>
      </c>
      <c r="F23" s="54" t="s">
        <v>33</v>
      </c>
      <c r="G23" s="55" t="s">
        <v>39</v>
      </c>
      <c r="H23" s="54" t="s">
        <v>40</v>
      </c>
      <c r="I23" s="56" t="s">
        <v>41</v>
      </c>
      <c r="J23" s="57">
        <v>3888286</v>
      </c>
      <c r="K23" s="57"/>
      <c r="L23" s="58"/>
      <c r="M23" s="59"/>
      <c r="N23" s="57">
        <v>100000</v>
      </c>
      <c r="O23" s="60">
        <f>SUM(J23:N23)</f>
        <v>3988286</v>
      </c>
      <c r="P23" s="58" t="s">
        <v>42</v>
      </c>
    </row>
    <row r="24" spans="1:16" customHeight="1" ht="63" s="11" customFormat="1">
      <c r="A24" s="43">
        <f>ROW()-21</f>
        <v>3</v>
      </c>
      <c r="B24" s="50" t="e">
        <f>VLOOKUP(P24,'chuyển 26.12'!$O$5:$P$6000,2,0)</f>
        <v>#N/A</v>
      </c>
      <c r="C24" s="51">
        <v>46038</v>
      </c>
      <c r="D24" s="52" t="s">
        <v>32</v>
      </c>
      <c r="E24" s="53">
        <f>VLOOKUP(H24,[1]Sheet1!$I$1:$Q$180000,9,0)</f>
        <v>308158430550</v>
      </c>
      <c r="F24" s="54" t="s">
        <v>33</v>
      </c>
      <c r="G24" s="55" t="s">
        <v>43</v>
      </c>
      <c r="H24" s="54" t="s">
        <v>44</v>
      </c>
      <c r="I24" s="56" t="s">
        <v>45</v>
      </c>
      <c r="J24" s="57">
        <v>3588286</v>
      </c>
      <c r="K24" s="57"/>
      <c r="L24" s="58"/>
      <c r="M24" s="59"/>
      <c r="N24" s="57">
        <v>100000</v>
      </c>
      <c r="O24" s="60">
        <f>SUM(J24:N24)</f>
        <v>3688286</v>
      </c>
      <c r="P24" s="58" t="s">
        <v>37</v>
      </c>
    </row>
    <row r="25" spans="1:16" customHeight="1" ht="63" s="11" customFormat="1">
      <c r="A25" s="43">
        <f>ROW()-21</f>
        <v>4</v>
      </c>
      <c r="B25" s="50" t="e">
        <f>VLOOKUP(P25,'chuyển 26.12'!$O$5:$P$6000,2,0)</f>
        <v>#N/A</v>
      </c>
      <c r="C25" s="51">
        <v>46038</v>
      </c>
      <c r="D25" s="52" t="s">
        <v>32</v>
      </c>
      <c r="E25" s="53">
        <f>VLOOKUP(H25,[1]Sheet1!$I$1:$Q$180000,9,0)</f>
        <v>308158509650</v>
      </c>
      <c r="F25" s="54" t="s">
        <v>33</v>
      </c>
      <c r="G25" s="55" t="s">
        <v>46</v>
      </c>
      <c r="H25" s="54" t="s">
        <v>47</v>
      </c>
      <c r="I25" s="56" t="s">
        <v>48</v>
      </c>
      <c r="J25" s="57">
        <v>3888286</v>
      </c>
      <c r="K25" s="57"/>
      <c r="L25" s="58"/>
      <c r="M25" s="59"/>
      <c r="N25" s="57">
        <v>100000</v>
      </c>
      <c r="O25" s="60">
        <f>SUM(J25:N25)</f>
        <v>3988286</v>
      </c>
      <c r="P25" s="58" t="s">
        <v>42</v>
      </c>
    </row>
    <row r="26" spans="1:16" customHeight="1" ht="63" s="11" customFormat="1">
      <c r="A26" s="43">
        <f>ROW()-21</f>
        <v>5</v>
      </c>
      <c r="B26" s="50" t="e">
        <f>VLOOKUP(P26,'chuyển 26.12'!$O$5:$P$6000,2,0)</f>
        <v>#N/A</v>
      </c>
      <c r="C26" s="51">
        <v>46038</v>
      </c>
      <c r="D26" s="52" t="s">
        <v>49</v>
      </c>
      <c r="E26" s="53">
        <f>VLOOKUP(H26,[1]Sheet1!$I$1:$Q$180000,9,0)</f>
        <v>308158360000</v>
      </c>
      <c r="F26" s="54" t="s">
        <v>33</v>
      </c>
      <c r="G26" s="55" t="s">
        <v>50</v>
      </c>
      <c r="H26" s="54" t="s">
        <v>51</v>
      </c>
      <c r="I26" s="56" t="s">
        <v>52</v>
      </c>
      <c r="J26" s="57">
        <v>2985312</v>
      </c>
      <c r="K26" s="57"/>
      <c r="L26" s="58"/>
      <c r="M26" s="59"/>
      <c r="N26" s="57">
        <v>100000</v>
      </c>
      <c r="O26" s="60">
        <f>SUM(J26:N26)</f>
        <v>3085312</v>
      </c>
      <c r="P26" s="58" t="s">
        <v>53</v>
      </c>
    </row>
    <row r="27" spans="1:16" customHeight="1" ht="63" s="11" customFormat="1">
      <c r="A27" s="43">
        <f>ROW()-21</f>
        <v>6</v>
      </c>
      <c r="B27" s="50" t="e">
        <f>VLOOKUP(P27,'chuyển 26.12'!$O$5:$P$6000,2,0)</f>
        <v>#N/A</v>
      </c>
      <c r="C27" s="51">
        <v>46038</v>
      </c>
      <c r="D27" s="52" t="s">
        <v>54</v>
      </c>
      <c r="E27" s="53">
        <f>VLOOKUP(H27,[1]Sheet1!$I$1:$Q$180000,9,0)</f>
        <v>308158391130</v>
      </c>
      <c r="F27" s="54" t="s">
        <v>33</v>
      </c>
      <c r="G27" s="55" t="s">
        <v>55</v>
      </c>
      <c r="H27" s="54" t="s">
        <v>56</v>
      </c>
      <c r="I27" s="56" t="s">
        <v>57</v>
      </c>
      <c r="J27" s="57">
        <v>2985312</v>
      </c>
      <c r="K27" s="57"/>
      <c r="L27" s="58"/>
      <c r="M27" s="59"/>
      <c r="N27" s="57">
        <v>100000</v>
      </c>
      <c r="O27" s="60">
        <f>SUM(J27:N27)</f>
        <v>3085312</v>
      </c>
      <c r="P27" s="58" t="s">
        <v>53</v>
      </c>
    </row>
    <row r="28" spans="1:16" customHeight="1" ht="63" s="11" customFormat="1">
      <c r="A28" s="43">
        <f>ROW()-21</f>
        <v>7</v>
      </c>
      <c r="B28" s="50" t="e">
        <f>VLOOKUP(P28,'chuyển 26.12'!$O$5:$P$6000,2,0)</f>
        <v>#N/A</v>
      </c>
      <c r="C28" s="51">
        <v>46041</v>
      </c>
      <c r="D28" s="52" t="s">
        <v>58</v>
      </c>
      <c r="E28" s="53">
        <f>VLOOKUP(H28,[1]Sheet1!$I$1:$Q$180000,9,0)</f>
        <v>308163768160</v>
      </c>
      <c r="F28" s="54" t="s">
        <v>33</v>
      </c>
      <c r="G28" s="55" t="s">
        <v>59</v>
      </c>
      <c r="H28" s="54" t="s">
        <v>60</v>
      </c>
      <c r="I28" s="56" t="s">
        <v>61</v>
      </c>
      <c r="J28" s="57">
        <v>3888286</v>
      </c>
      <c r="K28" s="57"/>
      <c r="L28" s="58"/>
      <c r="M28" s="59"/>
      <c r="N28" s="57">
        <v>100000</v>
      </c>
      <c r="O28" s="60">
        <f>SUM(J28:N28)</f>
        <v>3988286</v>
      </c>
      <c r="P28" s="58" t="s">
        <v>42</v>
      </c>
    </row>
    <row r="29" spans="1:16" customHeight="1" ht="63" s="11" customFormat="1">
      <c r="A29" s="43">
        <f>ROW()-21</f>
        <v>8</v>
      </c>
      <c r="B29" s="50" t="e">
        <f>VLOOKUP(P29,'chuyển 26.12'!$O$5:$P$6000,2,0)</f>
        <v>#N/A</v>
      </c>
      <c r="C29" s="51">
        <v>46041</v>
      </c>
      <c r="D29" s="52">
        <v>6438798511</v>
      </c>
      <c r="E29" s="53">
        <f>VLOOKUP(H29,[1]Sheet1!$I$1:$Q$180000,9,0)</f>
        <v>308163870250</v>
      </c>
      <c r="F29" s="54" t="s">
        <v>33</v>
      </c>
      <c r="G29" s="55" t="s">
        <v>62</v>
      </c>
      <c r="H29" s="54" t="s">
        <v>63</v>
      </c>
      <c r="I29" s="56" t="s">
        <v>64</v>
      </c>
      <c r="J29" s="57">
        <v>2697592</v>
      </c>
      <c r="K29" s="57"/>
      <c r="L29" s="58"/>
      <c r="M29" s="59"/>
      <c r="N29" s="57">
        <v>100000</v>
      </c>
      <c r="O29" s="60">
        <f>SUM(J29:N29)</f>
        <v>2797592</v>
      </c>
      <c r="P29" s="61" t="s">
        <v>65</v>
      </c>
    </row>
    <row r="30" spans="1:16" customHeight="1" ht="63" s="11" customFormat="1">
      <c r="A30" s="43">
        <f>ROW()-21</f>
        <v>9</v>
      </c>
      <c r="B30" s="50" t="e">
        <f>VLOOKUP(P30,'chuyển 26.12'!$O$5:$P$6000,2,0)</f>
        <v>#N/A</v>
      </c>
      <c r="C30" s="51">
        <v>46042</v>
      </c>
      <c r="D30" s="52">
        <v>6438798511</v>
      </c>
      <c r="E30" s="53">
        <f>VLOOKUP(H30,[1]Sheet1!$I$1:$Q$180000,9,0)</f>
        <v>308169652730</v>
      </c>
      <c r="F30" s="54" t="s">
        <v>33</v>
      </c>
      <c r="G30" s="55" t="s">
        <v>66</v>
      </c>
      <c r="H30" s="56" t="s">
        <v>67</v>
      </c>
      <c r="I30" s="56" t="s">
        <v>68</v>
      </c>
      <c r="J30" s="57">
        <v>2985312</v>
      </c>
      <c r="K30" s="57"/>
      <c r="L30" s="58"/>
      <c r="M30" s="59"/>
      <c r="N30" s="57">
        <v>100000</v>
      </c>
      <c r="O30" s="60">
        <f>SUM(J30:N30)</f>
        <v>3085312</v>
      </c>
      <c r="P30" s="58" t="s">
        <v>53</v>
      </c>
    </row>
    <row r="31" spans="1:16" customHeight="1" ht="63" s="11" customFormat="1">
      <c r="A31" s="43">
        <f>ROW()-21</f>
        <v>10</v>
      </c>
      <c r="B31" s="50" t="e">
        <f>VLOOKUP(P31,'chuyển 26.12'!$O$5:$P$6000,2,0)</f>
        <v>#N/A</v>
      </c>
      <c r="C31" s="51">
        <v>46043</v>
      </c>
      <c r="D31" s="52" t="s">
        <v>69</v>
      </c>
      <c r="E31" s="53">
        <v>308173905600</v>
      </c>
      <c r="F31" s="54" t="s">
        <v>70</v>
      </c>
      <c r="G31" s="55" t="s">
        <v>71</v>
      </c>
      <c r="H31" s="54" t="s">
        <v>72</v>
      </c>
      <c r="I31" s="56" t="s">
        <v>41</v>
      </c>
      <c r="J31" s="57">
        <v>3588286</v>
      </c>
      <c r="K31" s="57"/>
      <c r="L31" s="58"/>
      <c r="M31" s="59"/>
      <c r="N31" s="57">
        <v>100000</v>
      </c>
      <c r="O31" s="60">
        <f>SUM(J31:N31)</f>
        <v>3688286</v>
      </c>
      <c r="P31" s="58" t="s">
        <v>37</v>
      </c>
    </row>
    <row r="32" spans="1:16" customHeight="1" ht="63" s="11" customFormat="1">
      <c r="A32" s="43">
        <f>ROW()-21</f>
        <v>11</v>
      </c>
      <c r="B32" s="50" t="e">
        <f>VLOOKUP(P32,'chuyển 26.12'!$O$5:$P$6000,2,0)</f>
        <v>#N/A</v>
      </c>
      <c r="C32" s="51">
        <v>46045</v>
      </c>
      <c r="D32" s="52" t="s">
        <v>73</v>
      </c>
      <c r="E32" s="53">
        <f>VLOOKUP(H32,[1]Sheet1!$I$1:$Q$180000,9,0)</f>
        <v>308182232540</v>
      </c>
      <c r="F32" s="54" t="s">
        <v>33</v>
      </c>
      <c r="G32" s="55" t="s">
        <v>74</v>
      </c>
      <c r="H32" s="54" t="s">
        <v>75</v>
      </c>
      <c r="I32" s="56" t="s">
        <v>76</v>
      </c>
      <c r="J32" s="57">
        <v>3588286</v>
      </c>
      <c r="K32" s="57"/>
      <c r="L32" s="58"/>
      <c r="M32" s="59"/>
      <c r="N32" s="57">
        <v>100000</v>
      </c>
      <c r="O32" s="60">
        <f>SUM(J32:N32)</f>
        <v>3688286</v>
      </c>
      <c r="P32" s="58" t="s">
        <v>37</v>
      </c>
    </row>
    <row r="33" spans="1:16" customHeight="1" ht="63" s="11" customFormat="1">
      <c r="A33" s="43">
        <f>ROW()-21</f>
        <v>12</v>
      </c>
      <c r="B33" s="50" t="e">
        <f>VLOOKUP(P33,'chuyển 26.12'!$O$5:$P$6000,2,0)</f>
        <v>#N/A</v>
      </c>
      <c r="C33" s="51">
        <v>46045</v>
      </c>
      <c r="D33" s="52" t="s">
        <v>77</v>
      </c>
      <c r="E33" s="53">
        <f>VLOOKUP(H33,[1]Sheet1!$I$1:$Q$180000,9,0)</f>
        <v>308181125140</v>
      </c>
      <c r="F33" s="54" t="s">
        <v>33</v>
      </c>
      <c r="G33" s="55" t="s">
        <v>78</v>
      </c>
      <c r="H33" s="54" t="s">
        <v>79</v>
      </c>
      <c r="I33" s="56" t="s">
        <v>45</v>
      </c>
      <c r="J33" s="57">
        <v>3888286</v>
      </c>
      <c r="K33" s="57"/>
      <c r="L33" s="58"/>
      <c r="M33" s="59"/>
      <c r="N33" s="57">
        <v>100000</v>
      </c>
      <c r="O33" s="60">
        <f>SUM(J33:N33)</f>
        <v>3988286</v>
      </c>
      <c r="P33" s="58" t="s">
        <v>42</v>
      </c>
    </row>
    <row r="34" spans="1:16" customHeight="1" ht="63" s="11" customFormat="1">
      <c r="A34" s="43">
        <f>ROW()-21</f>
        <v>13</v>
      </c>
      <c r="B34" s="50" t="e">
        <f>VLOOKUP(P34,'chuyển 26.12'!$O$5:$P$6000,2,0)</f>
        <v>#N/A</v>
      </c>
      <c r="C34" s="51">
        <v>46045</v>
      </c>
      <c r="D34" s="52" t="s">
        <v>80</v>
      </c>
      <c r="E34" s="53">
        <f>VLOOKUP(H34,[1]Sheet1!$I$1:$Q$180000,9,0)</f>
        <v>308182479050</v>
      </c>
      <c r="F34" s="54" t="s">
        <v>33</v>
      </c>
      <c r="G34" s="55" t="s">
        <v>81</v>
      </c>
      <c r="H34" s="54" t="s">
        <v>82</v>
      </c>
      <c r="I34" s="56" t="s">
        <v>41</v>
      </c>
      <c r="J34" s="57">
        <v>3588286</v>
      </c>
      <c r="K34" s="57"/>
      <c r="L34" s="58"/>
      <c r="M34" s="59"/>
      <c r="N34" s="57">
        <v>100000</v>
      </c>
      <c r="O34" s="60">
        <f>SUM(J34:N34)</f>
        <v>3688286</v>
      </c>
      <c r="P34" s="58" t="s">
        <v>37</v>
      </c>
    </row>
    <row r="35" spans="1:16" customHeight="1" ht="63" s="11" customFormat="1">
      <c r="A35" s="43">
        <f>ROW()-21</f>
        <v>14</v>
      </c>
      <c r="B35" s="50" t="e">
        <f>VLOOKUP(P35,'chuyển 26.12'!$O$5:$P$6000,2,0)</f>
        <v>#N/A</v>
      </c>
      <c r="C35" s="51">
        <v>46046</v>
      </c>
      <c r="D35" s="52" t="s">
        <v>80</v>
      </c>
      <c r="E35" s="53">
        <f>VLOOKUP(H35,[1]Sheet1!$I$1:$Q$180000,9,0)</f>
        <v>308184601230</v>
      </c>
      <c r="F35" s="54" t="s">
        <v>33</v>
      </c>
      <c r="G35" s="55" t="s">
        <v>83</v>
      </c>
      <c r="H35" s="54" t="s">
        <v>84</v>
      </c>
      <c r="I35" s="56" t="s">
        <v>61</v>
      </c>
      <c r="J35" s="57">
        <v>3588286</v>
      </c>
      <c r="K35" s="57"/>
      <c r="L35" s="58"/>
      <c r="M35" s="59"/>
      <c r="N35" s="57">
        <v>100000</v>
      </c>
      <c r="O35" s="60">
        <f>SUM(J35:N35)</f>
        <v>3688286</v>
      </c>
      <c r="P35" s="58" t="s">
        <v>37</v>
      </c>
    </row>
    <row r="36" spans="1:16" customHeight="1" ht="63" s="11" customFormat="1">
      <c r="A36" s="43">
        <f>ROW()-21</f>
        <v>15</v>
      </c>
      <c r="B36" s="50" t="e">
        <f>VLOOKUP(P36,'chuyển 26.12'!$O$5:$P$6000,2,0)</f>
        <v>#N/A</v>
      </c>
      <c r="C36" s="51">
        <v>46046</v>
      </c>
      <c r="D36" s="52" t="s">
        <v>77</v>
      </c>
      <c r="E36" s="53">
        <f>VLOOKUP(H36,[1]Sheet1!$I$1:$Q$180000,9,0)</f>
        <v>308184642050</v>
      </c>
      <c r="F36" s="54" t="s">
        <v>33</v>
      </c>
      <c r="G36" s="55" t="s">
        <v>85</v>
      </c>
      <c r="H36" s="54" t="s">
        <v>86</v>
      </c>
      <c r="I36" s="56" t="s">
        <v>48</v>
      </c>
      <c r="J36" s="57">
        <v>3588286</v>
      </c>
      <c r="K36" s="57"/>
      <c r="L36" s="58"/>
      <c r="M36" s="59"/>
      <c r="N36" s="57">
        <v>100000</v>
      </c>
      <c r="O36" s="60">
        <f>SUM(J36:N36)</f>
        <v>3688286</v>
      </c>
      <c r="P36" s="58" t="s">
        <v>37</v>
      </c>
    </row>
    <row r="37" spans="1:16" customHeight="1" ht="63" s="11" customFormat="1">
      <c r="A37" s="43">
        <f>ROW()-21</f>
        <v>16</v>
      </c>
      <c r="B37" s="50" t="e">
        <f>VLOOKUP(P37,'chuyển 26.12'!$O$5:$P$6000,2,0)</f>
        <v>#N/A</v>
      </c>
      <c r="C37" s="51">
        <v>46046</v>
      </c>
      <c r="D37" s="52" t="s">
        <v>73</v>
      </c>
      <c r="E37" s="53">
        <f>VLOOKUP(H37,[1]Sheet1!$I$1:$Q$180000,9,0)</f>
        <v>308184728520</v>
      </c>
      <c r="F37" s="54" t="s">
        <v>33</v>
      </c>
      <c r="G37" s="55" t="s">
        <v>87</v>
      </c>
      <c r="H37" s="54" t="s">
        <v>88</v>
      </c>
      <c r="I37" s="56" t="s">
        <v>36</v>
      </c>
      <c r="J37" s="57">
        <v>3888286</v>
      </c>
      <c r="K37" s="57"/>
      <c r="L37" s="58"/>
      <c r="M37" s="59"/>
      <c r="N37" s="57">
        <v>100000</v>
      </c>
      <c r="O37" s="60">
        <f>SUM(J37:N37)</f>
        <v>3988286</v>
      </c>
      <c r="P37" s="58" t="s">
        <v>42</v>
      </c>
    </row>
    <row r="38" spans="1:16" customHeight="1" ht="63" s="11" customFormat="1">
      <c r="A38" s="43">
        <f>ROW()-21</f>
        <v>17</v>
      </c>
      <c r="B38" s="50" t="e">
        <f>VLOOKUP(P38,'chuyển 26.12'!$O$5:$P$6000,2,0)</f>
        <v>#N/A</v>
      </c>
      <c r="C38" s="51">
        <v>46046</v>
      </c>
      <c r="D38" s="52" t="s">
        <v>73</v>
      </c>
      <c r="E38" s="53">
        <f>VLOOKUP(H38,[1]Sheet1!$I$1:$Q$180000,9,0)</f>
        <v>308184527510</v>
      </c>
      <c r="F38" s="54" t="s">
        <v>33</v>
      </c>
      <c r="G38" s="55" t="s">
        <v>89</v>
      </c>
      <c r="H38" s="54" t="s">
        <v>90</v>
      </c>
      <c r="I38" s="56" t="s">
        <v>91</v>
      </c>
      <c r="J38" s="57">
        <v>3888286</v>
      </c>
      <c r="K38" s="57"/>
      <c r="L38" s="58"/>
      <c r="M38" s="59"/>
      <c r="N38" s="57">
        <v>100000</v>
      </c>
      <c r="O38" s="60">
        <f>SUM(J38:N38)</f>
        <v>3988286</v>
      </c>
      <c r="P38" s="58" t="s">
        <v>42</v>
      </c>
    </row>
    <row r="39" spans="1:16" customHeight="1" ht="63" s="11" customFormat="1">
      <c r="A39" s="43">
        <f>ROW()-21</f>
        <v>18</v>
      </c>
      <c r="B39" s="50" t="e">
        <f>VLOOKUP(P39,'chuyển 26.12'!$O$5:$P$6000,2,0)</f>
        <v>#N/A</v>
      </c>
      <c r="C39" s="51">
        <v>46048</v>
      </c>
      <c r="D39" s="52" t="s">
        <v>77</v>
      </c>
      <c r="E39" s="53">
        <f>VLOOKUP(H39,[1]Sheet1!$I$1:$Q$180000,9,0)</f>
        <v>308188076360</v>
      </c>
      <c r="F39" s="54" t="s">
        <v>33</v>
      </c>
      <c r="G39" s="55" t="s">
        <v>92</v>
      </c>
      <c r="H39" s="54" t="s">
        <v>93</v>
      </c>
      <c r="I39" s="56" t="s">
        <v>94</v>
      </c>
      <c r="J39" s="57">
        <v>3588286</v>
      </c>
      <c r="K39" s="57"/>
      <c r="L39" s="58"/>
      <c r="M39" s="59"/>
      <c r="N39" s="57">
        <v>100000</v>
      </c>
      <c r="O39" s="60">
        <f>SUM(J39:N39)</f>
        <v>3688286</v>
      </c>
      <c r="P39" s="58" t="s">
        <v>37</v>
      </c>
    </row>
    <row r="40" spans="1:16" customHeight="1" ht="63" s="11" customFormat="1">
      <c r="A40" s="43">
        <f>ROW()-21</f>
        <v>19</v>
      </c>
      <c r="B40" s="50" t="e">
        <f>VLOOKUP(P40,'chuyển 26.12'!$O$5:$P$6000,2,0)</f>
        <v>#N/A</v>
      </c>
      <c r="C40" s="51">
        <v>46048</v>
      </c>
      <c r="D40" s="52" t="s">
        <v>95</v>
      </c>
      <c r="E40" s="53">
        <f>VLOOKUP(H40,[1]Sheet1!$I$1:$Q$180000,9,0)</f>
        <v>308188091320</v>
      </c>
      <c r="F40" s="54" t="s">
        <v>33</v>
      </c>
      <c r="G40" s="55" t="s">
        <v>96</v>
      </c>
      <c r="H40" s="54" t="s">
        <v>97</v>
      </c>
      <c r="I40" s="56" t="s">
        <v>98</v>
      </c>
      <c r="J40" s="57">
        <v>3588286</v>
      </c>
      <c r="K40" s="57"/>
      <c r="L40" s="58"/>
      <c r="M40" s="59"/>
      <c r="N40" s="57">
        <v>100000</v>
      </c>
      <c r="O40" s="60">
        <f>SUM(J40:N40)</f>
        <v>3688286</v>
      </c>
      <c r="P40" s="58" t="s">
        <v>37</v>
      </c>
    </row>
    <row r="41" spans="1:16" customHeight="1" ht="63" s="11" customFormat="1">
      <c r="A41" s="43">
        <f>ROW()-21</f>
        <v>20</v>
      </c>
      <c r="B41" s="50" t="e">
        <f>VLOOKUP(P41,'chuyển 26.12'!$O$5:$P$6000,2,0)</f>
        <v>#N/A</v>
      </c>
      <c r="C41" s="51">
        <v>46049</v>
      </c>
      <c r="D41" s="52" t="s">
        <v>73</v>
      </c>
      <c r="E41" s="53">
        <f>VLOOKUP(H41,[1]Sheet1!$I$1:$Q$180000,9,0)</f>
        <v>308193111610</v>
      </c>
      <c r="F41" s="54" t="s">
        <v>33</v>
      </c>
      <c r="G41" s="55" t="s">
        <v>99</v>
      </c>
      <c r="H41" s="54" t="s">
        <v>100</v>
      </c>
      <c r="I41" s="56" t="s">
        <v>61</v>
      </c>
      <c r="J41" s="57">
        <v>3588286</v>
      </c>
      <c r="K41" s="57"/>
      <c r="L41" s="58"/>
      <c r="M41" s="59"/>
      <c r="N41" s="57">
        <v>100000</v>
      </c>
      <c r="O41" s="60">
        <f>SUM(J41:N41)</f>
        <v>3688286</v>
      </c>
      <c r="P41" s="58" t="s">
        <v>37</v>
      </c>
    </row>
    <row r="42" spans="1:16" customHeight="1" ht="63" s="11" customFormat="1">
      <c r="A42" s="43">
        <f>ROW()-21</f>
        <v>21</v>
      </c>
      <c r="B42" s="50" t="e">
        <f>VLOOKUP(P42,'chuyển 26.12'!$O$5:$P$6000,2,0)</f>
        <v>#N/A</v>
      </c>
      <c r="C42" s="51">
        <v>46051</v>
      </c>
      <c r="D42" s="52" t="s">
        <v>101</v>
      </c>
      <c r="E42" s="53">
        <f>VLOOKUP(H42,[1]Sheet1!$I$1:$Q$180000,9,0)</f>
        <v>308202099500</v>
      </c>
      <c r="F42" s="54" t="s">
        <v>33</v>
      </c>
      <c r="G42" s="55" t="s">
        <v>102</v>
      </c>
      <c r="H42" s="54" t="s">
        <v>103</v>
      </c>
      <c r="I42" s="56" t="s">
        <v>91</v>
      </c>
      <c r="J42" s="57">
        <v>3888286</v>
      </c>
      <c r="K42" s="57"/>
      <c r="L42" s="58"/>
      <c r="M42" s="59"/>
      <c r="N42" s="57">
        <v>100000</v>
      </c>
      <c r="O42" s="60">
        <f>SUM(J42:N42)</f>
        <v>3988286</v>
      </c>
      <c r="P42" s="58" t="s">
        <v>42</v>
      </c>
    </row>
    <row r="43" spans="1:16" customHeight="1" ht="63" s="11" customFormat="1">
      <c r="A43" s="43">
        <f>ROW()-21</f>
        <v>22</v>
      </c>
      <c r="B43" s="50" t="e">
        <f>VLOOKUP(P43,'chuyển 26.12'!$O$5:$P$6000,2,0)</f>
        <v>#N/A</v>
      </c>
      <c r="C43" s="51">
        <v>46051</v>
      </c>
      <c r="D43" s="52" t="s">
        <v>104</v>
      </c>
      <c r="E43" s="53">
        <f>VLOOKUP(H43,[1]Sheet1!$I$1:$Q$180000,9,0)</f>
        <v>308202123520</v>
      </c>
      <c r="F43" s="54" t="s">
        <v>33</v>
      </c>
      <c r="G43" s="55" t="s">
        <v>105</v>
      </c>
      <c r="H43" s="54" t="s">
        <v>106</v>
      </c>
      <c r="I43" s="56" t="s">
        <v>64</v>
      </c>
      <c r="J43" s="57">
        <v>3888286</v>
      </c>
      <c r="K43" s="57"/>
      <c r="L43" s="58"/>
      <c r="M43" s="59"/>
      <c r="N43" s="57">
        <v>100000</v>
      </c>
      <c r="O43" s="60">
        <f>SUM(J43:N43)</f>
        <v>3988286</v>
      </c>
      <c r="P43" s="58" t="s">
        <v>42</v>
      </c>
    </row>
    <row r="44" spans="1:16" customHeight="1" ht="63" s="11" customFormat="1">
      <c r="A44" s="43">
        <f>ROW()-21</f>
        <v>23</v>
      </c>
      <c r="B44" s="50" t="e">
        <f>VLOOKUP(P44,'chuyển 26.12'!$O$5:$P$6000,2,0)</f>
        <v>#N/A</v>
      </c>
      <c r="C44" s="51">
        <v>46051</v>
      </c>
      <c r="D44" s="52" t="s">
        <v>107</v>
      </c>
      <c r="E44" s="53">
        <v>308202052820</v>
      </c>
      <c r="F44" s="54" t="s">
        <v>33</v>
      </c>
      <c r="G44" s="55" t="s">
        <v>108</v>
      </c>
      <c r="H44" s="54" t="s">
        <v>109</v>
      </c>
      <c r="I44" s="56" t="s">
        <v>110</v>
      </c>
      <c r="J44" s="57">
        <v>2985312</v>
      </c>
      <c r="K44" s="57"/>
      <c r="L44" s="58"/>
      <c r="M44" s="59"/>
      <c r="N44" s="57">
        <v>100000</v>
      </c>
      <c r="O44" s="60">
        <f>SUM(J44:N44)</f>
        <v>3085312</v>
      </c>
      <c r="P44" s="58" t="s">
        <v>53</v>
      </c>
    </row>
    <row r="45" spans="1:16" customHeight="1" ht="63" s="11" customFormat="1">
      <c r="A45" s="43">
        <f>ROW()-21</f>
        <v>24</v>
      </c>
      <c r="B45" s="50" t="e">
        <f>VLOOKUP(P45,'chuyển 26.12'!$O$5:$P$6000,2,0)</f>
        <v>#N/A</v>
      </c>
      <c r="C45" s="51">
        <v>46052</v>
      </c>
      <c r="D45" s="52" t="s">
        <v>111</v>
      </c>
      <c r="E45" s="53">
        <f>VLOOKUP(H45,[1]Sheet1!$I$1:$Q$180000,9,0)</f>
        <v>308206863110</v>
      </c>
      <c r="F45" s="54" t="s">
        <v>33</v>
      </c>
      <c r="G45" s="55" t="s">
        <v>112</v>
      </c>
      <c r="H45" s="54" t="s">
        <v>113</v>
      </c>
      <c r="I45" s="56" t="s">
        <v>36</v>
      </c>
      <c r="J45" s="57">
        <v>3991627</v>
      </c>
      <c r="K45" s="57"/>
      <c r="L45" s="58"/>
      <c r="M45" s="59"/>
      <c r="N45" s="57">
        <v>100000</v>
      </c>
      <c r="O45" s="60">
        <f>SUM(J45:N45)</f>
        <v>4091627</v>
      </c>
      <c r="P45" s="58" t="s">
        <v>42</v>
      </c>
    </row>
    <row r="46" spans="1:16" customHeight="1" ht="63" s="11" customFormat="1">
      <c r="A46" s="43">
        <f>ROW()-21</f>
        <v>25</v>
      </c>
      <c r="B46" s="50" t="e">
        <f>VLOOKUP(P46,'chuyển 26.12'!$O$5:$P$6000,2,0)</f>
        <v>#N/A</v>
      </c>
      <c r="C46" s="51">
        <v>46052</v>
      </c>
      <c r="D46" s="52" t="s">
        <v>111</v>
      </c>
      <c r="E46" s="53">
        <f>VLOOKUP(H46,[1]Sheet1!$I$1:$Q$180000,9,0)</f>
        <v>308206869740</v>
      </c>
      <c r="F46" s="54" t="s">
        <v>33</v>
      </c>
      <c r="G46" s="55" t="s">
        <v>114</v>
      </c>
      <c r="H46" s="54" t="s">
        <v>115</v>
      </c>
      <c r="I46" s="56" t="s">
        <v>48</v>
      </c>
      <c r="J46" s="57">
        <v>3991627</v>
      </c>
      <c r="K46" s="57"/>
      <c r="L46" s="58"/>
      <c r="M46" s="59"/>
      <c r="N46" s="57">
        <v>100000</v>
      </c>
      <c r="O46" s="60">
        <f>SUM(J46:N46)</f>
        <v>4091627</v>
      </c>
      <c r="P46" s="58" t="s">
        <v>42</v>
      </c>
    </row>
    <row r="47" spans="1:16" customHeight="1" ht="63" s="11" customFormat="1">
      <c r="A47" s="43">
        <f>ROW()-21</f>
        <v>26</v>
      </c>
      <c r="B47" s="50" t="e">
        <f>VLOOKUP(P47,'chuyển 26.12'!$O$5:$P$6000,2,0)</f>
        <v>#N/A</v>
      </c>
      <c r="C47" s="51">
        <v>46052</v>
      </c>
      <c r="D47" s="52">
        <v>6441249510</v>
      </c>
      <c r="E47" s="53">
        <f>VLOOKUP(H47,[1]Sheet1!$I$1:$Q$180000,9,0)</f>
        <v>308208412320</v>
      </c>
      <c r="F47" s="54" t="s">
        <v>33</v>
      </c>
      <c r="G47" s="55" t="s">
        <v>116</v>
      </c>
      <c r="H47" s="54" t="s">
        <v>117</v>
      </c>
      <c r="I47" s="56" t="s">
        <v>118</v>
      </c>
      <c r="J47" s="57">
        <v>3057684</v>
      </c>
      <c r="K47" s="57"/>
      <c r="L47" s="58"/>
      <c r="M47" s="59"/>
      <c r="N47" s="57">
        <v>100000</v>
      </c>
      <c r="O47" s="60">
        <f>SUM(J47:N47)</f>
        <v>3157684</v>
      </c>
      <c r="P47" s="58" t="s">
        <v>53</v>
      </c>
    </row>
    <row r="48" spans="1:16" customHeight="1" ht="63" s="11" customFormat="1">
      <c r="A48" s="43">
        <f>ROW()-21</f>
        <v>27</v>
      </c>
      <c r="B48" s="50" t="e">
        <f>VLOOKUP(P48,'chuyển 26.12'!$O$5:$P$6000,2,0)</f>
        <v>#N/A</v>
      </c>
      <c r="C48" s="51">
        <v>46055</v>
      </c>
      <c r="D48" s="52">
        <v>7266235620</v>
      </c>
      <c r="E48" s="53">
        <f>VLOOKUP(H48,[1]Sheet1!$I$1:$Q$180000,9,0)</f>
        <v>308214663320</v>
      </c>
      <c r="F48" s="54" t="s">
        <v>33</v>
      </c>
      <c r="G48" s="55" t="s">
        <v>119</v>
      </c>
      <c r="H48" s="54" t="s">
        <v>120</v>
      </c>
      <c r="I48" s="56" t="s">
        <v>64</v>
      </c>
      <c r="J48" s="57">
        <v>3057684</v>
      </c>
      <c r="K48" s="57"/>
      <c r="L48" s="58"/>
      <c r="M48" s="59"/>
      <c r="N48" s="57">
        <v>100000</v>
      </c>
      <c r="O48" s="60">
        <f>SUM(J48:N48)</f>
        <v>3157684</v>
      </c>
      <c r="P48" s="58" t="s">
        <v>53</v>
      </c>
    </row>
    <row r="49" spans="1:16" customHeight="1" ht="63" s="11" customFormat="1">
      <c r="A49" s="43">
        <f>ROW()-21</f>
        <v>28</v>
      </c>
      <c r="B49" s="50" t="e">
        <f>VLOOKUP(P49,'chuyển 26.12'!$O$5:$P$6000,2,0)</f>
        <v>#N/A</v>
      </c>
      <c r="C49" s="51">
        <v>46055</v>
      </c>
      <c r="D49" s="52">
        <v>6441249510</v>
      </c>
      <c r="E49" s="53">
        <f>VLOOKUP(H49,[1]Sheet1!$I$1:$Q$180000,9,0)</f>
        <v>308214660520</v>
      </c>
      <c r="F49" s="54" t="s">
        <v>33</v>
      </c>
      <c r="G49" s="55" t="s">
        <v>121</v>
      </c>
      <c r="H49" s="54" t="s">
        <v>122</v>
      </c>
      <c r="I49" s="56" t="s">
        <v>123</v>
      </c>
      <c r="J49" s="57">
        <v>3057684</v>
      </c>
      <c r="K49" s="57"/>
      <c r="L49" s="58"/>
      <c r="M49" s="59"/>
      <c r="N49" s="57">
        <v>100000</v>
      </c>
      <c r="O49" s="60">
        <f>SUM(J49:N49)</f>
        <v>3157684</v>
      </c>
      <c r="P49" s="58" t="s">
        <v>53</v>
      </c>
    </row>
    <row r="50" spans="1:16" customHeight="1" ht="63" s="11" customFormat="1">
      <c r="A50" s="43">
        <f>ROW()-21</f>
        <v>29</v>
      </c>
      <c r="B50" s="50" t="e">
        <f>VLOOKUP(P50,'chuyển 26.12'!$O$5:$P$6000,2,0)</f>
        <v>#N/A</v>
      </c>
      <c r="C50" s="51">
        <v>46056</v>
      </c>
      <c r="D50" s="52">
        <v>6443474480</v>
      </c>
      <c r="E50" s="53">
        <f>VLOOKUP(H50,[1]Sheet1!$I$1:$Q$180000,9,0)</f>
        <v>308219883920</v>
      </c>
      <c r="F50" s="54" t="s">
        <v>33</v>
      </c>
      <c r="G50" s="55" t="s">
        <v>124</v>
      </c>
      <c r="H50" s="54" t="s">
        <v>125</v>
      </c>
      <c r="I50" s="56" t="s">
        <v>36</v>
      </c>
      <c r="J50" s="57">
        <v>3057684</v>
      </c>
      <c r="K50" s="57"/>
      <c r="L50" s="58"/>
      <c r="M50" s="59"/>
      <c r="N50" s="57">
        <v>100000</v>
      </c>
      <c r="O50" s="60">
        <f>SUM(J50:N50)</f>
        <v>3157684</v>
      </c>
      <c r="P50" s="58" t="s">
        <v>53</v>
      </c>
    </row>
    <row r="51" spans="1:16" customHeight="1" ht="63" s="11" customFormat="1">
      <c r="A51" s="43">
        <f>ROW()-21</f>
        <v>30</v>
      </c>
      <c r="B51" s="50" t="e">
        <f>VLOOKUP(P51,'chuyển 26.12'!$O$5:$P$6000,2,0)</f>
        <v>#N/A</v>
      </c>
      <c r="C51" s="51">
        <v>46056</v>
      </c>
      <c r="D51" s="52">
        <v>6443474480</v>
      </c>
      <c r="E51" s="53">
        <f>VLOOKUP(H51,[1]Sheet1!$I$1:$Q$180000,9,0)</f>
        <v>308219852530</v>
      </c>
      <c r="F51" s="54" t="s">
        <v>33</v>
      </c>
      <c r="G51" s="55" t="s">
        <v>126</v>
      </c>
      <c r="H51" s="54" t="s">
        <v>127</v>
      </c>
      <c r="I51" s="56" t="s">
        <v>123</v>
      </c>
      <c r="J51" s="57">
        <v>3057684</v>
      </c>
      <c r="K51" s="57"/>
      <c r="L51" s="58"/>
      <c r="M51" s="59"/>
      <c r="N51" s="57">
        <v>100000</v>
      </c>
      <c r="O51" s="60">
        <f>SUM(J51:N51)</f>
        <v>3157684</v>
      </c>
      <c r="P51" s="58" t="s">
        <v>53</v>
      </c>
    </row>
    <row r="52" spans="1:16" customHeight="1" ht="63" s="11" customFormat="1">
      <c r="A52" s="43">
        <f>ROW()-21</f>
        <v>31</v>
      </c>
      <c r="B52" s="50" t="e">
        <f>VLOOKUP(P52,'chuyển 26.12'!$O$5:$P$6000,2,0)</f>
        <v>#N/A</v>
      </c>
      <c r="C52" s="51">
        <v>46056</v>
      </c>
      <c r="D52" s="52" t="s">
        <v>128</v>
      </c>
      <c r="E52" s="53">
        <f>VLOOKUP(H52,[1]Sheet1!$I$1:$Q$180000,9,0)</f>
        <v>308219818820</v>
      </c>
      <c r="F52" s="54" t="s">
        <v>70</v>
      </c>
      <c r="G52" s="55" t="s">
        <v>129</v>
      </c>
      <c r="H52" s="54" t="s">
        <v>130</v>
      </c>
      <c r="I52" s="56" t="s">
        <v>131</v>
      </c>
      <c r="J52" s="57">
        <v>4021445</v>
      </c>
      <c r="K52" s="57"/>
      <c r="L52" s="58"/>
      <c r="M52" s="59"/>
      <c r="N52" s="57">
        <v>100000</v>
      </c>
      <c r="O52" s="60">
        <f>SUM(J52:N52)</f>
        <v>4121445</v>
      </c>
      <c r="P52" s="58" t="s">
        <v>132</v>
      </c>
    </row>
    <row r="53" spans="1:16" customHeight="1" ht="63" s="11" customFormat="1">
      <c r="A53" s="43">
        <f>ROW()-21</f>
        <v>32</v>
      </c>
      <c r="B53" s="50" t="e">
        <f>VLOOKUP(P53,'chuyển 26.12'!$O$5:$P$6000,2,0)</f>
        <v>#N/A</v>
      </c>
      <c r="C53" s="51">
        <v>46057</v>
      </c>
      <c r="D53" s="52" t="s">
        <v>133</v>
      </c>
      <c r="E53" s="53">
        <f>VLOOKUP(H53,[1]Sheet1!$I$1:$Q$180000,9,0)</f>
        <v>308225764620</v>
      </c>
      <c r="F53" s="54" t="s">
        <v>33</v>
      </c>
      <c r="G53" s="55" t="s">
        <v>134</v>
      </c>
      <c r="H53" s="54" t="s">
        <v>135</v>
      </c>
      <c r="I53" s="56" t="s">
        <v>136</v>
      </c>
      <c r="J53" s="57">
        <v>3991627</v>
      </c>
      <c r="K53" s="57"/>
      <c r="L53" s="58"/>
      <c r="M53" s="59"/>
      <c r="N53" s="57">
        <v>100000</v>
      </c>
      <c r="O53" s="60">
        <f>SUM(J53:N53)</f>
        <v>4091627</v>
      </c>
      <c r="P53" s="58" t="s">
        <v>42</v>
      </c>
    </row>
    <row r="54" spans="1:16" customHeight="1" ht="63" s="11" customFormat="1">
      <c r="A54" s="43">
        <f>ROW()-21</f>
        <v>33</v>
      </c>
      <c r="B54" s="50" t="e">
        <f>VLOOKUP(P54,'chuyển 26.12'!$O$5:$P$6000,2,0)</f>
        <v>#N/A</v>
      </c>
      <c r="C54" s="51">
        <v>46058</v>
      </c>
      <c r="D54" s="52" t="s">
        <v>137</v>
      </c>
      <c r="E54" s="53">
        <f>VLOOKUP(H54,[1]Sheet1!$I$1:$Q$180000,9,0)</f>
        <v>308227339360</v>
      </c>
      <c r="F54" s="54" t="s">
        <v>33</v>
      </c>
      <c r="G54" s="55" t="s">
        <v>138</v>
      </c>
      <c r="H54" s="64" t="s">
        <v>139</v>
      </c>
      <c r="I54" s="58" t="s">
        <v>136</v>
      </c>
      <c r="J54" s="57">
        <v>4021445</v>
      </c>
      <c r="K54" s="57"/>
      <c r="L54" s="58"/>
      <c r="M54" s="59"/>
      <c r="N54" s="57">
        <v>100000</v>
      </c>
      <c r="O54" s="60">
        <f>SUM(J54:N54)</f>
        <v>4121445</v>
      </c>
      <c r="P54" s="58" t="s">
        <v>132</v>
      </c>
    </row>
    <row r="55" spans="1:16" customHeight="1" ht="63" s="11" customFormat="1">
      <c r="A55" s="43">
        <f>ROW()-21</f>
        <v>34</v>
      </c>
      <c r="B55" s="50" t="e">
        <f>VLOOKUP(P55,'chuyển 26.12'!$O$5:$P$6000,2,0)</f>
        <v>#N/A</v>
      </c>
      <c r="C55" s="51">
        <v>46058</v>
      </c>
      <c r="D55" s="52" t="s">
        <v>140</v>
      </c>
      <c r="E55" s="53">
        <f>VLOOKUP(H55,[1]Sheet1!$I$1:$Q$180000,9,0)</f>
        <v>308227361210</v>
      </c>
      <c r="F55" s="54" t="s">
        <v>33</v>
      </c>
      <c r="G55" s="55" t="s">
        <v>141</v>
      </c>
      <c r="H55" s="54" t="s">
        <v>142</v>
      </c>
      <c r="I55" s="56" t="s">
        <v>136</v>
      </c>
      <c r="J55" s="57">
        <v>3991627</v>
      </c>
      <c r="K55" s="57"/>
      <c r="L55" s="58"/>
      <c r="M55" s="59"/>
      <c r="N55" s="57">
        <v>100000</v>
      </c>
      <c r="O55" s="60">
        <f>SUM(J55:N55)</f>
        <v>4091627</v>
      </c>
      <c r="P55" s="58" t="s">
        <v>42</v>
      </c>
    </row>
    <row r="56" spans="1:16" customHeight="1" ht="63" s="11" customFormat="1">
      <c r="A56" s="43">
        <f>ROW()-21</f>
        <v>35</v>
      </c>
      <c r="B56" s="50" t="e">
        <f>VLOOKUP(P56,'chuyển 26.12'!$O$5:$P$6000,2,0)</f>
        <v>#N/A</v>
      </c>
      <c r="C56" s="51">
        <v>46059</v>
      </c>
      <c r="D56" s="52" t="s">
        <v>143</v>
      </c>
      <c r="E56" s="53">
        <f>VLOOKUP(H56,[1]Sheet1!$I$1:$Q$180000,9,0)</f>
        <v>308233006820</v>
      </c>
      <c r="F56" s="54" t="s">
        <v>33</v>
      </c>
      <c r="G56" s="55" t="s">
        <v>144</v>
      </c>
      <c r="H56" s="54" t="s">
        <v>145</v>
      </c>
      <c r="I56" s="56" t="s">
        <v>98</v>
      </c>
      <c r="J56" s="57">
        <v>3991627</v>
      </c>
      <c r="K56" s="57"/>
      <c r="L56" s="58"/>
      <c r="M56" s="59"/>
      <c r="N56" s="57">
        <v>100000</v>
      </c>
      <c r="O56" s="60">
        <f>SUM(J56:N56)</f>
        <v>4091627</v>
      </c>
      <c r="P56" s="58" t="s">
        <v>42</v>
      </c>
    </row>
    <row r="57" spans="1:16" customHeight="1" ht="63" s="11" customFormat="1">
      <c r="A57" s="43">
        <f>ROW()-21</f>
        <v>36</v>
      </c>
      <c r="B57" s="50" t="e">
        <f>VLOOKUP(P57,'chuyển 26.12'!$O$5:$P$6000,2,0)</f>
        <v>#N/A</v>
      </c>
      <c r="C57" s="51">
        <v>46059</v>
      </c>
      <c r="D57" s="52" t="s">
        <v>146</v>
      </c>
      <c r="E57" s="53">
        <f>VLOOKUP(H57,[1]Sheet1!$I$1:$Q$180000,9,0)</f>
        <v>308233069120</v>
      </c>
      <c r="F57" s="54" t="s">
        <v>33</v>
      </c>
      <c r="G57" s="55" t="s">
        <v>147</v>
      </c>
      <c r="H57" s="54" t="s">
        <v>148</v>
      </c>
      <c r="I57" s="56" t="s">
        <v>61</v>
      </c>
      <c r="J57" s="57">
        <v>3991627</v>
      </c>
      <c r="K57" s="57"/>
      <c r="L57" s="58"/>
      <c r="M57" s="59"/>
      <c r="N57" s="57">
        <v>100000</v>
      </c>
      <c r="O57" s="60">
        <f>SUM(J57:N57)</f>
        <v>4091627</v>
      </c>
      <c r="P57" s="58" t="s">
        <v>42</v>
      </c>
    </row>
    <row r="58" spans="1:16" customHeight="1" ht="63" s="11" customFormat="1">
      <c r="A58" s="43">
        <f>ROW()-21</f>
        <v>37</v>
      </c>
      <c r="B58" s="50" t="e">
        <f>VLOOKUP(P58,'chuyển 26.12'!$O$5:$P$6000,2,0)</f>
        <v>#N/A</v>
      </c>
      <c r="C58" s="51">
        <v>46062</v>
      </c>
      <c r="D58" s="52" t="s">
        <v>149</v>
      </c>
      <c r="E58" s="53">
        <v>308240528100</v>
      </c>
      <c r="F58" s="54" t="s">
        <v>70</v>
      </c>
      <c r="G58" s="55" t="s">
        <v>150</v>
      </c>
      <c r="H58" s="54" t="s">
        <v>151</v>
      </c>
      <c r="I58" s="56" t="s">
        <v>41</v>
      </c>
      <c r="J58" s="57">
        <v>4321445</v>
      </c>
      <c r="K58" s="57"/>
      <c r="L58" s="58"/>
      <c r="M58" s="59"/>
      <c r="N58" s="57">
        <v>100000</v>
      </c>
      <c r="O58" s="60">
        <f>SUM(J58:N58)</f>
        <v>4421445</v>
      </c>
      <c r="P58" s="58" t="s">
        <v>152</v>
      </c>
    </row>
    <row r="59" spans="1:16" customHeight="1" ht="63" s="11" customFormat="1">
      <c r="A59" s="43">
        <f>ROW()-21</f>
        <v>38</v>
      </c>
      <c r="B59" s="50" t="e">
        <f>VLOOKUP(P59,'chuyển 26.12'!$O$5:$P$6000,2,0)</f>
        <v>#N/A</v>
      </c>
      <c r="C59" s="51">
        <v>46062</v>
      </c>
      <c r="D59" s="52" t="s">
        <v>153</v>
      </c>
      <c r="E59" s="53">
        <v>308240529460</v>
      </c>
      <c r="F59" s="54" t="s">
        <v>70</v>
      </c>
      <c r="G59" s="55" t="s">
        <v>154</v>
      </c>
      <c r="H59" s="54" t="s">
        <v>155</v>
      </c>
      <c r="I59" s="56" t="s">
        <v>41</v>
      </c>
      <c r="J59" s="57">
        <v>4021445</v>
      </c>
      <c r="K59" s="57"/>
      <c r="L59" s="58"/>
      <c r="M59" s="59"/>
      <c r="N59" s="57">
        <v>100000</v>
      </c>
      <c r="O59" s="60">
        <f>SUM(J59:N59)</f>
        <v>4121445</v>
      </c>
      <c r="P59" s="58" t="s">
        <v>132</v>
      </c>
    </row>
    <row r="60" spans="1:16" customHeight="1" ht="63" s="11" customFormat="1">
      <c r="A60" s="43">
        <f>ROW()-21</f>
        <v>39</v>
      </c>
      <c r="B60" s="50" t="e">
        <f>VLOOKUP(P60,'chuyển 26.12'!$O$5:$P$6000,2,0)</f>
        <v>#N/A</v>
      </c>
      <c r="C60" s="51">
        <v>46062</v>
      </c>
      <c r="D60" s="52" t="s">
        <v>133</v>
      </c>
      <c r="E60" s="53">
        <v>308240538230</v>
      </c>
      <c r="F60" s="54" t="s">
        <v>33</v>
      </c>
      <c r="G60" s="55" t="s">
        <v>156</v>
      </c>
      <c r="H60" s="54" t="s">
        <v>157</v>
      </c>
      <c r="I60" s="56" t="s">
        <v>64</v>
      </c>
      <c r="J60" s="57">
        <v>3991627</v>
      </c>
      <c r="K60" s="57"/>
      <c r="L60" s="58"/>
      <c r="M60" s="59"/>
      <c r="N60" s="57">
        <v>100000</v>
      </c>
      <c r="O60" s="60">
        <f>SUM(J60:N60)</f>
        <v>4091627</v>
      </c>
      <c r="P60" s="58" t="s">
        <v>42</v>
      </c>
    </row>
    <row r="61" spans="1:16" customHeight="1" ht="63" s="11" customFormat="1">
      <c r="A61" s="43">
        <f>ROW()-21</f>
        <v>40</v>
      </c>
      <c r="B61" s="50" t="e">
        <f>VLOOKUP(P61,'chuyển 26.12'!$O$5:$P$6000,2,0)</f>
        <v>#N/A</v>
      </c>
      <c r="C61" s="51">
        <v>46063</v>
      </c>
      <c r="D61" s="52" t="s">
        <v>133</v>
      </c>
      <c r="E61" s="53">
        <v>308246968210</v>
      </c>
      <c r="F61" s="54" t="s">
        <v>70</v>
      </c>
      <c r="G61" s="55" t="s">
        <v>158</v>
      </c>
      <c r="H61" s="54" t="s">
        <v>159</v>
      </c>
      <c r="I61" s="56" t="s">
        <v>36</v>
      </c>
      <c r="J61" s="57">
        <v>3991627</v>
      </c>
      <c r="K61" s="57"/>
      <c r="L61" s="58"/>
      <c r="M61" s="59"/>
      <c r="N61" s="57">
        <v>100000</v>
      </c>
      <c r="O61" s="60">
        <f>SUM(J61:N61)</f>
        <v>4091627</v>
      </c>
      <c r="P61" s="58" t="s">
        <v>42</v>
      </c>
    </row>
    <row r="62" spans="1:16" customHeight="1" ht="63" s="11" customFormat="1">
      <c r="A62" s="43">
        <f>ROW()-21</f>
        <v>41</v>
      </c>
      <c r="B62" s="50" t="e">
        <f>VLOOKUP(P62,'chuyển 26.12'!$O$5:$P$6000,2,0)</f>
        <v>#N/A</v>
      </c>
      <c r="C62" s="51">
        <v>46063</v>
      </c>
      <c r="D62" s="52" t="s">
        <v>133</v>
      </c>
      <c r="E62" s="53">
        <v>308246996800</v>
      </c>
      <c r="F62" s="54" t="s">
        <v>33</v>
      </c>
      <c r="G62" s="55" t="s">
        <v>160</v>
      </c>
      <c r="H62" s="54" t="s">
        <v>161</v>
      </c>
      <c r="I62" s="56" t="s">
        <v>162</v>
      </c>
      <c r="J62" s="57">
        <v>3691627</v>
      </c>
      <c r="K62" s="57"/>
      <c r="L62" s="58"/>
      <c r="M62" s="59"/>
      <c r="N62" s="57">
        <v>100000</v>
      </c>
      <c r="O62" s="60">
        <f>SUM(J62:N62)</f>
        <v>3791627</v>
      </c>
      <c r="P62" s="58" t="s">
        <v>37</v>
      </c>
    </row>
    <row r="63" spans="1:16" customHeight="1" ht="63" s="11" customFormat="1">
      <c r="A63" s="43">
        <f>ROW()-21</f>
        <v>42</v>
      </c>
      <c r="B63" s="50" t="e">
        <f>VLOOKUP(P63,'chuyển 26.12'!$O$5:$P$6000,2,0)</f>
        <v>#N/A</v>
      </c>
      <c r="C63" s="51">
        <v>46063</v>
      </c>
      <c r="D63" s="52" t="s">
        <v>163</v>
      </c>
      <c r="E63" s="53">
        <v>308247380730</v>
      </c>
      <c r="F63" s="54" t="s">
        <v>70</v>
      </c>
      <c r="G63" s="55" t="s">
        <v>164</v>
      </c>
      <c r="H63" s="54" t="s">
        <v>165</v>
      </c>
      <c r="I63" s="56" t="s">
        <v>91</v>
      </c>
      <c r="J63" s="57">
        <v>3991627</v>
      </c>
      <c r="K63" s="57"/>
      <c r="L63" s="58"/>
      <c r="M63" s="59"/>
      <c r="N63" s="57">
        <v>100000</v>
      </c>
      <c r="O63" s="60">
        <f>SUM(J63:N63)</f>
        <v>4091627</v>
      </c>
      <c r="P63" s="58" t="s">
        <v>42</v>
      </c>
    </row>
    <row r="64" spans="1:16" customHeight="1" ht="63" s="11" customFormat="1">
      <c r="A64" s="43">
        <f>ROW()-21</f>
        <v>43</v>
      </c>
      <c r="B64" s="50" t="e">
        <f>VLOOKUP(P64,'chuyển 26.12'!$O$5:$P$6000,2,0)</f>
        <v>#N/A</v>
      </c>
      <c r="C64" s="51">
        <v>46063</v>
      </c>
      <c r="D64" s="52" t="s">
        <v>166</v>
      </c>
      <c r="E64" s="53">
        <v>308247417020</v>
      </c>
      <c r="F64" s="54" t="s">
        <v>70</v>
      </c>
      <c r="G64" s="55" t="s">
        <v>167</v>
      </c>
      <c r="H64" s="54" t="s">
        <v>168</v>
      </c>
      <c r="I64" s="56" t="s">
        <v>91</v>
      </c>
      <c r="J64" s="57">
        <v>3691627</v>
      </c>
      <c r="K64" s="57"/>
      <c r="L64" s="58"/>
      <c r="M64" s="59"/>
      <c r="N64" s="57">
        <v>100000</v>
      </c>
      <c r="O64" s="60">
        <f>SUM(J64:N64)</f>
        <v>3791627</v>
      </c>
      <c r="P64" s="58" t="s">
        <v>37</v>
      </c>
    </row>
    <row r="65" spans="1:16" customHeight="1" ht="63" s="11" customFormat="1">
      <c r="A65" s="43">
        <f>ROW()-21</f>
        <v>44</v>
      </c>
      <c r="B65" s="50" t="s">
        <v>169</v>
      </c>
      <c r="C65" s="51">
        <v>46063</v>
      </c>
      <c r="D65" s="52" t="s">
        <v>170</v>
      </c>
      <c r="E65" s="53">
        <v>308240536830</v>
      </c>
      <c r="F65" s="54" t="s">
        <v>33</v>
      </c>
      <c r="G65" s="55" t="s">
        <v>171</v>
      </c>
      <c r="H65" s="54" t="s">
        <v>172</v>
      </c>
      <c r="I65" s="63" t="s">
        <v>76</v>
      </c>
      <c r="J65" s="57">
        <v>2756644</v>
      </c>
      <c r="K65" s="57"/>
      <c r="L65" s="58"/>
      <c r="M65" s="59"/>
      <c r="N65" s="57">
        <v>100000</v>
      </c>
      <c r="O65" s="60">
        <f>SUM(J65:N65)</f>
        <v>2856644</v>
      </c>
      <c r="P65" s="58" t="s">
        <v>173</v>
      </c>
    </row>
    <row r="66" spans="1:16" customHeight="1" ht="63" s="11" customFormat="1">
      <c r="A66" s="43">
        <f>ROW()-21</f>
        <v>45</v>
      </c>
      <c r="B66" s="50" t="e">
        <f>VLOOKUP(P66,'chuyển 26.12'!$O$5:$P$6000,2,0)</f>
        <v>#N/A</v>
      </c>
      <c r="C66" s="51">
        <v>46064</v>
      </c>
      <c r="D66" s="52" t="s">
        <v>174</v>
      </c>
      <c r="E66" s="53">
        <v>308252039120</v>
      </c>
      <c r="F66" s="54" t="s">
        <v>33</v>
      </c>
      <c r="G66" s="55" t="s">
        <v>175</v>
      </c>
      <c r="H66" s="54" t="s">
        <v>176</v>
      </c>
      <c r="I66" s="56" t="s">
        <v>177</v>
      </c>
      <c r="J66" s="57">
        <v>4021445</v>
      </c>
      <c r="K66" s="57"/>
      <c r="L66" s="58"/>
      <c r="M66" s="59"/>
      <c r="N66" s="57">
        <v>100000</v>
      </c>
      <c r="O66" s="60">
        <f>SUM(J66:N66)</f>
        <v>4121445</v>
      </c>
      <c r="P66" s="58" t="s">
        <v>132</v>
      </c>
    </row>
    <row r="67" spans="1:16" customHeight="1" ht="63" s="11" customFormat="1">
      <c r="A67" s="43">
        <f>ROW()-21</f>
        <v>46</v>
      </c>
      <c r="B67" s="50" t="e">
        <f>VLOOKUP(P67,'chuyển 26.12'!$O$5:$P$6000,2,0)</f>
        <v>#N/A</v>
      </c>
      <c r="C67" s="51">
        <v>46063</v>
      </c>
      <c r="D67" s="52" t="s">
        <v>178</v>
      </c>
      <c r="E67" s="53">
        <v>308249638450</v>
      </c>
      <c r="F67" s="54" t="s">
        <v>33</v>
      </c>
      <c r="G67" s="55" t="s">
        <v>179</v>
      </c>
      <c r="H67" s="54" t="s">
        <v>180</v>
      </c>
      <c r="I67" s="56" t="s">
        <v>181</v>
      </c>
      <c r="J67" s="57">
        <v>3691627</v>
      </c>
      <c r="K67" s="57"/>
      <c r="L67" s="58"/>
      <c r="M67" s="59"/>
      <c r="N67" s="57">
        <v>100000</v>
      </c>
      <c r="O67" s="60">
        <f>SUM(J67:N67)</f>
        <v>3791627</v>
      </c>
      <c r="P67" s="58" t="s">
        <v>37</v>
      </c>
    </row>
    <row r="68" spans="1:16" customHeight="1" ht="50.25" s="20" customFormat="1">
      <c r="A68" s="70" t="s">
        <v>182</v>
      </c>
      <c r="B68" s="70"/>
      <c r="C68" s="70"/>
      <c r="D68" s="70"/>
      <c r="E68" s="70"/>
      <c r="F68" s="70"/>
      <c r="G68" s="70"/>
      <c r="H68" s="70"/>
      <c r="I68" s="49"/>
      <c r="J68" s="62">
        <f>SUM(J22:J67)</f>
        <v>167079801</v>
      </c>
      <c r="K68" s="62">
        <f>SUM(K22:K67)</f>
        <v>0</v>
      </c>
      <c r="L68" s="62">
        <f>SUM(L22:L67)</f>
        <v>0</v>
      </c>
      <c r="M68" s="62">
        <f>SUM(M22:M67)</f>
        <v>0</v>
      </c>
      <c r="N68" s="62">
        <f>SUM(N22:N67)</f>
        <v>4600000</v>
      </c>
      <c r="O68" s="62">
        <f>SUM(O22:O67)</f>
        <v>171679801</v>
      </c>
      <c r="P68" s="19"/>
    </row>
    <row r="69" spans="1:16" customHeight="1" ht="15">
      <c r="A69" s="37"/>
      <c r="B69" s="13"/>
      <c r="L69" s="4"/>
    </row>
    <row r="70" spans="1:16" customHeight="1" ht="17.25">
      <c r="B70" s="1"/>
      <c r="J70" s="71"/>
      <c r="K70" s="71"/>
      <c r="L70" s="71"/>
      <c r="M70" s="71"/>
      <c r="N70" s="71"/>
      <c r="O70" s="71"/>
      <c r="P70" s="71"/>
    </row>
    <row r="71" spans="1:16" customHeight="1" ht="2.25">
      <c r="B71" s="1"/>
    </row>
    <row r="72" spans="1:16" customHeight="1" ht="18.75">
      <c r="A72" s="5" t="s">
        <v>183</v>
      </c>
      <c r="B72" s="68"/>
      <c r="C72" s="68"/>
      <c r="J72" s="67" t="s">
        <v>184</v>
      </c>
      <c r="K72" s="67"/>
      <c r="L72" s="67"/>
      <c r="M72" s="67"/>
      <c r="N72" s="67"/>
      <c r="O72" s="67"/>
      <c r="P72" s="67"/>
    </row>
    <row r="73" spans="1:16">
      <c r="A73" s="76" t="s">
        <v>185</v>
      </c>
      <c r="B73" s="73"/>
      <c r="C73" s="74"/>
      <c r="D73" s="75"/>
      <c r="E73" s="75"/>
      <c r="F73" s="72"/>
      <c r="G73" s="76"/>
      <c r="H73" s="72"/>
      <c r="I73" s="72"/>
      <c r="J73" s="77" t="s">
        <v>185</v>
      </c>
      <c r="K73" s="78"/>
      <c r="L73" s="72"/>
      <c r="M73" s="78"/>
      <c r="N73" s="79"/>
      <c r="O73" s="79"/>
      <c r="P73" s="78"/>
    </row>
  </sheetData>
  <mergeCells>
    <mergeCell ref="A72:C72"/>
    <mergeCell ref="J72:P72"/>
    <mergeCell ref="A1:P1"/>
    <mergeCell ref="A2:P2"/>
    <mergeCell ref="A4:P4"/>
    <mergeCell ref="A68:H68"/>
    <mergeCell ref="J70:P70"/>
    <mergeCell ref="A73:C73"/>
    <mergeCell ref="J73:P73"/>
  </mergeCells>
  <conditionalFormatting sqref="H1:H21 H48:H82 H73:H1048553">
    <cfRule type="duplicateValues" dxfId="0" priority="9">
      <formula/>
    </cfRule>
  </conditionalFormatting>
  <conditionalFormatting sqref="H1:H1048553">
    <cfRule type="duplicateValues" dxfId="0" priority="1">
      <formula/>
    </cfRule>
  </conditionalFormatting>
  <conditionalFormatting sqref="E22:E67">
    <cfRule type="duplicateValues" dxfId="0" priority="37421">
      <formula/>
    </cfRule>
    <cfRule type="duplicateValues" dxfId="0" priority="37422">
      <formula/>
    </cfRule>
  </conditionalFormatting>
  <conditionalFormatting sqref="H22:H31">
    <cfRule type="duplicateValues" dxfId="0" priority="6">
      <formula/>
    </cfRule>
    <cfRule type="duplicateValues" dxfId="0" priority="7">
      <formula/>
    </cfRule>
    <cfRule type="duplicateValues" dxfId="0" priority="8">
      <formula/>
    </cfRule>
  </conditionalFormatting>
  <conditionalFormatting sqref="H22:H38">
    <cfRule type="duplicateValues" dxfId="0" priority="5">
      <formula/>
    </cfRule>
  </conditionalFormatting>
  <conditionalFormatting sqref="H22:H47">
    <cfRule type="duplicateValues" dxfId="0" priority="4">
      <formula/>
    </cfRule>
  </conditionalFormatting>
  <conditionalFormatting sqref="R22:R67">
    <cfRule type="duplicateValues" dxfId="0" priority="37414">
      <formula/>
    </cfRule>
    <cfRule type="duplicateValues" dxfId="0" priority="37415">
      <formula/>
    </cfRule>
    <cfRule type="duplicateValues" dxfId="0" priority="37416">
      <formula/>
    </cfRule>
  </conditionalFormatting>
  <conditionalFormatting sqref="S22:S67">
    <cfRule type="duplicateValues" dxfId="0" priority="37418">
      <formula/>
    </cfRule>
    <cfRule type="duplicateValues" dxfId="0" priority="37419">
      <formula/>
    </cfRule>
    <cfRule type="duplicateValues" dxfId="0" priority="37420">
      <formula/>
    </cfRule>
  </conditionalFormatting>
  <conditionalFormatting sqref="W22:W67">
    <cfRule type="duplicateValues" dxfId="0" priority="37423">
      <formula/>
    </cfRule>
    <cfRule type="duplicateValues" dxfId="0" priority="37424">
      <formula/>
    </cfRule>
    <cfRule type="duplicateValues" dxfId="0" priority="37425">
      <formula/>
    </cfRule>
    <cfRule type="duplicateValues" dxfId="0" priority="37426">
      <formula/>
    </cfRule>
  </conditionalFormatting>
  <conditionalFormatting sqref="AD22:AD67">
    <cfRule type="duplicateValues" dxfId="0" priority="37417">
      <formula/>
    </cfRule>
  </conditionalFormatting>
  <conditionalFormatting sqref="H48:H67">
    <cfRule type="duplicateValues" dxfId="0" priority="37413">
      <formula/>
    </cfRule>
  </conditionalFormatting>
  <conditionalFormatting sqref="E68:E1048553 E1:E21">
    <cfRule type="duplicateValues" dxfId="0" priority="31235">
      <formula/>
    </cfRule>
    <cfRule type="duplicateValues" dxfId="0" priority="31236">
      <formula/>
    </cfRule>
  </conditionalFormatting>
  <conditionalFormatting sqref="G68:G1048553 G1:G21">
    <cfRule type="duplicateValues" dxfId="0" priority="1024">
      <formula/>
    </cfRule>
  </conditionalFormatting>
  <conditionalFormatting sqref="G68:G1048553">
    <cfRule type="duplicateValues" dxfId="0" priority="660">
      <formula/>
    </cfRule>
  </conditionalFormatting>
  <conditionalFormatting sqref="H68:H82 H1:H21 H73:H1048553">
    <cfRule type="duplicateValues" dxfId="0" priority="36864">
      <formula/>
    </cfRule>
    <cfRule type="duplicateValues" dxfId="0" priority="36873">
      <formula/>
    </cfRule>
    <cfRule type="duplicateValues" dxfId="0" priority="36874">
      <formula/>
    </cfRule>
  </conditionalFormatting>
  <conditionalFormatting sqref="H68:H82 H73:H1048553">
    <cfRule type="duplicateValues" dxfId="0" priority="36868">
      <formula/>
    </cfRule>
    <cfRule type="duplicateValues" dxfId="0" priority="36881">
      <formula/>
    </cfRule>
    <cfRule type="duplicateValues" dxfId="0" priority="36882">
      <formula/>
    </cfRule>
  </conditionalFormatting>
  <conditionalFormatting sqref="H68:H82 H1:H21 R22:R67 H73:H1048553">
    <cfRule type="duplicateValues" dxfId="0" priority="36919">
      <formula/>
    </cfRule>
  </conditionalFormatting>
  <conditionalFormatting sqref="R68:W1048553 R1:W10 R12:W12 R11 V11:W11 R14:W15 S13:W13 R17:W21 T16:W16">
    <cfRule type="duplicateValues" dxfId="0" priority="3095">
      <formula/>
    </cfRule>
    <cfRule type="duplicateValues" dxfId="0" priority="3096">
      <formula/>
    </cfRule>
  </conditionalFormatting>
  <conditionalFormatting sqref="R68:R1048553 H1:H21 R1:R12 R14:R15 R17:R21 H68:H82 H73:H1048553">
    <cfRule type="duplicateValues" dxfId="0" priority="36887">
      <formula/>
    </cfRule>
  </conditionalFormatting>
  <conditionalFormatting sqref="R68:R1048553 R1:R12 H1:H21 R14:R15 R17:R21 H68:H82 H73:H1048553">
    <cfRule type="duplicateValues" dxfId="0" priority="36897">
      <formula/>
    </cfRule>
  </conditionalFormatting>
  <conditionalFormatting sqref="S68:V1048553 S1:V10 S12:V15 V11 S17:V21 T16:V16">
    <cfRule type="duplicateValues" dxfId="0" priority="3113">
      <formula/>
    </cfRule>
  </conditionalFormatting>
  <conditionalFormatting sqref="S68:V1048553 H1:H21 S1:V10 S12:V15 V11 S17:V21 T16:V16 H68:H82 H73:H1048553">
    <cfRule type="duplicateValues" dxfId="0" priority="36907">
      <formula/>
    </cfRule>
  </conditionalFormatting>
  <conditionalFormatting sqref="W68:W1048553 W1:W21">
    <cfRule type="duplicateValues" dxfId="0" priority="16592">
      <formula/>
    </cfRule>
  </conditionalFormatting>
  <conditionalFormatting sqref="AA68:AA1048553 AA1:AA21">
    <cfRule type="duplicateValues" dxfId="0" priority="3144">
      <formula/>
    </cfRule>
  </conditionalFormatting>
  <conditionalFormatting sqref="H79:H82 H73:H1048553">
    <cfRule type="duplicateValues" dxfId="0" priority="36871">
      <formula/>
    </cfRule>
  </conditionalFormatting>
  <conditionalFormatting sqref="H83:H84 H87:H95">
    <cfRule type="duplicateValues" dxfId="0" priority="3">
      <formula/>
    </cfRule>
  </conditionalFormatting>
  <conditionalFormatting sqref="H83:H95">
    <cfRule type="duplicateValues" dxfId="0" priority="2">
      <formula/>
    </cfRule>
  </conditionalFormatting>
  <printOptions gridLines="false" gridLinesSet="true"/>
  <pageMargins left="0.7" right="0.7" top="0.26" bottom="0.34" header="0.2" footer="0.3"/>
  <pageSetup paperSize="9" orientation="landscape" scale="46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XUẤT-HPH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2022-09-05T08:06:36+00:00</dcterms:created>
  <dcterms:modified xsi:type="dcterms:W3CDTF">2026-02-28T06:14:25+00:00</dcterms:modified>
  <dc:title/>
  <dc:description/>
  <dc:subject/>
  <cp:keywords/>
  <cp:category/>
</cp:coreProperties>
</file>