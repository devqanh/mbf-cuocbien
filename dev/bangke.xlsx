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Canon\Trucking Canon Tiên Sơn\T2 15.02\"/>
    </mc:Choice>
  </mc:AlternateContent>
  <bookViews>
    <workbookView xWindow="0" yWindow="0" windowWidth="28800" windowHeight="12045" tabRatio="881" activeTab="3"/>
  </bookViews>
  <sheets>
    <sheet name="COVER DN XUẤT" sheetId="6" r:id="rId1"/>
    <sheet name="XUẤT-HPH" sheetId="1" r:id="rId2"/>
    <sheet name="COVER DN ICDTP" sheetId="22" r:id="rId3"/>
    <sheet name="ICD TP" sheetId="23" r:id="rId4"/>
    <sheet name="chuyển 26.12" sheetId="28" state="hidden" r:id="rId5"/>
    <sheet name="COVER BTB XUẤT" sheetId="7" r:id="rId6"/>
    <sheet name="CSHT XUẤT" sheetId="4" r:id="rId7"/>
    <sheet name="CSHT XUẤT (2)" sheetId="27" state="hidden" r:id="rId8"/>
    <sheet name="web CSHT" sheetId="20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5" hidden="1">'COVER BTB XUẤT'!$A$22:$N$22</definedName>
    <definedName name="_xlnm._FilterDatabase" localSheetId="0" hidden="1">'COVER DN XUẤT'!$A$22:$H$22</definedName>
    <definedName name="_xlnm._FilterDatabase" localSheetId="6" hidden="1">'CSHT XUẤT'!$A$21:$AR$89</definedName>
    <definedName name="_xlnm._FilterDatabase" localSheetId="7" hidden="1">'CSHT XUẤT (2)'!$A$21:$AR$55</definedName>
    <definedName name="_xlnm._FilterDatabase" localSheetId="3" hidden="1">'ICD TP'!$A$21:$AF$44</definedName>
    <definedName name="_xlnm._FilterDatabase" localSheetId="8" hidden="1">'web CSHT'!$F$3:$R$628</definedName>
    <definedName name="_xlnm._FilterDatabase" localSheetId="1" hidden="1">'XUẤT-HPH'!$A$21:$AB$68</definedName>
    <definedName name="_Order1" hidden="1">255</definedName>
    <definedName name="_Order2" hidden="1">255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_xlnm.Print_Area" localSheetId="6">'CSHT XUẤT'!$A$1:$AC$106</definedName>
    <definedName name="_xlnm.Print_Area" localSheetId="7">'CSHT XUẤT (2)'!$A$1:$AC$72</definedName>
    <definedName name="_xlnm.Print_Area" localSheetId="3">'ICD TP'!$A$1:$S$56</definedName>
    <definedName name="_xlnm.Print_Area" localSheetId="1">'XUẤT-HPH'!$A$1:$P$72</definedName>
    <definedName name="_xlnm.Print_Titles" localSheetId="6">'CSHT XUẤT'!$21:$21</definedName>
    <definedName name="_xlnm.Print_Titles" localSheetId="7">'CSHT XUẤT (2)'!$21:$21</definedName>
    <definedName name="_xlnm.Print_Titles" localSheetId="3">'ICD TP'!$21:$21</definedName>
    <definedName name="_xlnm.Print_Titles" localSheetId="1">'XUẤT-HPH'!$21:$21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7" i="4" l="1"/>
  <c r="R67" i="4" s="1"/>
  <c r="Q66" i="4"/>
  <c r="R66" i="4" s="1"/>
  <c r="Q65" i="4"/>
  <c r="R65" i="4" s="1"/>
  <c r="Q64" i="4"/>
  <c r="R64" i="4" s="1"/>
  <c r="R63" i="4"/>
  <c r="Q62" i="4"/>
  <c r="R62" i="4" s="1"/>
  <c r="Q61" i="4"/>
  <c r="R61" i="4" s="1"/>
  <c r="Q60" i="4"/>
  <c r="R60" i="4" s="1"/>
  <c r="Q59" i="4"/>
  <c r="R59" i="4" s="1"/>
  <c r="Q58" i="4"/>
  <c r="R58" i="4" s="1"/>
  <c r="Q57" i="4"/>
  <c r="R57" i="4" s="1"/>
  <c r="Q56" i="4"/>
  <c r="R56" i="4" s="1"/>
  <c r="Q55" i="4"/>
  <c r="R55" i="4" s="1"/>
  <c r="Q54" i="4"/>
  <c r="R54" i="4" s="1"/>
  <c r="Q53" i="4"/>
  <c r="R53" i="4" s="1"/>
  <c r="Q52" i="4"/>
  <c r="R52" i="4" s="1"/>
  <c r="R51" i="4"/>
  <c r="R50" i="4"/>
  <c r="R48" i="4"/>
  <c r="Q46" i="4"/>
  <c r="R46" i="4" s="1"/>
  <c r="Q45" i="4"/>
  <c r="R45" i="4" s="1"/>
  <c r="Q43" i="4"/>
  <c r="R43" i="4" s="1"/>
  <c r="Q42" i="4"/>
  <c r="R42" i="4" s="1"/>
  <c r="Q41" i="4"/>
  <c r="R41" i="4" s="1"/>
  <c r="R40" i="4"/>
  <c r="Q39" i="4"/>
  <c r="R39" i="4" s="1"/>
  <c r="Q38" i="4"/>
  <c r="R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28" i="4"/>
  <c r="R28" i="4" s="1"/>
  <c r="Q25" i="4"/>
  <c r="R25" i="4" s="1"/>
  <c r="Q24" i="4"/>
  <c r="R24" i="4" s="1"/>
  <c r="Q23" i="4"/>
  <c r="R23" i="4" s="1"/>
  <c r="Q22" i="4"/>
  <c r="R22" i="4" s="1"/>
  <c r="K67" i="4"/>
  <c r="L67" i="4" s="1"/>
  <c r="K66" i="4"/>
  <c r="L66" i="4" s="1"/>
  <c r="L64" i="4"/>
  <c r="K63" i="4"/>
  <c r="L63" i="4" s="1"/>
  <c r="K62" i="4"/>
  <c r="L62" i="4" s="1"/>
  <c r="K61" i="4"/>
  <c r="L61" i="4" s="1"/>
  <c r="K60" i="4"/>
  <c r="L60" i="4" s="1"/>
  <c r="K59" i="4"/>
  <c r="L59" i="4" s="1"/>
  <c r="K58" i="4"/>
  <c r="L58" i="4" s="1"/>
  <c r="L57" i="4"/>
  <c r="L56" i="4"/>
  <c r="L55" i="4"/>
  <c r="K54" i="4"/>
  <c r="L54" i="4" s="1"/>
  <c r="K53" i="4"/>
  <c r="L53" i="4" s="1"/>
  <c r="L52" i="4"/>
  <c r="L46" i="4"/>
  <c r="L45" i="4"/>
  <c r="K43" i="4"/>
  <c r="L43" i="4" s="1"/>
  <c r="L42" i="4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28" i="4"/>
  <c r="L28" i="4" s="1"/>
  <c r="K25" i="4"/>
  <c r="L25" i="4" s="1"/>
  <c r="K24" i="4"/>
  <c r="L24" i="4" s="1"/>
  <c r="K23" i="4"/>
  <c r="L23" i="4" s="1"/>
  <c r="K22" i="4"/>
  <c r="L22" i="4" s="1"/>
  <c r="X31" i="4"/>
  <c r="J31" i="4"/>
  <c r="J44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R44" i="23" l="1"/>
  <c r="P44" i="23"/>
  <c r="M44" i="23"/>
  <c r="L44" i="23"/>
  <c r="K44" i="23"/>
  <c r="AD24" i="23" l="1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39" i="23"/>
  <c r="AD40" i="23"/>
  <c r="AD41" i="23"/>
  <c r="AD42" i="23"/>
  <c r="AC23" i="23"/>
  <c r="AC24" i="23"/>
  <c r="AC25" i="23"/>
  <c r="AC26" i="23"/>
  <c r="AC27" i="23"/>
  <c r="AC28" i="23"/>
  <c r="AC29" i="23"/>
  <c r="AC30" i="23"/>
  <c r="AC31" i="23"/>
  <c r="AC32" i="23"/>
  <c r="AC33" i="23"/>
  <c r="AC34" i="23"/>
  <c r="AC35" i="23"/>
  <c r="AC36" i="23"/>
  <c r="AC37" i="23"/>
  <c r="AC38" i="23"/>
  <c r="AC39" i="23"/>
  <c r="AC40" i="23"/>
  <c r="AC41" i="23"/>
  <c r="AC42" i="23"/>
  <c r="Z65" i="1"/>
  <c r="R43" i="23" l="1"/>
  <c r="A43" i="23"/>
  <c r="E30" i="22" l="1"/>
  <c r="R42" i="23"/>
  <c r="A42" i="23"/>
  <c r="AI31" i="4" l="1"/>
  <c r="I31" i="4" s="1"/>
  <c r="AJ31" i="4"/>
  <c r="AI44" i="4"/>
  <c r="I44" i="4" s="1"/>
  <c r="AJ44" i="4"/>
  <c r="AI58" i="4"/>
  <c r="I58" i="4" s="1"/>
  <c r="AJ58" i="4"/>
  <c r="AI59" i="4"/>
  <c r="I59" i="4" s="1"/>
  <c r="AJ59" i="4"/>
  <c r="AI60" i="4"/>
  <c r="I60" i="4" s="1"/>
  <c r="AJ60" i="4"/>
  <c r="AI61" i="4"/>
  <c r="I61" i="4" s="1"/>
  <c r="AJ61" i="4"/>
  <c r="AI62" i="4"/>
  <c r="I62" i="4" s="1"/>
  <c r="AJ62" i="4"/>
  <c r="AI63" i="4"/>
  <c r="I63" i="4" s="1"/>
  <c r="AJ63" i="4"/>
  <c r="AI64" i="4"/>
  <c r="I64" i="4" s="1"/>
  <c r="AJ64" i="4"/>
  <c r="AI65" i="4"/>
  <c r="I65" i="4" s="1"/>
  <c r="AJ65" i="4"/>
  <c r="AI66" i="4"/>
  <c r="I66" i="4" s="1"/>
  <c r="AJ66" i="4"/>
  <c r="AI67" i="4"/>
  <c r="I67" i="4" s="1"/>
  <c r="AJ67" i="4"/>
  <c r="AI68" i="4"/>
  <c r="I68" i="4" s="1"/>
  <c r="AJ68" i="4"/>
  <c r="AI69" i="4"/>
  <c r="I69" i="4" s="1"/>
  <c r="AJ69" i="4"/>
  <c r="AI70" i="4"/>
  <c r="I70" i="4" s="1"/>
  <c r="AJ70" i="4"/>
  <c r="AI71" i="4"/>
  <c r="I71" i="4" s="1"/>
  <c r="AJ71" i="4"/>
  <c r="AI72" i="4"/>
  <c r="I72" i="4" s="1"/>
  <c r="AJ72" i="4"/>
  <c r="AI73" i="4"/>
  <c r="I73" i="4" s="1"/>
  <c r="AJ73" i="4"/>
  <c r="AI74" i="4"/>
  <c r="I74" i="4" s="1"/>
  <c r="AJ74" i="4"/>
  <c r="AI75" i="4"/>
  <c r="I75" i="4" s="1"/>
  <c r="AJ75" i="4"/>
  <c r="AI76" i="4"/>
  <c r="I76" i="4" s="1"/>
  <c r="AJ76" i="4"/>
  <c r="AI77" i="4"/>
  <c r="I77" i="4" s="1"/>
  <c r="AJ77" i="4"/>
  <c r="AI78" i="4"/>
  <c r="I78" i="4" s="1"/>
  <c r="AJ78" i="4"/>
  <c r="AI79" i="4"/>
  <c r="I79" i="4" s="1"/>
  <c r="AJ79" i="4"/>
  <c r="AI80" i="4"/>
  <c r="I80" i="4" s="1"/>
  <c r="AJ80" i="4"/>
  <c r="AI81" i="4"/>
  <c r="I81" i="4" s="1"/>
  <c r="AJ81" i="4"/>
  <c r="AI82" i="4"/>
  <c r="I82" i="4" s="1"/>
  <c r="AJ82" i="4"/>
  <c r="AI83" i="4"/>
  <c r="I83" i="4" s="1"/>
  <c r="AJ83" i="4"/>
  <c r="AI84" i="4"/>
  <c r="I84" i="4" s="1"/>
  <c r="AJ84" i="4"/>
  <c r="AI85" i="4"/>
  <c r="I85" i="4" s="1"/>
  <c r="AJ85" i="4"/>
  <c r="AI86" i="4"/>
  <c r="I86" i="4" s="1"/>
  <c r="AJ86" i="4"/>
  <c r="AI87" i="4"/>
  <c r="I87" i="4" s="1"/>
  <c r="AJ87" i="4"/>
  <c r="AI88" i="4"/>
  <c r="I88" i="4" s="1"/>
  <c r="AJ88" i="4"/>
  <c r="AC23" i="4" l="1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D23" i="23" l="1"/>
  <c r="R41" i="23"/>
  <c r="A41" i="23"/>
  <c r="AL23" i="4" l="1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22" i="4"/>
  <c r="A23" i="1" l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B64" i="1"/>
  <c r="Z64" i="1" s="1"/>
  <c r="B66" i="1"/>
  <c r="Z66" i="1" s="1"/>
  <c r="B67" i="1"/>
  <c r="Z67" i="1" s="1"/>
  <c r="B63" i="1"/>
  <c r="Z63" i="1" s="1"/>
  <c r="O64" i="1"/>
  <c r="O65" i="1"/>
  <c r="O66" i="1"/>
  <c r="O67" i="1"/>
  <c r="O63" i="1"/>
  <c r="A60" i="4" l="1"/>
  <c r="A61" i="4"/>
  <c r="A62" i="4"/>
  <c r="A63" i="4"/>
  <c r="A64" i="4"/>
  <c r="A65" i="4"/>
  <c r="A66" i="4"/>
  <c r="R40" i="23"/>
  <c r="A40" i="23"/>
  <c r="B60" i="1" l="1"/>
  <c r="Z60" i="1" s="1"/>
  <c r="B61" i="1"/>
  <c r="Z61" i="1" s="1"/>
  <c r="B62" i="1"/>
  <c r="Z62" i="1" s="1"/>
  <c r="B59" i="1" l="1"/>
  <c r="Z59" i="1" s="1"/>
  <c r="B58" i="1"/>
  <c r="Z58" i="1" s="1"/>
  <c r="O62" i="1" l="1"/>
  <c r="A67" i="4" l="1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23" i="4" l="1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D57" i="4"/>
  <c r="J57" i="4" s="1"/>
  <c r="D56" i="4"/>
  <c r="J56" i="4" s="1"/>
  <c r="D55" i="4"/>
  <c r="J55" i="4" s="1"/>
  <c r="D54" i="4"/>
  <c r="J54" i="4" s="1"/>
  <c r="D53" i="4"/>
  <c r="J53" i="4" s="1"/>
  <c r="D52" i="4"/>
  <c r="J52" i="4" s="1"/>
  <c r="D51" i="4"/>
  <c r="J51" i="4" s="1"/>
  <c r="D50" i="4"/>
  <c r="J50" i="4" s="1"/>
  <c r="D49" i="4"/>
  <c r="J49" i="4" s="1"/>
  <c r="D48" i="4"/>
  <c r="J48" i="4" s="1"/>
  <c r="D47" i="4"/>
  <c r="J47" i="4" s="1"/>
  <c r="D46" i="4"/>
  <c r="J46" i="4" s="1"/>
  <c r="D45" i="4"/>
  <c r="J45" i="4" s="1"/>
  <c r="D43" i="4"/>
  <c r="J43" i="4" s="1"/>
  <c r="D42" i="4"/>
  <c r="J42" i="4" s="1"/>
  <c r="D41" i="4"/>
  <c r="J41" i="4" s="1"/>
  <c r="D40" i="4"/>
  <c r="J40" i="4" s="1"/>
  <c r="D39" i="4"/>
  <c r="J39" i="4" s="1"/>
  <c r="D38" i="4"/>
  <c r="J38" i="4" s="1"/>
  <c r="D37" i="4"/>
  <c r="J37" i="4" s="1"/>
  <c r="D36" i="4"/>
  <c r="J36" i="4" s="1"/>
  <c r="D35" i="4"/>
  <c r="J35" i="4" s="1"/>
  <c r="D34" i="4"/>
  <c r="J34" i="4" s="1"/>
  <c r="D33" i="4"/>
  <c r="J33" i="4" s="1"/>
  <c r="D32" i="4"/>
  <c r="J32" i="4" s="1"/>
  <c r="D30" i="4"/>
  <c r="J30" i="4" s="1"/>
  <c r="D29" i="4"/>
  <c r="J29" i="4" s="1"/>
  <c r="D28" i="4"/>
  <c r="J28" i="4" s="1"/>
  <c r="D27" i="4"/>
  <c r="J27" i="4" s="1"/>
  <c r="D26" i="4"/>
  <c r="J26" i="4" s="1"/>
  <c r="D25" i="4"/>
  <c r="J25" i="4" s="1"/>
  <c r="D24" i="4"/>
  <c r="J24" i="4" s="1"/>
  <c r="D23" i="4"/>
  <c r="J23" i="4" s="1"/>
  <c r="D22" i="4"/>
  <c r="J22" i="4" s="1"/>
  <c r="AI23" i="4" l="1"/>
  <c r="I23" i="4" s="1"/>
  <c r="AJ23" i="4"/>
  <c r="AI29" i="4"/>
  <c r="I29" i="4" s="1"/>
  <c r="AJ29" i="4"/>
  <c r="AI38" i="4"/>
  <c r="I38" i="4" s="1"/>
  <c r="AJ38" i="4"/>
  <c r="AI47" i="4"/>
  <c r="I47" i="4" s="1"/>
  <c r="AJ47" i="4"/>
  <c r="AI55" i="4"/>
  <c r="I55" i="4" s="1"/>
  <c r="AJ55" i="4"/>
  <c r="AI30" i="4"/>
  <c r="I30" i="4" s="1"/>
  <c r="AJ30" i="4"/>
  <c r="AI39" i="4"/>
  <c r="I39" i="4" s="1"/>
  <c r="AJ39" i="4"/>
  <c r="AI48" i="4"/>
  <c r="I48" i="4" s="1"/>
  <c r="AJ48" i="4"/>
  <c r="AI56" i="4"/>
  <c r="I56" i="4" s="1"/>
  <c r="AJ56" i="4"/>
  <c r="AI57" i="4"/>
  <c r="I57" i="4" s="1"/>
  <c r="AJ57" i="4"/>
  <c r="AI49" i="4"/>
  <c r="I49" i="4" s="1"/>
  <c r="AJ49" i="4"/>
  <c r="AI24" i="4"/>
  <c r="I24" i="4" s="1"/>
  <c r="AJ24" i="4"/>
  <c r="AI33" i="4"/>
  <c r="I33" i="4" s="1"/>
  <c r="AJ33" i="4"/>
  <c r="AI41" i="4"/>
  <c r="I41" i="4" s="1"/>
  <c r="AJ41" i="4"/>
  <c r="AJ50" i="4"/>
  <c r="AI50" i="4"/>
  <c r="I50" i="4" s="1"/>
  <c r="AI34" i="4"/>
  <c r="I34" i="4" s="1"/>
  <c r="AJ34" i="4"/>
  <c r="AI42" i="4"/>
  <c r="I42" i="4" s="1"/>
  <c r="AJ42" i="4"/>
  <c r="AI51" i="4"/>
  <c r="I51" i="4" s="1"/>
  <c r="AJ51" i="4"/>
  <c r="AI25" i="4"/>
  <c r="I25" i="4" s="1"/>
  <c r="AJ25" i="4"/>
  <c r="AI26" i="4"/>
  <c r="I26" i="4" s="1"/>
  <c r="AJ26" i="4"/>
  <c r="AI35" i="4"/>
  <c r="I35" i="4" s="1"/>
  <c r="AJ35" i="4"/>
  <c r="AI43" i="4"/>
  <c r="I43" i="4" s="1"/>
  <c r="AJ43" i="4"/>
  <c r="AI52" i="4"/>
  <c r="I52" i="4" s="1"/>
  <c r="AJ52" i="4"/>
  <c r="AI40" i="4"/>
  <c r="I40" i="4" s="1"/>
  <c r="AJ40" i="4"/>
  <c r="AI27" i="4"/>
  <c r="I27" i="4" s="1"/>
  <c r="AJ27" i="4"/>
  <c r="AI36" i="4"/>
  <c r="I36" i="4" s="1"/>
  <c r="AJ36" i="4"/>
  <c r="AI45" i="4"/>
  <c r="I45" i="4" s="1"/>
  <c r="AJ45" i="4"/>
  <c r="AI53" i="4"/>
  <c r="I53" i="4" s="1"/>
  <c r="AJ53" i="4"/>
  <c r="AI32" i="4"/>
  <c r="I32" i="4" s="1"/>
  <c r="AJ32" i="4"/>
  <c r="AI28" i="4"/>
  <c r="I28" i="4" s="1"/>
  <c r="AJ28" i="4"/>
  <c r="AI37" i="4"/>
  <c r="I37" i="4" s="1"/>
  <c r="AJ37" i="4"/>
  <c r="AI46" i="4"/>
  <c r="I46" i="4" s="1"/>
  <c r="AJ46" i="4"/>
  <c r="AI54" i="4"/>
  <c r="I54" i="4" s="1"/>
  <c r="AJ54" i="4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0" i="1"/>
  <c r="E41" i="1"/>
  <c r="E42" i="1"/>
  <c r="E43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2" i="1"/>
  <c r="R31" i="23"/>
  <c r="R32" i="23"/>
  <c r="R33" i="23"/>
  <c r="R34" i="23"/>
  <c r="R35" i="23"/>
  <c r="R36" i="23"/>
  <c r="R37" i="23"/>
  <c r="R38" i="23"/>
  <c r="R39" i="23"/>
  <c r="A30" i="23"/>
  <c r="A31" i="23"/>
  <c r="A32" i="23"/>
  <c r="A33" i="23"/>
  <c r="A34" i="23"/>
  <c r="A35" i="23"/>
  <c r="A36" i="23"/>
  <c r="A37" i="23"/>
  <c r="A38" i="23"/>
  <c r="A39" i="23"/>
  <c r="R23" i="23"/>
  <c r="R24" i="23"/>
  <c r="R25" i="23"/>
  <c r="R26" i="23"/>
  <c r="R27" i="23"/>
  <c r="R28" i="23"/>
  <c r="R29" i="23"/>
  <c r="R30" i="23"/>
  <c r="A23" i="23"/>
  <c r="A24" i="23"/>
  <c r="A25" i="23"/>
  <c r="A26" i="23"/>
  <c r="A27" i="23"/>
  <c r="A28" i="23"/>
  <c r="A29" i="23"/>
  <c r="B48" i="1" l="1"/>
  <c r="Z48" i="1" s="1"/>
  <c r="B49" i="1"/>
  <c r="Z49" i="1" s="1"/>
  <c r="B50" i="1"/>
  <c r="Z50" i="1" s="1"/>
  <c r="B51" i="1"/>
  <c r="Z51" i="1" s="1"/>
  <c r="B52" i="1"/>
  <c r="Z52" i="1" s="1"/>
  <c r="B53" i="1"/>
  <c r="Z53" i="1" s="1"/>
  <c r="B54" i="1"/>
  <c r="Z54" i="1" s="1"/>
  <c r="B55" i="1"/>
  <c r="Z55" i="1" s="1"/>
  <c r="B56" i="1"/>
  <c r="Z56" i="1" s="1"/>
  <c r="B57" i="1"/>
  <c r="Z57" i="1" s="1"/>
  <c r="O48" i="1" l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23" i="1" l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B23" i="1"/>
  <c r="Z23" i="1" s="1"/>
  <c r="B24" i="1"/>
  <c r="Z24" i="1" s="1"/>
  <c r="B25" i="1"/>
  <c r="Z25" i="1" s="1"/>
  <c r="B26" i="1"/>
  <c r="Z26" i="1" s="1"/>
  <c r="B27" i="1"/>
  <c r="Z27" i="1" s="1"/>
  <c r="B28" i="1"/>
  <c r="Z28" i="1" s="1"/>
  <c r="B29" i="1"/>
  <c r="Z29" i="1" s="1"/>
  <c r="B30" i="1"/>
  <c r="Z30" i="1" s="1"/>
  <c r="B31" i="1"/>
  <c r="Z31" i="1" s="1"/>
  <c r="B32" i="1"/>
  <c r="Z32" i="1" s="1"/>
  <c r="B33" i="1"/>
  <c r="Z33" i="1" s="1"/>
  <c r="B34" i="1"/>
  <c r="Z34" i="1" s="1"/>
  <c r="B35" i="1"/>
  <c r="Z35" i="1" s="1"/>
  <c r="B36" i="1"/>
  <c r="Z36" i="1" s="1"/>
  <c r="B37" i="1"/>
  <c r="Z37" i="1" s="1"/>
  <c r="B38" i="1"/>
  <c r="Z38" i="1" s="1"/>
  <c r="B39" i="1"/>
  <c r="Z39" i="1" s="1"/>
  <c r="B40" i="1"/>
  <c r="Z40" i="1" s="1"/>
  <c r="B41" i="1"/>
  <c r="Z41" i="1" s="1"/>
  <c r="B42" i="1"/>
  <c r="Z42" i="1" s="1"/>
  <c r="B43" i="1"/>
  <c r="Z43" i="1" s="1"/>
  <c r="B44" i="1"/>
  <c r="Z44" i="1" s="1"/>
  <c r="B45" i="1"/>
  <c r="Z45" i="1" s="1"/>
  <c r="B46" i="1"/>
  <c r="Z46" i="1" s="1"/>
  <c r="B47" i="1"/>
  <c r="Z47" i="1" s="1"/>
  <c r="Y89" i="4" l="1"/>
  <c r="W89" i="4"/>
  <c r="L89" i="4"/>
  <c r="K89" i="4"/>
  <c r="R89" i="4"/>
  <c r="Q89" i="4"/>
  <c r="H89" i="4"/>
  <c r="S89" i="4" l="1"/>
  <c r="M89" i="4"/>
  <c r="X89" i="4" l="1"/>
  <c r="AC22" i="4" l="1"/>
  <c r="AC89" i="4" l="1"/>
  <c r="AI22" i="4" l="1"/>
  <c r="I22" i="4" s="1"/>
  <c r="B22" i="1" l="1"/>
  <c r="AJ22" i="4" l="1"/>
  <c r="M68" i="1" l="1"/>
  <c r="N68" i="1" l="1"/>
  <c r="L68" i="1"/>
  <c r="K68" i="1"/>
  <c r="J68" i="1"/>
  <c r="S59" i="27" l="1"/>
  <c r="Y55" i="27"/>
  <c r="X55" i="27"/>
  <c r="W55" i="27"/>
  <c r="S55" i="27"/>
  <c r="M55" i="27"/>
  <c r="K55" i="27"/>
  <c r="H55" i="27"/>
  <c r="AL54" i="27"/>
  <c r="AC54" i="27"/>
  <c r="A54" i="27"/>
  <c r="AL53" i="27"/>
  <c r="AC53" i="27"/>
  <c r="A53" i="27"/>
  <c r="AL52" i="27"/>
  <c r="AC52" i="27"/>
  <c r="A52" i="27"/>
  <c r="AC51" i="27"/>
  <c r="D51" i="27"/>
  <c r="AL51" i="27" s="1"/>
  <c r="A51" i="27"/>
  <c r="AC50" i="27"/>
  <c r="D50" i="27"/>
  <c r="AL50" i="27" s="1"/>
  <c r="A50" i="27"/>
  <c r="AC49" i="27"/>
  <c r="D49" i="27"/>
  <c r="AL49" i="27" s="1"/>
  <c r="A49" i="27"/>
  <c r="AC48" i="27"/>
  <c r="D48" i="27"/>
  <c r="AL48" i="27" s="1"/>
  <c r="A48" i="27"/>
  <c r="AC47" i="27"/>
  <c r="D47" i="27"/>
  <c r="AL47" i="27" s="1"/>
  <c r="A47" i="27"/>
  <c r="AC46" i="27"/>
  <c r="D46" i="27"/>
  <c r="AL46" i="27" s="1"/>
  <c r="A46" i="27"/>
  <c r="AC45" i="27"/>
  <c r="D45" i="27"/>
  <c r="AL45" i="27" s="1"/>
  <c r="A45" i="27"/>
  <c r="AC44" i="27"/>
  <c r="D44" i="27"/>
  <c r="AL44" i="27" s="1"/>
  <c r="A44" i="27"/>
  <c r="AC43" i="27"/>
  <c r="D43" i="27"/>
  <c r="AL43" i="27" s="1"/>
  <c r="A43" i="27"/>
  <c r="AC42" i="27"/>
  <c r="D42" i="27"/>
  <c r="AL42" i="27" s="1"/>
  <c r="A42" i="27"/>
  <c r="AL41" i="27"/>
  <c r="AC41" i="27"/>
  <c r="B41" i="27"/>
  <c r="A41" i="27"/>
  <c r="AL40" i="27"/>
  <c r="AC40" i="27"/>
  <c r="B40" i="27"/>
  <c r="A40" i="27"/>
  <c r="AL39" i="27"/>
  <c r="AC39" i="27"/>
  <c r="B39" i="27"/>
  <c r="A39" i="27"/>
  <c r="AL38" i="27"/>
  <c r="AC38" i="27"/>
  <c r="B38" i="27"/>
  <c r="A38" i="27"/>
  <c r="AL37" i="27"/>
  <c r="AC37" i="27"/>
  <c r="B37" i="27"/>
  <c r="A37" i="27"/>
  <c r="AL36" i="27"/>
  <c r="AC36" i="27"/>
  <c r="B36" i="27"/>
  <c r="A36" i="27"/>
  <c r="AL35" i="27"/>
  <c r="AC35" i="27"/>
  <c r="B35" i="27"/>
  <c r="A35" i="27"/>
  <c r="AL34" i="27"/>
  <c r="AC34" i="27"/>
  <c r="R34" i="27"/>
  <c r="Q34" i="27"/>
  <c r="B34" i="27"/>
  <c r="A34" i="27"/>
  <c r="AL33" i="27"/>
  <c r="AC33" i="27"/>
  <c r="Q33" i="27"/>
  <c r="R33" i="27" s="1"/>
  <c r="B33" i="27"/>
  <c r="A33" i="27"/>
  <c r="AL32" i="27"/>
  <c r="AC32" i="27"/>
  <c r="R32" i="27"/>
  <c r="Q32" i="27"/>
  <c r="B32" i="27"/>
  <c r="A32" i="27"/>
  <c r="AL31" i="27"/>
  <c r="AC31" i="27"/>
  <c r="Q31" i="27"/>
  <c r="R31" i="27" s="1"/>
  <c r="B31" i="27"/>
  <c r="A31" i="27"/>
  <c r="AL30" i="27"/>
  <c r="AC30" i="27"/>
  <c r="R30" i="27"/>
  <c r="Q30" i="27"/>
  <c r="A30" i="27"/>
  <c r="AL29" i="27"/>
  <c r="AC29" i="27"/>
  <c r="Q29" i="27"/>
  <c r="R29" i="27" s="1"/>
  <c r="A29" i="27"/>
  <c r="AL28" i="27"/>
  <c r="AC28" i="27"/>
  <c r="Q28" i="27"/>
  <c r="R28" i="27" s="1"/>
  <c r="A28" i="27"/>
  <c r="AL27" i="27"/>
  <c r="AC27" i="27"/>
  <c r="A27" i="27"/>
  <c r="AL26" i="27"/>
  <c r="AC26" i="27"/>
  <c r="Q26" i="27"/>
  <c r="R26" i="27" s="1"/>
  <c r="A26" i="27"/>
  <c r="AL25" i="27"/>
  <c r="AC25" i="27"/>
  <c r="Q25" i="27"/>
  <c r="R25" i="27" s="1"/>
  <c r="A25" i="27"/>
  <c r="AL24" i="27"/>
  <c r="AC24" i="27"/>
  <c r="R24" i="27"/>
  <c r="Q24" i="27"/>
  <c r="A24" i="27"/>
  <c r="AL23" i="27"/>
  <c r="AC23" i="27"/>
  <c r="Q23" i="27"/>
  <c r="R23" i="27" s="1"/>
  <c r="A23" i="27"/>
  <c r="AL22" i="27"/>
  <c r="AC22" i="27"/>
  <c r="AC55" i="27" s="1"/>
  <c r="X22" i="27"/>
  <c r="Q22" i="27"/>
  <c r="R22" i="27" s="1"/>
  <c r="L22" i="27"/>
  <c r="L55" i="27" s="1"/>
  <c r="A22" i="27"/>
  <c r="Q20" i="27"/>
  <c r="R19" i="27"/>
  <c r="Q19" i="27"/>
  <c r="AC22" i="23"/>
  <c r="R55" i="27" l="1"/>
  <c r="Q55" i="27"/>
  <c r="Z22" i="1" l="1"/>
  <c r="E26" i="22" l="1"/>
  <c r="E25" i="22"/>
  <c r="E23" i="22"/>
  <c r="R18" i="23" l="1"/>
  <c r="Q44" i="23"/>
  <c r="O44" i="23"/>
  <c r="N44" i="23"/>
  <c r="R22" i="23"/>
  <c r="A22" i="23"/>
  <c r="D40" i="22" l="1"/>
  <c r="K46" i="23" s="1"/>
  <c r="D19" i="22"/>
  <c r="R19" i="23" s="1"/>
  <c r="R19" i="4" l="1"/>
  <c r="Q20" i="4"/>
  <c r="Q19" i="4"/>
  <c r="D19" i="7" l="1"/>
  <c r="R20" i="27" s="1"/>
  <c r="R20" i="4" l="1"/>
  <c r="A22" i="1" l="1"/>
  <c r="O22" i="1" l="1"/>
  <c r="O68" i="1" s="1"/>
  <c r="A22" i="4" l="1"/>
  <c r="S93" i="4" l="1"/>
  <c r="J70" i="1"/>
  <c r="E27" i="6" l="1"/>
  <c r="E23" i="7" l="1"/>
  <c r="E25" i="7" l="1"/>
  <c r="D40" i="7" l="1"/>
  <c r="O19" i="1" l="1"/>
  <c r="O18" i="1"/>
  <c r="E24" i="6" l="1"/>
  <c r="E26" i="6" l="1"/>
  <c r="E23" i="6"/>
  <c r="E25" i="6"/>
  <c r="E36" i="6" l="1"/>
  <c r="E38" i="6" s="1"/>
  <c r="E24" i="7"/>
  <c r="E26" i="7" l="1"/>
  <c r="E35" i="7" s="1"/>
  <c r="E37" i="7" l="1"/>
  <c r="E29" i="22" l="1"/>
  <c r="E24" i="22" l="1"/>
  <c r="E28" i="22" l="1"/>
  <c r="E27" i="22" l="1"/>
  <c r="E35" i="22" s="1"/>
  <c r="E37" i="22" l="1"/>
</calcChain>
</file>

<file path=xl/sharedStrings.xml><?xml version="1.0" encoding="utf-8"?>
<sst xmlns="http://schemas.openxmlformats.org/spreadsheetml/2006/main" count="4427" uniqueCount="954">
  <si>
    <t>CỘNG HÒA XÃ HỘI CHỦ NGHĨA VIỆT NAM</t>
  </si>
  <si>
    <t>Độc lập - Tự do - Hạnh Phúc</t>
  </si>
  <si>
    <t>Căn cứ vào tình hình thực tế thực hiện,</t>
  </si>
  <si>
    <t>Chúng tôi gồm:</t>
  </si>
  <si>
    <t>Đại diện:</t>
  </si>
  <si>
    <t>Chức vụ:</t>
  </si>
  <si>
    <t>BÊN BÁN: CÔNG TY CỔ PHẦN MBF</t>
  </si>
  <si>
    <t>MST: 0105040296</t>
  </si>
  <si>
    <t>Cùng đối chiếu như sau:</t>
  </si>
  <si>
    <t>STT</t>
  </si>
  <si>
    <t>Tuyến vận chuyển</t>
  </si>
  <si>
    <t xml:space="preserve">Ngày đóng hàng </t>
  </si>
  <si>
    <t>BL/ BKG</t>
  </si>
  <si>
    <t>Số Conts</t>
  </si>
  <si>
    <t>Cước vận chuyển (chưa VAT)</t>
  </si>
  <si>
    <t>Tổng</t>
  </si>
  <si>
    <t>ĐẠI DIỆN BÊN BÁN</t>
  </si>
  <si>
    <t>Tờ khai</t>
  </si>
  <si>
    <t>Chi hộ CSHT</t>
  </si>
  <si>
    <t>Ghi chú</t>
  </si>
  <si>
    <t>Phí thanh lý tờ khai</t>
  </si>
  <si>
    <t>Loại Conts</t>
  </si>
  <si>
    <t>40HC</t>
  </si>
  <si>
    <t>Tổng tiền</t>
  </si>
  <si>
    <t>Invoice date</t>
  </si>
  <si>
    <t>CVN Invoice no</t>
  </si>
  <si>
    <t>Invoice no</t>
  </si>
  <si>
    <t>BÊN MUA:  CÔNG TY TNHH CANON VIỆT NAM - CHI NHÁNH TIÊN SƠN</t>
  </si>
  <si>
    <t>MST: 0101125340002</t>
  </si>
  <si>
    <t>Debit No.:</t>
  </si>
  <si>
    <t>Date</t>
  </si>
  <si>
    <t>DEBIT NOTE</t>
  </si>
  <si>
    <t>DESCRIPTION</t>
  </si>
  <si>
    <t>AMOUNT 
(VND)</t>
  </si>
  <si>
    <t>REMARK</t>
  </si>
  <si>
    <t>Trucking charge(VND)</t>
  </si>
  <si>
    <t>SUB TOTAL</t>
  </si>
  <si>
    <t>VAT 0%</t>
  </si>
  <si>
    <t>TOTAL DEBIT</t>
  </si>
  <si>
    <t>BACK TO BACK CHARGE</t>
  </si>
  <si>
    <t>STATEMENT ACCOUNT FOR EXPORT CUSTOM CLEARANCE AND TRANSPORTATION FEE</t>
  </si>
  <si>
    <t>Infrastructure expense</t>
  </si>
  <si>
    <t xml:space="preserve">    ĐẠI DIỆN BÊN BÁN</t>
  </si>
  <si>
    <t xml:space="preserve">            ĐẠI DIỆN BÊN BÁN</t>
  </si>
  <si>
    <t xml:space="preserve">   ĐẠI DIỆN BÊN BÁN</t>
  </si>
  <si>
    <t>Lift on</t>
  </si>
  <si>
    <t>Lift off</t>
  </si>
  <si>
    <t>Custom fee (VND)</t>
  </si>
  <si>
    <t>Net amount</t>
  </si>
  <si>
    <t>VAT</t>
  </si>
  <si>
    <t xml:space="preserve">             Date</t>
  </si>
  <si>
    <t>Total</t>
  </si>
  <si>
    <t>20DC</t>
  </si>
  <si>
    <t>Other fees</t>
  </si>
  <si>
    <t>Tờ khai không phơi</t>
  </si>
  <si>
    <t>Phí tái sử dụng container rỗng</t>
  </si>
  <si>
    <t>Round use container fee ( VND)</t>
  </si>
  <si>
    <t>Submit CD and no EIR ( VND)</t>
  </si>
  <si>
    <t>Tên nhà cung cấp</t>
  </si>
  <si>
    <t>Note</t>
  </si>
  <si>
    <t>Lưu ca</t>
  </si>
  <si>
    <t>Detention fee ( VND)</t>
  </si>
  <si>
    <t>TÂN VŨ</t>
  </si>
  <si>
    <t xml:space="preserve">Ngày vận chuyển </t>
  </si>
  <si>
    <t xml:space="preserve"> </t>
  </si>
  <si>
    <t>Biển kiểm soát</t>
  </si>
  <si>
    <t>Xem BL</t>
  </si>
  <si>
    <t>BL chuyển đổi</t>
  </si>
  <si>
    <t>Tải về</t>
  </si>
  <si>
    <t>Số tờ khai</t>
  </si>
  <si>
    <t>Ngày tờ khai</t>
  </si>
  <si>
    <t>Loại hình</t>
  </si>
  <si>
    <t>Mẫu/ Ký hiệu</t>
  </si>
  <si>
    <t>Số biên lai</t>
  </si>
  <si>
    <t>Ngày biên lai</t>
  </si>
  <si>
    <t>Trạng thái</t>
  </si>
  <si>
    <t>Tổng tiền(vnđ)</t>
  </si>
  <si>
    <t>Mã tra cứu</t>
  </si>
  <si>
    <t xml:space="preserve">Cước vận chuyển </t>
  </si>
  <si>
    <t xml:space="preserve"> , số cont </t>
  </si>
  <si>
    <t xml:space="preserve"> , Biển kiểm soát : </t>
  </si>
  <si>
    <t>Địa chỉ: Số 58 Xóm Giếng, Thôn Cổ Điển A, Xã Thanh Trì, Thành phố Hà Nội, Việt Nam</t>
  </si>
  <si>
    <t>Địa chỉ: Số 12, đường TS10, Khu công nghiệp Tiên Sơn, Xã Đại Đồng, Tỉnh Bắc Ninh, Việt Nam</t>
  </si>
  <si>
    <t>Địa chỉ:  Số 12, đường TS10, Khu công nghiệp Tiên Sơn, Xã Đại Đồng, Tỉnh Bắc Ninh, Việt Nam</t>
  </si>
  <si>
    <t>Pick</t>
  </si>
  <si>
    <t>Laden</t>
  </si>
  <si>
    <t xml:space="preserve"> , </t>
  </si>
  <si>
    <t>0</t>
  </si>
  <si>
    <t>Hưng Yên - Canon Tiên Sơn - Hải Phòng</t>
  </si>
  <si>
    <t>Barging fee ( VND )</t>
  </si>
  <si>
    <t>Submit CD + EIR overtime</t>
  </si>
  <si>
    <t>Detention fee</t>
  </si>
  <si>
    <t>Trucking charge HPH - TS - HPH (VND)</t>
  </si>
  <si>
    <t>Trucking charge ICDTP - TS - ICD TP (VND)</t>
  </si>
  <si>
    <t>Cước vận chuyển nội địa Tiên Sơn- ICD Tri Phương</t>
  </si>
  <si>
    <t>TP - TS EX - TP + sà lan</t>
  </si>
  <si>
    <t xml:space="preserve">Cước vận chuyển sà lan </t>
  </si>
  <si>
    <t>ICD Tri Phương- Canon Tiên Sơn- ICD Tri Phương</t>
  </si>
  <si>
    <t>ICD Tri Phương - Lạch Huyện, Hải Phòng</t>
  </si>
  <si>
    <t>Ngày vận chuyển</t>
  </si>
  <si>
    <t>Số hiệu sà lan</t>
  </si>
  <si>
    <t>Cước vận chuyển sà lan ICD Tri Phương - HPH</t>
  </si>
  <si>
    <t>Phí thanh lý tờ khai ngoài giờ</t>
  </si>
  <si>
    <t>Phí lưu ca</t>
  </si>
  <si>
    <t>Sà Lan Hạ</t>
  </si>
  <si>
    <t>Cont vào</t>
  </si>
  <si>
    <t>Cont ra</t>
  </si>
  <si>
    <t xml:space="preserve"> , Số hiệu sà lan : </t>
  </si>
  <si>
    <t>40 khô</t>
  </si>
  <si>
    <t>ICD Tri Phương- Canon Tiên Sơn- ICD Tri Phương - sà lan Lạch Huyện, Hải Phòng</t>
  </si>
  <si>
    <t>RU HY</t>
  </si>
  <si>
    <t>Cước vận chuyển</t>
  </si>
  <si>
    <t>HASU5183873</t>
  </si>
  <si>
    <t>Truck : ICD Tri Phương - Hateco</t>
  </si>
  <si>
    <t>truck + CSHT 500</t>
  </si>
  <si>
    <t>BMOU1626095</t>
  </si>
  <si>
    <t>CCLU7618857</t>
  </si>
  <si>
    <t>OOLU9973630</t>
  </si>
  <si>
    <t>COSU6430502490</t>
  </si>
  <si>
    <t>VH-25/50559</t>
  </si>
  <si>
    <t>VH-25/50557</t>
  </si>
  <si>
    <t>VB-25/52406</t>
  </si>
  <si>
    <t>TCNU3272667</t>
  </si>
  <si>
    <t>ECMU7001177</t>
  </si>
  <si>
    <t>BEAU5638649</t>
  </si>
  <si>
    <t>FFAU4783150</t>
  </si>
  <si>
    <t>TGBU7691949</t>
  </si>
  <si>
    <t>OOCU7373769</t>
  </si>
  <si>
    <t>VB-25/52429</t>
  </si>
  <si>
    <t>VS-25/51517</t>
  </si>
  <si>
    <t>VB-25/52492</t>
  </si>
  <si>
    <t>VH-25/50583</t>
  </si>
  <si>
    <t>VH-25/50584</t>
  </si>
  <si>
    <t>SGN2820714</t>
  </si>
  <si>
    <t>SGN2854099</t>
  </si>
  <si>
    <t>MAEU258665687</t>
  </si>
  <si>
    <t>COSU6431337920</t>
  </si>
  <si>
    <t>COSU6431349580</t>
  </si>
  <si>
    <t>VS-25/51485</t>
  </si>
  <si>
    <t>HL-90526403</t>
  </si>
  <si>
    <t>Lấy HPH - TS EX - Hạ Lạch Huyện Disconnect</t>
  </si>
  <si>
    <t>Lấy HPH - TS IM - RU TS EX - Hạ HPH</t>
  </si>
  <si>
    <t>CHÂN THẬT</t>
  </si>
  <si>
    <t>LẠCH HUYỆN</t>
  </si>
  <si>
    <t>RU CTS</t>
  </si>
  <si>
    <t>NAM ĐÌNH VŨ</t>
  </si>
  <si>
    <t>TP - TS - TP + 
Hạ Lạch Huyện</t>
  </si>
  <si>
    <t>Lấy Hưng Yên - TS EX - Hạ Lạch Huyện</t>
  </si>
  <si>
    <t>Lấy Hưng Yên - TS EX - Hạ HPH</t>
  </si>
  <si>
    <t>Lấy HPH - Trả nhập 2 điểm TL , TS - RU TS EX - Hạ Lạch Huyện</t>
  </si>
  <si>
    <t>Lấy HPH - TS IM - RU TS EX - Hạ Lạch Huyện</t>
  </si>
  <si>
    <t>FSCU8234806</t>
  </si>
  <si>
    <t>TGCU5176748</t>
  </si>
  <si>
    <t>HLBU1687684</t>
  </si>
  <si>
    <t>HLBU2060359</t>
  </si>
  <si>
    <t>VB-25/52445</t>
  </si>
  <si>
    <t>VB-25/52480</t>
  </si>
  <si>
    <t>VB-25/52490</t>
  </si>
  <si>
    <t>VB-25/52491</t>
  </si>
  <si>
    <t>HL-78191313</t>
  </si>
  <si>
    <t>Lấy TP - TS EX - Hạ Lạch Huyện</t>
  </si>
  <si>
    <t>TRI PHƯƠNG</t>
  </si>
  <si>
    <t>HATECO</t>
  </si>
  <si>
    <t>Lấy TP - TS EX - Hạ Lạch Huyện Connect</t>
  </si>
  <si>
    <t>Canon Tiên Sơn - Lạch Huyện, Hải Phòng</t>
  </si>
  <si>
    <t>Hải Phòng - Canon Tiên Sơn - Lạch Huyện , Hải Phòng</t>
  </si>
  <si>
    <t>Canon Tiên Sơn - Hải Phòng</t>
  </si>
  <si>
    <t>MRKU2826870</t>
  </si>
  <si>
    <t>MRSU3992204</t>
  </si>
  <si>
    <t>MRKU2940712</t>
  </si>
  <si>
    <t>MRKU4491143</t>
  </si>
  <si>
    <t>MRSU4078831</t>
  </si>
  <si>
    <t>MRSU3141713</t>
  </si>
  <si>
    <t>VB-25/52385</t>
  </si>
  <si>
    <t>VB-25/52386</t>
  </si>
  <si>
    <t>VB-25/52394</t>
  </si>
  <si>
    <t>VB-25/52389</t>
  </si>
  <si>
    <t>VB-25/52396
VS-25/51489</t>
  </si>
  <si>
    <t>VB-25/52390</t>
  </si>
  <si>
    <t>VB-25/52401</t>
  </si>
  <si>
    <t>HASU4911995</t>
  </si>
  <si>
    <t>MRKU5214740</t>
  </si>
  <si>
    <t>MRKU3521541</t>
  </si>
  <si>
    <t>TCNU2850879</t>
  </si>
  <si>
    <t>MRKU4542127</t>
  </si>
  <si>
    <t>MRKU4890117</t>
  </si>
  <si>
    <t>TIIU5334392</t>
  </si>
  <si>
    <t>CAAU7214050</t>
  </si>
  <si>
    <t>MRSU7483020</t>
  </si>
  <si>
    <t>MRKU2261774</t>
  </si>
  <si>
    <t>TRHU5301921</t>
  </si>
  <si>
    <t>MSKU1258361</t>
  </si>
  <si>
    <t>CAAU6387262</t>
  </si>
  <si>
    <t>VB-25/52493</t>
  </si>
  <si>
    <t>VB-25/52486</t>
  </si>
  <si>
    <t>VB-25/52497</t>
  </si>
  <si>
    <t>VB-25/52487</t>
  </si>
  <si>
    <t>VB-25/52503</t>
  </si>
  <si>
    <t>VB-25/52504</t>
  </si>
  <si>
    <t>VB-25/52505</t>
  </si>
  <si>
    <t>VB-25/52506</t>
  </si>
  <si>
    <t>VB-25/52507</t>
  </si>
  <si>
    <t>VB-25/52511</t>
  </si>
  <si>
    <t>VB-25/52508</t>
  </si>
  <si>
    <t>VB-25/52509</t>
  </si>
  <si>
    <t>VB-25/52510</t>
  </si>
  <si>
    <t>307810697300
307810668010</t>
  </si>
  <si>
    <t>314072</t>
  </si>
  <si>
    <t>02/10/2025</t>
  </si>
  <si>
    <t>314109</t>
  </si>
  <si>
    <t>142069</t>
  </si>
  <si>
    <t>13/10/2025</t>
  </si>
  <si>
    <t>213926</t>
  </si>
  <si>
    <t>213930</t>
  </si>
  <si>
    <t>15/10/2025</t>
  </si>
  <si>
    <t>14/10/2025</t>
  </si>
  <si>
    <t>30/09/2025</t>
  </si>
  <si>
    <t>203812</t>
  </si>
  <si>
    <t>136730</t>
  </si>
  <si>
    <t>01/10/2025</t>
  </si>
  <si>
    <t>140822</t>
  </si>
  <si>
    <t>09/10/2025</t>
  </si>
  <si>
    <t>16/10/2025</t>
  </si>
  <si>
    <t>X</t>
  </si>
  <si>
    <t>CÔNG TY CỔ PHẦN THT E-LOGISTICS</t>
  </si>
  <si>
    <t>CÔNG TYCỔ PHẦN CẢNG CONTAINER QUỐC TẾ HATECO HẢI PHÒNG</t>
  </si>
  <si>
    <t>Sai MST vì X MBF</t>
  </si>
  <si>
    <t>CÔNG TY TNHH CẢNG CONTAINER QUỐC TẾ TÂN CẢNG HẢI PHÒNG</t>
  </si>
  <si>
    <t>CÔNG TY CỔ PHẦN CẢNG NAM ĐÌNH VŨ</t>
  </si>
  <si>
    <t>CÔNG TY CỔ PHẦN ỨNG DỤNG CÔNG NGHỆ LOGISTICS</t>
  </si>
  <si>
    <t>0468530</t>
  </si>
  <si>
    <t>0470842</t>
  </si>
  <si>
    <t>0471952</t>
  </si>
  <si>
    <t>0470834</t>
  </si>
  <si>
    <t>0473169</t>
  </si>
  <si>
    <t>0479952</t>
  </si>
  <si>
    <t>0485280</t>
  </si>
  <si>
    <t>0484126</t>
  </si>
  <si>
    <t>0484135</t>
  </si>
  <si>
    <t>0479971</t>
  </si>
  <si>
    <t>0482592</t>
  </si>
  <si>
    <t>0482597</t>
  </si>
  <si>
    <t>0482581</t>
  </si>
  <si>
    <t>0470822</t>
  </si>
  <si>
    <t>0466533</t>
  </si>
  <si>
    <t>0473183</t>
  </si>
  <si>
    <t>0470846</t>
  </si>
  <si>
    <t>0468519</t>
  </si>
  <si>
    <t>0470847</t>
  </si>
  <si>
    <t>0473200</t>
  </si>
  <si>
    <t>0486998</t>
  </si>
  <si>
    <t>0487012</t>
  </si>
  <si>
    <t>0488243</t>
  </si>
  <si>
    <t>0488250</t>
  </si>
  <si>
    <t>0488239</t>
  </si>
  <si>
    <t>0488248</t>
  </si>
  <si>
    <t>0488247</t>
  </si>
  <si>
    <t>0488238</t>
  </si>
  <si>
    <t>0488245</t>
  </si>
  <si>
    <t>đã check LOLO &lt; CSHT</t>
  </si>
  <si>
    <t>LOLO thiếu 1 cái</t>
  </si>
  <si>
    <t>cont hỏng, đang đổi cont</t>
  </si>
  <si>
    <t>0490498</t>
  </si>
  <si>
    <t>0490500</t>
  </si>
  <si>
    <t>0490486</t>
  </si>
  <si>
    <t>SAO Á</t>
  </si>
  <si>
    <t>GIC</t>
  </si>
  <si>
    <t>Lấy HPH - TS EX - Hạ HPH Connect</t>
  </si>
  <si>
    <t>Lấy Hưng Yên - RU TS EX - Hạ HPH</t>
  </si>
  <si>
    <t>Lấy Hưng Yên - RU TS EX - Hạ Lạch Huyện</t>
  </si>
  <si>
    <t>Hải Phòng - Canon Tiên Sơn - Hải Phòng</t>
  </si>
  <si>
    <t>Hưng Yên - Canon Tiên Sơn - Lạch Huyên, Hải Phòng</t>
  </si>
  <si>
    <t>Lấy HPH - TS EX - Hạ HPH</t>
  </si>
  <si>
    <t>Lấy HPH - TS EX - Hạ Lạch Huyện</t>
  </si>
  <si>
    <t>Bắc Giang - Canon Tiên Sơn - Hải Phòng</t>
  </si>
  <si>
    <t>Bắc Giang - Canon Tiên Sơn - Lạch Huyên, Hải Phòng</t>
  </si>
  <si>
    <t>Lấy Bắc Giang - RU TS EX - Hạ HPH</t>
  </si>
  <si>
    <t>Lấy Bắc Giang  - RU TS EX - Hạ Lạch Huyện</t>
  </si>
  <si>
    <t>Biển kiểm soát/ Số hiệu sà lan</t>
  </si>
  <si>
    <t>Lấy HPH - TS EX - Hạ HPH Disconnect</t>
  </si>
  <si>
    <t>Hải Phòng - Canon Tiên Sơn - Lạch Huyện, Hải Phòng</t>
  </si>
  <si>
    <t>Lấy Bắc Giang - RU TS EX - Hạ Lạch Huyện</t>
  </si>
  <si>
    <t>Lấy Hà Nội - RU TS EX - Hạ HPH</t>
  </si>
  <si>
    <t>Hà Nội - Canon Tiên Sơn - Hải Phòng</t>
  </si>
  <si>
    <t>GFORTUNE</t>
  </si>
  <si>
    <t>237500707611</t>
  </si>
  <si>
    <t>SITC ĐÌNH VŨ</t>
  </si>
  <si>
    <t>HÀ HƯNG HẢI</t>
  </si>
  <si>
    <t>Grand Forward</t>
  </si>
  <si>
    <t>BB</t>
  </si>
  <si>
    <t>MBF-CTS11022026-1</t>
  </si>
  <si>
    <t>EMCU8313605</t>
  </si>
  <si>
    <t>NSSU7171637</t>
  </si>
  <si>
    <t>BMOU6012145</t>
  </si>
  <si>
    <t>EGSU9553960</t>
  </si>
  <si>
    <t>TRHU5424799</t>
  </si>
  <si>
    <t>TCNU7535165</t>
  </si>
  <si>
    <t>REGU5201120</t>
  </si>
  <si>
    <t>TIIU5347234</t>
  </si>
  <si>
    <t>CSNU8639981</t>
  </si>
  <si>
    <t>EITU3162502</t>
  </si>
  <si>
    <t>EGSU6484249</t>
  </si>
  <si>
    <t>TGBU6583045</t>
  </si>
  <si>
    <t>EGHU9330270</t>
  </si>
  <si>
    <t>TIIU5457859</t>
  </si>
  <si>
    <t>FFAU1594240</t>
  </si>
  <si>
    <t>EGSU6484172</t>
  </si>
  <si>
    <t>EGSU6489718</t>
  </si>
  <si>
    <t>EGHU9777247</t>
  </si>
  <si>
    <t>HMMU7026820</t>
  </si>
  <si>
    <t>GCXU6443400</t>
  </si>
  <si>
    <t>EGSU1600794</t>
  </si>
  <si>
    <t>TLLU7977255</t>
  </si>
  <si>
    <t xml:space="preserve">CMAU7489161 </t>
  </si>
  <si>
    <t>TGBU7742141</t>
  </si>
  <si>
    <t>EGSU6255047</t>
  </si>
  <si>
    <t>TGBU4372613</t>
  </si>
  <si>
    <t>HPH26A00675</t>
  </si>
  <si>
    <t>SGN2987352</t>
  </si>
  <si>
    <t>SGN2991014</t>
  </si>
  <si>
    <t>BHAIC26000188</t>
  </si>
  <si>
    <t>237600063367</t>
  </si>
  <si>
    <t>237500733123</t>
  </si>
  <si>
    <t>237500736122</t>
  </si>
  <si>
    <t>237500737447</t>
  </si>
  <si>
    <t>HANA57597700</t>
  </si>
  <si>
    <t>237600097369</t>
  </si>
  <si>
    <t>237600056956</t>
  </si>
  <si>
    <t>SGN3036238</t>
  </si>
  <si>
    <t>237500724574</t>
  </si>
  <si>
    <t>VIP GREEN PORT</t>
  </si>
  <si>
    <t>NAM HẢI ICD</t>
  </si>
  <si>
    <t>TÂN CẢNG 128</t>
  </si>
  <si>
    <t>VS-26/50066</t>
  </si>
  <si>
    <t>VF-26/50009</t>
  </si>
  <si>
    <t>VS-26/50065</t>
  </si>
  <si>
    <t>VS-26/50067</t>
  </si>
  <si>
    <t>VH-26/50087</t>
  </si>
  <si>
    <t>VH-26/50089</t>
  </si>
  <si>
    <t>VS-26/50079</t>
  </si>
  <si>
    <t>VS-26/50074</t>
  </si>
  <si>
    <t>VS-26/50089</t>
  </si>
  <si>
    <t>VH-26/50108</t>
  </si>
  <si>
    <t>VH-26/50120</t>
  </si>
  <si>
    <t>VS-26/50113</t>
  </si>
  <si>
    <t>VS-26/50107</t>
  </si>
  <si>
    <t>VS-26/50115</t>
  </si>
  <si>
    <t>VS-26/50112</t>
  </si>
  <si>
    <t>VH-26/50128</t>
  </si>
  <si>
    <t>VH-26/50129</t>
  </si>
  <si>
    <t>VH-26/50138</t>
  </si>
  <si>
    <t>VS-26/50105</t>
  </si>
  <si>
    <t>VH-26/50144</t>
  </si>
  <si>
    <t>VH-26/50156</t>
  </si>
  <si>
    <t>VS-26/50138</t>
  </si>
  <si>
    <t>VH-26/50157</t>
  </si>
  <si>
    <t>VH-26/50160</t>
  </si>
  <si>
    <t>VH-26/50161</t>
  </si>
  <si>
    <t>VS-26/50143</t>
  </si>
  <si>
    <t>ONEYHANG07483500</t>
  </si>
  <si>
    <t>SNLGHPCL000748</t>
  </si>
  <si>
    <t>ONEYHANG11282400</t>
  </si>
  <si>
    <t>237600079000</t>
  </si>
  <si>
    <t>237600097407</t>
  </si>
  <si>
    <t>237600104039</t>
  </si>
  <si>
    <t>GLC</t>
  </si>
  <si>
    <t>VS-26/50154</t>
  </si>
  <si>
    <t>VS-26/50148</t>
  </si>
  <si>
    <t>VH-26/50168</t>
  </si>
  <si>
    <t>VH-26/50167</t>
  </si>
  <si>
    <t>VS-26/50164</t>
  </si>
  <si>
    <t>VH-26/50193</t>
  </si>
  <si>
    <t>VH-26/50191</t>
  </si>
  <si>
    <t>VS-26/50176</t>
  </si>
  <si>
    <t>VH-26/50197</t>
  </si>
  <si>
    <t>VH-26/50198</t>
  </si>
  <si>
    <t>OOCU9677689</t>
  </si>
  <si>
    <t>OOCU9724332</t>
  </si>
  <si>
    <t>OOLU9182201</t>
  </si>
  <si>
    <t>TCNU4314670</t>
  </si>
  <si>
    <t>ONEU2350452</t>
  </si>
  <si>
    <t>SNBU8270906</t>
  </si>
  <si>
    <t>ONEU5769530</t>
  </si>
  <si>
    <t>EMCU9928728</t>
  </si>
  <si>
    <t>EGSU1767971</t>
  </si>
  <si>
    <t>EGHU8316929</t>
  </si>
  <si>
    <t>FFAU2878148</t>
  </si>
  <si>
    <t>VH-26/50088</t>
  </si>
  <si>
    <t>TCNU8079500</t>
  </si>
  <si>
    <t>HASU4792005</t>
  </si>
  <si>
    <t>UETU6938394</t>
  </si>
  <si>
    <t>MRSU7085290</t>
  </si>
  <si>
    <t>MRKU6092501</t>
  </si>
  <si>
    <t>CAIU8271361</t>
  </si>
  <si>
    <t>MRKU4878425</t>
  </si>
  <si>
    <t>VS-26/50072</t>
  </si>
  <si>
    <t>VS-26/50073</t>
  </si>
  <si>
    <t>VS-26/50090</t>
  </si>
  <si>
    <t>VS-26/50111</t>
  </si>
  <si>
    <t>VS-26/50130</t>
  </si>
  <si>
    <t>VS-26/50127</t>
  </si>
  <si>
    <t>VS-26/50126</t>
  </si>
  <si>
    <t>MRKU5471706</t>
  </si>
  <si>
    <t>MRKU5130187</t>
  </si>
  <si>
    <t>MRSU3560345</t>
  </si>
  <si>
    <t>CAAU5939840</t>
  </si>
  <si>
    <t>GESU6907082</t>
  </si>
  <si>
    <t>HASU4600376</t>
  </si>
  <si>
    <t>CAAU6094536</t>
  </si>
  <si>
    <t>TCNU7736508</t>
  </si>
  <si>
    <t>MRSU3062764</t>
  </si>
  <si>
    <t>MRKU4000830</t>
  </si>
  <si>
    <t>VS-26/50149</t>
  </si>
  <si>
    <t>VS-26/50150</t>
  </si>
  <si>
    <t>VS-26/50151</t>
  </si>
  <si>
    <t>VS-26/50153</t>
  </si>
  <si>
    <t>VS-26/50158</t>
  </si>
  <si>
    <t>VS-26/50159</t>
  </si>
  <si>
    <t>VS-26/50170</t>
  </si>
  <si>
    <t>VS-26/50173</t>
  </si>
  <si>
    <t>VS-26/50178</t>
  </si>
  <si>
    <t>VS-26/50195</t>
  </si>
  <si>
    <t>Phí vận tải đi đầu không</t>
  </si>
  <si>
    <t>MBF-CTS11022026-4</t>
  </si>
  <si>
    <t>MBF-CTS11022026-3</t>
  </si>
  <si>
    <t>MSDU2090600</t>
  </si>
  <si>
    <t>CMAU3236720</t>
  </si>
  <si>
    <t>237600106449</t>
  </si>
  <si>
    <t>EBKG15775597</t>
  </si>
  <si>
    <t>SGN3044758</t>
  </si>
  <si>
    <t>VH-26/50205</t>
  </si>
  <si>
    <t>VH-26/50209</t>
  </si>
  <si>
    <t>3537</t>
  </si>
  <si>
    <t>3538</t>
  </si>
  <si>
    <t>16/01/2026</t>
  </si>
  <si>
    <t>3608</t>
  </si>
  <si>
    <t>7033</t>
  </si>
  <si>
    <t>17/01/2026</t>
  </si>
  <si>
    <t>3572</t>
  </si>
  <si>
    <t>3840</t>
  </si>
  <si>
    <t>3716</t>
  </si>
  <si>
    <t>3860</t>
  </si>
  <si>
    <t>710</t>
  </si>
  <si>
    <t>18/01/2026</t>
  </si>
  <si>
    <t>741</t>
  </si>
  <si>
    <t>19/01/2026</t>
  </si>
  <si>
    <t>4755</t>
  </si>
  <si>
    <t>5223</t>
  </si>
  <si>
    <t>23/01/2026</t>
  </si>
  <si>
    <t>6102</t>
  </si>
  <si>
    <t>28/01/2026</t>
  </si>
  <si>
    <t>22815</t>
  </si>
  <si>
    <t>26/01/2026</t>
  </si>
  <si>
    <t>5383</t>
  </si>
  <si>
    <t>24/01/2026</t>
  </si>
  <si>
    <t>22837</t>
  </si>
  <si>
    <t>5354</t>
  </si>
  <si>
    <t>22906</t>
  </si>
  <si>
    <t>5605</t>
  </si>
  <si>
    <t>22900</t>
  </si>
  <si>
    <t>5444</t>
  </si>
  <si>
    <t>5425</t>
  </si>
  <si>
    <t>5492</t>
  </si>
  <si>
    <t>25/01/2026</t>
  </si>
  <si>
    <t>5401</t>
  </si>
  <si>
    <t>5631</t>
  </si>
  <si>
    <t>24372</t>
  </si>
  <si>
    <t>27/01/2026</t>
  </si>
  <si>
    <t>5921</t>
  </si>
  <si>
    <t>4627</t>
  </si>
  <si>
    <t>4750</t>
  </si>
  <si>
    <t>6036</t>
  </si>
  <si>
    <t>6232</t>
  </si>
  <si>
    <t>20853</t>
  </si>
  <si>
    <t>02/02/2026</t>
  </si>
  <si>
    <t>6766</t>
  </si>
  <si>
    <t>30/01/2026</t>
  </si>
  <si>
    <t>29387</t>
  </si>
  <si>
    <t>31/01/2026</t>
  </si>
  <si>
    <t>6813</t>
  </si>
  <si>
    <t>20857</t>
  </si>
  <si>
    <t>6950</t>
  </si>
  <si>
    <t>20856</t>
  </si>
  <si>
    <t>6989</t>
  </si>
  <si>
    <t>34033</t>
  </si>
  <si>
    <t>05/02/2026</t>
  </si>
  <si>
    <t>34009</t>
  </si>
  <si>
    <t>35963</t>
  </si>
  <si>
    <t>06/02/2026</t>
  </si>
  <si>
    <t>27059</t>
  </si>
  <si>
    <t>03/02/2026</t>
  </si>
  <si>
    <t>26547</t>
  </si>
  <si>
    <t>8299</t>
  </si>
  <si>
    <t>1053</t>
  </si>
  <si>
    <t>30463</t>
  </si>
  <si>
    <t>8405</t>
  </si>
  <si>
    <t>24661</t>
  </si>
  <si>
    <t>07/02/2026</t>
  </si>
  <si>
    <t>8563</t>
  </si>
  <si>
    <t>24666</t>
  </si>
  <si>
    <t>8943</t>
  </si>
  <si>
    <t>10/02/2026</t>
  </si>
  <si>
    <t>UETU5660170</t>
  </si>
  <si>
    <t>SNBU2409126</t>
  </si>
  <si>
    <t>WSDU5035910</t>
  </si>
  <si>
    <t>VH-26/50207</t>
  </si>
  <si>
    <t>VH-26/50217</t>
  </si>
  <si>
    <t>VH-26/50221</t>
  </si>
  <si>
    <t>VINABRIDGE</t>
  </si>
  <si>
    <t>Lấy Lạch Huyện - TS EX - Hạ HPH Disconnect</t>
  </si>
  <si>
    <t>Lấy HPH - TS EX - Hạ Lạch Huyện Connect</t>
  </si>
  <si>
    <t>Lạch Huyện - Canon Tiên Sơn - Hải Phòng</t>
  </si>
  <si>
    <t>GCXU5761577</t>
  </si>
  <si>
    <t>VS-26/50196</t>
  </si>
  <si>
    <t>29787</t>
  </si>
  <si>
    <t>23772</t>
  </si>
  <si>
    <t>09/02/2026</t>
  </si>
  <si>
    <t>29789</t>
  </si>
  <si>
    <t>23771</t>
  </si>
  <si>
    <t>9629</t>
  </si>
  <si>
    <t>Xem</t>
  </si>
  <si>
    <t>E11  TF003</t>
  </si>
  <si>
    <r>
      <t>01BLP0-001/ </t>
    </r>
    <r>
      <rPr>
        <i/>
        <sz val="11"/>
        <color rgb="FF212529"/>
        <rFont val="Segoe UI"/>
        <family val="2"/>
      </rPr>
      <t>VC-24E</t>
    </r>
  </si>
  <si>
    <t> Biên lai gốc</t>
  </si>
  <si>
    <t>L2RHXYCU5P</t>
  </si>
  <si>
    <t>E42  TF003</t>
  </si>
  <si>
    <r>
      <t>01BLP0-001/ </t>
    </r>
    <r>
      <rPr>
        <i/>
        <sz val="11"/>
        <color rgb="FF212529"/>
        <rFont val="Segoe UI"/>
        <family val="2"/>
      </rPr>
      <t>VT-24E</t>
    </r>
  </si>
  <si>
    <t>CYI4CP1U5V</t>
  </si>
  <si>
    <t>PZQLH4AU5L</t>
  </si>
  <si>
    <t>MN8HXCQU5J</t>
  </si>
  <si>
    <t>L2QLJZQU54</t>
  </si>
  <si>
    <t>U559GMAU5I</t>
  </si>
  <si>
    <t>ACCC27QU5W</t>
  </si>
  <si>
    <t>785R41975A</t>
  </si>
  <si>
    <t>0UTWP9EN5W</t>
  </si>
  <si>
    <t>5V8BC7EN5H</t>
  </si>
  <si>
    <t>UQH4MWGH5X</t>
  </si>
  <si>
    <t>FPGRR7BH5X</t>
  </si>
  <si>
    <t>62EL0WBH53</t>
  </si>
  <si>
    <t>G51  TF003</t>
  </si>
  <si>
    <t>2.000.000</t>
  </si>
  <si>
    <t>IZQTUATY5Q</t>
  </si>
  <si>
    <t>G13  TF003</t>
  </si>
  <si>
    <t>04WBSDJ45A</t>
  </si>
  <si>
    <t>4FVXTE3C5B</t>
  </si>
  <si>
    <t>FJ5K6C3C52</t>
  </si>
  <si>
    <t>UYF1V2EC5M</t>
  </si>
  <si>
    <t>5EEJWP8D5N</t>
  </si>
  <si>
    <t>FIGJN28D5H</t>
  </si>
  <si>
    <t>8HRKMU8D50</t>
  </si>
  <si>
    <t>E6PWKDBE5D</t>
  </si>
  <si>
    <t>5H4G4QTE53</t>
  </si>
  <si>
    <t>CPJ862BE5J</t>
  </si>
  <si>
    <t>P8SNN9GE5B</t>
  </si>
  <si>
    <t>2.250.000</t>
  </si>
  <si>
    <t>XFWITPTE5I</t>
  </si>
  <si>
    <t>W05MUVTE5J</t>
  </si>
  <si>
    <t>7W3NQSGE5F</t>
  </si>
  <si>
    <t>Z7C5I05E5H</t>
  </si>
  <si>
    <t>VDHEI2TE59</t>
  </si>
  <si>
    <t>VH6ACEBE5E</t>
  </si>
  <si>
    <t>46YRM3GE5S</t>
  </si>
  <si>
    <t>N5PX79SE5Z</t>
  </si>
  <si>
    <t>7TN6TCAE5J</t>
  </si>
  <si>
    <t>GESNHMU359</t>
  </si>
  <si>
    <t>IJ6AXQU35Z</t>
  </si>
  <si>
    <t>YTDGQVU352</t>
  </si>
  <si>
    <t>1I312H735R</t>
  </si>
  <si>
    <t>JS42Q8MX55</t>
  </si>
  <si>
    <t>HD2W5TMX5R</t>
  </si>
  <si>
    <t>9X4KKFUX5B</t>
  </si>
  <si>
    <t>6IV039NKVZ</t>
  </si>
  <si>
    <t>DX633W36VP</t>
  </si>
  <si>
    <t>5MB5UEDBVV</t>
  </si>
  <si>
    <t>PZB4BTGTV4</t>
  </si>
  <si>
    <t>4R47H0TTVY</t>
  </si>
  <si>
    <t>GVFMPW0XV9</t>
  </si>
  <si>
    <t>IUB0MY5WV2</t>
  </si>
  <si>
    <t>5UZE8FTWVE</t>
  </si>
  <si>
    <t>6HF3S65WVS</t>
  </si>
  <si>
    <t>DYPX4Z58FP</t>
  </si>
  <si>
    <t>0SP97TV8FU</t>
  </si>
  <si>
    <t>P2DRCS28F2</t>
  </si>
  <si>
    <t>S2Y0G928FD</t>
  </si>
  <si>
    <t>I5UYFI28FE</t>
  </si>
  <si>
    <t>QRXVVIZ8FR</t>
  </si>
  <si>
    <t>Q15WENZ8F6</t>
  </si>
  <si>
    <t>ZFZF9J28FR</t>
  </si>
  <si>
    <t>V9EQIBZ8F2</t>
  </si>
  <si>
    <t>41FPIXUJF2</t>
  </si>
  <si>
    <t>MHH2A9TJFH</t>
  </si>
  <si>
    <t>9HDPU7GJFY</t>
  </si>
  <si>
    <t>TBEFSGTJFL</t>
  </si>
  <si>
    <t>T6A3FCGJFF</t>
  </si>
  <si>
    <t>MM2VPDQJFX</t>
  </si>
  <si>
    <t>JIWJQK1JFE</t>
  </si>
  <si>
    <t>1RJGFU1JFD</t>
  </si>
  <si>
    <t>P35N9F1JF1</t>
  </si>
  <si>
    <t>WPN96Y0UFZ</t>
  </si>
  <si>
    <t>1TD0GI0UFX</t>
  </si>
  <si>
    <t>24HE2ALUFB</t>
  </si>
  <si>
    <t>EFHX5TLUFI</t>
  </si>
  <si>
    <t>8SZUMYHUF6</t>
  </si>
  <si>
    <t>HH583KYUFV</t>
  </si>
  <si>
    <t>Y4HB9SN7FR</t>
  </si>
  <si>
    <t>UBT6KMN7F3</t>
  </si>
  <si>
    <t>9N2SXRH7FY</t>
  </si>
  <si>
    <t>ANY2RU37FL</t>
  </si>
  <si>
    <t>Q543S6E7FX</t>
  </si>
  <si>
    <t>Y0FNYB37F0</t>
  </si>
  <si>
    <t>ZGAET937FC</t>
  </si>
  <si>
    <t>XH84HI37F2</t>
  </si>
  <si>
    <t>8AMT1FLNFP</t>
  </si>
  <si>
    <t>3G21H7ZVFA</t>
  </si>
  <si>
    <t>9N31S4W4F8</t>
  </si>
  <si>
    <t>MKI8ZNYDFD</t>
  </si>
  <si>
    <t>T4N3XV6DFJ</t>
  </si>
  <si>
    <t>Y0KU8N8PR1</t>
  </si>
  <si>
    <t>TVQSZ1XPRI</t>
  </si>
  <si>
    <t>E3YQHXSPRF</t>
  </si>
  <si>
    <t>DV7JBMSPRJ</t>
  </si>
  <si>
    <t>WGMYDSSPRV</t>
  </si>
  <si>
    <t>1.000.000</t>
  </si>
  <si>
    <t>XIF95MI0RK</t>
  </si>
  <si>
    <t>8FGIM2VLR1</t>
  </si>
  <si>
    <t>32626E4LRI</t>
  </si>
  <si>
    <t>2NX2KSVNRN</t>
  </si>
  <si>
    <t>7BFVTHVNR5</t>
  </si>
  <si>
    <t>87A12C46RI</t>
  </si>
  <si>
    <t>ZV3AW3R6RP</t>
  </si>
  <si>
    <t>JQZB9M46RW</t>
  </si>
  <si>
    <t>SXXKCBC6R3</t>
  </si>
  <si>
    <t>K2X4F26GRF</t>
  </si>
  <si>
    <t>LJ7YFCGGRU</t>
  </si>
  <si>
    <t>V3DF905GR4</t>
  </si>
  <si>
    <t>UICQ6MZI41</t>
  </si>
  <si>
    <t>VRT43G5846</t>
  </si>
  <si>
    <t>2.500.000</t>
  </si>
  <si>
    <t>F1AJXQ584A</t>
  </si>
  <si>
    <t>BX284YV84P</t>
  </si>
  <si>
    <t>W506JVC84Y</t>
  </si>
  <si>
    <t>ZV2Y4QHM40</t>
  </si>
  <si>
    <t>7VNR8KBM41</t>
  </si>
  <si>
    <t>M7SZ5AXG44</t>
  </si>
  <si>
    <t>2YUCKKXG4E</t>
  </si>
  <si>
    <t>XTR9F2XG46</t>
  </si>
  <si>
    <t>XEY1F93G4L</t>
  </si>
  <si>
    <t>2KTI36XG4E</t>
  </si>
  <si>
    <t>DJBI2W3G4S</t>
  </si>
  <si>
    <t>DPPJETAT4Y</t>
  </si>
  <si>
    <t>PI4GHQAT4P</t>
  </si>
  <si>
    <t>W7SM3FQT4G</t>
  </si>
  <si>
    <t>X03DS81T4C</t>
  </si>
  <si>
    <t>FY5YNVD54F</t>
  </si>
  <si>
    <t>2BBFD41Z4H</t>
  </si>
  <si>
    <t>30WA721Z4V</t>
  </si>
  <si>
    <t>YG6KLF1Z49</t>
  </si>
  <si>
    <t>9J2117PA4Y</t>
  </si>
  <si>
    <t>MNTFUMBA4X</t>
  </si>
  <si>
    <t>N70N5KTA4I</t>
  </si>
  <si>
    <t>Q1C0E0RA4M</t>
  </si>
  <si>
    <t>4JFD6SK14B</t>
  </si>
  <si>
    <t>8SSIN5E14I</t>
  </si>
  <si>
    <t>XLW8ZG0PCK</t>
  </si>
  <si>
    <t>6W3CZZ0PC8</t>
  </si>
  <si>
    <t>HSWCULAJC2</t>
  </si>
  <si>
    <t>E13  TF003</t>
  </si>
  <si>
    <t>U5AF3K27C3</t>
  </si>
  <si>
    <t>7IWP6SGHCM</t>
  </si>
  <si>
    <t>TDVZ0DBHCB</t>
  </si>
  <si>
    <t>ABQ4YWGHCA</t>
  </si>
  <si>
    <t>PSAM74BHCL</t>
  </si>
  <si>
    <t>UFN9QSBHC1</t>
  </si>
  <si>
    <t>S75KV0GHCC</t>
  </si>
  <si>
    <t>CCJ17ZVHCM</t>
  </si>
  <si>
    <t>I4G6PI4HC0</t>
  </si>
  <si>
    <t>PRCZAS5YCV</t>
  </si>
  <si>
    <t>THT9QQ4ECL</t>
  </si>
  <si>
    <t>GP068BCECH</t>
  </si>
  <si>
    <t>80TI1I3EC9</t>
  </si>
  <si>
    <t>S097R7M0DL</t>
  </si>
  <si>
    <t>829GKC80DC</t>
  </si>
  <si>
    <t>1MILHV80D3</t>
  </si>
  <si>
    <t>VG58KBD0DY</t>
  </si>
  <si>
    <t>MQPARRC0D8</t>
  </si>
  <si>
    <t>L7Z69TC0DM</t>
  </si>
  <si>
    <t>NJDVGFD0DX</t>
  </si>
  <si>
    <t>7G3XNYD0DF</t>
  </si>
  <si>
    <t>QEQWP9E0DV</t>
  </si>
  <si>
    <t>Y7L5MED0DD</t>
  </si>
  <si>
    <t>F0RXUWV9D8</t>
  </si>
  <si>
    <t>CNYJSYHIDM</t>
  </si>
  <si>
    <t>1.500.000</t>
  </si>
  <si>
    <t>65V5P6BID1</t>
  </si>
  <si>
    <t>SHMZ1M42DB</t>
  </si>
  <si>
    <t>IDPQJMR2DA</t>
  </si>
  <si>
    <t>90K56HR2D1</t>
  </si>
  <si>
    <t>2S3SJFR2D8</t>
  </si>
  <si>
    <t>KH4GSLR2D5</t>
  </si>
  <si>
    <t>S6BCBFR2D0</t>
  </si>
  <si>
    <t>2DY5VYRZDC</t>
  </si>
  <si>
    <t>QV90K888E4</t>
  </si>
  <si>
    <t>7AVMMQRMEA</t>
  </si>
  <si>
    <t>DYGVLFFMEP</t>
  </si>
  <si>
    <t>A846JH9UEY</t>
  </si>
  <si>
    <t>X4779VTUEC</t>
  </si>
  <si>
    <t>S3WD60P7EP</t>
  </si>
  <si>
    <t>VWG672P7E8</t>
  </si>
  <si>
    <t>I2KRRRP7E2</t>
  </si>
  <si>
    <t>W93VE607EG</t>
  </si>
  <si>
    <t>3S2KL9F7E9</t>
  </si>
  <si>
    <t>S8RIPNXVEL</t>
  </si>
  <si>
    <t>NJUGCCEVE0</t>
  </si>
  <si>
    <t>XBZGBCEVE0</t>
  </si>
  <si>
    <t>SU4QZ29FE2</t>
  </si>
  <si>
    <t>F11A7A9FE5</t>
  </si>
  <si>
    <t>YHRMIM9CET</t>
  </si>
  <si>
    <t>NAH1TUKCES</t>
  </si>
  <si>
    <t>LK3D7P7CEK</t>
  </si>
  <si>
    <t>GIF52DJ1E0</t>
  </si>
  <si>
    <t>KWUTMMU1EK</t>
  </si>
  <si>
    <t>Y1BCTSHP3K</t>
  </si>
  <si>
    <t>BDR0H8M038</t>
  </si>
  <si>
    <t>8127N6403H</t>
  </si>
  <si>
    <t>0G8NNKN732</t>
  </si>
  <si>
    <t>GN1NIFN735</t>
  </si>
  <si>
    <t>E9W6UEMN34</t>
  </si>
  <si>
    <t>7S4CXTLH36</t>
  </si>
  <si>
    <t>E8FG8V9H34</t>
  </si>
  <si>
    <t>MRBFN6MH36</t>
  </si>
  <si>
    <t>TFXLYCRH3Y</t>
  </si>
  <si>
    <t>Q0S0MGDH31</t>
  </si>
  <si>
    <t>4SMF84PY3V</t>
  </si>
  <si>
    <t>LZDCE6LY3B</t>
  </si>
  <si>
    <t>9T89IR0Y3W</t>
  </si>
  <si>
    <t>HQSNZF6B3W</t>
  </si>
  <si>
    <t>WJFS8XVB3X</t>
  </si>
  <si>
    <t>0VZ45IRB3J</t>
  </si>
  <si>
    <t>3G8E06WB3C</t>
  </si>
  <si>
    <t>IBPT4KPG30</t>
  </si>
  <si>
    <t>VZA836VD3U</t>
  </si>
  <si>
    <t>21D3SDVD38</t>
  </si>
  <si>
    <t>WFZK0S5D3Z</t>
  </si>
  <si>
    <t>B8VBCQ5D39</t>
  </si>
  <si>
    <t>QTIKAZFD3A</t>
  </si>
  <si>
    <t>2PQFCDRD3P</t>
  </si>
  <si>
    <t>GY6RNZVD3W</t>
  </si>
  <si>
    <t>VVEKPHRD3G</t>
  </si>
  <si>
    <t>6S8HQCRD36</t>
  </si>
  <si>
    <t>F3Y1M0CD3J</t>
  </si>
  <si>
    <t>KN04E9CD3S</t>
  </si>
  <si>
    <t>YYYWA24D3X</t>
  </si>
  <si>
    <t>3QCMJCCD32</t>
  </si>
  <si>
    <t>M1YC0LCD3T</t>
  </si>
  <si>
    <t>X1V8AECD30</t>
  </si>
  <si>
    <t>ZT3WQ9CD3W</t>
  </si>
  <si>
    <t>53UXDFDD3C</t>
  </si>
  <si>
    <t>JHNQ76CD38</t>
  </si>
  <si>
    <t>R6A4PNED3B</t>
  </si>
  <si>
    <t>RLNPUIED3T</t>
  </si>
  <si>
    <t>30C37QCD3S</t>
  </si>
  <si>
    <t>ZI1163DD3R</t>
  </si>
  <si>
    <t>480SS73D3B</t>
  </si>
  <si>
    <t>VP2G2IED3N</t>
  </si>
  <si>
    <t>7JXIV7ED38</t>
  </si>
  <si>
    <t>3NFDGE3D3X</t>
  </si>
  <si>
    <t>9Y4KC3ED30</t>
  </si>
  <si>
    <t>6XQWC8XD3U</t>
  </si>
  <si>
    <t>5VLGC4ED3S</t>
  </si>
  <si>
    <t>D5NEHGXD3H</t>
  </si>
  <si>
    <t>GVIZ5XNX3Y</t>
  </si>
  <si>
    <t>MVYI8LMS3D</t>
  </si>
  <si>
    <t>Z8YHPU8S3Q</t>
  </si>
  <si>
    <t>13LUWYMS3C</t>
  </si>
  <si>
    <t>G8E5LFMS3J</t>
  </si>
  <si>
    <t>DSZ66CJS30</t>
  </si>
  <si>
    <t>WF978W6S36</t>
  </si>
  <si>
    <t>U2SGE7ZS3J</t>
  </si>
  <si>
    <t>5IWV4QGW3F</t>
  </si>
  <si>
    <t>P0PSCLL0X9</t>
  </si>
  <si>
    <t>ZUEU8V00XF</t>
  </si>
  <si>
    <t>Q7HTGPL0XK</t>
  </si>
  <si>
    <t>4ZPVB490X4</t>
  </si>
  <si>
    <t>XK0DX2L0XY</t>
  </si>
  <si>
    <t>8WIJ9F90XF</t>
  </si>
  <si>
    <t>KMSCMML0X1</t>
  </si>
  <si>
    <t>NB6B03L0XI</t>
  </si>
  <si>
    <t>QVHKNV90XA</t>
  </si>
  <si>
    <t>G61  TF003</t>
  </si>
  <si>
    <t>79HUARK0X9</t>
  </si>
  <si>
    <t>0EMER7I0XH</t>
  </si>
  <si>
    <t>08QRGSUVXQ</t>
  </si>
  <si>
    <t>S81LFLYFXN</t>
  </si>
  <si>
    <t>2F9PXLYFX6</t>
  </si>
  <si>
    <t>1WZWZ2YFXN</t>
  </si>
  <si>
    <t>DI3CHVBFX0</t>
  </si>
  <si>
    <t>3721ASGFXF</t>
  </si>
  <si>
    <t>H1VC31AFXF</t>
  </si>
  <si>
    <t>8IAZ0U9RXM</t>
  </si>
  <si>
    <t>UBIY43NZX9</t>
  </si>
  <si>
    <t>VQFDJVHZXI</t>
  </si>
  <si>
    <t>HAACDWNZXS</t>
  </si>
  <si>
    <t>9N6DC2HZXS</t>
  </si>
  <si>
    <t>1UB9VIYZXS</t>
  </si>
  <si>
    <t>MM0WICLAXN</t>
  </si>
  <si>
    <t>Z5GAK4IAXN</t>
  </si>
  <si>
    <t>RXVX2YIAXH</t>
  </si>
  <si>
    <t>3U9A2SQAX4</t>
  </si>
  <si>
    <t>N0023M1AXI</t>
  </si>
  <si>
    <t>SEMETZ1AXD</t>
  </si>
  <si>
    <t>J2HUQYQAXG</t>
  </si>
  <si>
    <t>Y9Y9KCP1XB</t>
  </si>
  <si>
    <t>0NBPWA5ISM</t>
  </si>
  <si>
    <t>8U7WA84NSB</t>
  </si>
  <si>
    <t>0JKEHUCNSW</t>
  </si>
  <si>
    <t>35SKBS4NSF</t>
  </si>
  <si>
    <t>X5QPEC4NSQ</t>
  </si>
  <si>
    <t>SBZ6HZCNSN</t>
  </si>
  <si>
    <t>MPBQRIZNSG</t>
  </si>
  <si>
    <t>QCWC9EIYSW</t>
  </si>
  <si>
    <t>LFR3N4MCS6</t>
  </si>
  <si>
    <t>KEN990JCSK</t>
  </si>
  <si>
    <t>LWEAURJCS2</t>
  </si>
  <si>
    <t>VLZ8CYMCS9</t>
  </si>
  <si>
    <t>CCUBTTUCS4</t>
  </si>
  <si>
    <t>95JTZL8DS6</t>
  </si>
  <si>
    <t>8VNU6M8DS1</t>
  </si>
  <si>
    <t>SJQW3V4ESD</t>
  </si>
  <si>
    <t>HR6TSNRESC</t>
  </si>
  <si>
    <t>3M2FDPRESV</t>
  </si>
  <si>
    <t xml:space="preserve"> 15H-05911</t>
  </si>
  <si>
    <t>29H-88988</t>
  </si>
  <si>
    <t>29K-12627</t>
  </si>
  <si>
    <t>29H-86407</t>
  </si>
  <si>
    <t>29C-18195</t>
  </si>
  <si>
    <t>29H-88946</t>
  </si>
  <si>
    <t>29H-86403</t>
  </si>
  <si>
    <t>29E-38583</t>
  </si>
  <si>
    <t>29H-86478</t>
  </si>
  <si>
    <t>29H-81921</t>
  </si>
  <si>
    <t>15H-18666</t>
  </si>
  <si>
    <t>15C-02338</t>
  </si>
  <si>
    <t xml:space="preserve">15C-16755 </t>
  </si>
  <si>
    <t>15C-06471</t>
  </si>
  <si>
    <t>15H-05911</t>
  </si>
  <si>
    <t>15H-08558</t>
  </si>
  <si>
    <t>15H-00820</t>
  </si>
  <si>
    <t>29H-81846</t>
  </si>
  <si>
    <t>29H-81871</t>
  </si>
  <si>
    <t>29E-38441</t>
  </si>
  <si>
    <t>29H-81743</t>
  </si>
  <si>
    <t>29E-28914</t>
  </si>
  <si>
    <t>29E-28922</t>
  </si>
  <si>
    <t>29E-38562</t>
  </si>
  <si>
    <t>29H-81607</t>
  </si>
  <si>
    <t>ONEU2971320</t>
  </si>
  <si>
    <t>EGSU3767625</t>
  </si>
  <si>
    <t>FCIU9815555</t>
  </si>
  <si>
    <t>CSNU7713111</t>
  </si>
  <si>
    <t>OOCU6133470</t>
  </si>
  <si>
    <t>VS-26/50226</t>
  </si>
  <si>
    <t>VH-26/50232</t>
  </si>
  <si>
    <t>VH-26/50203</t>
  </si>
  <si>
    <t>VH-26/50206</t>
  </si>
  <si>
    <t>VH-26/50210</t>
  </si>
  <si>
    <t>HANG04220500</t>
  </si>
  <si>
    <t>COSU6438439150</t>
  </si>
  <si>
    <t>COSU6444384720</t>
  </si>
  <si>
    <t>6438439150</t>
  </si>
  <si>
    <t>15H-11783</t>
  </si>
  <si>
    <t>15H-09256</t>
  </si>
  <si>
    <t>Lấy HPH - Trả nhập 2 điểm QV , TS - RU TS EX - Hạ HPH</t>
  </si>
  <si>
    <t>MRSU6354970</t>
  </si>
  <si>
    <t>VS-26/50208</t>
  </si>
  <si>
    <t>9392</t>
  </si>
  <si>
    <t>9521</t>
  </si>
  <si>
    <t>9330</t>
  </si>
  <si>
    <t>9584</t>
  </si>
  <si>
    <t>9342</t>
  </si>
  <si>
    <t>28585</t>
  </si>
  <si>
    <t>12/02/2026</t>
  </si>
  <si>
    <t>9859</t>
  </si>
  <si>
    <t>11/02/2026</t>
  </si>
  <si>
    <t>30149</t>
  </si>
  <si>
    <t>7548</t>
  </si>
  <si>
    <t>36685</t>
  </si>
  <si>
    <t>7549</t>
  </si>
  <si>
    <t>31294</t>
  </si>
  <si>
    <t>HCQ2UQA2TN</t>
  </si>
  <si>
    <t>MQG6NIA2T9</t>
  </si>
  <si>
    <t>H533RYZ2TQ</t>
  </si>
  <si>
    <t>C1XSLFZ2T4</t>
  </si>
  <si>
    <t>MVVAUEZ2TB</t>
  </si>
  <si>
    <t>EGQX4UA2TL</t>
  </si>
  <si>
    <t>XKFEFS22T3</t>
  </si>
  <si>
    <t>4D4YIQA2T2</t>
  </si>
  <si>
    <t>IXMQEV1QTZ</t>
  </si>
  <si>
    <t>BK7P3LUP5C</t>
  </si>
  <si>
    <t>AAQZS7UP57</t>
  </si>
  <si>
    <t>APTL9MHP5F</t>
  </si>
  <si>
    <t>8BDYWDYP52</t>
  </si>
  <si>
    <t>R4S6KBBP58</t>
  </si>
  <si>
    <t>GRA4THS6TI</t>
  </si>
  <si>
    <t>94WJMPX6TC</t>
  </si>
  <si>
    <t>K81Y7KX6TE</t>
  </si>
  <si>
    <t>47A5GEX6TA</t>
  </si>
  <si>
    <t>UKY27QX6TQ</t>
  </si>
  <si>
    <t>32USZWW6T1</t>
  </si>
  <si>
    <t>PZG4RLW6TL</t>
  </si>
  <si>
    <t>AGS9XTW6T2</t>
  </si>
  <si>
    <t>0WNDJSNTT1</t>
  </si>
  <si>
    <t>ZU0RNGSTTC</t>
  </si>
  <si>
    <t>EW306UQ5T3</t>
  </si>
  <si>
    <t>VVII91Q5TQ</t>
  </si>
  <si>
    <t>2WDHJZQ5TZ</t>
  </si>
  <si>
    <t>WSSYE715TL</t>
  </si>
  <si>
    <t>PBM8NMJFTW</t>
  </si>
  <si>
    <t>AJQKNNVFTX</t>
  </si>
  <si>
    <t>6LEW8R5FTJ</t>
  </si>
  <si>
    <t>U99LIXVFT7</t>
  </si>
  <si>
    <t>GJ6YLPVFTQ</t>
  </si>
  <si>
    <t>23CQ8YRRT9</t>
  </si>
  <si>
    <t>I5VA1ERRTE</t>
  </si>
  <si>
    <t>VS-26/50211</t>
  </si>
  <si>
    <t>MRKU4366054</t>
  </si>
  <si>
    <t>Transportation fee for truck comeback to ICD without Container</t>
  </si>
  <si>
    <t>CÔNG TY CỔ PHẦN VSC GREEN LOGISTICS</t>
  </si>
  <si>
    <t>CÔNG TY CỔ PHẦN CẢNG XANH VIP</t>
  </si>
  <si>
    <t>CÔNG TY CỔ PHẦN ICD NAM HẢI</t>
  </si>
  <si>
    <t>CÔNG TY CỔ PHẦN GREATING FORTUNE CONTAINER VIỆT NAM</t>
  </si>
  <si>
    <t>CÔNG TY CỔ PHẦN TÂN CẢNG 128 - HẢI PHÒNG</t>
  </si>
  <si>
    <t>CÔNG TY TNHH HÀ HƯNG HẢI</t>
  </si>
  <si>
    <t>CÔNG TY CỔ PHẦN ĐẦU TƯ SAO Á D.C</t>
  </si>
  <si>
    <t>CÔNG TY TNHH CẢNG CONTAINER
QUỐC TẾTÂN CẢNG HẢI PHÒNG</t>
  </si>
  <si>
    <t>CÔNG TY TNHH TIẾP VẬN SITC-ĐÌNH VŨ</t>
  </si>
  <si>
    <t>CÔNG TY TNHH MỘT THÀNH VIÊN TRUNG TÂM LOGISTICS XANH</t>
  </si>
  <si>
    <t>ICD Tri Phương- Canon Tiên Sơn- Lạch Huyện, Hải Phòng</t>
  </si>
  <si>
    <t>MRSU3059225</t>
  </si>
  <si>
    <t>VS-26/50116</t>
  </si>
  <si>
    <t>SOWATCO 05 (BN-2605)</t>
  </si>
  <si>
    <t>SOWATCO 03 (BN-2603)</t>
  </si>
  <si>
    <t>SOWATCO 02 (BN-2602)</t>
  </si>
  <si>
    <t>SOWATCO 01 (BN-2601)</t>
  </si>
  <si>
    <t>Cont20</t>
  </si>
  <si>
    <t>Cont40</t>
  </si>
  <si>
    <t>Cước vận chuyển ICD Tri Phương- Canon Tiên Sơn- Lạch Huyện, Hải Phòng , số cont MRSU3059225</t>
  </si>
  <si>
    <t>HH60S4K6Y5</t>
  </si>
  <si>
    <t>5ZWZZCK6YF</t>
  </si>
  <si>
    <t>FAT1MY96YN</t>
  </si>
  <si>
    <t>0W6L6J96Y9</t>
  </si>
  <si>
    <t>B5S51696YP</t>
  </si>
  <si>
    <t>CÔNG TY CỔ PHẦN GRAND FORWARD VIỆT NAM</t>
  </si>
  <si>
    <t>23/02/2026</t>
  </si>
  <si>
    <t xml:space="preserve">         Ngày  23  tháng 02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</si>
</sst>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0000000"/>
    <numFmt numFmtId="165" formatCode="_(* #,##0_);_(* \(#,##0\);_(* &quot;-&quot;??_);_(@_)"/>
    <numFmt numFmtId="166" formatCode="[$-409]d\-mmm\-yy;@"/>
    <numFmt numFmtId="167" formatCode="[$-1010000]d/m/yyyy;@"/>
    <numFmt numFmtId="168" formatCode="_-* #,##0_-;\-* #,##0_-;_-* &quot;-&quot;_-;_-@_-"/>
    <numFmt numFmtId="169" formatCode="_(* #,##0.0_);_(* \(#,##0.0\);_(* &quot;-&quot;??_);_(@_)"/>
    <numFmt numFmtId="170" formatCode="0.0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0"/>
      <name val="Tahoma"/>
      <family val="2"/>
      <charset val="163"/>
    </font>
    <font>
      <sz val="12"/>
      <name val=".VnTime"/>
      <family val="2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rgb="FFFF0000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242424"/>
      <name val="Inherit"/>
    </font>
    <font>
      <b/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sz val="16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sz val="10"/>
      <name val="Times New Roman"/>
      <family val="1"/>
    </font>
    <font>
      <i/>
      <sz val="16"/>
      <color theme="1"/>
      <name val="Times New Roman"/>
      <family val="1"/>
    </font>
    <font>
      <b/>
      <sz val="17"/>
      <color theme="1"/>
      <name val="Times New Roman"/>
      <family val="1"/>
    </font>
    <font>
      <sz val="17"/>
      <color theme="1"/>
      <name val="Times New Roman"/>
      <family val="1"/>
    </font>
    <font>
      <sz val="11"/>
      <color rgb="FF000000"/>
      <name val="Segoe UI"/>
      <family val="2"/>
    </font>
    <font>
      <sz val="11"/>
      <color rgb="FF212529"/>
      <name val="Segoe UI"/>
      <family val="2"/>
    </font>
    <font>
      <b/>
      <sz val="11"/>
      <color rgb="FFFF6633"/>
      <name val="Segoe UI"/>
      <family val="2"/>
    </font>
    <font>
      <sz val="11"/>
      <color rgb="FF008000"/>
      <name val="Segoe UI"/>
      <family val="2"/>
    </font>
    <font>
      <u/>
      <sz val="11"/>
      <color theme="10"/>
      <name val="Calibri"/>
      <family val="2"/>
      <scheme val="minor"/>
    </font>
    <font>
      <sz val="19"/>
      <color theme="1"/>
      <name val="Times New Roman"/>
      <family val="1"/>
    </font>
    <font>
      <b/>
      <sz val="19"/>
      <color theme="1"/>
      <name val="Times New Roman"/>
      <family val="1"/>
    </font>
    <font>
      <b/>
      <sz val="22"/>
      <color theme="1"/>
      <name val="Times New Roman"/>
      <family val="1"/>
    </font>
    <font>
      <b/>
      <sz val="15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2"/>
      <charset val="128"/>
      <scheme val="minor"/>
    </font>
    <font>
      <sz val="14"/>
      <color theme="1"/>
      <name val="Times New Roman"/>
      <family val="1"/>
    </font>
    <font>
      <sz val="17.5"/>
      <color theme="1"/>
      <name val="Times New Roman"/>
      <family val="1"/>
    </font>
    <font>
      <b/>
      <sz val="25"/>
      <color rgb="FFFF0000"/>
      <name val="Times New Roman"/>
      <family val="1"/>
    </font>
    <font>
      <sz val="15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3"/>
      <name val="Times New Roman"/>
      <family val="1"/>
    </font>
    <font>
      <b/>
      <sz val="18"/>
      <color rgb="FFFF0000"/>
      <name val="Times New Roman"/>
      <family val="1"/>
    </font>
    <font>
      <sz val="13.5"/>
      <name val="Times New Roman"/>
      <family val="1"/>
    </font>
    <font>
      <sz val="18"/>
      <name val="Times New Roman"/>
      <family val="1"/>
    </font>
    <font>
      <b/>
      <sz val="18"/>
      <color rgb="FF000000"/>
      <name val="Inherit"/>
    </font>
    <font>
      <sz val="18"/>
      <color rgb="FF000000"/>
      <name val="Times New Roman"/>
      <family val="1"/>
    </font>
    <font>
      <sz val="11"/>
      <color rgb="FF081B3A"/>
      <name val="Segoe UI"/>
      <family val="2"/>
    </font>
    <font>
      <b/>
      <sz val="18"/>
      <color rgb="FFFF6633"/>
      <name val="Segoe UI"/>
      <family val="2"/>
    </font>
    <font>
      <b/>
      <sz val="20"/>
      <name val="Times New Roman"/>
      <family val="1"/>
    </font>
    <font>
      <sz val="20"/>
      <name val="Times New Roman"/>
      <family val="1"/>
    </font>
    <font>
      <sz val="20"/>
      <color theme="1"/>
      <name val="Times New Roman"/>
      <family val="1"/>
    </font>
    <font>
      <b/>
      <sz val="19"/>
      <name val="Times New Roman"/>
      <family val="1"/>
    </font>
    <font>
      <sz val="9"/>
      <color rgb="FF212529"/>
      <name val="Source Sans Pro"/>
      <family val="2"/>
    </font>
    <font>
      <b/>
      <sz val="9"/>
      <color rgb="FFFF6633"/>
      <name val="Source Sans Pro"/>
      <family val="2"/>
    </font>
    <font>
      <sz val="9"/>
      <color rgb="FF008000"/>
      <name val="Source Sans Pro"/>
      <family val="2"/>
    </font>
    <font>
      <sz val="16"/>
      <name val="Times New Roman"/>
      <family val="1"/>
    </font>
    <font>
      <sz val="18"/>
      <color rgb="FFFF0000"/>
      <name val="Times New Roman"/>
      <family val="1"/>
    </font>
    <font>
      <b/>
      <sz val="14"/>
      <name val="Times New Roman"/>
      <family val="1"/>
    </font>
    <font>
      <sz val="12"/>
      <color theme="1"/>
      <name val="Calibri Light"/>
      <family val="2"/>
      <scheme val="major"/>
    </font>
    <font>
      <sz val="12.5"/>
      <color theme="1"/>
      <name val="Calibri"/>
      <family val="2"/>
      <scheme val="minor"/>
    </font>
    <font>
      <sz val="12"/>
      <color rgb="FFFF0000"/>
      <name val="Times New Roman"/>
      <family val="1"/>
    </font>
    <font>
      <i/>
      <sz val="11"/>
      <color rgb="FF212529"/>
      <name val="Segoe UI"/>
      <family val="2"/>
    </font>
    <font>
      <sz val="18.5"/>
      <name val="Times New Roman"/>
      <family val="1"/>
    </font>
    <font>
      <sz val="18.5"/>
      <color theme="1"/>
      <name val="Times New Roman"/>
      <family val="1"/>
    </font>
    <font>
      <b/>
      <sz val="25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C9EAF7"/>
      </top>
      <bottom style="medium">
        <color rgb="FFE0E0E0"/>
      </bottom>
      <diagonal/>
    </border>
    <border>
      <left/>
      <right style="medium">
        <color rgb="FFE1E1E1"/>
      </right>
      <top style="medium">
        <color rgb="FFC9EAF7"/>
      </top>
      <bottom style="medium">
        <color rgb="FFE0E0E0"/>
      </bottom>
      <diagonal/>
    </border>
    <border>
      <left style="medium">
        <color rgb="FFE1E1E1"/>
      </left>
      <right style="medium">
        <color rgb="FFE1E1E1"/>
      </right>
      <top/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C9EAF7"/>
      </top>
      <bottom style="medium">
        <color rgb="FFE1E1E1"/>
      </bottom>
      <diagonal/>
    </border>
    <border>
      <left/>
      <right style="medium">
        <color rgb="FFE1E1E1"/>
      </right>
      <top style="medium">
        <color rgb="FFC9EAF7"/>
      </top>
      <bottom style="medium">
        <color rgb="FFE1E1E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19" fillId="3" borderId="0" applyNumberFormat="0" applyBorder="0" applyAlignment="0" applyProtection="0"/>
    <xf numFmtId="0" fontId="34" fillId="0" borderId="0" applyNumberFormat="0" applyFill="0" applyBorder="0" applyAlignment="0" applyProtection="0"/>
    <xf numFmtId="168" fontId="41" fillId="0" borderId="0" applyFont="0" applyFill="0" applyBorder="0" applyAlignment="0" applyProtection="0"/>
    <xf numFmtId="167" fontId="1" fillId="0" borderId="0"/>
    <xf numFmtId="0" fontId="1" fillId="0" borderId="0"/>
  </cellStyleXfs>
  <cellXfs count="572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165" fontId="6" fillId="0" borderId="0" xfId="1" applyNumberFormat="1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6" fillId="0" borderId="0" xfId="0" applyFont="1" applyBorder="1"/>
    <xf numFmtId="0" fontId="9" fillId="0" borderId="0" xfId="0" applyFont="1" applyFill="1" applyBorder="1" applyAlignment="1">
      <alignment horizontal="center"/>
    </xf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165" fontId="7" fillId="0" borderId="0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9" fillId="0" borderId="0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10" fillId="0" borderId="0" xfId="0" applyNumberFormat="1" applyFont="1" applyBorder="1" applyAlignment="1">
      <alignment vertical="center"/>
    </xf>
    <xf numFmtId="43" fontId="6" fillId="0" borderId="0" xfId="0" applyNumberFormat="1" applyFont="1" applyAlignment="1">
      <alignment horizontal="center" vertical="center"/>
    </xf>
    <xf numFmtId="165" fontId="7" fillId="0" borderId="0" xfId="1" applyNumberFormat="1" applyFont="1" applyBorder="1"/>
    <xf numFmtId="0" fontId="6" fillId="0" borderId="0" xfId="0" applyFont="1" applyAlignment="1">
      <alignment wrapText="1"/>
    </xf>
    <xf numFmtId="164" fontId="7" fillId="0" borderId="1" xfId="0" applyNumberFormat="1" applyFont="1" applyFill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0" fontId="6" fillId="0" borderId="0" xfId="0" applyFont="1" applyFill="1"/>
    <xf numFmtId="0" fontId="10" fillId="0" borderId="8" xfId="2" applyFont="1" applyBorder="1" applyAlignment="1">
      <alignment horizontal="center" vertical="center" wrapText="1"/>
    </xf>
    <xf numFmtId="0" fontId="9" fillId="0" borderId="7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6" xfId="2" applyFont="1" applyBorder="1" applyAlignment="1">
      <alignment vertical="center" wrapText="1"/>
    </xf>
    <xf numFmtId="0" fontId="9" fillId="0" borderId="8" xfId="2" applyFont="1" applyBorder="1" applyAlignment="1">
      <alignment vertical="center" wrapText="1"/>
    </xf>
    <xf numFmtId="37" fontId="9" fillId="0" borderId="12" xfId="2" applyNumberFormat="1" applyFont="1" applyBorder="1" applyAlignment="1">
      <alignment horizontal="right" vertical="center"/>
    </xf>
    <xf numFmtId="0" fontId="10" fillId="0" borderId="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9" fillId="0" borderId="9" xfId="2" applyFont="1" applyBorder="1" applyAlignment="1">
      <alignment vertical="center"/>
    </xf>
    <xf numFmtId="0" fontId="9" fillId="0" borderId="0" xfId="2" applyFont="1" applyBorder="1" applyAlignment="1">
      <alignment vertical="center" wrapText="1"/>
    </xf>
    <xf numFmtId="0" fontId="9" fillId="0" borderId="10" xfId="2" applyFont="1" applyBorder="1" applyAlignment="1">
      <alignment vertical="center" wrapText="1"/>
    </xf>
    <xf numFmtId="37" fontId="9" fillId="0" borderId="13" xfId="2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9" fillId="0" borderId="0" xfId="2" applyFont="1" applyBorder="1" applyAlignment="1">
      <alignment vertical="center"/>
    </xf>
    <xf numFmtId="0" fontId="10" fillId="0" borderId="0" xfId="2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10" fillId="0" borderId="5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165" fontId="9" fillId="0" borderId="1" xfId="3" applyNumberFormat="1" applyFont="1" applyBorder="1" applyAlignment="1">
      <alignment horizontal="center" vertical="center"/>
    </xf>
    <xf numFmtId="0" fontId="9" fillId="0" borderId="3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5" fillId="0" borderId="0" xfId="0" applyFont="1" applyFill="1"/>
    <xf numFmtId="0" fontId="10" fillId="0" borderId="1" xfId="2" applyFont="1" applyBorder="1" applyAlignment="1">
      <alignment horizontal="center" vertical="center" wrapText="1"/>
    </xf>
    <xf numFmtId="3" fontId="13" fillId="0" borderId="0" xfId="1" applyNumberFormat="1" applyFont="1" applyFill="1" applyBorder="1" applyAlignment="1">
      <alignment horizontal="left"/>
    </xf>
    <xf numFmtId="0" fontId="13" fillId="0" borderId="0" xfId="2" applyFont="1" applyFill="1" applyBorder="1" applyAlignment="1">
      <alignment horizontal="left"/>
    </xf>
    <xf numFmtId="166" fontId="13" fillId="0" borderId="0" xfId="2" quotePrefix="1" applyNumberFormat="1" applyFont="1" applyFill="1" applyBorder="1" applyAlignment="1">
      <alignment horizontal="left"/>
    </xf>
    <xf numFmtId="1" fontId="6" fillId="0" borderId="0" xfId="0" applyNumberFormat="1" applyFont="1"/>
    <xf numFmtId="1" fontId="7" fillId="0" borderId="1" xfId="0" applyNumberFormat="1" applyFont="1" applyBorder="1" applyAlignment="1">
      <alignment horizontal="center" vertical="center" wrapText="1"/>
    </xf>
    <xf numFmtId="3" fontId="10" fillId="0" borderId="1" xfId="3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 vertical="center" wrapText="1"/>
    </xf>
    <xf numFmtId="37" fontId="10" fillId="0" borderId="1" xfId="2" applyNumberFormat="1" applyFont="1" applyBorder="1" applyAlignment="1">
      <alignment horizontal="right" vertical="center" wrapText="1"/>
    </xf>
    <xf numFmtId="165" fontId="9" fillId="0" borderId="1" xfId="3" applyNumberFormat="1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5" fillId="0" borderId="0" xfId="0" applyFont="1"/>
    <xf numFmtId="1" fontId="15" fillId="0" borderId="0" xfId="0" applyNumberFormat="1" applyFont="1"/>
    <xf numFmtId="0" fontId="15" fillId="0" borderId="0" xfId="0" applyFont="1" applyBorder="1"/>
    <xf numFmtId="165" fontId="6" fillId="0" borderId="0" xfId="1" applyNumberFormat="1" applyFont="1" applyBorder="1"/>
    <xf numFmtId="0" fontId="6" fillId="0" borderId="0" xfId="0" applyFont="1" applyAlignment="1">
      <alignment horizontal="center" vertical="center"/>
    </xf>
    <xf numFmtId="165" fontId="6" fillId="0" borderId="0" xfId="0" applyNumberFormat="1" applyFont="1" applyFill="1" applyBorder="1" applyAlignment="1">
      <alignment vertical="center"/>
    </xf>
    <xf numFmtId="0" fontId="9" fillId="0" borderId="0" xfId="2" applyFont="1" applyBorder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1" fontId="15" fillId="0" borderId="0" xfId="0" applyNumberFormat="1" applyFont="1" applyAlignment="1">
      <alignment vertical="center"/>
    </xf>
    <xf numFmtId="0" fontId="1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5" fontId="6" fillId="0" borderId="0" xfId="1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5" fontId="6" fillId="0" borderId="0" xfId="1" applyNumberFormat="1" applyFont="1" applyFill="1"/>
    <xf numFmtId="0" fontId="7" fillId="0" borderId="0" xfId="0" applyFont="1" applyFill="1" applyAlignment="1">
      <alignment horizontal="center" vertical="center"/>
    </xf>
    <xf numFmtId="165" fontId="6" fillId="0" borderId="0" xfId="1" applyNumberFormat="1" applyFont="1" applyFill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3" fontId="13" fillId="0" borderId="0" xfId="1" applyNumberFormat="1" applyFont="1" applyFill="1" applyBorder="1" applyAlignment="1">
      <alignment horizontal="left"/>
    </xf>
    <xf numFmtId="1" fontId="6" fillId="0" borderId="0" xfId="0" applyNumberFormat="1" applyFont="1" applyFill="1"/>
    <xf numFmtId="167" fontId="6" fillId="0" borderId="0" xfId="0" applyNumberFormat="1" applyFont="1"/>
    <xf numFmtId="167" fontId="15" fillId="0" borderId="0" xfId="0" applyNumberFormat="1" applyFont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165" fontId="6" fillId="0" borderId="0" xfId="1" applyNumberFormat="1" applyFont="1" applyFill="1" applyBorder="1"/>
    <xf numFmtId="165" fontId="6" fillId="0" borderId="0" xfId="1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0" fillId="0" borderId="0" xfId="2" applyFont="1" applyBorder="1" applyAlignment="1">
      <alignment vertical="center" wrapText="1"/>
    </xf>
    <xf numFmtId="0" fontId="10" fillId="0" borderId="10" xfId="2" applyFont="1" applyBorder="1" applyAlignment="1">
      <alignment vertical="center" wrapText="1"/>
    </xf>
    <xf numFmtId="0" fontId="10" fillId="0" borderId="5" xfId="2" applyFont="1" applyBorder="1" applyAlignment="1">
      <alignment vertical="center" wrapText="1"/>
    </xf>
    <xf numFmtId="0" fontId="10" fillId="0" borderId="11" xfId="2" applyFont="1" applyBorder="1" applyAlignment="1">
      <alignment vertical="center" wrapText="1"/>
    </xf>
    <xf numFmtId="165" fontId="18" fillId="0" borderId="0" xfId="1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49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Fill="1" applyAlignment="1">
      <alignment vertical="center"/>
    </xf>
    <xf numFmtId="1" fontId="21" fillId="0" borderId="0" xfId="2" applyNumberFormat="1" applyFont="1" applyFill="1" applyBorder="1" applyAlignment="1">
      <alignment horizontal="left"/>
    </xf>
    <xf numFmtId="0" fontId="21" fillId="0" borderId="0" xfId="0" applyFont="1"/>
    <xf numFmtId="1" fontId="21" fillId="0" borderId="0" xfId="2" quotePrefix="1" applyNumberFormat="1" applyFont="1" applyFill="1" applyBorder="1" applyAlignment="1">
      <alignment horizontal="left"/>
    </xf>
    <xf numFmtId="3" fontId="22" fillId="0" borderId="0" xfId="1" applyNumberFormat="1" applyFont="1" applyFill="1" applyBorder="1" applyAlignment="1"/>
    <xf numFmtId="49" fontId="22" fillId="0" borderId="0" xfId="1" applyNumberFormat="1" applyFont="1" applyFill="1" applyBorder="1" applyAlignmen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Fill="1" applyAlignment="1">
      <alignment vertical="center"/>
    </xf>
    <xf numFmtId="165" fontId="23" fillId="0" borderId="0" xfId="1" applyNumberFormat="1" applyFont="1" applyFill="1" applyAlignment="1">
      <alignment vertical="center"/>
    </xf>
    <xf numFmtId="0" fontId="23" fillId="0" borderId="0" xfId="0" applyFont="1" applyFill="1"/>
    <xf numFmtId="165" fontId="23" fillId="0" borderId="0" xfId="1" applyNumberFormat="1" applyFont="1" applyFill="1"/>
    <xf numFmtId="43" fontId="23" fillId="0" borderId="0" xfId="1" applyFont="1" applyFill="1" applyAlignment="1">
      <alignment vertical="center"/>
    </xf>
    <xf numFmtId="43" fontId="6" fillId="0" borderId="0" xfId="1" applyFont="1" applyFill="1" applyAlignment="1">
      <alignment vertical="center"/>
    </xf>
    <xf numFmtId="43" fontId="6" fillId="0" borderId="0" xfId="1" applyFont="1" applyFill="1"/>
    <xf numFmtId="43" fontId="23" fillId="0" borderId="0" xfId="1" applyFont="1" applyFill="1"/>
    <xf numFmtId="1" fontId="6" fillId="0" borderId="0" xfId="1" applyNumberFormat="1" applyFont="1"/>
    <xf numFmtId="1" fontId="6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43" fontId="25" fillId="0" borderId="0" xfId="1" applyFont="1" applyFill="1" applyAlignment="1">
      <alignment horizontal="center" vertical="center" wrapText="1"/>
    </xf>
    <xf numFmtId="165" fontId="25" fillId="0" borderId="0" xfId="1" applyNumberFormat="1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7" fontId="15" fillId="0" borderId="0" xfId="0" applyNumberFormat="1" applyFont="1"/>
    <xf numFmtId="2" fontId="15" fillId="0" borderId="0" xfId="0" applyNumberFormat="1" applyFont="1" applyFill="1" applyBorder="1" applyAlignment="1">
      <alignment horizontal="center" vertical="center" wrapText="1"/>
    </xf>
    <xf numFmtId="43" fontId="15" fillId="0" borderId="0" xfId="1" applyFont="1" applyFill="1" applyAlignment="1">
      <alignment horizontal="center" vertical="center"/>
    </xf>
    <xf numFmtId="165" fontId="15" fillId="0" borderId="0" xfId="1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49" fontId="12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23" fillId="0" borderId="0" xfId="0" applyNumberFormat="1" applyFont="1" applyFill="1" applyAlignment="1">
      <alignment vertical="center"/>
    </xf>
    <xf numFmtId="167" fontId="23" fillId="0" borderId="0" xfId="0" applyNumberFormat="1" applyFont="1" applyFill="1" applyAlignment="1">
      <alignment vertical="center"/>
    </xf>
    <xf numFmtId="14" fontId="6" fillId="0" borderId="0" xfId="0" applyNumberFormat="1" applyFont="1" applyFill="1" applyAlignment="1">
      <alignment vertical="center"/>
    </xf>
    <xf numFmtId="167" fontId="6" fillId="0" borderId="0" xfId="0" applyNumberFormat="1" applyFont="1" applyFill="1" applyAlignment="1">
      <alignment vertical="center"/>
    </xf>
    <xf numFmtId="14" fontId="6" fillId="0" borderId="0" xfId="0" applyNumberFormat="1" applyFont="1" applyFill="1"/>
    <xf numFmtId="167" fontId="6" fillId="0" borderId="0" xfId="0" applyNumberFormat="1" applyFont="1" applyFill="1"/>
    <xf numFmtId="14" fontId="23" fillId="0" borderId="0" xfId="0" applyNumberFormat="1" applyFont="1" applyFill="1"/>
    <xf numFmtId="167" fontId="23" fillId="0" borderId="0" xfId="0" applyNumberFormat="1" applyFont="1" applyFill="1"/>
    <xf numFmtId="14" fontId="25" fillId="0" borderId="0" xfId="0" applyNumberFormat="1" applyFont="1" applyFill="1" applyAlignment="1">
      <alignment horizontal="center" vertical="center" wrapText="1"/>
    </xf>
    <xf numFmtId="167" fontId="25" fillId="0" borderId="0" xfId="0" applyNumberFormat="1" applyFont="1" applyFill="1" applyAlignment="1">
      <alignment horizontal="center" vertical="center" wrapText="1"/>
    </xf>
    <xf numFmtId="14" fontId="15" fillId="0" borderId="0" xfId="0" applyNumberFormat="1" applyFont="1" applyFill="1" applyAlignment="1">
      <alignment horizontal="center" vertical="center"/>
    </xf>
    <xf numFmtId="167" fontId="15" fillId="0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164" fontId="23" fillId="0" borderId="0" xfId="0" applyNumberFormat="1" applyFont="1" applyAlignment="1">
      <alignment vertical="center"/>
    </xf>
    <xf numFmtId="1" fontId="23" fillId="0" borderId="0" xfId="0" applyNumberFormat="1" applyFont="1" applyAlignment="1">
      <alignment vertical="center"/>
    </xf>
    <xf numFmtId="165" fontId="23" fillId="0" borderId="0" xfId="1" applyNumberFormat="1" applyFont="1" applyAlignment="1">
      <alignment vertical="center"/>
    </xf>
    <xf numFmtId="1" fontId="23" fillId="0" borderId="0" xfId="1" applyNumberFormat="1" applyFont="1" applyAlignment="1">
      <alignment vertical="center"/>
    </xf>
    <xf numFmtId="49" fontId="23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3" fillId="0" borderId="0" xfId="0" applyFont="1"/>
    <xf numFmtId="14" fontId="6" fillId="0" borderId="0" xfId="1" applyNumberFormat="1" applyFont="1"/>
    <xf numFmtId="165" fontId="26" fillId="0" borderId="15" xfId="0" applyNumberFormat="1" applyFont="1" applyBorder="1" applyAlignment="1">
      <alignment horizontal="center" wrapText="1"/>
    </xf>
    <xf numFmtId="1" fontId="29" fillId="0" borderId="1" xfId="1" applyNumberFormat="1" applyFont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4" fillId="6" borderId="19" xfId="6" applyFill="1" applyBorder="1" applyAlignment="1">
      <alignment horizontal="center" vertical="center" wrapText="1"/>
    </xf>
    <xf numFmtId="0" fontId="31" fillId="6" borderId="19" xfId="0" applyFont="1" applyFill="1" applyBorder="1" applyAlignment="1">
      <alignment vertical="center" wrapText="1"/>
    </xf>
    <xf numFmtId="0" fontId="32" fillId="6" borderId="19" xfId="0" applyFont="1" applyFill="1" applyBorder="1" applyAlignment="1">
      <alignment vertical="center" wrapText="1"/>
    </xf>
    <xf numFmtId="14" fontId="31" fillId="6" borderId="19" xfId="0" applyNumberFormat="1" applyFont="1" applyFill="1" applyBorder="1" applyAlignment="1">
      <alignment horizontal="center" vertical="center" wrapText="1"/>
    </xf>
    <xf numFmtId="0" fontId="33" fillId="6" borderId="19" xfId="0" applyFont="1" applyFill="1" applyBorder="1" applyAlignment="1">
      <alignment horizontal="right" vertical="center" wrapText="1"/>
    </xf>
    <xf numFmtId="0" fontId="31" fillId="6" borderId="19" xfId="0" applyFont="1" applyFill="1" applyBorder="1" applyAlignment="1">
      <alignment horizontal="right" vertical="center" wrapText="1"/>
    </xf>
    <xf numFmtId="0" fontId="34" fillId="8" borderId="19" xfId="6" applyFill="1" applyBorder="1" applyAlignment="1">
      <alignment horizontal="center" vertical="center" wrapText="1"/>
    </xf>
    <xf numFmtId="0" fontId="31" fillId="8" borderId="19" xfId="0" applyFont="1" applyFill="1" applyBorder="1" applyAlignment="1">
      <alignment vertical="center" wrapText="1"/>
    </xf>
    <xf numFmtId="0" fontId="32" fillId="8" borderId="19" xfId="0" applyFont="1" applyFill="1" applyBorder="1" applyAlignment="1">
      <alignment vertical="center" wrapText="1"/>
    </xf>
    <xf numFmtId="14" fontId="31" fillId="8" borderId="19" xfId="0" applyNumberFormat="1" applyFont="1" applyFill="1" applyBorder="1" applyAlignment="1">
      <alignment horizontal="center" vertical="center" wrapText="1"/>
    </xf>
    <xf numFmtId="0" fontId="33" fillId="8" borderId="19" xfId="0" applyFont="1" applyFill="1" applyBorder="1" applyAlignment="1">
      <alignment horizontal="right" vertical="center" wrapText="1"/>
    </xf>
    <xf numFmtId="0" fontId="31" fillId="8" borderId="19" xfId="0" applyFont="1" applyFill="1" applyBorder="1" applyAlignment="1">
      <alignment horizontal="right" vertical="center" wrapText="1"/>
    </xf>
    <xf numFmtId="0" fontId="30" fillId="7" borderId="20" xfId="0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31" fillId="6" borderId="22" xfId="0" applyFont="1" applyFill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center" vertical="center" wrapText="1"/>
    </xf>
    <xf numFmtId="1" fontId="30" fillId="7" borderId="21" xfId="0" applyNumberFormat="1" applyFont="1" applyFill="1" applyBorder="1" applyAlignment="1">
      <alignment horizontal="center" vertical="center" wrapText="1"/>
    </xf>
    <xf numFmtId="1" fontId="31" fillId="8" borderId="19" xfId="0" applyNumberFormat="1" applyFont="1" applyFill="1" applyBorder="1" applyAlignment="1">
      <alignment vertical="center" wrapText="1"/>
    </xf>
    <xf numFmtId="1" fontId="23" fillId="0" borderId="0" xfId="0" applyNumberFormat="1" applyFont="1" applyFill="1" applyAlignment="1">
      <alignment vertical="center"/>
    </xf>
    <xf numFmtId="2" fontId="6" fillId="0" borderId="0" xfId="0" applyNumberFormat="1" applyFont="1"/>
    <xf numFmtId="14" fontId="6" fillId="0" borderId="0" xfId="0" applyNumberFormat="1" applyFont="1" applyFill="1" applyAlignment="1">
      <alignment horizontal="center" vertical="center"/>
    </xf>
    <xf numFmtId="14" fontId="6" fillId="0" borderId="0" xfId="1" applyNumberFormat="1" applyFont="1" applyFill="1"/>
    <xf numFmtId="14" fontId="7" fillId="0" borderId="0" xfId="0" applyNumberFormat="1" applyFont="1" applyFill="1" applyAlignment="1">
      <alignment horizontal="center" vertical="center"/>
    </xf>
    <xf numFmtId="14" fontId="6" fillId="0" borderId="0" xfId="1" applyNumberFormat="1" applyFont="1" applyFill="1" applyAlignment="1">
      <alignment vertical="center"/>
    </xf>
    <xf numFmtId="14" fontId="6" fillId="0" borderId="0" xfId="1" applyNumberFormat="1" applyFont="1" applyFill="1" applyBorder="1"/>
    <xf numFmtId="14" fontId="20" fillId="0" borderId="0" xfId="0" applyNumberFormat="1" applyFont="1" applyFill="1" applyBorder="1" applyAlignment="1">
      <alignment vertical="center" wrapText="1"/>
    </xf>
    <xf numFmtId="14" fontId="7" fillId="0" borderId="0" xfId="1" applyNumberFormat="1" applyFont="1" applyFill="1" applyBorder="1" applyAlignment="1">
      <alignment horizontal="center" vertical="center" wrapText="1"/>
    </xf>
    <xf numFmtId="14" fontId="0" fillId="0" borderId="14" xfId="0" applyNumberFormat="1" applyFont="1" applyFill="1" applyBorder="1"/>
    <xf numFmtId="14" fontId="7" fillId="0" borderId="0" xfId="1" applyNumberFormat="1" applyFont="1" applyFill="1" applyBorder="1" applyAlignment="1">
      <alignment vertical="center"/>
    </xf>
    <xf numFmtId="0" fontId="31" fillId="6" borderId="23" xfId="0" applyFont="1" applyFill="1" applyBorder="1" applyAlignment="1">
      <alignment horizontal="center" vertical="center" wrapText="1"/>
    </xf>
    <xf numFmtId="0" fontId="34" fillId="6" borderId="24" xfId="6" applyFill="1" applyBorder="1" applyAlignment="1">
      <alignment horizontal="center" vertical="center" wrapText="1"/>
    </xf>
    <xf numFmtId="0" fontId="31" fillId="6" borderId="24" xfId="0" applyFont="1" applyFill="1" applyBorder="1" applyAlignment="1">
      <alignment vertical="center" wrapText="1"/>
    </xf>
    <xf numFmtId="0" fontId="32" fillId="6" borderId="24" xfId="0" applyFont="1" applyFill="1" applyBorder="1" applyAlignment="1">
      <alignment vertical="center" wrapText="1"/>
    </xf>
    <xf numFmtId="14" fontId="31" fillId="6" borderId="24" xfId="0" applyNumberFormat="1" applyFont="1" applyFill="1" applyBorder="1" applyAlignment="1">
      <alignment horizontal="center" vertical="center" wrapText="1"/>
    </xf>
    <xf numFmtId="0" fontId="33" fillId="6" borderId="24" xfId="0" applyFont="1" applyFill="1" applyBorder="1" applyAlignment="1">
      <alignment horizontal="right" vertical="center" wrapText="1"/>
    </xf>
    <xf numFmtId="0" fontId="31" fillId="6" borderId="24" xfId="0" applyFont="1" applyFill="1" applyBorder="1" applyAlignment="1">
      <alignment horizontal="right" vertical="center" wrapText="1"/>
    </xf>
    <xf numFmtId="1" fontId="25" fillId="0" borderId="0" xfId="0" quotePrefix="1" applyNumberFormat="1" applyFont="1" applyFill="1" applyAlignment="1">
      <alignment horizontal="center" vertical="center" wrapText="1"/>
    </xf>
    <xf numFmtId="14" fontId="25" fillId="0" borderId="0" xfId="0" quotePrefix="1" applyNumberFormat="1" applyFont="1" applyFill="1" applyAlignment="1">
      <alignment horizontal="center" vertical="center" wrapText="1"/>
    </xf>
    <xf numFmtId="1" fontId="32" fillId="6" borderId="19" xfId="0" applyNumberFormat="1" applyFont="1" applyFill="1" applyBorder="1" applyAlignment="1">
      <alignment vertical="center" wrapText="1"/>
    </xf>
    <xf numFmtId="165" fontId="35" fillId="0" borderId="0" xfId="1" applyNumberFormat="1" applyFont="1"/>
    <xf numFmtId="1" fontId="35" fillId="0" borderId="0" xfId="0" applyNumberFormat="1" applyFont="1"/>
    <xf numFmtId="164" fontId="35" fillId="0" borderId="0" xfId="0" applyNumberFormat="1" applyFont="1"/>
    <xf numFmtId="0" fontId="35" fillId="0" borderId="0" xfId="0" applyFont="1"/>
    <xf numFmtId="2" fontId="35" fillId="0" borderId="0" xfId="0" applyNumberFormat="1" applyFont="1"/>
    <xf numFmtId="0" fontId="3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65" fontId="38" fillId="0" borderId="1" xfId="1" applyNumberFormat="1" applyFont="1" applyFill="1" applyBorder="1" applyAlignment="1">
      <alignment horizontal="center" vertical="center" wrapText="1"/>
    </xf>
    <xf numFmtId="1" fontId="38" fillId="0" borderId="1" xfId="1" applyNumberFormat="1" applyFont="1" applyFill="1" applyBorder="1" applyAlignment="1">
      <alignment horizontal="center" vertical="center" wrapText="1"/>
    </xf>
    <xf numFmtId="165" fontId="38" fillId="4" borderId="1" xfId="1" applyNumberFormat="1" applyFont="1" applyFill="1" applyBorder="1" applyAlignment="1">
      <alignment horizontal="center" vertical="center" wrapText="1"/>
    </xf>
    <xf numFmtId="1" fontId="38" fillId="4" borderId="1" xfId="1" applyNumberFormat="1" applyFont="1" applyFill="1" applyBorder="1" applyAlignment="1">
      <alignment horizontal="center" vertical="center" wrapText="1"/>
    </xf>
    <xf numFmtId="49" fontId="38" fillId="4" borderId="1" xfId="1" applyNumberFormat="1" applyFont="1" applyFill="1" applyBorder="1" applyAlignment="1">
      <alignment horizontal="center" vertical="center" wrapText="1"/>
    </xf>
    <xf numFmtId="165" fontId="38" fillId="5" borderId="1" xfId="1" applyNumberFormat="1" applyFont="1" applyFill="1" applyBorder="1" applyAlignment="1">
      <alignment horizontal="center" vertical="center" wrapText="1"/>
    </xf>
    <xf numFmtId="1" fontId="17" fillId="5" borderId="1" xfId="1" applyNumberFormat="1" applyFont="1" applyFill="1" applyBorder="1" applyAlignment="1">
      <alignment horizontal="center" vertical="center" wrapText="1"/>
    </xf>
    <xf numFmtId="165" fontId="17" fillId="5" borderId="1" xfId="1" applyNumberFormat="1" applyFont="1" applyFill="1" applyBorder="1" applyAlignment="1">
      <alignment horizontal="center" vertical="center" wrapText="1"/>
    </xf>
    <xf numFmtId="165" fontId="17" fillId="0" borderId="1" xfId="1" applyNumberFormat="1" applyFont="1" applyFill="1" applyBorder="1" applyAlignment="1">
      <alignment horizontal="center" vertical="center" wrapText="1"/>
    </xf>
    <xf numFmtId="2" fontId="17" fillId="0" borderId="1" xfId="1" applyNumberFormat="1" applyFont="1" applyFill="1" applyBorder="1" applyAlignment="1">
      <alignment horizontal="center" vertical="center" wrapText="1"/>
    </xf>
    <xf numFmtId="1" fontId="40" fillId="0" borderId="1" xfId="1" applyNumberFormat="1" applyFont="1" applyFill="1" applyBorder="1" applyAlignment="1">
      <alignment horizontal="center" vertical="center" wrapText="1"/>
    </xf>
    <xf numFmtId="165" fontId="40" fillId="0" borderId="1" xfId="0" applyNumberFormat="1" applyFont="1" applyFill="1" applyBorder="1" applyAlignment="1">
      <alignment horizontal="center" vertical="center" wrapText="1"/>
    </xf>
    <xf numFmtId="167" fontId="40" fillId="0" borderId="1" xfId="1" applyNumberFormat="1" applyFont="1" applyFill="1" applyBorder="1" applyAlignment="1">
      <alignment horizontal="center" vertical="center" wrapText="1"/>
    </xf>
    <xf numFmtId="165" fontId="40" fillId="0" borderId="1" xfId="1" applyNumberFormat="1" applyFont="1" applyFill="1" applyBorder="1" applyAlignment="1">
      <alignment horizontal="right" vertical="center" wrapText="1"/>
    </xf>
    <xf numFmtId="3" fontId="40" fillId="0" borderId="1" xfId="1" applyNumberFormat="1" applyFont="1" applyFill="1" applyBorder="1" applyAlignment="1">
      <alignment horizontal="right" vertical="center" wrapText="1"/>
    </xf>
    <xf numFmtId="14" fontId="40" fillId="0" borderId="1" xfId="1" applyNumberFormat="1" applyFont="1" applyFill="1" applyBorder="1" applyAlignment="1">
      <alignment horizontal="right" vertical="center" wrapText="1"/>
    </xf>
    <xf numFmtId="165" fontId="40" fillId="0" borderId="1" xfId="0" applyNumberFormat="1" applyFont="1" applyBorder="1" applyAlignment="1">
      <alignment horizontal="center" vertical="center" wrapText="1"/>
    </xf>
    <xf numFmtId="165" fontId="40" fillId="0" borderId="1" xfId="1" applyNumberFormat="1" applyFont="1" applyBorder="1" applyAlignment="1">
      <alignment horizontal="center" vertical="center" wrapText="1"/>
    </xf>
    <xf numFmtId="165" fontId="40" fillId="0" borderId="1" xfId="1" applyNumberFormat="1" applyFont="1" applyBorder="1" applyAlignment="1">
      <alignment horizontal="center" vertical="center"/>
    </xf>
    <xf numFmtId="1" fontId="40" fillId="0" borderId="1" xfId="1" applyNumberFormat="1" applyFont="1" applyBorder="1" applyAlignment="1">
      <alignment horizontal="center" vertical="center"/>
    </xf>
    <xf numFmtId="49" fontId="40" fillId="0" borderId="1" xfId="1" applyNumberFormat="1" applyFont="1" applyBorder="1" applyAlignment="1">
      <alignment horizontal="center" vertical="center"/>
    </xf>
    <xf numFmtId="1" fontId="39" fillId="0" borderId="1" xfId="1" applyNumberFormat="1" applyFont="1" applyBorder="1" applyAlignment="1">
      <alignment horizontal="center" vertical="center"/>
    </xf>
    <xf numFmtId="165" fontId="39" fillId="0" borderId="1" xfId="1" applyNumberFormat="1" applyFont="1" applyBorder="1" applyAlignment="1">
      <alignment horizontal="center" vertical="center"/>
    </xf>
    <xf numFmtId="1" fontId="43" fillId="0" borderId="4" xfId="0" applyNumberFormat="1" applyFont="1" applyFill="1" applyBorder="1" applyAlignment="1">
      <alignment horizontal="center" vertical="center"/>
    </xf>
    <xf numFmtId="0" fontId="31" fillId="6" borderId="24" xfId="0" applyFont="1" applyFill="1" applyBorder="1" applyAlignment="1">
      <alignment horizontal="center" vertical="center" wrapText="1"/>
    </xf>
    <xf numFmtId="0" fontId="31" fillId="8" borderId="19" xfId="0" applyFont="1" applyFill="1" applyBorder="1" applyAlignment="1">
      <alignment horizontal="center" vertical="center" wrapText="1"/>
    </xf>
    <xf numFmtId="0" fontId="31" fillId="6" borderId="1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" fontId="15" fillId="0" borderId="4" xfId="0" applyNumberFormat="1" applyFont="1" applyFill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 wrapText="1"/>
    </xf>
    <xf numFmtId="0" fontId="34" fillId="6" borderId="23" xfId="6" applyFill="1" applyBorder="1" applyAlignment="1">
      <alignment horizontal="center" vertical="center" wrapText="1"/>
    </xf>
    <xf numFmtId="3" fontId="21" fillId="0" borderId="0" xfId="1" applyNumberFormat="1" applyFont="1" applyFill="1" applyBorder="1" applyAlignment="1"/>
    <xf numFmtId="43" fontId="44" fillId="0" borderId="0" xfId="1" applyFont="1" applyAlignment="1">
      <alignment vertical="center"/>
    </xf>
    <xf numFmtId="3" fontId="44" fillId="0" borderId="0" xfId="1" applyNumberFormat="1" applyFont="1" applyFill="1" applyBorder="1" applyAlignment="1">
      <alignment vertical="center"/>
    </xf>
    <xf numFmtId="165" fontId="44" fillId="0" borderId="0" xfId="1" applyNumberFormat="1" applyFont="1" applyFill="1" applyBorder="1" applyAlignment="1">
      <alignment vertical="center"/>
    </xf>
    <xf numFmtId="165" fontId="44" fillId="0" borderId="0" xfId="1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37" fontId="6" fillId="0" borderId="0" xfId="0" applyNumberFormat="1" applyFont="1"/>
    <xf numFmtId="165" fontId="6" fillId="0" borderId="0" xfId="1" applyNumberFormat="1" applyFont="1" applyFill="1" applyBorder="1" applyAlignment="1">
      <alignment horizontal="right" vertical="center"/>
    </xf>
    <xf numFmtId="0" fontId="16" fillId="0" borderId="0" xfId="0" applyFont="1"/>
    <xf numFmtId="0" fontId="16" fillId="0" borderId="0" xfId="0" applyFont="1" applyAlignment="1">
      <alignment horizontal="left"/>
    </xf>
    <xf numFmtId="1" fontId="16" fillId="0" borderId="0" xfId="0" applyNumberFormat="1" applyFont="1" applyFill="1"/>
    <xf numFmtId="1" fontId="16" fillId="0" borderId="0" xfId="0" applyNumberFormat="1" applyFont="1"/>
    <xf numFmtId="0" fontId="16" fillId="0" borderId="0" xfId="0" applyFont="1" applyAlignment="1">
      <alignment horizontal="center"/>
    </xf>
    <xf numFmtId="165" fontId="16" fillId="0" borderId="0" xfId="1" applyNumberFormat="1" applyFont="1"/>
    <xf numFmtId="164" fontId="16" fillId="0" borderId="0" xfId="0" applyNumberFormat="1" applyFont="1"/>
    <xf numFmtId="1" fontId="45" fillId="0" borderId="4" xfId="0" applyNumberFormat="1" applyFont="1" applyBorder="1" applyAlignment="1">
      <alignment horizontal="center" vertical="center"/>
    </xf>
    <xf numFmtId="165" fontId="16" fillId="0" borderId="0" xfId="1" applyNumberFormat="1" applyFont="1" applyFill="1" applyBorder="1" applyAlignment="1">
      <alignment horizontal="right"/>
    </xf>
    <xf numFmtId="0" fontId="16" fillId="0" borderId="0" xfId="0" applyFont="1" applyFill="1" applyBorder="1"/>
    <xf numFmtId="165" fontId="16" fillId="0" borderId="0" xfId="1" applyNumberFormat="1" applyFont="1" applyFill="1" applyBorder="1"/>
    <xf numFmtId="0" fontId="16" fillId="0" borderId="0" xfId="0" applyFont="1" applyBorder="1"/>
    <xf numFmtId="0" fontId="46" fillId="0" borderId="0" xfId="0" applyFont="1" applyAlignment="1">
      <alignment horizontal="center" vertical="center"/>
    </xf>
    <xf numFmtId="1" fontId="15" fillId="0" borderId="0" xfId="0" applyNumberFormat="1" applyFont="1" applyFill="1" applyAlignment="1">
      <alignment vertical="center"/>
    </xf>
    <xf numFmtId="0" fontId="15" fillId="0" borderId="0" xfId="0" applyFont="1" applyBorder="1" applyAlignment="1">
      <alignment horizontal="center" vertical="center"/>
    </xf>
    <xf numFmtId="165" fontId="15" fillId="0" borderId="0" xfId="1" applyNumberFormat="1" applyFont="1" applyBorder="1" applyAlignment="1">
      <alignment vertical="center"/>
    </xf>
    <xf numFmtId="164" fontId="15" fillId="0" borderId="0" xfId="0" applyNumberFormat="1" applyFont="1" applyAlignment="1">
      <alignment vertical="center"/>
    </xf>
    <xf numFmtId="165" fontId="15" fillId="0" borderId="0" xfId="1" applyNumberFormat="1" applyFont="1" applyAlignment="1">
      <alignment vertical="center"/>
    </xf>
    <xf numFmtId="0" fontId="15" fillId="0" borderId="0" xfId="0" applyFont="1" applyFill="1" applyBorder="1" applyAlignment="1">
      <alignment vertical="center"/>
    </xf>
    <xf numFmtId="165" fontId="15" fillId="0" borderId="0" xfId="1" applyNumberFormat="1" applyFont="1" applyFill="1" applyBorder="1" applyAlignment="1">
      <alignment horizontal="right" vertical="center"/>
    </xf>
    <xf numFmtId="165" fontId="15" fillId="0" borderId="0" xfId="1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Fill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65" fontId="16" fillId="0" borderId="0" xfId="1" applyNumberFormat="1" applyFont="1" applyAlignment="1">
      <alignment vertical="center"/>
    </xf>
    <xf numFmtId="0" fontId="16" fillId="0" borderId="0" xfId="0" applyFont="1" applyFill="1" applyBorder="1" applyAlignment="1">
      <alignment vertical="center"/>
    </xf>
    <xf numFmtId="165" fontId="16" fillId="0" borderId="0" xfId="1" applyNumberFormat="1" applyFont="1" applyFill="1" applyBorder="1" applyAlignment="1">
      <alignment horizontal="right" vertical="center"/>
    </xf>
    <xf numFmtId="165" fontId="16" fillId="0" borderId="0" xfId="1" applyNumberFormat="1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1" fontId="6" fillId="0" borderId="4" xfId="0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 wrapText="1"/>
    </xf>
    <xf numFmtId="165" fontId="15" fillId="0" borderId="1" xfId="1" applyNumberFormat="1" applyFont="1" applyFill="1" applyBorder="1" applyAlignment="1">
      <alignment horizontal="center" vertical="center" wrapText="1"/>
    </xf>
    <xf numFmtId="165" fontId="6" fillId="0" borderId="4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1" fontId="16" fillId="0" borderId="0" xfId="0" applyNumberFormat="1" applyFont="1" applyFill="1" applyAlignment="1">
      <alignment vertical="center"/>
    </xf>
    <xf numFmtId="1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3" fontId="48" fillId="0" borderId="0" xfId="1" applyNumberFormat="1" applyFont="1" applyFill="1" applyBorder="1" applyAlignment="1">
      <alignment horizontal="left" vertical="center"/>
    </xf>
    <xf numFmtId="0" fontId="46" fillId="0" borderId="0" xfId="0" applyFont="1" applyFill="1" applyAlignment="1">
      <alignment vertical="center"/>
    </xf>
    <xf numFmtId="1" fontId="6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65" fontId="46" fillId="0" borderId="0" xfId="1" applyNumberFormat="1" applyFont="1" applyBorder="1" applyAlignment="1">
      <alignment horizontal="center" vertical="center" wrapText="1"/>
    </xf>
    <xf numFmtId="165" fontId="16" fillId="0" borderId="0" xfId="1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8" fontId="6" fillId="2" borderId="1" xfId="7" applyNumberFormat="1" applyFont="1" applyFill="1" applyBorder="1" applyAlignment="1">
      <alignment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9" borderId="1" xfId="0" applyFont="1" applyFill="1" applyBorder="1" applyAlignment="1">
      <alignment horizontal="center" vertical="center"/>
    </xf>
    <xf numFmtId="165" fontId="46" fillId="0" borderId="0" xfId="1" applyNumberFormat="1" applyFont="1" applyBorder="1" applyAlignment="1">
      <alignment vertical="center"/>
    </xf>
    <xf numFmtId="165" fontId="16" fillId="0" borderId="0" xfId="0" applyNumberFormat="1" applyFont="1" applyFill="1" applyBorder="1" applyAlignment="1">
      <alignment vertical="center"/>
    </xf>
    <xf numFmtId="1" fontId="4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65" fontId="40" fillId="0" borderId="1" xfId="1" applyNumberFormat="1" applyFont="1" applyFill="1" applyBorder="1" applyAlignment="1">
      <alignment horizontal="center" vertical="center" wrapText="1"/>
    </xf>
    <xf numFmtId="167" fontId="40" fillId="0" borderId="1" xfId="1" quotePrefix="1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39" fillId="0" borderId="0" xfId="0" applyFont="1" applyBorder="1" applyAlignment="1">
      <alignment vertical="center"/>
    </xf>
    <xf numFmtId="0" fontId="39" fillId="0" borderId="0" xfId="0" applyFont="1" applyBorder="1" applyAlignment="1">
      <alignment horizontal="center" vertical="center"/>
    </xf>
    <xf numFmtId="164" fontId="39" fillId="0" borderId="0" xfId="0" applyNumberFormat="1" applyFont="1" applyAlignment="1">
      <alignment vertical="center"/>
    </xf>
    <xf numFmtId="1" fontId="39" fillId="0" borderId="0" xfId="0" applyNumberFormat="1" applyFont="1" applyAlignment="1">
      <alignment vertical="center"/>
    </xf>
    <xf numFmtId="165" fontId="39" fillId="0" borderId="0" xfId="1" applyNumberFormat="1" applyFont="1" applyAlignment="1">
      <alignment vertical="center"/>
    </xf>
    <xf numFmtId="1" fontId="39" fillId="0" borderId="0" xfId="1" applyNumberFormat="1" applyFont="1" applyAlignment="1">
      <alignment vertical="center"/>
    </xf>
    <xf numFmtId="49" fontId="39" fillId="0" borderId="0" xfId="0" applyNumberFormat="1" applyFont="1" applyAlignment="1">
      <alignment vertical="center"/>
    </xf>
    <xf numFmtId="0" fontId="39" fillId="0" borderId="0" xfId="0" applyFont="1" applyFill="1" applyAlignment="1">
      <alignment vertical="center"/>
    </xf>
    <xf numFmtId="43" fontId="39" fillId="0" borderId="0" xfId="1" applyFont="1" applyFill="1" applyAlignment="1">
      <alignment vertical="center"/>
    </xf>
    <xf numFmtId="165" fontId="39" fillId="0" borderId="0" xfId="1" applyNumberFormat="1" applyFont="1" applyFill="1" applyAlignment="1">
      <alignment vertical="center"/>
    </xf>
    <xf numFmtId="14" fontId="39" fillId="0" borderId="0" xfId="0" applyNumberFormat="1" applyFont="1" applyFill="1" applyAlignment="1">
      <alignment vertical="center"/>
    </xf>
    <xf numFmtId="167" fontId="39" fillId="0" borderId="0" xfId="0" applyNumberFormat="1" applyFont="1" applyFill="1" applyAlignment="1">
      <alignment vertical="center"/>
    </xf>
    <xf numFmtId="0" fontId="50" fillId="0" borderId="0" xfId="0" applyFont="1" applyFill="1" applyBorder="1" applyAlignment="1">
      <alignment horizontal="center" vertical="center"/>
    </xf>
    <xf numFmtId="0" fontId="51" fillId="0" borderId="16" xfId="0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center" vertical="center" wrapText="1"/>
    </xf>
    <xf numFmtId="0" fontId="51" fillId="0" borderId="18" xfId="0" applyFont="1" applyFill="1" applyBorder="1" applyAlignment="1">
      <alignment horizontal="center" vertical="center" wrapText="1"/>
    </xf>
    <xf numFmtId="0" fontId="52" fillId="0" borderId="18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53" fillId="0" borderId="0" xfId="0" applyFont="1"/>
    <xf numFmtId="43" fontId="6" fillId="0" borderId="0" xfId="1" applyNumberFormat="1" applyFont="1"/>
    <xf numFmtId="43" fontId="23" fillId="0" borderId="0" xfId="1" applyNumberFormat="1" applyFont="1" applyAlignment="1">
      <alignment vertical="center"/>
    </xf>
    <xf numFmtId="43" fontId="39" fillId="0" borderId="0" xfId="1" applyNumberFormat="1" applyFont="1" applyAlignment="1">
      <alignment vertical="center"/>
    </xf>
    <xf numFmtId="43" fontId="7" fillId="0" borderId="0" xfId="1" applyNumberFormat="1" applyFont="1" applyFill="1"/>
    <xf numFmtId="43" fontId="38" fillId="4" borderId="1" xfId="1" applyNumberFormat="1" applyFont="1" applyFill="1" applyBorder="1" applyAlignment="1">
      <alignment horizontal="center" vertical="center" wrapText="1"/>
    </xf>
    <xf numFmtId="165" fontId="40" fillId="0" borderId="0" xfId="1" applyNumberFormat="1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 wrapText="1"/>
    </xf>
    <xf numFmtId="49" fontId="40" fillId="0" borderId="1" xfId="0" quotePrefix="1" applyNumberFormat="1" applyFont="1" applyFill="1" applyBorder="1" applyAlignment="1">
      <alignment horizontal="center" vertical="center" wrapText="1"/>
    </xf>
    <xf numFmtId="165" fontId="39" fillId="0" borderId="1" xfId="1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 wrapText="1"/>
    </xf>
    <xf numFmtId="165" fontId="39" fillId="0" borderId="1" xfId="0" applyNumberFormat="1" applyFont="1" applyFill="1" applyBorder="1" applyAlignment="1">
      <alignment horizontal="center" vertical="center"/>
    </xf>
    <xf numFmtId="1" fontId="54" fillId="8" borderId="19" xfId="0" applyNumberFormat="1" applyFont="1" applyFill="1" applyBorder="1" applyAlignment="1">
      <alignment vertical="center" wrapText="1"/>
    </xf>
    <xf numFmtId="14" fontId="39" fillId="0" borderId="0" xfId="0" applyNumberFormat="1" applyFont="1" applyFill="1" applyAlignment="1">
      <alignment horizontal="center" vertical="center" wrapText="1"/>
    </xf>
    <xf numFmtId="0" fontId="39" fillId="0" borderId="0" xfId="0" applyFont="1" applyFill="1" applyAlignment="1">
      <alignment horizontal="center" vertical="center" wrapText="1"/>
    </xf>
    <xf numFmtId="167" fontId="39" fillId="0" borderId="0" xfId="0" applyNumberFormat="1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165" fontId="40" fillId="0" borderId="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1" fontId="5" fillId="0" borderId="1" xfId="1" quotePrefix="1" applyNumberFormat="1" applyFont="1" applyFill="1" applyBorder="1" applyAlignment="1">
      <alignment horizontal="center" vertical="center" wrapText="1"/>
    </xf>
    <xf numFmtId="167" fontId="55" fillId="0" borderId="1" xfId="0" quotePrefix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 wrapText="1"/>
    </xf>
    <xf numFmtId="167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167" fontId="5" fillId="0" borderId="1" xfId="1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67" fontId="56" fillId="0" borderId="1" xfId="0" applyNumberFormat="1" applyFont="1" applyBorder="1" applyAlignment="1">
      <alignment horizontal="center" vertical="center" wrapText="1"/>
    </xf>
    <xf numFmtId="0" fontId="57" fillId="0" borderId="1" xfId="0" applyNumberFormat="1" applyFont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1" fontId="57" fillId="0" borderId="1" xfId="0" applyNumberFormat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167" fontId="57" fillId="0" borderId="1" xfId="0" applyNumberFormat="1" applyFont="1" applyBorder="1" applyAlignment="1">
      <alignment horizontal="center" vertical="center"/>
    </xf>
    <xf numFmtId="49" fontId="57" fillId="0" borderId="1" xfId="0" applyNumberFormat="1" applyFont="1" applyBorder="1" applyAlignment="1">
      <alignment horizontal="center" vertical="center"/>
    </xf>
    <xf numFmtId="1" fontId="57" fillId="0" borderId="1" xfId="0" applyNumberFormat="1" applyFont="1" applyFill="1" applyBorder="1" applyAlignment="1">
      <alignment horizontal="center" vertical="center" wrapText="1"/>
    </xf>
    <xf numFmtId="1" fontId="57" fillId="0" borderId="4" xfId="0" applyNumberFormat="1" applyFont="1" applyBorder="1" applyAlignment="1">
      <alignment horizontal="center" vertical="center"/>
    </xf>
    <xf numFmtId="1" fontId="56" fillId="0" borderId="4" xfId="0" applyNumberFormat="1" applyFont="1" applyBorder="1" applyAlignment="1">
      <alignment horizontal="center" vertical="center"/>
    </xf>
    <xf numFmtId="165" fontId="7" fillId="0" borderId="0" xfId="1" applyNumberFormat="1" applyFont="1" applyAlignment="1">
      <alignment vertical="center"/>
    </xf>
    <xf numFmtId="1" fontId="56" fillId="0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3" fillId="0" borderId="0" xfId="0" quotePrefix="1" applyFont="1" applyFill="1" applyAlignment="1">
      <alignment vertical="center"/>
    </xf>
    <xf numFmtId="169" fontId="6" fillId="0" borderId="0" xfId="1" applyNumberFormat="1" applyFont="1"/>
    <xf numFmtId="169" fontId="38" fillId="5" borderId="1" xfId="1" applyNumberFormat="1" applyFont="1" applyFill="1" applyBorder="1" applyAlignment="1">
      <alignment horizontal="center" vertical="center" wrapText="1"/>
    </xf>
    <xf numFmtId="169" fontId="6" fillId="0" borderId="0" xfId="1" applyNumberFormat="1" applyFont="1" applyAlignment="1">
      <alignment vertical="center"/>
    </xf>
    <xf numFmtId="169" fontId="7" fillId="0" borderId="0" xfId="1" applyNumberFormat="1" applyFont="1" applyAlignment="1">
      <alignment vertical="center"/>
    </xf>
    <xf numFmtId="165" fontId="36" fillId="0" borderId="1" xfId="1" applyNumberFormat="1" applyFont="1" applyFill="1" applyBorder="1" applyAlignment="1">
      <alignment horizontal="center" vertical="center" wrapText="1"/>
    </xf>
    <xf numFmtId="1" fontId="36" fillId="0" borderId="1" xfId="1" quotePrefix="1" applyNumberFormat="1" applyFont="1" applyFill="1" applyBorder="1" applyAlignment="1">
      <alignment horizontal="center" vertical="center" wrapText="1"/>
    </xf>
    <xf numFmtId="167" fontId="58" fillId="0" borderId="1" xfId="0" quotePrefix="1" applyNumberFormat="1" applyFont="1" applyFill="1" applyBorder="1" applyAlignment="1">
      <alignment horizontal="center" vertical="center"/>
    </xf>
    <xf numFmtId="1" fontId="36" fillId="0" borderId="1" xfId="1" applyNumberFormat="1" applyFont="1" applyFill="1" applyBorder="1" applyAlignment="1">
      <alignment horizontal="center" vertical="center" wrapText="1"/>
    </xf>
    <xf numFmtId="167" fontId="36" fillId="0" borderId="1" xfId="0" applyNumberFormat="1" applyFont="1" applyFill="1" applyBorder="1" applyAlignment="1">
      <alignment horizontal="center" vertical="center" wrapText="1"/>
    </xf>
    <xf numFmtId="165" fontId="36" fillId="0" borderId="1" xfId="0" applyNumberFormat="1" applyFont="1" applyBorder="1" applyAlignment="1">
      <alignment horizontal="center" vertical="center" wrapText="1"/>
    </xf>
    <xf numFmtId="3" fontId="6" fillId="0" borderId="0" xfId="0" applyNumberFormat="1" applyFont="1"/>
    <xf numFmtId="0" fontId="59" fillId="6" borderId="23" xfId="0" applyFont="1" applyFill="1" applyBorder="1" applyAlignment="1">
      <alignment horizontal="center" vertical="center" wrapText="1"/>
    </xf>
    <xf numFmtId="0" fontId="59" fillId="6" borderId="24" xfId="0" applyFont="1" applyFill="1" applyBorder="1" applyAlignment="1">
      <alignment vertical="center" wrapText="1"/>
    </xf>
    <xf numFmtId="0" fontId="60" fillId="6" borderId="24" xfId="0" applyFont="1" applyFill="1" applyBorder="1" applyAlignment="1">
      <alignment vertical="center" wrapText="1"/>
    </xf>
    <xf numFmtId="0" fontId="59" fillId="6" borderId="24" xfId="0" applyFont="1" applyFill="1" applyBorder="1" applyAlignment="1">
      <alignment horizontal="center" vertical="center" wrapText="1"/>
    </xf>
    <xf numFmtId="0" fontId="61" fillId="6" borderId="24" xfId="0" applyFont="1" applyFill="1" applyBorder="1" applyAlignment="1">
      <alignment horizontal="right" vertical="center" wrapText="1"/>
    </xf>
    <xf numFmtId="0" fontId="59" fillId="6" borderId="24" xfId="0" applyFont="1" applyFill="1" applyBorder="1" applyAlignment="1">
      <alignment horizontal="right" vertical="center" wrapText="1"/>
    </xf>
    <xf numFmtId="0" fontId="59" fillId="8" borderId="22" xfId="0" applyFont="1" applyFill="1" applyBorder="1" applyAlignment="1">
      <alignment horizontal="center" vertical="center" wrapText="1"/>
    </xf>
    <xf numFmtId="0" fontId="59" fillId="8" borderId="19" xfId="0" applyFont="1" applyFill="1" applyBorder="1" applyAlignment="1">
      <alignment vertical="center" wrapText="1"/>
    </xf>
    <xf numFmtId="0" fontId="60" fillId="8" borderId="19" xfId="0" applyFont="1" applyFill="1" applyBorder="1" applyAlignment="1">
      <alignment vertical="center" wrapText="1"/>
    </xf>
    <xf numFmtId="0" fontId="59" fillId="8" borderId="19" xfId="0" applyFont="1" applyFill="1" applyBorder="1" applyAlignment="1">
      <alignment horizontal="center" vertical="center" wrapText="1"/>
    </xf>
    <xf numFmtId="0" fontId="61" fillId="8" borderId="19" xfId="0" applyFont="1" applyFill="1" applyBorder="1" applyAlignment="1">
      <alignment horizontal="right" vertical="center" wrapText="1"/>
    </xf>
    <xf numFmtId="0" fontId="59" fillId="8" borderId="19" xfId="0" applyFont="1" applyFill="1" applyBorder="1" applyAlignment="1">
      <alignment horizontal="right" vertical="center" wrapText="1"/>
    </xf>
    <xf numFmtId="0" fontId="59" fillId="6" borderId="22" xfId="0" applyFont="1" applyFill="1" applyBorder="1" applyAlignment="1">
      <alignment horizontal="center" vertical="center" wrapText="1"/>
    </xf>
    <xf numFmtId="0" fontId="59" fillId="6" borderId="19" xfId="0" applyFont="1" applyFill="1" applyBorder="1" applyAlignment="1">
      <alignment vertical="center" wrapText="1"/>
    </xf>
    <xf numFmtId="0" fontId="60" fillId="6" borderId="19" xfId="0" applyFont="1" applyFill="1" applyBorder="1" applyAlignment="1">
      <alignment vertical="center" wrapText="1"/>
    </xf>
    <xf numFmtId="0" fontId="59" fillId="6" borderId="19" xfId="0" applyFont="1" applyFill="1" applyBorder="1" applyAlignment="1">
      <alignment horizontal="center" vertical="center" wrapText="1"/>
    </xf>
    <xf numFmtId="0" fontId="61" fillId="6" borderId="19" xfId="0" applyFont="1" applyFill="1" applyBorder="1" applyAlignment="1">
      <alignment horizontal="right" vertical="center" wrapText="1"/>
    </xf>
    <xf numFmtId="0" fontId="59" fillId="6" borderId="19" xfId="0" applyFont="1" applyFill="1" applyBorder="1" applyAlignment="1">
      <alignment horizontal="right" vertical="center" wrapText="1"/>
    </xf>
    <xf numFmtId="14" fontId="59" fillId="6" borderId="19" xfId="0" applyNumberFormat="1" applyFont="1" applyFill="1" applyBorder="1" applyAlignment="1">
      <alignment vertical="center" wrapText="1"/>
    </xf>
    <xf numFmtId="14" fontId="59" fillId="8" borderId="19" xfId="0" applyNumberFormat="1" applyFont="1" applyFill="1" applyBorder="1" applyAlignment="1">
      <alignment vertical="center" wrapText="1"/>
    </xf>
    <xf numFmtId="14" fontId="59" fillId="6" borderId="19" xfId="0" quotePrefix="1" applyNumberFormat="1" applyFont="1" applyFill="1" applyBorder="1" applyAlignment="1">
      <alignment vertical="center" wrapText="1"/>
    </xf>
    <xf numFmtId="14" fontId="59" fillId="6" borderId="19" xfId="0" quotePrefix="1" applyNumberFormat="1" applyFont="1" applyFill="1" applyBorder="1" applyAlignment="1">
      <alignment horizontal="center" vertical="center" wrapText="1"/>
    </xf>
    <xf numFmtId="14" fontId="59" fillId="8" borderId="19" xfId="0" quotePrefix="1" applyNumberFormat="1" applyFont="1" applyFill="1" applyBorder="1" applyAlignment="1">
      <alignment vertical="center" wrapText="1"/>
    </xf>
    <xf numFmtId="14" fontId="59" fillId="8" borderId="19" xfId="0" quotePrefix="1" applyNumberFormat="1" applyFont="1" applyFill="1" applyBorder="1" applyAlignment="1">
      <alignment horizontal="center" vertical="center" wrapText="1"/>
    </xf>
    <xf numFmtId="14" fontId="59" fillId="6" borderId="24" xfId="0" applyNumberFormat="1" applyFont="1" applyFill="1" applyBorder="1" applyAlignment="1">
      <alignment vertical="center" wrapText="1"/>
    </xf>
    <xf numFmtId="165" fontId="7" fillId="0" borderId="0" xfId="1" applyNumberFormat="1" applyFont="1" applyFill="1"/>
    <xf numFmtId="0" fontId="16" fillId="0" borderId="1" xfId="0" applyFont="1" applyBorder="1"/>
    <xf numFmtId="14" fontId="31" fillId="6" borderId="24" xfId="0" applyNumberFormat="1" applyFont="1" applyFill="1" applyBorder="1" applyAlignment="1">
      <alignment vertical="center" wrapText="1"/>
    </xf>
    <xf numFmtId="3" fontId="13" fillId="0" borderId="0" xfId="1" applyNumberFormat="1" applyFont="1" applyFill="1" applyBorder="1" applyAlignment="1">
      <alignment horizontal="left" vertical="center"/>
    </xf>
    <xf numFmtId="0" fontId="13" fillId="0" borderId="0" xfId="2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166" fontId="13" fillId="0" borderId="0" xfId="2" quotePrefix="1" applyNumberFormat="1" applyFont="1" applyFill="1" applyBorder="1" applyAlignment="1">
      <alignment horizontal="left" vertical="center"/>
    </xf>
    <xf numFmtId="0" fontId="62" fillId="0" borderId="1" xfId="0" applyFont="1" applyBorder="1" applyAlignment="1">
      <alignment horizontal="center" vertical="center" wrapText="1"/>
    </xf>
    <xf numFmtId="167" fontId="62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Border="1" applyAlignment="1">
      <alignment horizontal="center" vertical="center" wrapText="1"/>
    </xf>
    <xf numFmtId="1" fontId="62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5" fontId="23" fillId="0" borderId="1" xfId="1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165" fontId="23" fillId="0" borderId="1" xfId="1" applyNumberFormat="1" applyFont="1" applyFill="1" applyBorder="1" applyAlignment="1">
      <alignment horizontal="center" vertical="center" wrapText="1"/>
    </xf>
    <xf numFmtId="165" fontId="12" fillId="0" borderId="1" xfId="1" applyNumberFormat="1" applyFont="1" applyFill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center" vertical="center" wrapText="1"/>
    </xf>
    <xf numFmtId="165" fontId="39" fillId="0" borderId="0" xfId="1" applyNumberFormat="1" applyFont="1" applyFill="1"/>
    <xf numFmtId="0" fontId="39" fillId="0" borderId="0" xfId="0" applyFont="1" applyFill="1"/>
    <xf numFmtId="165" fontId="39" fillId="0" borderId="0" xfId="1" applyNumberFormat="1" applyFont="1" applyFill="1" applyAlignment="1">
      <alignment horizontal="center" vertical="center" wrapText="1"/>
    </xf>
    <xf numFmtId="165" fontId="39" fillId="0" borderId="0" xfId="1" applyNumberFormat="1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165" fontId="0" fillId="0" borderId="14" xfId="1" applyNumberFormat="1" applyFont="1" applyFill="1" applyBorder="1"/>
    <xf numFmtId="14" fontId="31" fillId="8" borderId="19" xfId="0" applyNumberFormat="1" applyFont="1" applyFill="1" applyBorder="1" applyAlignment="1">
      <alignment vertical="center" wrapText="1"/>
    </xf>
    <xf numFmtId="14" fontId="31" fillId="6" borderId="19" xfId="0" applyNumberFormat="1" applyFont="1" applyFill="1" applyBorder="1" applyAlignment="1">
      <alignment vertical="center" wrapText="1"/>
    </xf>
    <xf numFmtId="169" fontId="38" fillId="4" borderId="1" xfId="1" applyNumberFormat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165" fontId="64" fillId="0" borderId="1" xfId="1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" fontId="31" fillId="6" borderId="24" xfId="0" applyNumberFormat="1" applyFont="1" applyFill="1" applyBorder="1" applyAlignment="1">
      <alignment horizontal="center" vertical="center" wrapText="1"/>
    </xf>
    <xf numFmtId="1" fontId="31" fillId="8" borderId="19" xfId="0" applyNumberFormat="1" applyFont="1" applyFill="1" applyBorder="1" applyAlignment="1">
      <alignment horizontal="center" vertical="center" wrapText="1"/>
    </xf>
    <xf numFmtId="1" fontId="31" fillId="6" borderId="19" xfId="0" applyNumberFormat="1" applyFont="1" applyFill="1" applyBorder="1" applyAlignment="1">
      <alignment horizontal="center" vertical="center" wrapText="1"/>
    </xf>
    <xf numFmtId="1" fontId="59" fillId="6" borderId="19" xfId="0" applyNumberFormat="1" applyFont="1" applyFill="1" applyBorder="1" applyAlignment="1">
      <alignment horizontal="center" vertical="center" wrapText="1"/>
    </xf>
    <xf numFmtId="1" fontId="59" fillId="8" borderId="19" xfId="0" applyNumberFormat="1" applyFont="1" applyFill="1" applyBorder="1" applyAlignment="1">
      <alignment horizontal="center" vertical="center" wrapText="1"/>
    </xf>
    <xf numFmtId="1" fontId="59" fillId="6" borderId="24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1" fillId="6" borderId="24" xfId="0" applyNumberFormat="1" applyFont="1" applyFill="1" applyBorder="1" applyAlignment="1">
      <alignment vertical="center" wrapText="1"/>
    </xf>
    <xf numFmtId="1" fontId="31" fillId="6" borderId="19" xfId="0" applyNumberFormat="1" applyFont="1" applyFill="1" applyBorder="1" applyAlignment="1">
      <alignment vertical="center" wrapText="1"/>
    </xf>
    <xf numFmtId="11" fontId="23" fillId="0" borderId="1" xfId="0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left" vertical="center" wrapText="1"/>
    </xf>
    <xf numFmtId="170" fontId="66" fillId="4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" fontId="23" fillId="0" borderId="1" xfId="0" applyNumberFormat="1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center" vertical="center" wrapText="1"/>
    </xf>
    <xf numFmtId="0" fontId="67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167" fontId="36" fillId="0" borderId="1" xfId="0" applyNumberFormat="1" applyFont="1" applyBorder="1" applyAlignment="1">
      <alignment horizontal="center" vertical="center" wrapText="1"/>
    </xf>
    <xf numFmtId="49" fontId="1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7" fontId="40" fillId="0" borderId="0" xfId="0" applyNumberFormat="1" applyFont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center" vertical="center"/>
    </xf>
    <xf numFmtId="1" fontId="6" fillId="0" borderId="4" xfId="0" applyNumberFormat="1" applyFont="1" applyFill="1" applyBorder="1" applyAlignment="1">
      <alignment horizontal="center" vertical="center" wrapText="1"/>
    </xf>
    <xf numFmtId="168" fontId="6" fillId="0" borderId="1" xfId="7" applyNumberFormat="1" applyFont="1" applyFill="1" applyBorder="1" applyAlignment="1">
      <alignment vertical="center"/>
    </xf>
    <xf numFmtId="167" fontId="69" fillId="0" borderId="1" xfId="0" applyNumberFormat="1" applyFont="1" applyBorder="1" applyAlignment="1">
      <alignment horizontal="center" vertical="center" wrapText="1"/>
    </xf>
    <xf numFmtId="0" fontId="70" fillId="0" borderId="1" xfId="0" applyNumberFormat="1" applyFont="1" applyBorder="1" applyAlignment="1">
      <alignment horizontal="center" vertical="center" wrapText="1"/>
    </xf>
    <xf numFmtId="1" fontId="69" fillId="0" borderId="1" xfId="0" applyNumberFormat="1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70" fillId="0" borderId="1" xfId="0" applyFont="1" applyFill="1" applyBorder="1" applyAlignment="1">
      <alignment horizontal="center" vertical="center"/>
    </xf>
    <xf numFmtId="167" fontId="70" fillId="0" borderId="1" xfId="0" applyNumberFormat="1" applyFont="1" applyBorder="1" applyAlignment="1">
      <alignment horizontal="center" vertical="center"/>
    </xf>
    <xf numFmtId="1" fontId="70" fillId="0" borderId="1" xfId="0" applyNumberFormat="1" applyFont="1" applyFill="1" applyBorder="1" applyAlignment="1">
      <alignment horizontal="center" vertical="center" wrapText="1"/>
    </xf>
    <xf numFmtId="1" fontId="70" fillId="0" borderId="4" xfId="0" applyNumberFormat="1" applyFont="1" applyBorder="1" applyAlignment="1">
      <alignment horizontal="center" vertical="center"/>
    </xf>
    <xf numFmtId="49" fontId="70" fillId="0" borderId="1" xfId="0" applyNumberFormat="1" applyFont="1" applyFill="1" applyBorder="1" applyAlignment="1">
      <alignment horizontal="center" vertical="center"/>
    </xf>
    <xf numFmtId="167" fontId="70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9" fillId="0" borderId="0" xfId="2" applyFont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0" xfId="2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7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1" xfId="2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165" fontId="13" fillId="0" borderId="0" xfId="1" applyNumberFormat="1" applyFont="1" applyFill="1" applyBorder="1" applyAlignment="1">
      <alignment horizontal="right" vertical="center"/>
    </xf>
    <xf numFmtId="3" fontId="13" fillId="0" borderId="0" xfId="1" applyNumberFormat="1" applyFont="1" applyFill="1" applyBorder="1" applyAlignment="1">
      <alignment horizontal="right" vertical="center"/>
    </xf>
    <xf numFmtId="165" fontId="13" fillId="0" borderId="0" xfId="1" applyNumberFormat="1" applyFont="1" applyFill="1" applyBorder="1" applyAlignment="1">
      <alignment horizontal="left" vertical="center"/>
    </xf>
    <xf numFmtId="3" fontId="13" fillId="0" borderId="0" xfId="1" applyNumberFormat="1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169" fontId="28" fillId="0" borderId="0" xfId="1" applyNumberFormat="1" applyFont="1" applyAlignment="1">
      <alignment horizontal="center" vertical="center"/>
    </xf>
    <xf numFmtId="165" fontId="28" fillId="0" borderId="0" xfId="1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43" fontId="29" fillId="0" borderId="0" xfId="0" applyNumberFormat="1" applyFont="1" applyAlignment="1">
      <alignment horizontal="center" vertical="center"/>
    </xf>
    <xf numFmtId="165" fontId="29" fillId="0" borderId="0" xfId="1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65" fontId="71" fillId="0" borderId="0" xfId="0" applyNumberFormat="1" applyFont="1" applyAlignment="1">
      <alignment horizontal="center" vertical="center"/>
    </xf>
    <xf numFmtId="43" fontId="71" fillId="0" borderId="0" xfId="0" applyNumberFormat="1" applyFont="1" applyAlignment="1">
      <alignment horizontal="center" vertical="center"/>
    </xf>
    <xf numFmtId="165" fontId="71" fillId="0" borderId="0" xfId="1" applyNumberFormat="1" applyFont="1" applyAlignment="1">
      <alignment horizontal="center" vertical="center"/>
    </xf>
    <xf numFmtId="43" fontId="21" fillId="0" borderId="0" xfId="1" applyNumberFormat="1" applyFont="1" applyFill="1" applyBorder="1" applyAlignment="1">
      <alignment horizontal="right"/>
    </xf>
    <xf numFmtId="3" fontId="21" fillId="0" borderId="0" xfId="1" applyNumberFormat="1" applyFont="1" applyFill="1" applyBorder="1" applyAlignment="1">
      <alignment horizontal="right"/>
    </xf>
    <xf numFmtId="169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5" fontId="37" fillId="0" borderId="0" xfId="0" applyNumberFormat="1" applyFont="1" applyAlignment="1">
      <alignment horizontal="center" vertical="center"/>
    </xf>
    <xf numFmtId="43" fontId="37" fillId="0" borderId="0" xfId="0" applyNumberFormat="1" applyFont="1" applyAlignment="1">
      <alignment horizontal="center" vertical="center"/>
    </xf>
    <xf numFmtId="165" fontId="37" fillId="0" borderId="0" xfId="1" applyNumberFormat="1" applyFont="1" applyAlignment="1">
      <alignment horizontal="center" vertical="center"/>
    </xf>
  </cellXfs>
  <cellStyles count="10">
    <cellStyle name="Accent3 2" xfId="5"/>
    <cellStyle name="Comma" xfId="1" builtinId="3"/>
    <cellStyle name="Comma [0] 4" xfId="7"/>
    <cellStyle name="Comma 7" xfId="3"/>
    <cellStyle name="Hyperlink" xfId="6" builtinId="8"/>
    <cellStyle name="Normal" xfId="0" builtinId="0"/>
    <cellStyle name="Normal 2" xfId="2"/>
    <cellStyle name="Normal 53" xfId="9"/>
    <cellStyle name="Normal 6" xfId="4"/>
    <cellStyle name="Normal 67" xfId="8"/>
  </cellStyles>
  <dxfs count="7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BDFE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40</xdr:row>
      <xdr:rowOff>0</xdr:rowOff>
    </xdr:from>
    <xdr:ext cx="194454" cy="456591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5172075" y="994410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400800" y="9763125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39</xdr:row>
      <xdr:rowOff>0</xdr:rowOff>
    </xdr:from>
    <xdr:ext cx="194454" cy="456591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400800" y="9505950"/>
          <a:ext cx="194454" cy="4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/Downloads/CONT%20CANON%20H&#192;NG%20NG&#192;Y%20T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anon/Trucking%20Canon%20Ti&#234;n%20S&#417;n/T9.%2015.09/B&#7843;ng%20k&#234;%20MBF%2015.09.2025%20Ti&#234;n%20S&#417;n%20EX%20FINAL%20IC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anon/TRUCKING-SOWATCO-TRIPHUONG%202025%20Mi%20An%20Final%20(11)%20(1)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/Downloads/CONT%20CANON%20H&#192;NG%20NG&#192;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I1" t="str">
            <v xml:space="preserve">CONT VÀO </v>
          </cell>
          <cell r="J1" t="str">
            <v>XE</v>
          </cell>
          <cell r="K1" t="str">
            <v xml:space="preserve">GIỜ </v>
          </cell>
          <cell r="L1" t="str">
            <v xml:space="preserve">CONT RA </v>
          </cell>
          <cell r="M1" t="str">
            <v>NÂNG</v>
          </cell>
          <cell r="N1" t="str">
            <v xml:space="preserve">HẠ </v>
          </cell>
          <cell r="O1" t="str">
            <v>INV</v>
          </cell>
          <cell r="P1" t="str">
            <v>GHI CHÚ</v>
          </cell>
          <cell r="Q1" t="str">
            <v>x</v>
          </cell>
        </row>
        <row r="2">
          <cell r="I2" t="str">
            <v>HASU4934650</v>
          </cell>
          <cell r="J2" t="str">
            <v>THÀNH</v>
          </cell>
          <cell r="K2">
            <v>0.33333333333333331</v>
          </cell>
          <cell r="L2" t="str">
            <v>TXGU5621349</v>
          </cell>
          <cell r="M2" t="str">
            <v>TRI PHƯƠNG</v>
          </cell>
          <cell r="N2" t="str">
            <v>HATECO HICT</v>
          </cell>
          <cell r="O2" t="str">
            <v>VB-25/52707</v>
          </cell>
          <cell r="P2" t="str">
            <v>done</v>
          </cell>
          <cell r="Q2" t="str">
            <v>307965477800</v>
          </cell>
        </row>
        <row r="3">
          <cell r="I3" t="str">
            <v>MSKU1093343</v>
          </cell>
          <cell r="J3" t="str">
            <v>THI</v>
          </cell>
          <cell r="K3">
            <v>0</v>
          </cell>
          <cell r="L3" t="str">
            <v>ONEU5205268</v>
          </cell>
          <cell r="M3" t="str">
            <v>TRI PHƯƠNG</v>
          </cell>
          <cell r="N3" t="str">
            <v>HATECO HICT</v>
          </cell>
          <cell r="O3" t="str">
            <v>VB-25/52711</v>
          </cell>
          <cell r="P3" t="str">
            <v>done</v>
          </cell>
          <cell r="Q3" t="str">
            <v>307971886150</v>
          </cell>
        </row>
        <row r="4">
          <cell r="I4" t="str">
            <v>MRSU6260491</v>
          </cell>
          <cell r="J4" t="str">
            <v>THÀNH</v>
          </cell>
          <cell r="K4">
            <v>0.97916666666666663</v>
          </cell>
          <cell r="L4" t="str">
            <v>MRSU4557789</v>
          </cell>
          <cell r="M4" t="str">
            <v>TRI PHƯƠNG</v>
          </cell>
          <cell r="N4" t="str">
            <v>HATECO HICT</v>
          </cell>
          <cell r="O4" t="str">
            <v>VI-25/57895</v>
          </cell>
          <cell r="P4" t="str">
            <v>done</v>
          </cell>
          <cell r="Q4" t="str">
            <v>307968814810</v>
          </cell>
        </row>
        <row r="5">
          <cell r="I5" t="str">
            <v>MRSU4002986</v>
          </cell>
          <cell r="J5" t="str">
            <v>HƯỜNG</v>
          </cell>
          <cell r="K5">
            <v>0.14583333333333334</v>
          </cell>
          <cell r="L5" t="str">
            <v>SEKU6209666</v>
          </cell>
          <cell r="M5" t="str">
            <v>TRI PHƯƠNG</v>
          </cell>
          <cell r="N5" t="str">
            <v>HATECO HICT</v>
          </cell>
          <cell r="O5" t="str">
            <v>VI-25/57902</v>
          </cell>
          <cell r="P5" t="str">
            <v>done</v>
          </cell>
          <cell r="Q5" t="str">
            <v>307968829400</v>
          </cell>
        </row>
        <row r="6">
          <cell r="I6" t="str">
            <v>MRSU6088926</v>
          </cell>
          <cell r="J6" t="str">
            <v>THỊNH</v>
          </cell>
          <cell r="K6" t="str">
            <v>23:00</v>
          </cell>
          <cell r="L6" t="str">
            <v>OTPU6314611</v>
          </cell>
          <cell r="M6" t="str">
            <v>TRI PHƯƠNG</v>
          </cell>
          <cell r="N6" t="str">
            <v>HATECO HICT</v>
          </cell>
          <cell r="O6">
            <v>0</v>
          </cell>
          <cell r="P6" t="str">
            <v>done</v>
          </cell>
          <cell r="Q6" t="str">
            <v>307970111910</v>
          </cell>
        </row>
        <row r="7">
          <cell r="I7" t="str">
            <v>UETU5936036</v>
          </cell>
          <cell r="J7" t="str">
            <v>THỊNH</v>
          </cell>
          <cell r="K7" t="str">
            <v>13:00</v>
          </cell>
          <cell r="L7" t="str">
            <v>CGMU5677297</v>
          </cell>
          <cell r="M7" t="str">
            <v>TRI PHƯƠNG</v>
          </cell>
          <cell r="N7" t="str">
            <v>HATECO HICT</v>
          </cell>
          <cell r="O7">
            <v>0</v>
          </cell>
          <cell r="P7" t="str">
            <v>done</v>
          </cell>
          <cell r="Q7" t="str">
            <v>307970144660 </v>
          </cell>
        </row>
        <row r="8">
          <cell r="I8" t="str">
            <v>MRSU7029050</v>
          </cell>
          <cell r="J8" t="str">
            <v>SÂM</v>
          </cell>
          <cell r="K8" t="str">
            <v>15:00</v>
          </cell>
          <cell r="L8" t="str">
            <v>ONEU9043838</v>
          </cell>
          <cell r="M8" t="str">
            <v>TRI PHƯƠNG</v>
          </cell>
          <cell r="N8" t="str">
            <v>HATECO HICT</v>
          </cell>
          <cell r="O8">
            <v>0</v>
          </cell>
          <cell r="P8" t="str">
            <v>done</v>
          </cell>
          <cell r="Q8" t="str">
            <v>307970169860</v>
          </cell>
        </row>
        <row r="9">
          <cell r="I9" t="str">
            <v>TCLU6363383</v>
          </cell>
          <cell r="J9" t="str">
            <v>MẠNH</v>
          </cell>
          <cell r="K9">
            <v>0.54166666666666663</v>
          </cell>
          <cell r="L9" t="str">
            <v>HASU4847221</v>
          </cell>
          <cell r="M9" t="str">
            <v>TRI PHƯƠNG</v>
          </cell>
          <cell r="N9" t="str">
            <v>HATECO HICT</v>
          </cell>
          <cell r="O9" t="str">
            <v>VB-25/52712</v>
          </cell>
          <cell r="P9" t="str">
            <v>done</v>
          </cell>
          <cell r="Q9" t="str">
            <v>307972857750</v>
          </cell>
        </row>
        <row r="10">
          <cell r="I10" t="str">
            <v>TCLU9323722</v>
          </cell>
          <cell r="J10" t="str">
            <v>MẠNH</v>
          </cell>
          <cell r="K10">
            <v>0</v>
          </cell>
          <cell r="L10" t="str">
            <v>FFAU6394352</v>
          </cell>
          <cell r="M10" t="str">
            <v>TRI PHƯƠNG</v>
          </cell>
          <cell r="N10" t="str">
            <v>HATECO HICT</v>
          </cell>
          <cell r="O10" t="str">
            <v>VB-25/52716</v>
          </cell>
          <cell r="P10" t="str">
            <v>done</v>
          </cell>
          <cell r="Q10" t="str">
            <v>307972882030</v>
          </cell>
        </row>
        <row r="11">
          <cell r="I11" t="str">
            <v>MRSU3784854</v>
          </cell>
          <cell r="J11" t="str">
            <v>THỊNH</v>
          </cell>
          <cell r="K11">
            <v>0.33333333333333331</v>
          </cell>
          <cell r="L11" t="str">
            <v>MRSU4191679</v>
          </cell>
          <cell r="M11" t="str">
            <v>TRI PHƯƠNG</v>
          </cell>
          <cell r="N11" t="str">
            <v>HATECO HICT</v>
          </cell>
          <cell r="O11" t="str">
            <v>VI-25/57926</v>
          </cell>
          <cell r="P11" t="str">
            <v>done</v>
          </cell>
          <cell r="Q11" t="str">
            <v>307972694650</v>
          </cell>
        </row>
        <row r="12">
          <cell r="I12" t="str">
            <v>MRKU6474926</v>
          </cell>
          <cell r="J12" t="str">
            <v>THÀNH</v>
          </cell>
          <cell r="K12">
            <v>0.375</v>
          </cell>
          <cell r="L12" t="str">
            <v>MRSU4002986</v>
          </cell>
          <cell r="M12" t="str">
            <v>TRI PHƯƠNG</v>
          </cell>
          <cell r="N12" t="str">
            <v>HATECO HICT</v>
          </cell>
          <cell r="O12" t="str">
            <v>VI-25/57925</v>
          </cell>
          <cell r="P12" t="str">
            <v>done</v>
          </cell>
          <cell r="Q12" t="str">
            <v>307972681830</v>
          </cell>
        </row>
        <row r="13">
          <cell r="I13" t="str">
            <v>MRSU3595167</v>
          </cell>
          <cell r="J13" t="str">
            <v>THỊNH</v>
          </cell>
          <cell r="K13">
            <v>0.875</v>
          </cell>
          <cell r="L13" t="str">
            <v>MRSU3784854</v>
          </cell>
          <cell r="M13" t="str">
            <v>TRI PHƯƠNG</v>
          </cell>
          <cell r="N13" t="str">
            <v>HATECO HICT</v>
          </cell>
          <cell r="O13" t="str">
            <v>VI-25/57908</v>
          </cell>
          <cell r="P13" t="str">
            <v>done</v>
          </cell>
          <cell r="Q13" t="str">
            <v>307972644620</v>
          </cell>
        </row>
        <row r="14">
          <cell r="I14" t="str">
            <v>HASU5129240</v>
          </cell>
          <cell r="J14" t="str">
            <v>THÀNH</v>
          </cell>
          <cell r="K14" t="str">
            <v>8:00</v>
          </cell>
          <cell r="L14" t="str">
            <v>ONEU9064743</v>
          </cell>
          <cell r="M14" t="str">
            <v>TRI PHƯƠNG</v>
          </cell>
          <cell r="N14" t="str">
            <v>HATECO HICT</v>
          </cell>
          <cell r="O14">
            <v>0</v>
          </cell>
          <cell r="P14" t="str">
            <v>done</v>
          </cell>
          <cell r="Q14" t="str">
            <v>307973820730</v>
          </cell>
        </row>
        <row r="15">
          <cell r="I15" t="str">
            <v>MRKU5055611</v>
          </cell>
          <cell r="J15" t="str">
            <v>SÂM</v>
          </cell>
          <cell r="K15" t="str">
            <v>10:00</v>
          </cell>
          <cell r="L15" t="str">
            <v>FFAU7034411</v>
          </cell>
          <cell r="M15" t="str">
            <v>TRI PHƯƠNG</v>
          </cell>
          <cell r="N15" t="str">
            <v>HATECO HICT</v>
          </cell>
          <cell r="O15">
            <v>0</v>
          </cell>
          <cell r="P15" t="str">
            <v>done</v>
          </cell>
          <cell r="Q15" t="str">
            <v>307973859010</v>
          </cell>
        </row>
        <row r="16">
          <cell r="I16" t="str">
            <v>FYCU7048498</v>
          </cell>
          <cell r="J16" t="str">
            <v>HKC</v>
          </cell>
          <cell r="K16">
            <v>0.875</v>
          </cell>
          <cell r="L16" t="str">
            <v>FYCU7048498</v>
          </cell>
          <cell r="M16">
            <v>0</v>
          </cell>
          <cell r="N16" t="str">
            <v>GIC</v>
          </cell>
          <cell r="O16" t="str">
            <v>VS-25/51627</v>
          </cell>
          <cell r="P16" t="str">
            <v>done</v>
          </cell>
          <cell r="Q16" t="str">
            <v>307976123400</v>
          </cell>
        </row>
        <row r="17">
          <cell r="I17" t="str">
            <v>SEKU9139639</v>
          </cell>
          <cell r="J17" t="str">
            <v>VINH
KÉO VỀ</v>
          </cell>
          <cell r="K17">
            <v>0.875</v>
          </cell>
          <cell r="L17" t="str">
            <v>MSMU6668884</v>
          </cell>
          <cell r="M17">
            <v>0</v>
          </cell>
          <cell r="N17" t="str">
            <v>LẠCH HUYỆN</v>
          </cell>
          <cell r="O17">
            <v>0</v>
          </cell>
          <cell r="P17" t="str">
            <v>done</v>
          </cell>
          <cell r="Q17" t="str">
            <v>307977612520</v>
          </cell>
        </row>
        <row r="18">
          <cell r="I18" t="str">
            <v>SITU9220575</v>
          </cell>
          <cell r="J18" t="str">
            <v>THỤY
kéo về</v>
          </cell>
          <cell r="K18">
            <v>0.92708333333333337</v>
          </cell>
          <cell r="L18" t="str">
            <v>SITU9220575</v>
          </cell>
          <cell r="M18">
            <v>0</v>
          </cell>
          <cell r="N18" t="str">
            <v>TÂN CẢNG 189</v>
          </cell>
          <cell r="O18" t="str">
            <v>VI-25/57960</v>
          </cell>
          <cell r="P18" t="str">
            <v>done</v>
          </cell>
          <cell r="Q18" t="str">
            <v>307976514660</v>
          </cell>
        </row>
        <row r="19">
          <cell r="I19" t="str">
            <v>MRKU5630958</v>
          </cell>
          <cell r="J19" t="str">
            <v>QUÂN</v>
          </cell>
          <cell r="K19">
            <v>0.33333333333333331</v>
          </cell>
          <cell r="L19" t="str">
            <v>MSKU1093343</v>
          </cell>
          <cell r="M19" t="str">
            <v>TRI PHƯƠNG</v>
          </cell>
          <cell r="N19" t="str">
            <v>HATECO HICT</v>
          </cell>
          <cell r="O19" t="str">
            <v>VB-25/52719</v>
          </cell>
          <cell r="P19" t="str">
            <v>done</v>
          </cell>
          <cell r="Q19" t="str">
            <v>307976110060</v>
          </cell>
        </row>
        <row r="20">
          <cell r="I20" t="str">
            <v>HASU4870880</v>
          </cell>
          <cell r="J20" t="str">
            <v>THÀNH</v>
          </cell>
          <cell r="K20">
            <v>0.875</v>
          </cell>
          <cell r="L20" t="str">
            <v>TXGU8826390</v>
          </cell>
          <cell r="M20" t="str">
            <v>TRI PHƯƠNG</v>
          </cell>
          <cell r="N20" t="str">
            <v>HATECO HICT</v>
          </cell>
          <cell r="O20" t="str">
            <v>VB-25/52720</v>
          </cell>
          <cell r="P20" t="str">
            <v>done</v>
          </cell>
          <cell r="Q20" t="str">
            <v>307976121300</v>
          </cell>
        </row>
        <row r="21">
          <cell r="I21" t="str">
            <v>HASU4817865</v>
          </cell>
          <cell r="J21" t="str">
            <v>THỊNH</v>
          </cell>
          <cell r="K21">
            <v>0.33333333333333331</v>
          </cell>
          <cell r="L21" t="str">
            <v>MRKU6496988</v>
          </cell>
          <cell r="M21" t="str">
            <v>TRI PHƯƠNG</v>
          </cell>
          <cell r="N21" t="str">
            <v>HATECO HICT</v>
          </cell>
          <cell r="O21" t="str">
            <v>VI-25/57947</v>
          </cell>
          <cell r="P21" t="str">
            <v>done</v>
          </cell>
          <cell r="Q21" t="str">
            <v>307976420160</v>
          </cell>
        </row>
        <row r="22">
          <cell r="I22" t="str">
            <v>MRKU4842525</v>
          </cell>
          <cell r="J22" t="str">
            <v>SÂM</v>
          </cell>
          <cell r="K22">
            <v>0.34375</v>
          </cell>
          <cell r="L22" t="str">
            <v>MRKU6474926</v>
          </cell>
          <cell r="M22" t="str">
            <v>TRI PHƯƠNG</v>
          </cell>
          <cell r="N22" t="str">
            <v>HATECO HICT</v>
          </cell>
          <cell r="O22" t="str">
            <v>VI-25/57934</v>
          </cell>
          <cell r="P22" t="str">
            <v>done</v>
          </cell>
          <cell r="Q22" t="str">
            <v>307972736060</v>
          </cell>
        </row>
        <row r="23">
          <cell r="I23" t="str">
            <v>MRSU5673844</v>
          </cell>
          <cell r="J23" t="str">
            <v>SƠN</v>
          </cell>
          <cell r="K23">
            <v>0.375</v>
          </cell>
          <cell r="L23" t="str">
            <v>MRSU3595167</v>
          </cell>
          <cell r="M23" t="str">
            <v>TRI PHƯƠNG</v>
          </cell>
          <cell r="N23" t="str">
            <v>HATECO HICT</v>
          </cell>
          <cell r="O23" t="str">
            <v>VI-25/57930</v>
          </cell>
          <cell r="P23" t="str">
            <v>done</v>
          </cell>
          <cell r="Q23" t="str">
            <v>307976365120</v>
          </cell>
        </row>
        <row r="24">
          <cell r="I24" t="str">
            <v>HASU5080812</v>
          </cell>
          <cell r="J24" t="str">
            <v>THI</v>
          </cell>
          <cell r="K24">
            <v>0.89583333333333337</v>
          </cell>
          <cell r="L24" t="str">
            <v>MRSU5673844</v>
          </cell>
          <cell r="M24" t="str">
            <v>TRI PHƯƠNG</v>
          </cell>
          <cell r="N24" t="str">
            <v>HATECO HICT</v>
          </cell>
          <cell r="O24" t="str">
            <v>VI-25/57968</v>
          </cell>
          <cell r="P24" t="str">
            <v>done</v>
          </cell>
          <cell r="Q24" t="str">
            <v>307976462750</v>
          </cell>
        </row>
        <row r="25">
          <cell r="I25" t="str">
            <v>MRSU3225917</v>
          </cell>
          <cell r="J25" t="str">
            <v>HƯỜNG</v>
          </cell>
          <cell r="K25">
            <v>0.91666666666666663</v>
          </cell>
          <cell r="L25" t="str">
            <v>CMAU8871142</v>
          </cell>
          <cell r="M25" t="str">
            <v>TRI PHƯƠNG</v>
          </cell>
          <cell r="N25" t="str">
            <v>HATECO HICT</v>
          </cell>
          <cell r="O25" t="str">
            <v>VI-25/57941</v>
          </cell>
          <cell r="P25" t="str">
            <v>done</v>
          </cell>
          <cell r="Q25" t="str">
            <v>307976404800</v>
          </cell>
        </row>
        <row r="26">
          <cell r="I26" t="str">
            <v>MRSU3814331</v>
          </cell>
          <cell r="J26" t="str">
            <v>THÀNH</v>
          </cell>
          <cell r="K26">
            <v>8.3333333333333329E-2</v>
          </cell>
          <cell r="L26" t="str">
            <v>MRSU3814331</v>
          </cell>
          <cell r="M26" t="str">
            <v>TRI PHƯƠNG</v>
          </cell>
          <cell r="N26" t="str">
            <v>HATECO HICT</v>
          </cell>
          <cell r="O26" t="str">
            <v>VI-25/57948</v>
          </cell>
          <cell r="P26" t="str">
            <v>done</v>
          </cell>
          <cell r="Q26" t="str">
            <v>307976430220</v>
          </cell>
        </row>
        <row r="27">
          <cell r="I27" t="str">
            <v>MRKU5651647</v>
          </cell>
          <cell r="J27" t="str">
            <v>THỊNH</v>
          </cell>
          <cell r="K27">
            <v>9.375E-2</v>
          </cell>
          <cell r="L27" t="str">
            <v>HASU5080812</v>
          </cell>
          <cell r="M27" t="str">
            <v>TRI PHƯƠNG</v>
          </cell>
          <cell r="N27" t="str">
            <v>HATECO HICT</v>
          </cell>
          <cell r="O27" t="str">
            <v>VI-25/57967</v>
          </cell>
          <cell r="P27" t="str">
            <v>done</v>
          </cell>
          <cell r="Q27" t="str">
            <v>307978347410</v>
          </cell>
        </row>
        <row r="28">
          <cell r="I28" t="str">
            <v>MRSU3923585</v>
          </cell>
          <cell r="J28" t="str">
            <v>QUÂN</v>
          </cell>
          <cell r="K28" t="str">
            <v>9:00</v>
          </cell>
          <cell r="L28" t="str">
            <v>TCKU7217597</v>
          </cell>
          <cell r="M28" t="str">
            <v>TRI PHƯƠNG</v>
          </cell>
          <cell r="N28" t="str">
            <v>HATECO HICT</v>
          </cell>
          <cell r="O28">
            <v>0</v>
          </cell>
          <cell r="P28" t="str">
            <v>done</v>
          </cell>
          <cell r="Q28" t="str">
            <v>307977396330</v>
          </cell>
        </row>
        <row r="29">
          <cell r="I29" t="str">
            <v>CAAU9028287</v>
          </cell>
          <cell r="J29" t="str">
            <v>SƠN</v>
          </cell>
          <cell r="K29" t="str">
            <v>15:00</v>
          </cell>
          <cell r="L29" t="str">
            <v>ONEU1372400</v>
          </cell>
          <cell r="M29" t="str">
            <v>TRI PHƯƠNG</v>
          </cell>
          <cell r="N29" t="str">
            <v>HATECO HICT</v>
          </cell>
          <cell r="O29">
            <v>0</v>
          </cell>
          <cell r="P29" t="str">
            <v>done</v>
          </cell>
          <cell r="Q29" t="str">
            <v>307977428530</v>
          </cell>
        </row>
        <row r="30">
          <cell r="I30" t="str">
            <v>MAGU5730201</v>
          </cell>
          <cell r="J30" t="str">
            <v>ĐỨC</v>
          </cell>
          <cell r="K30">
            <v>0.4375</v>
          </cell>
          <cell r="L30" t="str">
            <v>FFAU4162403</v>
          </cell>
          <cell r="M30">
            <v>0</v>
          </cell>
          <cell r="N30">
            <v>0</v>
          </cell>
          <cell r="O30" t="str">
            <v>VI-25/57981</v>
          </cell>
          <cell r="P30">
            <v>0</v>
          </cell>
          <cell r="Q30">
            <v>0</v>
          </cell>
        </row>
        <row r="31">
          <cell r="I31" t="str">
            <v>TCLU9563370</v>
          </cell>
          <cell r="J31" t="str">
            <v xml:space="preserve">RU TÙNG DŨNG </v>
          </cell>
          <cell r="K31" t="str">
            <v xml:space="preserve">22:15	</v>
          </cell>
          <cell r="L31" t="str">
            <v>TCLU9563370</v>
          </cell>
          <cell r="M31">
            <v>0</v>
          </cell>
          <cell r="N31" t="str">
            <v xml:space="preserve">HÀ HƯNG HẢI	</v>
          </cell>
          <cell r="O31" t="str">
            <v>VI-25/57997</v>
          </cell>
          <cell r="P31" t="str">
            <v>done</v>
          </cell>
          <cell r="Q31" t="str">
            <v>307980923520</v>
          </cell>
        </row>
        <row r="32">
          <cell r="I32" t="str">
            <v>TCKU6234373</v>
          </cell>
          <cell r="J32" t="str">
            <v>THI</v>
          </cell>
          <cell r="K32">
            <v>0</v>
          </cell>
          <cell r="L32" t="str">
            <v>TCNU3173957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I33" t="str">
            <v>FFAU4162403</v>
          </cell>
          <cell r="J33" t="str">
            <v>HƯỜNG</v>
          </cell>
          <cell r="K33">
            <v>0.33333333333333331</v>
          </cell>
          <cell r="L33" t="str">
            <v>HASU4870880</v>
          </cell>
          <cell r="M33">
            <v>0</v>
          </cell>
          <cell r="N33">
            <v>0</v>
          </cell>
          <cell r="O33" t="str">
            <v>VH-25/50722</v>
          </cell>
          <cell r="P33">
            <v>0</v>
          </cell>
          <cell r="Q33">
            <v>0</v>
          </cell>
        </row>
        <row r="34">
          <cell r="I34" t="str">
            <v>APHU7036090</v>
          </cell>
          <cell r="J34" t="str">
            <v>SÂM</v>
          </cell>
          <cell r="K34">
            <v>0.33333333333333331</v>
          </cell>
          <cell r="L34" t="str">
            <v>MSKU0625863</v>
          </cell>
          <cell r="M34">
            <v>0</v>
          </cell>
          <cell r="N34">
            <v>0</v>
          </cell>
          <cell r="O34" t="str">
            <v>VH-25/50724</v>
          </cell>
          <cell r="P34">
            <v>0</v>
          </cell>
          <cell r="Q34">
            <v>0</v>
          </cell>
        </row>
        <row r="35">
          <cell r="I35" t="str">
            <v>TCKU6371592</v>
          </cell>
          <cell r="J35" t="str">
            <v>THỊNH
MẠNH KÉO VỀ</v>
          </cell>
          <cell r="K35">
            <v>0.54166666666666663</v>
          </cell>
          <cell r="L35" t="str">
            <v>CMAU7535689</v>
          </cell>
          <cell r="M35">
            <v>0</v>
          </cell>
          <cell r="N35" t="str">
            <v>CHÙA VẼ</v>
          </cell>
          <cell r="O35" t="str">
            <v>VH-25/50727</v>
          </cell>
          <cell r="P35" t="str">
            <v>done</v>
          </cell>
          <cell r="Q35" t="str">
            <v>307980870210</v>
          </cell>
        </row>
        <row r="36">
          <cell r="I36" t="str">
            <v>TXGU7297028</v>
          </cell>
          <cell r="J36" t="str">
            <v>THỊNH</v>
          </cell>
          <cell r="K36">
            <v>0</v>
          </cell>
          <cell r="L36" t="str">
            <v>APHU7036090</v>
          </cell>
          <cell r="M36">
            <v>0</v>
          </cell>
          <cell r="N36">
            <v>0</v>
          </cell>
          <cell r="O36" t="str">
            <v>VH-25/50723</v>
          </cell>
          <cell r="P36">
            <v>0</v>
          </cell>
          <cell r="Q36">
            <v>0</v>
          </cell>
        </row>
        <row r="37">
          <cell r="I37" t="str">
            <v>TRHU7419209</v>
          </cell>
          <cell r="J37" t="str">
            <v>THI</v>
          </cell>
          <cell r="K37">
            <v>0.125</v>
          </cell>
          <cell r="L37" t="str">
            <v>VỎ</v>
          </cell>
          <cell r="M37">
            <v>0</v>
          </cell>
          <cell r="N37">
            <v>0</v>
          </cell>
          <cell r="O37" t="str">
            <v>VH-25/50725</v>
          </cell>
          <cell r="P37">
            <v>0</v>
          </cell>
          <cell r="Q37">
            <v>0</v>
          </cell>
        </row>
        <row r="38">
          <cell r="I38" t="str">
            <v>EGSU2113609</v>
          </cell>
          <cell r="J38" t="str">
            <v>HƯNG
KÉO VỀ</v>
          </cell>
          <cell r="K38">
            <v>0.375</v>
          </cell>
          <cell r="L38" t="str">
            <v>EGSU2113609</v>
          </cell>
          <cell r="M38">
            <v>0</v>
          </cell>
          <cell r="N38" t="str">
            <v>GIC</v>
          </cell>
          <cell r="O38" t="str">
            <v>VB-25/52727</v>
          </cell>
          <cell r="P38" t="str">
            <v>done</v>
          </cell>
          <cell r="Q38" t="str">
            <v>307980720300</v>
          </cell>
        </row>
        <row r="39">
          <cell r="I39" t="str">
            <v>EISU8266229</v>
          </cell>
          <cell r="J39" t="str">
            <v>TÍN
KÉO VỀ</v>
          </cell>
          <cell r="K39">
            <v>0</v>
          </cell>
          <cell r="L39" t="str">
            <v>EISU8266229</v>
          </cell>
          <cell r="M39">
            <v>0</v>
          </cell>
          <cell r="N39" t="str">
            <v>GIC</v>
          </cell>
          <cell r="O39" t="str">
            <v>VS-25/51630</v>
          </cell>
          <cell r="P39" t="str">
            <v>done</v>
          </cell>
          <cell r="Q39" t="str">
            <v>307981041230</v>
          </cell>
        </row>
        <row r="40">
          <cell r="I40" t="str">
            <v>CAAU9606261</v>
          </cell>
          <cell r="J40" t="str">
            <v>QUÂN
THI KÉO VỀ</v>
          </cell>
          <cell r="K40">
            <v>0.33333333333333331</v>
          </cell>
          <cell r="L40" t="str">
            <v>GAOU7924476</v>
          </cell>
          <cell r="M40">
            <v>0</v>
          </cell>
          <cell r="N40" t="str">
            <v>ĐÌNH VŨ</v>
          </cell>
          <cell r="O40" t="str">
            <v>VZ-25/50376 +VZ-25/50376R +VZ-25/50376R-01</v>
          </cell>
          <cell r="P40" t="str">
            <v>done</v>
          </cell>
          <cell r="Q40" t="str">
            <v>307981478620
307981131200
307981092110
307981015330</v>
          </cell>
        </row>
        <row r="41">
          <cell r="I41" t="str">
            <v>ONEU5222666</v>
          </cell>
          <cell r="J41" t="str">
            <v>MẠNH</v>
          </cell>
          <cell r="K41">
            <v>0.95833333333333337</v>
          </cell>
          <cell r="L41" t="str">
            <v>CAAU4016540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I42" t="str">
            <v>FFAU5961894</v>
          </cell>
          <cell r="J42" t="str">
            <v>THỤY
kéo về</v>
          </cell>
          <cell r="K42">
            <v>0.58333333333333337</v>
          </cell>
          <cell r="L42" t="str">
            <v>FFAU5961894</v>
          </cell>
          <cell r="M42">
            <v>0</v>
          </cell>
          <cell r="N42" t="str">
            <v>GIC</v>
          </cell>
          <cell r="O42">
            <v>0</v>
          </cell>
          <cell r="P42" t="str">
            <v>done</v>
          </cell>
          <cell r="Q42" t="str">
            <v>307982076750</v>
          </cell>
        </row>
        <row r="43">
          <cell r="I43" t="str">
            <v>TXGU6581847</v>
          </cell>
          <cell r="J43" t="str">
            <v>VINH
TÍN KÉO VỀ</v>
          </cell>
          <cell r="K43">
            <v>0.58333333333333337</v>
          </cell>
          <cell r="L43" t="str">
            <v>SEKU9139639</v>
          </cell>
          <cell r="M43">
            <v>0</v>
          </cell>
          <cell r="N43" t="str">
            <v>GIC</v>
          </cell>
          <cell r="O43">
            <v>0</v>
          </cell>
          <cell r="P43" t="str">
            <v>done</v>
          </cell>
          <cell r="Q43" t="str">
            <v>307982498960
307982456260
307982439500</v>
          </cell>
        </row>
        <row r="44">
          <cell r="I44" t="str">
            <v>MSKU0625863</v>
          </cell>
          <cell r="J44" t="str">
            <v>THI</v>
          </cell>
          <cell r="K44">
            <v>0.33333333333333331</v>
          </cell>
          <cell r="L44" t="str">
            <v>FANU3286682</v>
          </cell>
          <cell r="M44" t="str">
            <v>TRI PHƯƠNG</v>
          </cell>
          <cell r="N44" t="str">
            <v>HATECO HICT</v>
          </cell>
          <cell r="O44" t="str">
            <v>VB-25/52724</v>
          </cell>
          <cell r="P44" t="str">
            <v>done</v>
          </cell>
          <cell r="Q44" t="str">
            <v>307980688320</v>
          </cell>
        </row>
        <row r="45">
          <cell r="I45" t="str">
            <v>TCNU3017419</v>
          </cell>
          <cell r="J45" t="str">
            <v>ĐỨC</v>
          </cell>
          <cell r="K45">
            <v>0.33333333333333331</v>
          </cell>
          <cell r="L45" t="str">
            <v>CMAU3321077</v>
          </cell>
          <cell r="M45" t="str">
            <v>TRI PHƯƠNG</v>
          </cell>
          <cell r="N45" t="str">
            <v>HATECO HICT</v>
          </cell>
          <cell r="O45" t="str">
            <v>VB-25/52730</v>
          </cell>
          <cell r="P45" t="str">
            <v>done</v>
          </cell>
          <cell r="Q45" t="str">
            <v>307980761600</v>
          </cell>
        </row>
        <row r="46">
          <cell r="I46" t="str">
            <v>MSKU0635938</v>
          </cell>
          <cell r="J46" t="str">
            <v>MẠNH</v>
          </cell>
          <cell r="K46">
            <v>0.125</v>
          </cell>
          <cell r="L46" t="str">
            <v>TCKU6371592</v>
          </cell>
          <cell r="M46" t="str">
            <v>TRI PHƯƠNG</v>
          </cell>
          <cell r="N46" t="str">
            <v>HATECO HICT</v>
          </cell>
          <cell r="O46" t="str">
            <v>VB-25/52731</v>
          </cell>
          <cell r="P46" t="str">
            <v>done</v>
          </cell>
          <cell r="Q46" t="str">
            <v>307980917000</v>
          </cell>
        </row>
        <row r="47">
          <cell r="I47" t="str">
            <v>HASU5079869</v>
          </cell>
          <cell r="J47" t="str">
            <v>SƠN</v>
          </cell>
          <cell r="K47">
            <v>0.33333333333333331</v>
          </cell>
          <cell r="L47" t="str">
            <v>MRSU3225917</v>
          </cell>
          <cell r="M47" t="str">
            <v>TRI PHƯƠNG</v>
          </cell>
          <cell r="N47" t="str">
            <v>HATECO HICT</v>
          </cell>
          <cell r="O47" t="str">
            <v>VI-25/57978</v>
          </cell>
          <cell r="P47" t="str">
            <v>done</v>
          </cell>
          <cell r="Q47" t="str">
            <v>307980816750</v>
          </cell>
        </row>
        <row r="48">
          <cell r="I48" t="str">
            <v>MRKU4777081</v>
          </cell>
          <cell r="J48" t="str">
            <v>MẠNH</v>
          </cell>
          <cell r="K48">
            <v>0.34375</v>
          </cell>
          <cell r="L48" t="str">
            <v>ECMU7498000</v>
          </cell>
          <cell r="M48" t="str">
            <v>TRI PHƯƠNG</v>
          </cell>
          <cell r="N48" t="str">
            <v>HATECO HICT</v>
          </cell>
          <cell r="O48" t="str">
            <v>VI-25/57979</v>
          </cell>
          <cell r="P48" t="str">
            <v>done</v>
          </cell>
          <cell r="Q48" t="str">
            <v>307980828430</v>
          </cell>
        </row>
        <row r="49">
          <cell r="I49" t="str">
            <v>TGHU9710382</v>
          </cell>
          <cell r="J49" t="str">
            <v>PHƯƠNG</v>
          </cell>
          <cell r="K49">
            <v>0.375</v>
          </cell>
          <cell r="L49" t="str">
            <v>MRKU5651647</v>
          </cell>
          <cell r="M49" t="str">
            <v>TRI PHƯƠNG</v>
          </cell>
          <cell r="N49" t="str">
            <v>HATECO HICT</v>
          </cell>
          <cell r="O49" t="str">
            <v>VI-25/57987</v>
          </cell>
          <cell r="P49" t="str">
            <v>done</v>
          </cell>
          <cell r="Q49" t="str">
            <v>307980858050</v>
          </cell>
        </row>
        <row r="50">
          <cell r="I50" t="str">
            <v>MRSU5959139</v>
          </cell>
          <cell r="J50" t="str">
            <v>HƯỜNG</v>
          </cell>
          <cell r="K50">
            <v>0.61458333333333337</v>
          </cell>
          <cell r="L50" t="str">
            <v>MRKU4777081</v>
          </cell>
          <cell r="M50" t="str">
            <v>TRI PHƯƠNG</v>
          </cell>
          <cell r="N50" t="str">
            <v>HATECO HICT</v>
          </cell>
          <cell r="O50" t="str">
            <v>VI-25/57993</v>
          </cell>
          <cell r="P50" t="str">
            <v>done</v>
          </cell>
          <cell r="Q50" t="str">
            <v>307980777660</v>
          </cell>
        </row>
        <row r="51">
          <cell r="I51" t="str">
            <v>MSKU1898749</v>
          </cell>
          <cell r="J51" t="str">
            <v>SÂM</v>
          </cell>
          <cell r="K51">
            <v>0.875</v>
          </cell>
          <cell r="L51" t="str">
            <v>HASU5079869</v>
          </cell>
          <cell r="M51" t="str">
            <v>TRI PHƯƠNG</v>
          </cell>
          <cell r="N51" t="str">
            <v>HATECO HICT</v>
          </cell>
          <cell r="O51" t="str">
            <v>VI-25/57957</v>
          </cell>
          <cell r="P51" t="str">
            <v>done</v>
          </cell>
          <cell r="Q51" t="str">
            <v>307976386930</v>
          </cell>
        </row>
        <row r="52">
          <cell r="I52" t="str">
            <v>MRSU5718152</v>
          </cell>
          <cell r="J52" t="str">
            <v>SƠN</v>
          </cell>
          <cell r="K52">
            <v>0.95833333333333337</v>
          </cell>
          <cell r="L52" t="str">
            <v>TGHU9710382</v>
          </cell>
          <cell r="M52" t="str">
            <v>TRI PHƯƠNG</v>
          </cell>
          <cell r="N52" t="str">
            <v>HATECO HICT</v>
          </cell>
          <cell r="O52" t="str">
            <v>VI-25/58001</v>
          </cell>
          <cell r="P52" t="str">
            <v>done</v>
          </cell>
          <cell r="Q52" t="str">
            <v>307980845230</v>
          </cell>
        </row>
        <row r="53">
          <cell r="I53" t="str">
            <v>MRKU5854536</v>
          </cell>
          <cell r="J53" t="str">
            <v>THÀNH</v>
          </cell>
          <cell r="K53">
            <v>0.9375</v>
          </cell>
          <cell r="L53" t="str">
            <v>MSKU1898749</v>
          </cell>
          <cell r="M53" t="str">
            <v>TRI PHƯƠNG</v>
          </cell>
          <cell r="N53" t="str">
            <v>HATECO HICT</v>
          </cell>
          <cell r="O53" t="str">
            <v>VI-25/58002</v>
          </cell>
          <cell r="P53" t="str">
            <v>done</v>
          </cell>
          <cell r="Q53" t="str">
            <v>307980741520</v>
          </cell>
        </row>
        <row r="54">
          <cell r="I54" t="str">
            <v>TCKU6952642</v>
          </cell>
          <cell r="J54" t="str">
            <v>QUÂN</v>
          </cell>
          <cell r="K54">
            <v>0.97916666666666663</v>
          </cell>
          <cell r="L54" t="str">
            <v>MRSU5718152</v>
          </cell>
          <cell r="M54" t="str">
            <v>TRI PHƯƠNG</v>
          </cell>
          <cell r="N54" t="str">
            <v>HATECO HICT</v>
          </cell>
          <cell r="O54" t="str">
            <v>VI-25/58004</v>
          </cell>
          <cell r="P54" t="str">
            <v>done</v>
          </cell>
          <cell r="Q54" t="str">
            <v>307980755300</v>
          </cell>
        </row>
        <row r="55">
          <cell r="I55" t="str">
            <v>MSKU9830621</v>
          </cell>
          <cell r="J55" t="str">
            <v>THỊNH</v>
          </cell>
          <cell r="K55">
            <v>0.125</v>
          </cell>
          <cell r="L55" t="str">
            <v>TCKU6952642</v>
          </cell>
          <cell r="M55" t="str">
            <v>TRI PHƯƠNG</v>
          </cell>
          <cell r="N55" t="str">
            <v>HATECO HICT</v>
          </cell>
          <cell r="O55" t="str">
            <v>VI-25/58008</v>
          </cell>
          <cell r="P55" t="str">
            <v>done</v>
          </cell>
          <cell r="Q55" t="str">
            <v>307980717020</v>
          </cell>
        </row>
        <row r="56">
          <cell r="I56" t="str">
            <v>CAAU4016540</v>
          </cell>
          <cell r="J56" t="str">
            <v>PHƯƠNG</v>
          </cell>
          <cell r="K56">
            <v>0.41666666666666669</v>
          </cell>
          <cell r="L56" t="str">
            <v>SEGU9158887</v>
          </cell>
          <cell r="M56" t="str">
            <v>TRI PHƯƠNG</v>
          </cell>
          <cell r="N56" t="str">
            <v>TÂN VŨ</v>
          </cell>
          <cell r="O56">
            <v>0</v>
          </cell>
          <cell r="P56">
            <v>0</v>
          </cell>
          <cell r="Q56">
            <v>0</v>
          </cell>
        </row>
        <row r="57">
          <cell r="I57" t="str">
            <v>SEGU9158887</v>
          </cell>
          <cell r="J57" t="str">
            <v>THÀNH</v>
          </cell>
          <cell r="K57" t="str">
            <v>09:00</v>
          </cell>
          <cell r="L57" t="str">
            <v>CMAU3358353</v>
          </cell>
          <cell r="M57" t="str">
            <v>TRI PHƯƠNG</v>
          </cell>
          <cell r="N57" t="str">
            <v>TÂN VŨ</v>
          </cell>
          <cell r="O57">
            <v>0</v>
          </cell>
          <cell r="P57">
            <v>0</v>
          </cell>
          <cell r="Q57">
            <v>0</v>
          </cell>
        </row>
        <row r="58">
          <cell r="I58" t="str">
            <v>SEKU9293650</v>
          </cell>
          <cell r="J58" t="str">
            <v>SƠN</v>
          </cell>
          <cell r="K58" t="str">
            <v>10:00</v>
          </cell>
          <cell r="L58" t="str">
            <v>TEMU9208259</v>
          </cell>
          <cell r="M58" t="str">
            <v>TRI PHƯƠNG</v>
          </cell>
          <cell r="N58" t="str">
            <v>TÂN VŨ</v>
          </cell>
          <cell r="O58">
            <v>0</v>
          </cell>
          <cell r="P58">
            <v>0</v>
          </cell>
          <cell r="Q58">
            <v>0</v>
          </cell>
        </row>
        <row r="59">
          <cell r="I59" t="str">
            <v>TCLU1223901</v>
          </cell>
          <cell r="J59" t="str">
            <v>HƯỜNG</v>
          </cell>
          <cell r="K59" t="str">
            <v>13:00</v>
          </cell>
          <cell r="L59" t="str">
            <v>MRSU3467079</v>
          </cell>
          <cell r="M59" t="str">
            <v>TRI PHƯƠNG</v>
          </cell>
          <cell r="N59" t="str">
            <v>TÂN VŨ</v>
          </cell>
          <cell r="O59">
            <v>0</v>
          </cell>
          <cell r="P59">
            <v>0</v>
          </cell>
          <cell r="Q59">
            <v>0</v>
          </cell>
        </row>
        <row r="60">
          <cell r="I60" t="str">
            <v>CGMU5224599</v>
          </cell>
          <cell r="J60">
            <v>0</v>
          </cell>
          <cell r="K60" t="str">
            <v>14:00</v>
          </cell>
          <cell r="L60">
            <v>0</v>
          </cell>
          <cell r="M60" t="str">
            <v>TRI PHƯƠNG</v>
          </cell>
          <cell r="N60" t="str">
            <v>TÂN VŨ</v>
          </cell>
          <cell r="O60">
            <v>0</v>
          </cell>
          <cell r="P60">
            <v>0</v>
          </cell>
          <cell r="Q60">
            <v>0</v>
          </cell>
        </row>
        <row r="61">
          <cell r="I61" t="str">
            <v>SEGU9279071</v>
          </cell>
          <cell r="J61" t="str">
            <v>SÂM</v>
          </cell>
          <cell r="K61" t="str">
            <v>22:00</v>
          </cell>
          <cell r="L61" t="str">
            <v>MRKU6067540</v>
          </cell>
          <cell r="M61" t="str">
            <v>TRI PHƯƠNG</v>
          </cell>
          <cell r="N61" t="str">
            <v>TÂN VŨ</v>
          </cell>
          <cell r="O61">
            <v>0</v>
          </cell>
          <cell r="P61">
            <v>0</v>
          </cell>
          <cell r="Q61">
            <v>0</v>
          </cell>
        </row>
        <row r="62">
          <cell r="I62" t="str">
            <v>MRSU3467079</v>
          </cell>
          <cell r="J62" t="str">
            <v>THI</v>
          </cell>
          <cell r="K62" t="str">
            <v>9:00</v>
          </cell>
          <cell r="L62" t="str">
            <v>TLLU8693850</v>
          </cell>
          <cell r="M62" t="str">
            <v>TRI PHƯƠNG</v>
          </cell>
          <cell r="N62" t="str">
            <v>HATECO HICT</v>
          </cell>
          <cell r="O62">
            <v>0</v>
          </cell>
          <cell r="P62" t="str">
            <v>done</v>
          </cell>
          <cell r="Q62" t="str">
            <v>307981767610</v>
          </cell>
        </row>
        <row r="63">
          <cell r="I63" t="str">
            <v>MRKU6067540</v>
          </cell>
          <cell r="J63" t="str">
            <v>PHƯƠNG</v>
          </cell>
          <cell r="K63" t="str">
            <v>14:00</v>
          </cell>
          <cell r="L63" t="str">
            <v>SEKU9293650</v>
          </cell>
          <cell r="M63" t="str">
            <v>TRI PHƯƠNG</v>
          </cell>
          <cell r="N63" t="str">
            <v>HATECO HICT</v>
          </cell>
          <cell r="O63">
            <v>0</v>
          </cell>
          <cell r="P63" t="str">
            <v>done</v>
          </cell>
          <cell r="Q63" t="str">
            <v>307981797450</v>
          </cell>
        </row>
        <row r="64">
          <cell r="I64" t="str">
            <v>MRKU3346794</v>
          </cell>
          <cell r="J64" t="str">
            <v>HƯỜNG</v>
          </cell>
          <cell r="K64" t="str">
            <v>16:00</v>
          </cell>
          <cell r="L64" t="str">
            <v>NYKU0792294</v>
          </cell>
          <cell r="M64" t="str">
            <v>TRI PHƯƠNG</v>
          </cell>
          <cell r="N64" t="str">
            <v>HATECO HICT</v>
          </cell>
          <cell r="O64">
            <v>0</v>
          </cell>
          <cell r="P64" t="str">
            <v>done</v>
          </cell>
          <cell r="Q64" t="str">
            <v>307981831900</v>
          </cell>
        </row>
        <row r="65">
          <cell r="I65" t="str">
            <v>MRSU5288344</v>
          </cell>
          <cell r="J65" t="str">
            <v>SÂM</v>
          </cell>
          <cell r="K65" t="str">
            <v>15:00</v>
          </cell>
          <cell r="L65" t="str">
            <v>TCLU1223901</v>
          </cell>
          <cell r="M65" t="str">
            <v>TRI PHƯƠNG</v>
          </cell>
          <cell r="N65" t="str">
            <v>HATECO HICT</v>
          </cell>
          <cell r="O65">
            <v>0</v>
          </cell>
          <cell r="P65" t="str">
            <v>done</v>
          </cell>
          <cell r="Q65" t="str">
            <v>307981863360</v>
          </cell>
        </row>
        <row r="66">
          <cell r="I66" t="str">
            <v>CAAU6541300</v>
          </cell>
          <cell r="J66" t="str">
            <v>PHƯƠNG</v>
          </cell>
          <cell r="K66" t="str">
            <v>23:00</v>
          </cell>
          <cell r="L66" t="str">
            <v>MRKU3346794</v>
          </cell>
          <cell r="M66" t="str">
            <v>TRI PHƯƠNG</v>
          </cell>
          <cell r="N66" t="str">
            <v>HATECO HICT</v>
          </cell>
          <cell r="O66">
            <v>0</v>
          </cell>
          <cell r="P66" t="str">
            <v>done</v>
          </cell>
          <cell r="Q66" t="str">
            <v>307981976910</v>
          </cell>
        </row>
        <row r="67">
          <cell r="I67" t="str">
            <v>TCNU5309404</v>
          </cell>
          <cell r="J67" t="str">
            <v>ĐỨC</v>
          </cell>
          <cell r="K67">
            <v>0.54166666666666663</v>
          </cell>
          <cell r="L67" t="str">
            <v>TCNU5309404</v>
          </cell>
          <cell r="Q67">
            <v>0</v>
          </cell>
        </row>
        <row r="68">
          <cell r="I68" t="str">
            <v>FFAU4035630</v>
          </cell>
          <cell r="J68" t="str">
            <v>HƯỜNG</v>
          </cell>
          <cell r="K68">
            <v>0.58333333333333337</v>
          </cell>
          <cell r="L68" t="str">
            <v>SEGU9279071</v>
          </cell>
          <cell r="Q68">
            <v>0</v>
          </cell>
        </row>
        <row r="69">
          <cell r="I69" t="str">
            <v>CAAU9918450</v>
          </cell>
          <cell r="J69" t="str">
            <v>THI</v>
          </cell>
          <cell r="K69">
            <v>0.875</v>
          </cell>
          <cell r="L69" t="str">
            <v>ONEU9110005</v>
          </cell>
          <cell r="Q69">
            <v>0</v>
          </cell>
        </row>
        <row r="70">
          <cell r="I70" t="str">
            <v>FFAU6185692</v>
          </cell>
          <cell r="J70" t="str">
            <v>HƯỜNG</v>
          </cell>
          <cell r="K70">
            <v>0.91666666666666663</v>
          </cell>
          <cell r="L70" t="str">
            <v>FFAU7494696</v>
          </cell>
          <cell r="Q70">
            <v>0</v>
          </cell>
        </row>
        <row r="71">
          <cell r="I71" t="str">
            <v>NYKU5219500</v>
          </cell>
          <cell r="J71" t="str">
            <v>ĐỨC</v>
          </cell>
          <cell r="K71">
            <v>0.95833333333333337</v>
          </cell>
          <cell r="L71" t="str">
            <v>NYKU5219500</v>
          </cell>
          <cell r="Q71">
            <v>0</v>
          </cell>
        </row>
        <row r="72">
          <cell r="I72" t="str">
            <v>ONEU9111275</v>
          </cell>
          <cell r="K72" t="str">
            <v>21:00</v>
          </cell>
          <cell r="Q72">
            <v>0</v>
          </cell>
        </row>
        <row r="73">
          <cell r="I73" t="str">
            <v>ONEU9110005</v>
          </cell>
          <cell r="J73" t="str">
            <v>THỊNH</v>
          </cell>
          <cell r="K73" t="str">
            <v>10:00</v>
          </cell>
          <cell r="Q73">
            <v>0</v>
          </cell>
        </row>
        <row r="74">
          <cell r="I74" t="str">
            <v>MSMU4503798</v>
          </cell>
          <cell r="K74">
            <v>0.33333333333333331</v>
          </cell>
          <cell r="O74" t="str">
            <v>VH-25/50728</v>
          </cell>
          <cell r="Q74">
            <v>0</v>
          </cell>
        </row>
        <row r="75">
          <cell r="I75" t="str">
            <v>KKFU7798441</v>
          </cell>
          <cell r="K75">
            <v>0.54166666666666663</v>
          </cell>
          <cell r="O75" t="str">
            <v>VS-25/51639</v>
          </cell>
          <cell r="Q75">
            <v>0</v>
          </cell>
        </row>
        <row r="76">
          <cell r="I76" t="str">
            <v>MSMU4647080</v>
          </cell>
          <cell r="J76" t="str">
            <v>PHƯƠNG</v>
          </cell>
          <cell r="K76">
            <v>0.125</v>
          </cell>
          <cell r="L76" t="str">
            <v>KKFU7798441</v>
          </cell>
          <cell r="O76" t="str">
            <v>VH-25/50732</v>
          </cell>
          <cell r="Q76">
            <v>0</v>
          </cell>
        </row>
        <row r="77">
          <cell r="I77" t="str">
            <v>TRHU4624961</v>
          </cell>
          <cell r="J77" t="str">
            <v>TÍN  
KÉO VỀ</v>
          </cell>
          <cell r="K77">
            <v>0.33333333333333331</v>
          </cell>
          <cell r="L77" t="str">
            <v>TRHU4624961</v>
          </cell>
          <cell r="N77" t="str">
            <v>GIC</v>
          </cell>
          <cell r="O77" t="str">
            <v>VH-25/50730</v>
          </cell>
          <cell r="P77" t="str">
            <v>done</v>
          </cell>
          <cell r="Q77" t="str">
            <v>307986661420</v>
          </cell>
        </row>
        <row r="78">
          <cell r="I78" t="str">
            <v>WFHU5186664</v>
          </cell>
          <cell r="J78" t="str">
            <v>THANH
KÉO VẾ</v>
          </cell>
          <cell r="K78">
            <v>0.33333333333333331</v>
          </cell>
          <cell r="L78" t="str">
            <v>WFHU5186664</v>
          </cell>
          <cell r="N78" t="str">
            <v>GIC</v>
          </cell>
          <cell r="O78" t="str">
            <v>VS-25/51640</v>
          </cell>
          <cell r="P78" t="str">
            <v>done</v>
          </cell>
          <cell r="Q78" t="str">
            <v>307986662820</v>
          </cell>
        </row>
        <row r="79">
          <cell r="I79" t="str">
            <v>CAAU5560429</v>
          </cell>
          <cell r="J79" t="str">
            <v>HỒNG HƯNG
KÉO VỀ</v>
          </cell>
          <cell r="K79">
            <v>0.45833333333333331</v>
          </cell>
          <cell r="L79" t="str">
            <v>CAAU5560429</v>
          </cell>
          <cell r="N79" t="str">
            <v>GIC</v>
          </cell>
          <cell r="O79" t="str">
            <v>VB-25/52733 CB VS-25/51634 CB VS-25/51635</v>
          </cell>
          <cell r="P79" t="str">
            <v>done</v>
          </cell>
          <cell r="Q79" t="str">
            <v>307986651950
307986652910
307986653720</v>
          </cell>
        </row>
        <row r="80">
          <cell r="I80" t="str">
            <v>EMCU1614607</v>
          </cell>
          <cell r="J80" t="str">
            <v>THANH
KÉO VẾ</v>
          </cell>
          <cell r="K80">
            <v>0.875</v>
          </cell>
          <cell r="L80" t="str">
            <v>EMCU1614607</v>
          </cell>
          <cell r="N80" t="str">
            <v>GIC</v>
          </cell>
          <cell r="O80" t="str">
            <v>VH-25/50733</v>
          </cell>
          <cell r="P80" t="str">
            <v>done</v>
          </cell>
          <cell r="Q80" t="str">
            <v>307986666060</v>
          </cell>
        </row>
        <row r="81">
          <cell r="I81" t="str">
            <v>ONEU0741036</v>
          </cell>
          <cell r="J81" t="str">
            <v>THỊNH</v>
          </cell>
          <cell r="K81">
            <v>0.41666666666666669</v>
          </cell>
          <cell r="L81" t="str">
            <v>OTPU6334921</v>
          </cell>
          <cell r="O81">
            <v>0</v>
          </cell>
          <cell r="Q81">
            <v>0</v>
          </cell>
        </row>
        <row r="82">
          <cell r="I82" t="str">
            <v>FFAU1430544</v>
          </cell>
          <cell r="J82" t="str">
            <v>ĐỨC</v>
          </cell>
          <cell r="K82">
            <v>0.54166666666666663</v>
          </cell>
          <cell r="O82">
            <v>0</v>
          </cell>
          <cell r="Q82">
            <v>0</v>
          </cell>
        </row>
        <row r="83">
          <cell r="I83" t="str">
            <v>ONEU5571821</v>
          </cell>
          <cell r="J83" t="str">
            <v>THỊNH</v>
          </cell>
          <cell r="K83">
            <v>0.58333333333333337</v>
          </cell>
          <cell r="L83" t="str">
            <v>SEKU9211477</v>
          </cell>
          <cell r="O83">
            <v>0</v>
          </cell>
          <cell r="Q83">
            <v>0</v>
          </cell>
        </row>
        <row r="84">
          <cell r="I84" t="str">
            <v>KKFU6760420</v>
          </cell>
          <cell r="J84" t="str">
            <v>TÍN
ĐỨC KÉO VỀ</v>
          </cell>
          <cell r="K84">
            <v>0.91666666666666663</v>
          </cell>
          <cell r="L84" t="str">
            <v>TXGU6581847</v>
          </cell>
          <cell r="N84" t="str">
            <v>NAM HẢI ĐÌNH VŨ</v>
          </cell>
          <cell r="O84" t="str">
            <v>VR-25/52621</v>
          </cell>
          <cell r="P84" t="str">
            <v>done</v>
          </cell>
          <cell r="Q84" t="str">
            <v>307988687550</v>
          </cell>
        </row>
        <row r="85">
          <cell r="I85" t="str">
            <v>CMAU7241051</v>
          </cell>
          <cell r="J85" t="str">
            <v>THAÀNH</v>
          </cell>
          <cell r="K85">
            <v>0.875</v>
          </cell>
          <cell r="L85" t="str">
            <v>AMCU9409250</v>
          </cell>
          <cell r="O85">
            <v>0</v>
          </cell>
          <cell r="Q85">
            <v>0</v>
          </cell>
        </row>
        <row r="86">
          <cell r="I86" t="str">
            <v>CMAU3351430</v>
          </cell>
          <cell r="J86" t="str">
            <v>HƯỜNG</v>
          </cell>
          <cell r="K86">
            <v>0.58333333333333337</v>
          </cell>
          <cell r="L86" t="str">
            <v>CGMU5677682</v>
          </cell>
          <cell r="O86">
            <v>0</v>
          </cell>
          <cell r="Q86">
            <v>0</v>
          </cell>
        </row>
        <row r="87">
          <cell r="I87" t="str">
            <v>SITU9182238</v>
          </cell>
          <cell r="J87" t="str">
            <v>SƠN
KÉO VỀ</v>
          </cell>
          <cell r="K87">
            <v>0.33333333333333331</v>
          </cell>
          <cell r="N87" t="str">
            <v>DINH VU</v>
          </cell>
          <cell r="O87" t="str">
            <v>VZ-25/50371+VZ-25/50371R+VZ-25/50371R-01</v>
          </cell>
          <cell r="P87" t="str">
            <v>done</v>
          </cell>
          <cell r="Q87" t="str">
            <v>307989554300
307989517310
307989442740
307989618920</v>
          </cell>
        </row>
        <row r="88">
          <cell r="I88" t="str">
            <v>FFAU7129353</v>
          </cell>
          <cell r="J88" t="str">
            <v>SƠN.
HƯỜNG KÉO VỀ</v>
          </cell>
          <cell r="K88">
            <v>0.54166666666666663</v>
          </cell>
          <cell r="L88" t="str">
            <v>ONEU9111275</v>
          </cell>
          <cell r="N88" t="str">
            <v>DINH VU</v>
          </cell>
          <cell r="O88" t="str">
            <v>VZ-25/50377 +VZ-25/50377R +VZ-25/50377R-01</v>
          </cell>
          <cell r="P88" t="str">
            <v>done</v>
          </cell>
          <cell r="Q88" t="str">
            <v>307989988300
307989937200
307989854710</v>
          </cell>
        </row>
        <row r="89">
          <cell r="I89" t="str">
            <v>TIIU5209657</v>
          </cell>
          <cell r="J89" t="str">
            <v>THI
SƠN KÉO VỀ</v>
          </cell>
          <cell r="K89">
            <v>0.875</v>
          </cell>
          <cell r="L89" t="str">
            <v>CAAU6541300</v>
          </cell>
          <cell r="N89" t="str">
            <v>DINH VU</v>
          </cell>
          <cell r="O89" t="str">
            <v>VZ-25/50378 +VZ-25/50378R +VZ-25/50378R-01</v>
          </cell>
          <cell r="P89" t="str">
            <v>done</v>
          </cell>
          <cell r="Q89" t="str">
            <v>307991104320
307991089360
307991112830</v>
          </cell>
        </row>
        <row r="90">
          <cell r="I90" t="str">
            <v>TCKU7240025</v>
          </cell>
          <cell r="J90" t="str">
            <v>ĐỨC
THÀNH KÉO VỀ</v>
          </cell>
          <cell r="K90">
            <v>0.95833333333333337</v>
          </cell>
          <cell r="L90" t="str">
            <v>KKFU6760420</v>
          </cell>
          <cell r="N90" t="str">
            <v>DINH VU</v>
          </cell>
          <cell r="O90" t="str">
            <v>VZ-25/50379 +VZ-25/50379R +VZ-25/50379R-01</v>
          </cell>
          <cell r="P90" t="str">
            <v>done</v>
          </cell>
          <cell r="Q90" t="str">
            <v>307991151330
307991147130
307991137810
307991127310</v>
          </cell>
        </row>
        <row r="91">
          <cell r="I91" t="str">
            <v>SITU9165251</v>
          </cell>
          <cell r="J91" t="str">
            <v>SÂM KÉO VỀ</v>
          </cell>
          <cell r="N91" t="str">
            <v>DINH VU</v>
          </cell>
          <cell r="O91" t="str">
            <v>VZ-25/50374 +VZ-25/50374R +VZ-25/50374R-01</v>
          </cell>
          <cell r="P91" t="str">
            <v>done</v>
          </cell>
          <cell r="Q91" t="str">
            <v>307978449350
307978392760
307978345420
307978290340</v>
          </cell>
        </row>
        <row r="92">
          <cell r="I92" t="str">
            <v>MRSU5758387</v>
          </cell>
          <cell r="J92" t="str">
            <v>THÀNH</v>
          </cell>
          <cell r="K92">
            <v>0.33333333333333331</v>
          </cell>
          <cell r="L92" t="str">
            <v>MRSU5959139</v>
          </cell>
          <cell r="M92" t="str">
            <v>TRI PHƯƠNG</v>
          </cell>
          <cell r="N92" t="str">
            <v>HATECO HICT</v>
          </cell>
          <cell r="O92" t="str">
            <v>VI-25/58021</v>
          </cell>
          <cell r="P92" t="str">
            <v>done</v>
          </cell>
          <cell r="Q92" t="str">
            <v>307987699740</v>
          </cell>
        </row>
        <row r="93">
          <cell r="I93" t="str">
            <v>CAAU8454837</v>
          </cell>
          <cell r="J93" t="str">
            <v>SƠN</v>
          </cell>
          <cell r="K93">
            <v>0.38541666666666669</v>
          </cell>
          <cell r="L93" t="str">
            <v>MRKU5854536</v>
          </cell>
          <cell r="M93" t="str">
            <v>TRI PHƯƠNG</v>
          </cell>
          <cell r="N93" t="str">
            <v>HATECO HICT</v>
          </cell>
          <cell r="O93" t="str">
            <v>VI-25/58007</v>
          </cell>
          <cell r="P93" t="str">
            <v>done</v>
          </cell>
          <cell r="Q93" t="str">
            <v>307987676160</v>
          </cell>
        </row>
        <row r="94">
          <cell r="I94" t="str">
            <v>MRSU5870381</v>
          </cell>
          <cell r="J94" t="str">
            <v>SÂM</v>
          </cell>
          <cell r="K94">
            <v>0.39583333333333331</v>
          </cell>
          <cell r="L94" t="str">
            <v>MSKU9830621</v>
          </cell>
          <cell r="M94" t="str">
            <v>TRI PHƯƠNG</v>
          </cell>
          <cell r="N94" t="str">
            <v>HATECO HICT</v>
          </cell>
          <cell r="O94" t="str">
            <v>VI-25/57994</v>
          </cell>
          <cell r="P94" t="str">
            <v>done</v>
          </cell>
          <cell r="Q94" t="str">
            <v>307987787350</v>
          </cell>
        </row>
        <row r="95">
          <cell r="I95" t="str">
            <v>MRSU5099593</v>
          </cell>
          <cell r="J95" t="str">
            <v>ĐỨC</v>
          </cell>
          <cell r="K95">
            <v>0.45833333333333331</v>
          </cell>
          <cell r="L95" t="str">
            <v>MRSU5870381</v>
          </cell>
          <cell r="M95" t="str">
            <v>TRI PHƯƠNG</v>
          </cell>
          <cell r="N95" t="str">
            <v>HATECO HICT</v>
          </cell>
          <cell r="O95" t="str">
            <v>VI-25/58022</v>
          </cell>
          <cell r="P95" t="str">
            <v>done</v>
          </cell>
          <cell r="Q95" t="str">
            <v>307987710020</v>
          </cell>
        </row>
        <row r="96">
          <cell r="I96" t="str">
            <v>TCNU3173957</v>
          </cell>
          <cell r="J96" t="str">
            <v>THÀNH</v>
          </cell>
          <cell r="K96">
            <v>0.45833333333333331</v>
          </cell>
          <cell r="L96" t="str">
            <v>MRSU5758387</v>
          </cell>
          <cell r="M96" t="str">
            <v>TRI PHƯƠNG</v>
          </cell>
          <cell r="N96" t="str">
            <v>HATECO HICT</v>
          </cell>
          <cell r="O96" t="str">
            <v>VI-25/58039</v>
          </cell>
          <cell r="P96" t="str">
            <v>done</v>
          </cell>
          <cell r="Q96" t="str">
            <v>307988088460</v>
          </cell>
        </row>
        <row r="97">
          <cell r="I97" t="str">
            <v>MRSU4242734</v>
          </cell>
          <cell r="J97" t="str">
            <v>SÂM</v>
          </cell>
          <cell r="K97">
            <v>0.53125</v>
          </cell>
          <cell r="L97" t="str">
            <v>CAAU8454837</v>
          </cell>
          <cell r="M97" t="str">
            <v>TRI PHƯƠNG</v>
          </cell>
          <cell r="N97" t="str">
            <v>HATECO HICT</v>
          </cell>
          <cell r="O97" t="str">
            <v>VI-25/58012</v>
          </cell>
          <cell r="P97" t="str">
            <v>done</v>
          </cell>
          <cell r="Q97" t="str">
            <v>307987589620</v>
          </cell>
        </row>
        <row r="98">
          <cell r="I98" t="str">
            <v>MRSU4445900</v>
          </cell>
          <cell r="J98" t="str">
            <v>SÂM</v>
          </cell>
          <cell r="K98">
            <v>0.875</v>
          </cell>
          <cell r="L98" t="str">
            <v>MRSU4242734</v>
          </cell>
          <cell r="M98" t="str">
            <v>TRI PHƯƠNG</v>
          </cell>
          <cell r="N98" t="str">
            <v>HATECO HICT</v>
          </cell>
          <cell r="O98" t="str">
            <v>VI-25/58040</v>
          </cell>
          <cell r="P98" t="str">
            <v>done</v>
          </cell>
          <cell r="Q98" t="str">
            <v>307988107250</v>
          </cell>
        </row>
        <row r="99">
          <cell r="I99" t="str">
            <v>TRHU4003985</v>
          </cell>
          <cell r="J99" t="str">
            <v>ĐỨC</v>
          </cell>
          <cell r="K99">
            <v>0.89583333333333337</v>
          </cell>
          <cell r="L99" t="str">
            <v>TCKU6234373</v>
          </cell>
          <cell r="M99" t="str">
            <v>TRI PHƯƠNG</v>
          </cell>
          <cell r="N99" t="str">
            <v>HATECO HICT</v>
          </cell>
          <cell r="O99" t="str">
            <v>VI-25/58034</v>
          </cell>
          <cell r="P99" t="str">
            <v>done</v>
          </cell>
          <cell r="Q99" t="str">
            <v>307987768010</v>
          </cell>
        </row>
        <row r="100">
          <cell r="I100" t="str">
            <v>CAAU5485285</v>
          </cell>
          <cell r="J100" t="str">
            <v>SƠN</v>
          </cell>
          <cell r="K100">
            <v>0.90625</v>
          </cell>
          <cell r="L100" t="str">
            <v>CAAU5485285</v>
          </cell>
          <cell r="M100" t="str">
            <v>TRI PHƯƠNG</v>
          </cell>
          <cell r="N100" t="str">
            <v>HATECO HICT</v>
          </cell>
          <cell r="O100" t="str">
            <v>VI-25/58015</v>
          </cell>
          <cell r="P100" t="str">
            <v>done</v>
          </cell>
          <cell r="Q100" t="str">
            <v>307987748260</v>
          </cell>
        </row>
        <row r="101">
          <cell r="I101" t="str">
            <v>TCKU7675590</v>
          </cell>
          <cell r="J101" t="str">
            <v>QUÂN</v>
          </cell>
          <cell r="K101">
            <v>0.94791666666666663</v>
          </cell>
          <cell r="L101" t="str">
            <v>TCKU7675590</v>
          </cell>
          <cell r="M101" t="str">
            <v>TRI PHƯƠNG</v>
          </cell>
          <cell r="N101" t="str">
            <v>HATECO HICT</v>
          </cell>
          <cell r="O101" t="str">
            <v>VI-25/58027</v>
          </cell>
          <cell r="P101" t="str">
            <v>done</v>
          </cell>
          <cell r="Q101" t="str">
            <v>307987806950</v>
          </cell>
        </row>
        <row r="102">
          <cell r="I102" t="str">
            <v>CAIU7747427</v>
          </cell>
          <cell r="J102" t="str">
            <v>SÂM</v>
          </cell>
          <cell r="K102">
            <v>0.94791666666666663</v>
          </cell>
          <cell r="M102" t="str">
            <v>TRI PHƯƠNG</v>
          </cell>
          <cell r="N102" t="str">
            <v>HATECO HICT</v>
          </cell>
          <cell r="O102" t="str">
            <v>VI-25/58023</v>
          </cell>
          <cell r="P102" t="str">
            <v>done</v>
          </cell>
          <cell r="Q102" t="str">
            <v>307987719450</v>
          </cell>
        </row>
        <row r="103">
          <cell r="I103" t="str">
            <v>TCNU3525451</v>
          </cell>
          <cell r="J103" t="str">
            <v>HƯỜNG</v>
          </cell>
          <cell r="K103">
            <v>9.375E-2</v>
          </cell>
          <cell r="L103" t="str">
            <v>TCNU3525451</v>
          </cell>
          <cell r="M103" t="str">
            <v>TRI PHƯƠNG</v>
          </cell>
          <cell r="N103" t="str">
            <v>HATECO HICT</v>
          </cell>
          <cell r="O103" t="str">
            <v>VI-25/58024</v>
          </cell>
          <cell r="P103" t="str">
            <v>done</v>
          </cell>
          <cell r="Q103" t="str">
            <v>307987728000</v>
          </cell>
        </row>
        <row r="104">
          <cell r="I104" t="str">
            <v>CGMU5677682</v>
          </cell>
          <cell r="J104" t="str">
            <v>QUÂN</v>
          </cell>
          <cell r="K104" t="str">
            <v>14:00</v>
          </cell>
          <cell r="L104" t="str">
            <v>CGMU5224599</v>
          </cell>
          <cell r="M104" t="str">
            <v>TRI PHƯƠNG</v>
          </cell>
          <cell r="O104">
            <v>1</v>
          </cell>
          <cell r="Q104">
            <v>0</v>
          </cell>
        </row>
        <row r="105">
          <cell r="I105" t="str">
            <v>CGMU9375361</v>
          </cell>
          <cell r="J105" t="str">
            <v>THỊNH</v>
          </cell>
          <cell r="K105" t="str">
            <v>09:00</v>
          </cell>
          <cell r="L105" t="str">
            <v>MRSU4271711</v>
          </cell>
          <cell r="M105" t="str">
            <v>TRI PHƯƠNG</v>
          </cell>
          <cell r="O105" t="str">
            <v>1,3</v>
          </cell>
          <cell r="Q105">
            <v>0</v>
          </cell>
        </row>
        <row r="106">
          <cell r="I106" t="str">
            <v>TTNU8984543</v>
          </cell>
          <cell r="J106" t="str">
            <v>THI</v>
          </cell>
          <cell r="K106" t="str">
            <v>10:00</v>
          </cell>
          <cell r="L106" t="str">
            <v>FFAU7031900</v>
          </cell>
          <cell r="M106" t="str">
            <v>TRI PHƯƠNG</v>
          </cell>
          <cell r="O106">
            <v>1</v>
          </cell>
          <cell r="Q106">
            <v>0</v>
          </cell>
        </row>
        <row r="107">
          <cell r="I107" t="str">
            <v>TTNU8474529</v>
          </cell>
          <cell r="J107" t="str">
            <v>HƯỜNG</v>
          </cell>
          <cell r="K107" t="str">
            <v>11:00</v>
          </cell>
          <cell r="L107" t="str">
            <v>TTNU8984543</v>
          </cell>
          <cell r="M107" t="str">
            <v>TRI PHƯƠNG</v>
          </cell>
          <cell r="O107">
            <v>1</v>
          </cell>
          <cell r="Q107">
            <v>0</v>
          </cell>
        </row>
        <row r="108">
          <cell r="I108" t="str">
            <v>OTPU6334921</v>
          </cell>
          <cell r="J108" t="str">
            <v>QUÂN</v>
          </cell>
          <cell r="K108" t="str">
            <v>13:00</v>
          </cell>
          <cell r="L108" t="str">
            <v>TTNU8474529</v>
          </cell>
          <cell r="M108" t="str">
            <v>TRI PHƯƠNG</v>
          </cell>
          <cell r="O108">
            <v>1</v>
          </cell>
          <cell r="Q108">
            <v>0</v>
          </cell>
        </row>
        <row r="109">
          <cell r="I109" t="str">
            <v>SEKU9211477</v>
          </cell>
          <cell r="J109" t="str">
            <v>THỊNH</v>
          </cell>
          <cell r="K109" t="str">
            <v>21:00</v>
          </cell>
          <cell r="L109" t="str">
            <v>FFAU1430544</v>
          </cell>
          <cell r="M109" t="str">
            <v>TRI PHƯƠNG</v>
          </cell>
          <cell r="O109" t="str">
            <v>2,1</v>
          </cell>
          <cell r="Q109">
            <v>0</v>
          </cell>
        </row>
        <row r="110">
          <cell r="I110" t="str">
            <v>TCLU1340580</v>
          </cell>
          <cell r="J110" t="str">
            <v>THI</v>
          </cell>
          <cell r="K110" t="str">
            <v>00:00</v>
          </cell>
          <cell r="L110" t="str">
            <v>FFAU4035630</v>
          </cell>
          <cell r="M110" t="str">
            <v>TRI PHƯƠNG</v>
          </cell>
          <cell r="O110">
            <v>1</v>
          </cell>
          <cell r="Q110">
            <v>0</v>
          </cell>
        </row>
        <row r="111">
          <cell r="I111" t="str">
            <v>AMCU9415361</v>
          </cell>
          <cell r="J111" t="str">
            <v>PHƯƠNG</v>
          </cell>
          <cell r="K111" t="str">
            <v>01:00</v>
          </cell>
          <cell r="L111" t="str">
            <v>ONEU0741036</v>
          </cell>
          <cell r="M111" t="str">
            <v>TRI PHƯƠNG</v>
          </cell>
          <cell r="O111">
            <v>2</v>
          </cell>
          <cell r="Q111">
            <v>0</v>
          </cell>
        </row>
        <row r="112">
          <cell r="I112" t="str">
            <v>AMCU9409250</v>
          </cell>
          <cell r="J112" t="str">
            <v>HƯỜNG</v>
          </cell>
          <cell r="K112" t="str">
            <v>13:00</v>
          </cell>
          <cell r="L112" t="str">
            <v>CAAU9918450</v>
          </cell>
          <cell r="M112" t="str">
            <v>TRI PHƯƠNG</v>
          </cell>
          <cell r="O112" t="str">
            <v>3,1</v>
          </cell>
          <cell r="Q112">
            <v>0</v>
          </cell>
        </row>
        <row r="113">
          <cell r="I113" t="str">
            <v>HAMU1540369</v>
          </cell>
          <cell r="J113" t="str">
            <v>ĐỨC</v>
          </cell>
          <cell r="K113" t="str">
            <v>10:00</v>
          </cell>
          <cell r="L113" t="str">
            <v>TLLU5507669</v>
          </cell>
          <cell r="M113" t="str">
            <v>TRI PHƯƠNG</v>
          </cell>
          <cell r="O113">
            <v>2</v>
          </cell>
          <cell r="Q113">
            <v>0</v>
          </cell>
        </row>
        <row r="114">
          <cell r="I114" t="str">
            <v>MRSU4271711</v>
          </cell>
          <cell r="J114" t="str">
            <v>SƠN</v>
          </cell>
          <cell r="K114">
            <v>0.45833333333333331</v>
          </cell>
          <cell r="L114" t="str">
            <v>FFAU6185692</v>
          </cell>
          <cell r="M114" t="str">
            <v>TRI PHƯƠNG</v>
          </cell>
          <cell r="N114" t="str">
            <v>HATECO HICT</v>
          </cell>
          <cell r="O114">
            <v>1</v>
          </cell>
          <cell r="P114" t="str">
            <v>done</v>
          </cell>
          <cell r="Q114" t="str">
            <v>307988419340</v>
          </cell>
        </row>
        <row r="115">
          <cell r="I115" t="str">
            <v>SEKU4605185</v>
          </cell>
          <cell r="J115" t="str">
            <v>THÀNH</v>
          </cell>
          <cell r="K115">
            <v>0.33333333333333331</v>
          </cell>
          <cell r="L115" t="str">
            <v>MSMU4503798</v>
          </cell>
          <cell r="M115" t="str">
            <v>TRI PHƯƠNG</v>
          </cell>
          <cell r="N115" t="str">
            <v>HATECO HICT</v>
          </cell>
          <cell r="O115" t="str">
            <v>VB-25/52736</v>
          </cell>
          <cell r="P115" t="str">
            <v>done</v>
          </cell>
          <cell r="Q115" t="str">
            <v>307986655230</v>
          </cell>
        </row>
        <row r="116">
          <cell r="I116" t="str">
            <v>TCNU7857705</v>
          </cell>
          <cell r="J116" t="str">
            <v>PHƯƠNG</v>
          </cell>
          <cell r="K116">
            <v>0.33333333333333331</v>
          </cell>
          <cell r="L116" t="str">
            <v>HASU4985025</v>
          </cell>
          <cell r="M116" t="str">
            <v>TRI PHƯƠNG</v>
          </cell>
          <cell r="N116" t="str">
            <v>HATECO HICT</v>
          </cell>
          <cell r="O116" t="str">
            <v>VB-25/52737
CB VS-25/51641</v>
          </cell>
          <cell r="P116" t="str">
            <v>done</v>
          </cell>
          <cell r="Q116" t="str">
            <v>307986656410
307986657550</v>
          </cell>
        </row>
        <row r="117">
          <cell r="I117" t="str">
            <v>HASU4270510</v>
          </cell>
          <cell r="J117" t="str">
            <v>QUÂN</v>
          </cell>
          <cell r="K117">
            <v>0.875</v>
          </cell>
          <cell r="L117" t="str">
            <v>MSKU0635938</v>
          </cell>
          <cell r="M117" t="str">
            <v>TRI PHƯƠNG</v>
          </cell>
          <cell r="N117" t="str">
            <v>HATECO HICT</v>
          </cell>
          <cell r="O117" t="str">
            <v>VB-25/52735</v>
          </cell>
          <cell r="P117" t="str">
            <v>done</v>
          </cell>
          <cell r="Q117" t="str">
            <v>307986664810</v>
          </cell>
        </row>
        <row r="118">
          <cell r="I118" t="str">
            <v>HASU4985025</v>
          </cell>
          <cell r="J118" t="str">
            <v>SÂM</v>
          </cell>
          <cell r="K118">
            <v>0.33333333333333331</v>
          </cell>
          <cell r="L118" t="str">
            <v>TCNU3017419</v>
          </cell>
          <cell r="N118" t="str">
            <v>HATECO HICT</v>
          </cell>
          <cell r="O118" t="str">
            <v>VB-25/52734 
CB VS-25/51636</v>
          </cell>
          <cell r="P118" t="str">
            <v>done</v>
          </cell>
          <cell r="Q118" t="str">
            <v>307986938030
307986937220</v>
          </cell>
        </row>
        <row r="119">
          <cell r="I119" t="str">
            <v>KKFU7868702</v>
          </cell>
          <cell r="K119">
            <v>0.625</v>
          </cell>
          <cell r="O119" t="str">
            <v>VS-25/51643</v>
          </cell>
          <cell r="Q119">
            <v>0</v>
          </cell>
        </row>
        <row r="120">
          <cell r="I120" t="str">
            <v>EITU1009515</v>
          </cell>
          <cell r="J120" t="str">
            <v>THANH
KÉO VẾ</v>
          </cell>
          <cell r="K120">
            <v>0</v>
          </cell>
          <cell r="L120" t="str">
            <v>EITU1009515</v>
          </cell>
          <cell r="N120" t="str">
            <v>GIC</v>
          </cell>
          <cell r="O120" t="str">
            <v>VB-25/52743</v>
          </cell>
          <cell r="P120" t="str">
            <v>done</v>
          </cell>
          <cell r="Q120" t="str">
            <v>307992405360</v>
          </cell>
        </row>
        <row r="121">
          <cell r="I121" t="str">
            <v>TXGU6149983</v>
          </cell>
          <cell r="J121" t="str">
            <v>THAÀNH</v>
          </cell>
          <cell r="K121">
            <v>8.3333333333333329E-2</v>
          </cell>
          <cell r="L121" t="str">
            <v>MSKU0329157</v>
          </cell>
          <cell r="O121" t="str">
            <v>VH-25/50739</v>
          </cell>
          <cell r="Q121">
            <v>0</v>
          </cell>
        </row>
        <row r="122">
          <cell r="I122" t="str">
            <v>EGSU1557677</v>
          </cell>
          <cell r="J122" t="str">
            <v>THI</v>
          </cell>
          <cell r="K122">
            <v>0.125</v>
          </cell>
          <cell r="L122" t="str">
            <v>MRKU2999942</v>
          </cell>
          <cell r="O122" t="str">
            <v>VS-25/51644</v>
          </cell>
          <cell r="Q122">
            <v>0</v>
          </cell>
        </row>
        <row r="123">
          <cell r="I123" t="str">
            <v>ECMU2625186</v>
          </cell>
          <cell r="J123" t="str">
            <v>HKC</v>
          </cell>
          <cell r="L123" t="str">
            <v>ECMU2625186</v>
          </cell>
          <cell r="N123" t="str">
            <v>TÂN VŨ</v>
          </cell>
          <cell r="O123" t="str">
            <v>VS-25/51651</v>
          </cell>
          <cell r="P123" t="str">
            <v>done</v>
          </cell>
          <cell r="Q123" t="str">
            <v>307993841760</v>
          </cell>
        </row>
        <row r="124">
          <cell r="I124" t="str">
            <v>SELU4371947</v>
          </cell>
          <cell r="J124" t="str">
            <v>SƠN</v>
          </cell>
          <cell r="K124">
            <v>0.33333333333333331</v>
          </cell>
          <cell r="L124" t="str">
            <v>TCLU9126702</v>
          </cell>
          <cell r="Q124">
            <v>0</v>
          </cell>
        </row>
        <row r="125">
          <cell r="I125" t="str">
            <v>FFAU7244700</v>
          </cell>
          <cell r="K125">
            <v>0.41666666666666669</v>
          </cell>
          <cell r="Q125">
            <v>0</v>
          </cell>
        </row>
        <row r="126">
          <cell r="I126" t="str">
            <v>UETU7067754</v>
          </cell>
          <cell r="J126" t="str">
            <v>HƯỜNG</v>
          </cell>
          <cell r="K126">
            <v>0.95833333333333337</v>
          </cell>
          <cell r="L126" t="str">
            <v>CGMU5535707</v>
          </cell>
          <cell r="Q126">
            <v>0</v>
          </cell>
        </row>
        <row r="127">
          <cell r="I127" t="str">
            <v>TEMU7494024</v>
          </cell>
          <cell r="J127" t="str">
            <v>SÂM</v>
          </cell>
          <cell r="K127">
            <v>0</v>
          </cell>
          <cell r="L127" t="str">
            <v>ONEU5222666</v>
          </cell>
          <cell r="Q127">
            <v>0</v>
          </cell>
        </row>
        <row r="128">
          <cell r="I128" t="str">
            <v>TRHU6736662</v>
          </cell>
          <cell r="J128" t="str">
            <v>PHƯƠNG</v>
          </cell>
          <cell r="K128">
            <v>4.1666666666666664E-2</v>
          </cell>
          <cell r="L128" t="str">
            <v>FFAU7183143</v>
          </cell>
          <cell r="Q128">
            <v>0</v>
          </cell>
        </row>
        <row r="129">
          <cell r="I129" t="str">
            <v>BEAU5257730</v>
          </cell>
          <cell r="J129" t="str">
            <v>SƠN</v>
          </cell>
          <cell r="K129">
            <v>4.1666666666666664E-2</v>
          </cell>
          <cell r="L129" t="str">
            <v>CMAU3351430</v>
          </cell>
          <cell r="Q129">
            <v>0</v>
          </cell>
        </row>
        <row r="130">
          <cell r="I130" t="str">
            <v>EGHU9307691</v>
          </cell>
          <cell r="J130" t="str">
            <v>SÂM</v>
          </cell>
          <cell r="K130">
            <v>8.3333333333333329E-2</v>
          </cell>
          <cell r="L130" t="str">
            <v>SITU9165251</v>
          </cell>
          <cell r="Q130">
            <v>0</v>
          </cell>
        </row>
        <row r="131">
          <cell r="I131" t="str">
            <v>GCXU5578340</v>
          </cell>
          <cell r="J131" t="str">
            <v>HỒNG HƯNG
KÉO VỀ</v>
          </cell>
          <cell r="K131">
            <v>0.66666666666666663</v>
          </cell>
          <cell r="L131" t="str">
            <v>GCXU5578340</v>
          </cell>
          <cell r="N131" t="str">
            <v>HATECO HICT</v>
          </cell>
          <cell r="O131" t="str">
            <v>VI-25/58061</v>
          </cell>
          <cell r="P131" t="str">
            <v>done</v>
          </cell>
          <cell r="Q131" t="str">
            <v>307991892960</v>
          </cell>
        </row>
        <row r="132">
          <cell r="I132" t="str">
            <v>FFAU7456802</v>
          </cell>
          <cell r="J132" t="str">
            <v>HƯNG
KÉO VỀ</v>
          </cell>
          <cell r="K132">
            <v>0.875</v>
          </cell>
          <cell r="L132" t="str">
            <v>FFAU7456802</v>
          </cell>
          <cell r="N132" t="str">
            <v>NAM ĐÌNH VŨ</v>
          </cell>
          <cell r="O132" t="str">
            <v>VI-25/58062</v>
          </cell>
          <cell r="P132" t="str">
            <v>done</v>
          </cell>
          <cell r="Q132" t="str">
            <v>307991957360</v>
          </cell>
        </row>
        <row r="133">
          <cell r="I133" t="str">
            <v>TIIU4676554</v>
          </cell>
          <cell r="J133" t="str">
            <v>TÍN  
KÉO VỀ</v>
          </cell>
          <cell r="K133">
            <v>0.11458333333333333</v>
          </cell>
          <cell r="L133" t="str">
            <v>TIIU4676554</v>
          </cell>
          <cell r="N133" t="str">
            <v>NAM ĐÌNH VŨ</v>
          </cell>
          <cell r="O133" t="str">
            <v>VI-25/58073</v>
          </cell>
          <cell r="P133" t="str">
            <v>done</v>
          </cell>
          <cell r="Q133" t="str">
            <v>307991975340</v>
          </cell>
        </row>
        <row r="134">
          <cell r="I134" t="str">
            <v>TGBU5920476</v>
          </cell>
          <cell r="J134" t="str">
            <v>SƠN</v>
          </cell>
          <cell r="K134">
            <v>0.33333333333333331</v>
          </cell>
          <cell r="L134" t="str">
            <v>MSMU4647080</v>
          </cell>
          <cell r="M134" t="str">
            <v>TRI PHƯƠNG</v>
          </cell>
          <cell r="N134" t="str">
            <v>HATECO HICT</v>
          </cell>
          <cell r="O134" t="str">
            <v>VB-25/52740</v>
          </cell>
          <cell r="P134" t="str">
            <v>done</v>
          </cell>
          <cell r="Q134" t="str">
            <v>307992002050</v>
          </cell>
        </row>
        <row r="135">
          <cell r="I135" t="str">
            <v>MRKU2046827</v>
          </cell>
          <cell r="J135" t="str">
            <v>THI</v>
          </cell>
          <cell r="K135">
            <v>0.33333333333333331</v>
          </cell>
          <cell r="L135" t="str">
            <v>SEKU4605185</v>
          </cell>
          <cell r="M135" t="str">
            <v>TRI PHƯƠNG</v>
          </cell>
          <cell r="N135" t="str">
            <v>HATECO HICT</v>
          </cell>
          <cell r="O135" t="str">
            <v>VH-25/50735</v>
          </cell>
          <cell r="P135" t="str">
            <v>done</v>
          </cell>
          <cell r="Q135" t="str">
            <v>307992173330</v>
          </cell>
        </row>
        <row r="136">
          <cell r="I136" t="str">
            <v>TCNU1820273</v>
          </cell>
          <cell r="J136" t="str">
            <v>QUÂN</v>
          </cell>
          <cell r="K136">
            <v>0.375</v>
          </cell>
          <cell r="L136" t="str">
            <v>HASU4270510</v>
          </cell>
          <cell r="M136" t="str">
            <v>TRI PHƯƠNG</v>
          </cell>
          <cell r="N136" t="str">
            <v>HATECO HICT</v>
          </cell>
          <cell r="O136" t="str">
            <v>VB-25/52741</v>
          </cell>
          <cell r="P136" t="str">
            <v>done</v>
          </cell>
          <cell r="Q136" t="str">
            <v>307992037050</v>
          </cell>
        </row>
        <row r="137">
          <cell r="I137" t="str">
            <v>MRKU2999942</v>
          </cell>
          <cell r="J137" t="str">
            <v>PHƯƠNG</v>
          </cell>
          <cell r="K137">
            <v>0.41666666666666669</v>
          </cell>
          <cell r="L137" t="str">
            <v>TCNU1820273</v>
          </cell>
          <cell r="M137" t="str">
            <v>TRI PHƯƠNG</v>
          </cell>
          <cell r="N137" t="str">
            <v>HATECO HICT</v>
          </cell>
          <cell r="O137" t="str">
            <v>VB-25/52738</v>
          </cell>
          <cell r="P137" t="str">
            <v>done</v>
          </cell>
          <cell r="Q137" t="str">
            <v>307992112540</v>
          </cell>
        </row>
        <row r="138">
          <cell r="I138" t="str">
            <v>MSKU0329157</v>
          </cell>
          <cell r="J138" t="str">
            <v>THÀNH</v>
          </cell>
          <cell r="K138">
            <v>0.625</v>
          </cell>
          <cell r="L138" t="str">
            <v>TCNU7857705</v>
          </cell>
          <cell r="M138" t="str">
            <v>TRI PHƯƠNG</v>
          </cell>
          <cell r="N138" t="str">
            <v>HATECO HICT</v>
          </cell>
          <cell r="O138" t="str">
            <v>VS-25/51647</v>
          </cell>
          <cell r="P138" t="str">
            <v>done</v>
          </cell>
          <cell r="Q138" t="str">
            <v>307992271810</v>
          </cell>
        </row>
        <row r="139">
          <cell r="I139" t="str">
            <v>GAOU7136577</v>
          </cell>
          <cell r="J139" t="str">
            <v>PHƯƠNG</v>
          </cell>
          <cell r="K139">
            <v>0</v>
          </cell>
          <cell r="L139" t="str">
            <v>KKFU7868702</v>
          </cell>
          <cell r="M139" t="str">
            <v>TRI PHƯƠNG</v>
          </cell>
          <cell r="N139" t="str">
            <v>HATECO HICT</v>
          </cell>
          <cell r="O139" t="str">
            <v>VB-25/52739</v>
          </cell>
          <cell r="P139" t="str">
            <v>done</v>
          </cell>
          <cell r="Q139" t="str">
            <v>307992374230</v>
          </cell>
        </row>
        <row r="140">
          <cell r="I140" t="str">
            <v>MRSU6464406</v>
          </cell>
          <cell r="J140" t="str">
            <v>QUÂN</v>
          </cell>
          <cell r="K140">
            <v>0.125</v>
          </cell>
          <cell r="L140" t="str">
            <v>MRKU2046827</v>
          </cell>
          <cell r="M140" t="str">
            <v>TRI PHƯƠNG</v>
          </cell>
          <cell r="N140" t="str">
            <v>HATECO HICT</v>
          </cell>
          <cell r="O140" t="str">
            <v>VB-25/52742</v>
          </cell>
          <cell r="P140" t="str">
            <v>done</v>
          </cell>
          <cell r="Q140" t="str">
            <v>307992448060</v>
          </cell>
        </row>
        <row r="141">
          <cell r="I141" t="str">
            <v>TLLU5408460</v>
          </cell>
          <cell r="J141" t="str">
            <v>THÀNH</v>
          </cell>
          <cell r="K141">
            <v>0.33333333333333331</v>
          </cell>
          <cell r="L141" t="str">
            <v>MRSU4445900</v>
          </cell>
          <cell r="M141" t="str">
            <v>TRI PHƯƠNG</v>
          </cell>
          <cell r="N141" t="str">
            <v>HATECO HICT</v>
          </cell>
          <cell r="O141" t="str">
            <v>VI-25/58046</v>
          </cell>
          <cell r="P141" t="str">
            <v>done</v>
          </cell>
          <cell r="Q141" t="str">
            <v>307991813200</v>
          </cell>
        </row>
        <row r="142">
          <cell r="I142" t="str">
            <v>CIPU5232731</v>
          </cell>
          <cell r="J142" t="str">
            <v>THỊNH</v>
          </cell>
          <cell r="K142">
            <v>0.375</v>
          </cell>
          <cell r="L142" t="str">
            <v>TRHU4003985</v>
          </cell>
          <cell r="M142" t="str">
            <v>TRI PHƯƠNG</v>
          </cell>
          <cell r="N142" t="str">
            <v>HATECO HICT</v>
          </cell>
          <cell r="O142" t="str">
            <v>VI-25/58048</v>
          </cell>
          <cell r="P142" t="str">
            <v>done</v>
          </cell>
          <cell r="Q142" t="str">
            <v>307991831030</v>
          </cell>
        </row>
        <row r="143">
          <cell r="I143" t="str">
            <v>SEGU4507754</v>
          </cell>
          <cell r="J143" t="str">
            <v>THI</v>
          </cell>
          <cell r="K143">
            <v>0.39583333333333331</v>
          </cell>
          <cell r="L143" t="str">
            <v>TLLU5408460</v>
          </cell>
          <cell r="M143" t="str">
            <v>TRI PHƯƠNG</v>
          </cell>
          <cell r="N143" t="str">
            <v>HATECO HICT</v>
          </cell>
          <cell r="O143" t="str">
            <v>VI-25/58049</v>
          </cell>
          <cell r="P143" t="str">
            <v>done</v>
          </cell>
          <cell r="Q143" t="str">
            <v>307991884820</v>
          </cell>
        </row>
        <row r="144">
          <cell r="I144" t="str">
            <v>MRKU2003358</v>
          </cell>
          <cell r="J144" t="str">
            <v>THÀNH</v>
          </cell>
          <cell r="K144">
            <v>0.625</v>
          </cell>
          <cell r="L144" t="str">
            <v>MRKU4236240</v>
          </cell>
          <cell r="M144" t="str">
            <v>TRI PHƯƠNG</v>
          </cell>
          <cell r="N144" t="str">
            <v>HATECO HICT</v>
          </cell>
          <cell r="O144" t="str">
            <v>VI-25/58055</v>
          </cell>
          <cell r="P144" t="str">
            <v>done</v>
          </cell>
          <cell r="Q144" t="str">
            <v>307991771530</v>
          </cell>
        </row>
        <row r="145">
          <cell r="I145" t="str">
            <v>MRKU4236240</v>
          </cell>
          <cell r="J145" t="str">
            <v>HƯỜNG</v>
          </cell>
          <cell r="K145">
            <v>0.4375</v>
          </cell>
          <cell r="L145" t="str">
            <v>MRSU5099593</v>
          </cell>
          <cell r="M145" t="str">
            <v>TRI PHƯƠNG</v>
          </cell>
          <cell r="N145" t="str">
            <v>HATECO HICT</v>
          </cell>
          <cell r="O145" t="str">
            <v>VI-25/58056</v>
          </cell>
          <cell r="P145" t="str">
            <v>done</v>
          </cell>
          <cell r="Q145" t="str">
            <v>307991684950</v>
          </cell>
        </row>
        <row r="146">
          <cell r="I146" t="str">
            <v>CAAU5167134</v>
          </cell>
          <cell r="J146" t="str">
            <v>HƯỜNG</v>
          </cell>
          <cell r="K146">
            <v>0.41666666666666669</v>
          </cell>
          <cell r="L146" t="str">
            <v>MRKU2003358</v>
          </cell>
          <cell r="M146" t="str">
            <v>TRI PHƯƠNG</v>
          </cell>
          <cell r="N146" t="str">
            <v>HATECO HICT</v>
          </cell>
          <cell r="O146" t="str">
            <v>VI-25/58050</v>
          </cell>
          <cell r="P146" t="str">
            <v>done</v>
          </cell>
          <cell r="Q146" t="str">
            <v>307991845950</v>
          </cell>
        </row>
        <row r="147">
          <cell r="I147" t="str">
            <v>CAAU6442164</v>
          </cell>
          <cell r="J147" t="str">
            <v>PHƯƠNG</v>
          </cell>
          <cell r="K147">
            <v>0.45833333333333331</v>
          </cell>
          <cell r="L147" t="str">
            <v>CIPU5232731</v>
          </cell>
          <cell r="M147" t="str">
            <v>TRI PHƯƠNG</v>
          </cell>
          <cell r="N147" t="str">
            <v>HATECO HICT</v>
          </cell>
          <cell r="O147" t="str">
            <v>VI-25/58058</v>
          </cell>
          <cell r="P147" t="str">
            <v>done</v>
          </cell>
          <cell r="Q147" t="str">
            <v>307991866840</v>
          </cell>
        </row>
        <row r="148">
          <cell r="I148" t="str">
            <v>TGBU6645770</v>
          </cell>
          <cell r="J148" t="str">
            <v>SƠN</v>
          </cell>
          <cell r="K148">
            <v>0.52083333333333337</v>
          </cell>
          <cell r="L148" t="str">
            <v>TGBU6645770</v>
          </cell>
          <cell r="M148" t="str">
            <v>TRI PHƯƠNG</v>
          </cell>
          <cell r="N148" t="str">
            <v>HATECO HICT</v>
          </cell>
          <cell r="O148" t="str">
            <v>VI-25/58051</v>
          </cell>
          <cell r="P148" t="str">
            <v>done</v>
          </cell>
          <cell r="Q148" t="str">
            <v>307991663620</v>
          </cell>
        </row>
        <row r="149">
          <cell r="I149" t="str">
            <v>TCKU6770822</v>
          </cell>
          <cell r="J149" t="str">
            <v>THỊNH</v>
          </cell>
          <cell r="K149">
            <v>0.5625</v>
          </cell>
          <cell r="L149" t="str">
            <v>CAAU5167134</v>
          </cell>
          <cell r="M149" t="str">
            <v>TRI PHƯƠNG</v>
          </cell>
          <cell r="N149" t="str">
            <v>HATECO HICT</v>
          </cell>
          <cell r="O149" t="str">
            <v>VI-25/58054</v>
          </cell>
          <cell r="P149" t="str">
            <v>done</v>
          </cell>
          <cell r="Q149" t="str">
            <v>307991738260</v>
          </cell>
        </row>
        <row r="150">
          <cell r="I150" t="str">
            <v>MRSU6090116</v>
          </cell>
          <cell r="J150" t="str">
            <v>QUÂN</v>
          </cell>
          <cell r="K150">
            <v>0.875</v>
          </cell>
          <cell r="L150" t="str">
            <v>TCKU6770822</v>
          </cell>
          <cell r="M150" t="str">
            <v>TRI PHƯƠNG</v>
          </cell>
          <cell r="N150" t="str">
            <v>HATECO HICT</v>
          </cell>
          <cell r="O150" t="str">
            <v>VI-25/58063</v>
          </cell>
          <cell r="P150" t="str">
            <v>done</v>
          </cell>
          <cell r="Q150" t="str">
            <v>307991780520</v>
          </cell>
        </row>
        <row r="151">
          <cell r="I151" t="str">
            <v>CAJU5185577</v>
          </cell>
          <cell r="J151" t="str">
            <v>RU TRƯỜNG NHÂN PHÁT</v>
          </cell>
          <cell r="K151">
            <v>8.3333333333333329E-2</v>
          </cell>
          <cell r="L151" t="str">
            <v>CAJU5185577</v>
          </cell>
          <cell r="N151" t="str">
            <v>HATECO HICT</v>
          </cell>
          <cell r="O151" t="str">
            <v>VI-25/58026</v>
          </cell>
          <cell r="P151" t="str">
            <v>done</v>
          </cell>
          <cell r="Q151" t="str">
            <v>307991908510</v>
          </cell>
        </row>
        <row r="152">
          <cell r="I152" t="str">
            <v>MRSU8653760</v>
          </cell>
          <cell r="J152" t="str">
            <v>RU TRƯỜNG NHÂN PHÁT</v>
          </cell>
          <cell r="K152">
            <v>0.125</v>
          </cell>
          <cell r="L152" t="str">
            <v>MRSU8653760</v>
          </cell>
          <cell r="N152" t="str">
            <v>HATECO HICT</v>
          </cell>
          <cell r="O152" t="str">
            <v>VI-25/58025</v>
          </cell>
          <cell r="P152" t="str">
            <v>done</v>
          </cell>
          <cell r="Q152" t="str">
            <v>307991795440</v>
          </cell>
        </row>
        <row r="153">
          <cell r="I153" t="str">
            <v>MRKU2133285</v>
          </cell>
          <cell r="J153" t="str">
            <v>THỊNH</v>
          </cell>
          <cell r="K153" t="str">
            <v>11:00</v>
          </cell>
          <cell r="L153" t="str">
            <v>HAMU1540369</v>
          </cell>
          <cell r="M153" t="str">
            <v>TRI PHƯƠNG</v>
          </cell>
          <cell r="N153" t="str">
            <v>HATECO HICT</v>
          </cell>
          <cell r="P153" t="str">
            <v>done</v>
          </cell>
          <cell r="Q153" t="str">
            <v>307993409310</v>
          </cell>
        </row>
        <row r="154">
          <cell r="I154" t="str">
            <v>TCLU9126702</v>
          </cell>
          <cell r="J154" t="str">
            <v>THÀNH</v>
          </cell>
          <cell r="K154" t="str">
            <v>8:00</v>
          </cell>
          <cell r="L154" t="str">
            <v>TCLU1340580</v>
          </cell>
          <cell r="M154" t="str">
            <v>TRI PHƯƠNG</v>
          </cell>
          <cell r="N154" t="str">
            <v>HATECO HICT</v>
          </cell>
          <cell r="P154" t="str">
            <v>done</v>
          </cell>
          <cell r="Q154" t="str">
            <v>307993434360</v>
          </cell>
        </row>
        <row r="155">
          <cell r="I155" t="str">
            <v>BHCU4989603</v>
          </cell>
          <cell r="J155" t="str">
            <v>QUÂN</v>
          </cell>
          <cell r="K155" t="str">
            <v>9:00</v>
          </cell>
          <cell r="L155" t="str">
            <v>ONEU5571821</v>
          </cell>
          <cell r="M155" t="str">
            <v>TRI PHƯƠNG</v>
          </cell>
          <cell r="N155" t="str">
            <v>HATECO HICT</v>
          </cell>
          <cell r="P155" t="str">
            <v>done</v>
          </cell>
          <cell r="Q155" t="str">
            <v>307993457460</v>
          </cell>
        </row>
        <row r="156">
          <cell r="I156" t="str">
            <v>CGMU5535707</v>
          </cell>
          <cell r="J156" t="str">
            <v>THI
HƯỜNG KÉO VỀ</v>
          </cell>
          <cell r="K156" t="str">
            <v>13:00</v>
          </cell>
          <cell r="L156" t="str">
            <v>SELU4371947</v>
          </cell>
          <cell r="N156" t="str">
            <v>TÂN VŨ</v>
          </cell>
          <cell r="P156" t="str">
            <v>done</v>
          </cell>
          <cell r="Q156" t="str">
            <v>307991307430</v>
          </cell>
        </row>
        <row r="157">
          <cell r="I157" t="str">
            <v>NYKU7136805</v>
          </cell>
          <cell r="J157" t="str">
            <v>THÀNH
KÉO VỀ</v>
          </cell>
          <cell r="K157" t="str">
            <v>13:00</v>
          </cell>
          <cell r="L157" t="str">
            <v>CMAU7241051</v>
          </cell>
          <cell r="N157" t="str">
            <v>TÂN VŨ</v>
          </cell>
          <cell r="O157" t="str">
            <v>VP-25/53743</v>
          </cell>
          <cell r="P157" t="str">
            <v>done</v>
          </cell>
          <cell r="Q157" t="str">
            <v>307991307800</v>
          </cell>
        </row>
        <row r="158">
          <cell r="I158" t="str">
            <v>TGCU0013060</v>
          </cell>
          <cell r="J158" t="str">
            <v>QUÂN</v>
          </cell>
          <cell r="K158">
            <v>0.625</v>
          </cell>
          <cell r="L158" t="str">
            <v>EGSU1557677</v>
          </cell>
          <cell r="O158" t="str">
            <v>VS-25/51648</v>
          </cell>
          <cell r="Q158">
            <v>0</v>
          </cell>
        </row>
        <row r="159">
          <cell r="I159" t="str">
            <v>NYKU4760802</v>
          </cell>
          <cell r="J159" t="str">
            <v>THI</v>
          </cell>
          <cell r="K159">
            <v>0.875</v>
          </cell>
          <cell r="L159" t="str">
            <v>GAOU7136577</v>
          </cell>
          <cell r="O159" t="str">
            <v>VH-25/50741</v>
          </cell>
          <cell r="Q159">
            <v>0</v>
          </cell>
        </row>
        <row r="160">
          <cell r="I160" t="str">
            <v>TRHU1207922</v>
          </cell>
          <cell r="J160" t="str">
            <v>THAÀNH
PHƯƠNG KÉO VỀ</v>
          </cell>
          <cell r="K160">
            <v>0.875</v>
          </cell>
          <cell r="L160" t="str">
            <v>TGCU0013060</v>
          </cell>
          <cell r="N160" t="str">
            <v>LẠCH HUYỆN</v>
          </cell>
          <cell r="O160" t="str">
            <v>VH-25/50751</v>
          </cell>
          <cell r="P160" t="str">
            <v>done</v>
          </cell>
          <cell r="Q160" t="str">
            <v>307996947920</v>
          </cell>
        </row>
        <row r="161">
          <cell r="I161" t="str">
            <v>TGBU7876433</v>
          </cell>
          <cell r="J161" t="str">
            <v>THỤY
kéo về</v>
          </cell>
          <cell r="K161">
            <v>0.875</v>
          </cell>
          <cell r="L161" t="str">
            <v>TGBU7876433</v>
          </cell>
          <cell r="N161" t="str">
            <v>GIC</v>
          </cell>
          <cell r="O161" t="str">
            <v>VB-25/52744</v>
          </cell>
          <cell r="P161" t="str">
            <v>done</v>
          </cell>
          <cell r="Q161" t="str">
            <v>307996475860</v>
          </cell>
        </row>
        <row r="162">
          <cell r="I162" t="str">
            <v>EGSU1360522</v>
          </cell>
          <cell r="J162" t="str">
            <v>DŨNG 
KÉO VỀ</v>
          </cell>
          <cell r="K162">
            <v>0.33333333333333331</v>
          </cell>
          <cell r="L162" t="str">
            <v>EGSU1360522</v>
          </cell>
          <cell r="N162" t="str">
            <v>GIC</v>
          </cell>
          <cell r="O162" t="str">
            <v>VS-25/51650</v>
          </cell>
          <cell r="P162" t="str">
            <v>done</v>
          </cell>
          <cell r="Q162" t="str">
            <v>307996341940</v>
          </cell>
        </row>
        <row r="163">
          <cell r="I163" t="str">
            <v>TXGU8698982</v>
          </cell>
          <cell r="J163" t="str">
            <v>SƠN</v>
          </cell>
          <cell r="K163">
            <v>0.41666666666666669</v>
          </cell>
          <cell r="L163" t="str">
            <v>SITU9182238</v>
          </cell>
          <cell r="Q163">
            <v>0</v>
          </cell>
        </row>
        <row r="164">
          <cell r="I164" t="str">
            <v>TGBU9708188</v>
          </cell>
          <cell r="J164" t="str">
            <v>THỊNH</v>
          </cell>
          <cell r="K164">
            <v>0.45833333333333331</v>
          </cell>
          <cell r="L164" t="str">
            <v>HASU4301040</v>
          </cell>
          <cell r="Q164">
            <v>0</v>
          </cell>
        </row>
        <row r="165">
          <cell r="I165" t="str">
            <v>TRHU7012830</v>
          </cell>
          <cell r="J165" t="str">
            <v>PHƯƠNG</v>
          </cell>
          <cell r="K165">
            <v>0.54166666666666663</v>
          </cell>
          <cell r="L165" t="str">
            <v>MRKU2133285</v>
          </cell>
          <cell r="Q165">
            <v>0</v>
          </cell>
        </row>
        <row r="166">
          <cell r="I166" t="str">
            <v>TRHU8338924</v>
          </cell>
          <cell r="J166" t="str">
            <v>THỊNH</v>
          </cell>
          <cell r="K166">
            <v>0.625</v>
          </cell>
          <cell r="L166" t="str">
            <v>BHCU4989603</v>
          </cell>
          <cell r="Q166">
            <v>0</v>
          </cell>
        </row>
        <row r="167">
          <cell r="I167" t="str">
            <v>ONEU5420342</v>
          </cell>
          <cell r="J167" t="str">
            <v>QUÂN</v>
          </cell>
          <cell r="K167">
            <v>0.875</v>
          </cell>
          <cell r="L167" t="str">
            <v>MNBU4531626</v>
          </cell>
          <cell r="Q167">
            <v>0</v>
          </cell>
        </row>
        <row r="168">
          <cell r="I168" t="str">
            <v>ONEU1274975</v>
          </cell>
          <cell r="J168" t="str">
            <v>THỊNH</v>
          </cell>
          <cell r="K168">
            <v>0.91666666666666663</v>
          </cell>
          <cell r="L168" t="str">
            <v>ONEU1274975</v>
          </cell>
          <cell r="Q168">
            <v>0</v>
          </cell>
        </row>
        <row r="169">
          <cell r="I169" t="str">
            <v>TCLU7907100</v>
          </cell>
          <cell r="J169" t="str">
            <v>SƠN</v>
          </cell>
          <cell r="K169">
            <v>0</v>
          </cell>
          <cell r="L169" t="str">
            <v>TRHU8338924</v>
          </cell>
          <cell r="Q169">
            <v>0</v>
          </cell>
        </row>
        <row r="170">
          <cell r="I170" t="str">
            <v>SITU9212754</v>
          </cell>
          <cell r="J170" t="str">
            <v>VINH
KÉO VỀ</v>
          </cell>
          <cell r="K170">
            <v>0.64583333333333337</v>
          </cell>
          <cell r="L170" t="str">
            <v>SITU9212754</v>
          </cell>
          <cell r="N170" t="str">
            <v>SITC ĐÌNH VŨ</v>
          </cell>
          <cell r="O170" t="str">
            <v xml:space="preserve">VI-25/58108	</v>
          </cell>
          <cell r="P170" t="str">
            <v>done</v>
          </cell>
          <cell r="Q170" t="str">
            <v>307996164510</v>
          </cell>
        </row>
        <row r="171">
          <cell r="I171" t="str">
            <v>SELU4339544</v>
          </cell>
          <cell r="J171" t="str">
            <v>HƯỜNG
kéo về</v>
          </cell>
          <cell r="L171" t="str">
            <v>SELU4339544</v>
          </cell>
          <cell r="N171" t="str">
            <v>SITC ĐÌNH VŨ</v>
          </cell>
          <cell r="O171" t="str">
            <v>VI-25/58121</v>
          </cell>
          <cell r="P171" t="str">
            <v>done</v>
          </cell>
          <cell r="Q171" t="str">
            <v>307996100700</v>
          </cell>
        </row>
        <row r="172">
          <cell r="I172" t="str">
            <v>TGBU4116226</v>
          </cell>
          <cell r="J172" t="str">
            <v>RU XUÂN THỦY</v>
          </cell>
          <cell r="K172">
            <v>0.57291666666666663</v>
          </cell>
          <cell r="L172" t="str">
            <v>TGBU4116226</v>
          </cell>
          <cell r="N172" t="str">
            <v>G-FORTUNE</v>
          </cell>
          <cell r="O172" t="str">
            <v>VI-25/58095</v>
          </cell>
          <cell r="P172" t="str">
            <v>done</v>
          </cell>
          <cell r="Q172" t="str">
            <v>307996057040</v>
          </cell>
        </row>
        <row r="173">
          <cell r="I173" t="str">
            <v>CAAU6044258</v>
          </cell>
          <cell r="J173" t="str">
            <v>THỊNH</v>
          </cell>
          <cell r="K173">
            <v>0.33333333333333331</v>
          </cell>
          <cell r="L173" t="str">
            <v>TXGU6149983</v>
          </cell>
          <cell r="M173" t="str">
            <v>TRI PHƯƠNG</v>
          </cell>
          <cell r="N173" t="str">
            <v>HATECO HICT</v>
          </cell>
          <cell r="O173" t="str">
            <v>VB-25/52746
CB VS-25/51652</v>
          </cell>
          <cell r="P173" t="str">
            <v>done</v>
          </cell>
          <cell r="Q173" t="str">
            <v>307996173020
307996225740</v>
          </cell>
        </row>
        <row r="174">
          <cell r="I174" t="str">
            <v>TGBU5407653</v>
          </cell>
          <cell r="J174" t="str">
            <v>PHƯƠNG</v>
          </cell>
          <cell r="K174">
            <v>4.1666666666666664E-2</v>
          </cell>
          <cell r="L174" t="str">
            <v>CAAU6044258</v>
          </cell>
          <cell r="M174" t="str">
            <v>TRI PHƯƠNG</v>
          </cell>
          <cell r="N174" t="str">
            <v>HATECO HICT</v>
          </cell>
          <cell r="O174" t="str">
            <v>VB-25/52745</v>
          </cell>
          <cell r="P174" t="str">
            <v>done</v>
          </cell>
          <cell r="Q174" t="str">
            <v>307996701040</v>
          </cell>
        </row>
        <row r="175">
          <cell r="I175" t="str">
            <v>TRHU4855050</v>
          </cell>
          <cell r="J175" t="str">
            <v>THỊNH</v>
          </cell>
          <cell r="K175">
            <v>0.36458333333333331</v>
          </cell>
          <cell r="L175" t="str">
            <v>MRSU6090116</v>
          </cell>
          <cell r="M175" t="str">
            <v>TRI PHƯƠNG</v>
          </cell>
          <cell r="N175" t="str">
            <v>HATECO HICT</v>
          </cell>
          <cell r="O175" t="str">
            <v>VI-25/58077</v>
          </cell>
          <cell r="P175" t="str">
            <v>done</v>
          </cell>
          <cell r="Q175" t="str">
            <v>307995958820</v>
          </cell>
        </row>
        <row r="176">
          <cell r="I176" t="str">
            <v>TLLU5873518</v>
          </cell>
          <cell r="J176" t="str">
            <v>THI</v>
          </cell>
          <cell r="K176">
            <v>0.38541666666666669</v>
          </cell>
          <cell r="L176" t="str">
            <v>CAAU6442164</v>
          </cell>
          <cell r="M176" t="str">
            <v>TRI PHƯƠNG</v>
          </cell>
          <cell r="N176" t="str">
            <v>HATECO HICT</v>
          </cell>
          <cell r="O176" t="str">
            <v>VI-25/58076</v>
          </cell>
          <cell r="P176" t="str">
            <v>done</v>
          </cell>
          <cell r="Q176" t="str">
            <v>307996025760</v>
          </cell>
        </row>
        <row r="177">
          <cell r="I177" t="str">
            <v>MRSU3267466</v>
          </cell>
          <cell r="J177" t="str">
            <v>THÀNH</v>
          </cell>
          <cell r="K177">
            <v>0.45833333333333331</v>
          </cell>
          <cell r="L177" t="str">
            <v>SEGU4507754</v>
          </cell>
          <cell r="M177" t="str">
            <v>TRI PHƯƠNG</v>
          </cell>
          <cell r="N177" t="str">
            <v>HATECO HICT</v>
          </cell>
          <cell r="O177" t="str">
            <v>VI-25/58117</v>
          </cell>
          <cell r="P177" t="str">
            <v>done</v>
          </cell>
          <cell r="Q177" t="str">
            <v>307996037550</v>
          </cell>
        </row>
        <row r="178">
          <cell r="I178" t="str">
            <v>MRSU7347678</v>
          </cell>
          <cell r="J178" t="str">
            <v>ĐỨC</v>
          </cell>
          <cell r="K178">
            <v>0.89583333333333337</v>
          </cell>
          <cell r="L178" t="str">
            <v>TLLU5873518</v>
          </cell>
          <cell r="M178" t="str">
            <v>TRI PHƯƠNG</v>
          </cell>
          <cell r="N178" t="str">
            <v>HATECO HICT</v>
          </cell>
          <cell r="O178" t="str">
            <v>VI-25/58120</v>
          </cell>
          <cell r="P178" t="str">
            <v>done</v>
          </cell>
          <cell r="Q178" t="str">
            <v>307995991940</v>
          </cell>
        </row>
        <row r="179">
          <cell r="I179" t="str">
            <v>TRHU8343330</v>
          </cell>
          <cell r="J179" t="str">
            <v>PHƯƠNG</v>
          </cell>
          <cell r="K179">
            <v>0.90625</v>
          </cell>
          <cell r="L179" t="str">
            <v>TRHU4855050</v>
          </cell>
          <cell r="M179" t="str">
            <v>TRI PHƯƠNG</v>
          </cell>
          <cell r="N179" t="str">
            <v>HATECO HICT</v>
          </cell>
          <cell r="O179" t="str">
            <v>VI-25/58110</v>
          </cell>
          <cell r="P179" t="str">
            <v>done</v>
          </cell>
          <cell r="Q179" t="str">
            <v>307995975620</v>
          </cell>
        </row>
        <row r="180">
          <cell r="I180" t="str">
            <v>MRKU5075222</v>
          </cell>
          <cell r="J180" t="str">
            <v>ĐỨC</v>
          </cell>
          <cell r="K180">
            <v>0</v>
          </cell>
          <cell r="L180" t="str">
            <v>MRSU3267466</v>
          </cell>
          <cell r="M180" t="str">
            <v>TRI PHƯƠNG</v>
          </cell>
          <cell r="N180" t="str">
            <v>HATECO HICT</v>
          </cell>
          <cell r="O180" t="str">
            <v>VI-25/58106</v>
          </cell>
          <cell r="P180" t="str">
            <v>done</v>
          </cell>
          <cell r="Q180" t="str">
            <v>307995879830</v>
          </cell>
        </row>
        <row r="181">
          <cell r="I181" t="str">
            <v>MRSU4552529</v>
          </cell>
          <cell r="J181" t="str">
            <v>ĐỨC</v>
          </cell>
          <cell r="K181">
            <v>0.125</v>
          </cell>
          <cell r="L181" t="str">
            <v>MRSU7347678</v>
          </cell>
          <cell r="M181" t="str">
            <v>TRI PHƯƠNG</v>
          </cell>
          <cell r="N181" t="str">
            <v>HATECO HICT</v>
          </cell>
          <cell r="O181" t="str">
            <v>VI-25/58074</v>
          </cell>
          <cell r="P181" t="str">
            <v>done</v>
          </cell>
          <cell r="Q181" t="str">
            <v>307995860340</v>
          </cell>
        </row>
        <row r="182">
          <cell r="I182" t="str">
            <v>MRKU2616072</v>
          </cell>
          <cell r="J182" t="str">
            <v>THÀNH</v>
          </cell>
          <cell r="K182">
            <v>0.13541666666666666</v>
          </cell>
          <cell r="L182" t="str">
            <v>MRKU2616072</v>
          </cell>
          <cell r="M182" t="str">
            <v>TRI PHƯƠNG</v>
          </cell>
          <cell r="N182" t="str">
            <v>HATECO HICT</v>
          </cell>
          <cell r="O182" t="str">
            <v>VI-25/58071</v>
          </cell>
          <cell r="P182" t="str">
            <v>done</v>
          </cell>
          <cell r="Q182" t="str">
            <v>307995933730</v>
          </cell>
        </row>
        <row r="183">
          <cell r="I183" t="str">
            <v>MRKU5230057</v>
          </cell>
          <cell r="J183" t="str">
            <v>PHƯƠNG</v>
          </cell>
          <cell r="K183">
            <v>0.14583333333333334</v>
          </cell>
          <cell r="L183" t="str">
            <v>MRKU5230057</v>
          </cell>
          <cell r="M183" t="str">
            <v>TRI PHƯƠNG</v>
          </cell>
          <cell r="N183" t="str">
            <v>HATECO HICT</v>
          </cell>
          <cell r="O183" t="str">
            <v>VI-25/58072</v>
          </cell>
          <cell r="P183" t="str">
            <v>done</v>
          </cell>
          <cell r="Q183" t="str">
            <v>307995945520</v>
          </cell>
        </row>
        <row r="184">
          <cell r="I184" t="str">
            <v>CAAU9317058</v>
          </cell>
          <cell r="J184" t="str">
            <v>RU VIETLINK</v>
          </cell>
          <cell r="K184">
            <v>0.42708333333333331</v>
          </cell>
          <cell r="L184" t="str">
            <v>CAAU9317058</v>
          </cell>
          <cell r="N184" t="str">
            <v>HATECO HICT</v>
          </cell>
          <cell r="O184" t="str">
            <v>VI-25/58085</v>
          </cell>
          <cell r="P184" t="str">
            <v>done</v>
          </cell>
          <cell r="Q184" t="str">
            <v>307995844240</v>
          </cell>
        </row>
        <row r="185">
          <cell r="I185" t="str">
            <v>CAAU9193471</v>
          </cell>
          <cell r="J185" t="str">
            <v>RU DIỆP LÂM ANH</v>
          </cell>
          <cell r="K185">
            <v>0.4375</v>
          </cell>
          <cell r="L185" t="str">
            <v>CAAU9193471</v>
          </cell>
          <cell r="N185" t="str">
            <v>HATECO HICT</v>
          </cell>
          <cell r="O185" t="str">
            <v>VI-25/58086</v>
          </cell>
          <cell r="P185" t="str">
            <v>done</v>
          </cell>
          <cell r="Q185" t="str">
            <v>307995917960</v>
          </cell>
        </row>
        <row r="186">
          <cell r="I186" t="str">
            <v>FFAU4829219</v>
          </cell>
          <cell r="J186" t="str">
            <v>RU DIỆP LÂM ANH</v>
          </cell>
          <cell r="K186">
            <v>0.59375</v>
          </cell>
          <cell r="L186" t="str">
            <v>FFAU4829219</v>
          </cell>
          <cell r="N186" t="str">
            <v>HATECO HICT</v>
          </cell>
          <cell r="O186" t="str">
            <v>VI-25/58087</v>
          </cell>
          <cell r="P186" t="str">
            <v>done</v>
          </cell>
          <cell r="Q186" t="str">
            <v>307996008630</v>
          </cell>
        </row>
        <row r="187">
          <cell r="I187" t="str">
            <v>MRSU8672158</v>
          </cell>
          <cell r="J187" t="str">
            <v>RU TRƯỜNG NHÂN PHÁT</v>
          </cell>
          <cell r="K187">
            <v>0.91666666666666663</v>
          </cell>
          <cell r="L187" t="str">
            <v>MRSU8672158</v>
          </cell>
          <cell r="N187" t="str">
            <v>HATECO HICT</v>
          </cell>
          <cell r="O187" t="str">
            <v>VI-25/58084</v>
          </cell>
          <cell r="P187" t="str">
            <v>done</v>
          </cell>
          <cell r="Q187" t="str">
            <v>307995828250</v>
          </cell>
        </row>
        <row r="188">
          <cell r="I188" t="str">
            <v>TXGU7178796</v>
          </cell>
          <cell r="J188" t="str">
            <v>QUÂN</v>
          </cell>
          <cell r="K188" t="str">
            <v>10:00</v>
          </cell>
          <cell r="L188" t="str">
            <v>TEMU7494024</v>
          </cell>
          <cell r="M188" t="str">
            <v>TRI PHƯƠNG</v>
          </cell>
          <cell r="N188" t="str">
            <v>HATECO HICT</v>
          </cell>
          <cell r="Q188">
            <v>0</v>
          </cell>
        </row>
        <row r="189">
          <cell r="I189" t="str">
            <v>HAMU1881920</v>
          </cell>
          <cell r="J189" t="str">
            <v>PHƯƠNG</v>
          </cell>
          <cell r="K189" t="str">
            <v>23:00</v>
          </cell>
          <cell r="L189" t="str">
            <v>TRHU7012830</v>
          </cell>
          <cell r="M189" t="str">
            <v>TRI PHƯƠNG</v>
          </cell>
          <cell r="N189" t="str">
            <v>HATECO HICT</v>
          </cell>
          <cell r="Q189">
            <v>0</v>
          </cell>
        </row>
        <row r="190">
          <cell r="I190" t="str">
            <v>MRKU3683202</v>
          </cell>
          <cell r="J190" t="str">
            <v>THÀNH</v>
          </cell>
          <cell r="K190" t="str">
            <v>14:00</v>
          </cell>
          <cell r="L190" t="str">
            <v>NYKU7136805</v>
          </cell>
          <cell r="M190" t="str">
            <v>TRI PHƯƠNG</v>
          </cell>
          <cell r="N190" t="str">
            <v>HATECO HICT</v>
          </cell>
          <cell r="P190" t="str">
            <v>done</v>
          </cell>
          <cell r="Q190" t="str">
            <v>307996677130</v>
          </cell>
        </row>
        <row r="191">
          <cell r="I191" t="str">
            <v>TGBU5927423</v>
          </cell>
          <cell r="J191" t="str">
            <v>THI</v>
          </cell>
          <cell r="K191" t="str">
            <v>15:00</v>
          </cell>
          <cell r="L191" t="str">
            <v>TRHU6736662</v>
          </cell>
          <cell r="M191" t="str">
            <v>TRI PHƯƠNG</v>
          </cell>
          <cell r="N191" t="str">
            <v>HATECO HICT</v>
          </cell>
          <cell r="P191" t="str">
            <v>done</v>
          </cell>
          <cell r="Q191" t="str">
            <v>307996705020</v>
          </cell>
        </row>
        <row r="192">
          <cell r="I192" t="str">
            <v>FFAU5178913</v>
          </cell>
          <cell r="J192" t="str">
            <v>SƠN</v>
          </cell>
          <cell r="K192" t="str">
            <v>1:00</v>
          </cell>
          <cell r="M192" t="str">
            <v>TRI PHƯƠNG</v>
          </cell>
          <cell r="N192" t="str">
            <v>HATECO HICT</v>
          </cell>
          <cell r="P192" t="str">
            <v>done</v>
          </cell>
          <cell r="Q192" t="str">
            <v>307996733020</v>
          </cell>
        </row>
        <row r="193">
          <cell r="I193" t="str">
            <v>MNBU4531626</v>
          </cell>
          <cell r="J193" t="str">
            <v>THỊNH
QUÂN KÉO VỀ</v>
          </cell>
          <cell r="K193" t="str">
            <v>14:00</v>
          </cell>
          <cell r="L193" t="str">
            <v>TXGU8698982</v>
          </cell>
          <cell r="N193" t="str">
            <v>HATECO HICT</v>
          </cell>
          <cell r="O193" t="str">
            <v>VP-25/53764</v>
          </cell>
          <cell r="P193" t="str">
            <v>done</v>
          </cell>
          <cell r="Q193" t="str">
            <v>307996991060</v>
          </cell>
        </row>
        <row r="194">
          <cell r="I194" t="str">
            <v>CAAU7228202</v>
          </cell>
          <cell r="J194" t="str">
            <v>THI
THỊNH KÉO VỀ</v>
          </cell>
          <cell r="K194" t="str">
            <v>21:00</v>
          </cell>
          <cell r="L194" t="str">
            <v>CAAU9606261</v>
          </cell>
          <cell r="N194" t="str">
            <v>HATECO HICT</v>
          </cell>
          <cell r="O194" t="str">
            <v>VP-25/53762</v>
          </cell>
          <cell r="P194" t="str">
            <v>done</v>
          </cell>
          <cell r="Q194" t="str">
            <v>307996920030</v>
          </cell>
        </row>
        <row r="195">
          <cell r="I195" t="str">
            <v>EGSU9648710</v>
          </cell>
          <cell r="J195">
            <v>0</v>
          </cell>
          <cell r="K195">
            <v>0.33333333333333331</v>
          </cell>
          <cell r="L195" t="str">
            <v>MAGU5730201</v>
          </cell>
          <cell r="O195" t="str">
            <v>VB-25/52751 
CB VS-25/51656</v>
          </cell>
          <cell r="Q195">
            <v>0</v>
          </cell>
        </row>
        <row r="196">
          <cell r="I196" t="str">
            <v>EMCU1799389</v>
          </cell>
          <cell r="J196" t="str">
            <v>SÂM</v>
          </cell>
          <cell r="K196">
            <v>0.875</v>
          </cell>
          <cell r="N196" t="str">
            <v>GIC</v>
          </cell>
          <cell r="O196" t="str">
            <v>VS-25/51657</v>
          </cell>
          <cell r="Q196">
            <v>0</v>
          </cell>
        </row>
        <row r="197">
          <cell r="I197" t="str">
            <v>EGSU1118144</v>
          </cell>
          <cell r="J197" t="str">
            <v>DĐỨC</v>
          </cell>
          <cell r="K197">
            <v>0.875</v>
          </cell>
          <cell r="L197" t="str">
            <v>MRKU5252539</v>
          </cell>
          <cell r="N197" t="str">
            <v>GIC</v>
          </cell>
          <cell r="O197" t="str">
            <v>VS-25/51658</v>
          </cell>
          <cell r="Q197">
            <v>0</v>
          </cell>
        </row>
        <row r="198">
          <cell r="I198" t="str">
            <v>EGSU9641038</v>
          </cell>
          <cell r="J198" t="str">
            <v>SÂM</v>
          </cell>
          <cell r="K198">
            <v>0.875</v>
          </cell>
          <cell r="L198" t="str">
            <v>EGSU1118144</v>
          </cell>
          <cell r="N198" t="str">
            <v>GIC</v>
          </cell>
          <cell r="O198" t="str">
            <v>VH-25/50744</v>
          </cell>
          <cell r="Q198">
            <v>0</v>
          </cell>
        </row>
        <row r="199">
          <cell r="I199" t="str">
            <v>TRHU8254850</v>
          </cell>
          <cell r="J199" t="str">
            <v>HƯỜNG
THI KÉO VỀ</v>
          </cell>
          <cell r="K199">
            <v>8.3333333333333329E-2</v>
          </cell>
          <cell r="L199" t="str">
            <v>EGSU9648710</v>
          </cell>
          <cell r="N199" t="str">
            <v>LẠCH HUYỆN</v>
          </cell>
          <cell r="O199" t="str">
            <v>VS-25/51655</v>
          </cell>
          <cell r="P199" t="str">
            <v>done</v>
          </cell>
          <cell r="Q199" t="str">
            <v>307999745450</v>
          </cell>
        </row>
        <row r="200">
          <cell r="I200" t="str">
            <v>MAGU5730201</v>
          </cell>
          <cell r="K200">
            <v>0.54166666666666663</v>
          </cell>
          <cell r="O200" t="str">
            <v>VS-25/51653</v>
          </cell>
          <cell r="Q200">
            <v>0</v>
          </cell>
        </row>
        <row r="201">
          <cell r="I201" t="str">
            <v>BMOU6851930</v>
          </cell>
          <cell r="J201" t="str">
            <v>DŨNG 
KÉO VỀ</v>
          </cell>
          <cell r="L201" t="str">
            <v>BMOU6851930</v>
          </cell>
          <cell r="N201" t="str">
            <v>NAM ĐÌNH VŨ</v>
          </cell>
          <cell r="O201" t="str">
            <v>VH-25/50746</v>
          </cell>
          <cell r="P201" t="str">
            <v>done</v>
          </cell>
          <cell r="Q201" t="str">
            <v>308001341710</v>
          </cell>
        </row>
        <row r="202">
          <cell r="I202" t="str">
            <v>TCLU4889609</v>
          </cell>
          <cell r="J202" t="str">
            <v>THỊNH</v>
          </cell>
          <cell r="K202">
            <v>0.375</v>
          </cell>
          <cell r="L202" t="str">
            <v>CAAU7228202</v>
          </cell>
          <cell r="Q202">
            <v>0</v>
          </cell>
        </row>
        <row r="203">
          <cell r="I203" t="str">
            <v>UETU7651958</v>
          </cell>
          <cell r="J203" t="str">
            <v>SÂM</v>
          </cell>
          <cell r="K203">
            <v>0.375</v>
          </cell>
          <cell r="L203" t="str">
            <v>FFAU7244700</v>
          </cell>
          <cell r="Q203">
            <v>0</v>
          </cell>
        </row>
        <row r="204">
          <cell r="I204" t="str">
            <v>SELU4384559</v>
          </cell>
          <cell r="J204" t="str">
            <v>QUÂN</v>
          </cell>
          <cell r="K204">
            <v>0.41666666666666669</v>
          </cell>
          <cell r="L204" t="str">
            <v>MRKU3683202</v>
          </cell>
          <cell r="Q204">
            <v>0</v>
          </cell>
        </row>
        <row r="205">
          <cell r="I205" t="str">
            <v>GCXU6060632</v>
          </cell>
          <cell r="J205" t="str">
            <v>THI</v>
          </cell>
          <cell r="K205">
            <v>0.41666666666666669</v>
          </cell>
          <cell r="L205" t="str">
            <v>BEAU5257730</v>
          </cell>
          <cell r="Q205">
            <v>0</v>
          </cell>
        </row>
        <row r="206">
          <cell r="I206" t="str">
            <v>EGSU9469079</v>
          </cell>
          <cell r="J206" t="str">
            <v>THI</v>
          </cell>
          <cell r="K206">
            <v>0.54166666666666663</v>
          </cell>
          <cell r="L206" t="str">
            <v>TGBU5927423</v>
          </cell>
          <cell r="Q206">
            <v>0</v>
          </cell>
        </row>
        <row r="207">
          <cell r="I207" t="str">
            <v>SELU4408115</v>
          </cell>
          <cell r="J207" t="str">
            <v>SƠN</v>
          </cell>
          <cell r="K207">
            <v>0.54166666666666663</v>
          </cell>
          <cell r="L207" t="str">
            <v>TIIU5209657</v>
          </cell>
          <cell r="Q207">
            <v>0</v>
          </cell>
        </row>
        <row r="208">
          <cell r="I208" t="str">
            <v>FFAU5283919</v>
          </cell>
          <cell r="J208" t="str">
            <v>SÂM</v>
          </cell>
          <cell r="K208">
            <v>0.58333333333333337</v>
          </cell>
          <cell r="L208" t="str">
            <v>UETU7651958</v>
          </cell>
          <cell r="Q208">
            <v>0</v>
          </cell>
        </row>
        <row r="209">
          <cell r="I209" t="str">
            <v>EGSU9841308</v>
          </cell>
          <cell r="J209" t="str">
            <v>HƯỜNG</v>
          </cell>
          <cell r="K209">
            <v>0.875</v>
          </cell>
          <cell r="L209" t="str">
            <v>FFAU5178913</v>
          </cell>
          <cell r="Q209">
            <v>0</v>
          </cell>
        </row>
        <row r="210">
          <cell r="I210" t="str">
            <v>SITU9175183</v>
          </cell>
          <cell r="J210" t="str">
            <v>PHƯƠNG</v>
          </cell>
          <cell r="K210">
            <v>0.91666666666666663</v>
          </cell>
          <cell r="L210" t="str">
            <v>MRSU4986762</v>
          </cell>
          <cell r="Q210">
            <v>0</v>
          </cell>
        </row>
        <row r="211">
          <cell r="I211" t="str">
            <v>ONEU1455309</v>
          </cell>
          <cell r="J211" t="str">
            <v>HƯỜNG</v>
          </cell>
          <cell r="K211">
            <v>0</v>
          </cell>
          <cell r="L211" t="str">
            <v>TCKU7240025</v>
          </cell>
          <cell r="Q211">
            <v>0</v>
          </cell>
        </row>
        <row r="212">
          <cell r="I212" t="str">
            <v>TIIU5670571</v>
          </cell>
          <cell r="J212" t="str">
            <v>SÂM</v>
          </cell>
          <cell r="K212">
            <v>0</v>
          </cell>
          <cell r="L212" t="str">
            <v>CAAU5741540</v>
          </cell>
          <cell r="Q212">
            <v>0</v>
          </cell>
        </row>
        <row r="213">
          <cell r="I213" t="str">
            <v>FFAU7432570</v>
          </cell>
          <cell r="J213" t="str">
            <v>SƠN
KÉO VỀ</v>
          </cell>
          <cell r="L213" t="str">
            <v>EGHU9307691</v>
          </cell>
          <cell r="N213" t="str">
            <v>ĐÌNH VŨ</v>
          </cell>
          <cell r="O213" t="str">
            <v>VZ-25/50386 +VZ-25/50386R +VZ-25/50386R-01</v>
          </cell>
          <cell r="P213" t="str">
            <v>done</v>
          </cell>
          <cell r="Q213" t="str">
            <v>308001159450
308001772540
308001795310
308001623660</v>
          </cell>
        </row>
        <row r="214">
          <cell r="I214" t="str">
            <v>FFAU7430562</v>
          </cell>
          <cell r="J214" t="str">
            <v>HƯỜNG
kéo về</v>
          </cell>
          <cell r="L214" t="str">
            <v>GCXU6060632</v>
          </cell>
          <cell r="N214" t="str">
            <v>ĐÌNH VŨ</v>
          </cell>
          <cell r="P214" t="str">
            <v>done</v>
          </cell>
          <cell r="Q214" t="str">
            <v>308002314820
308002690500
308002798410
308003007710</v>
          </cell>
        </row>
        <row r="215">
          <cell r="I215" t="str">
            <v>FFAU7242502</v>
          </cell>
          <cell r="J215" t="str">
            <v>THAÀNH
ĐỨC KÉO VỀ</v>
          </cell>
          <cell r="L215" t="str">
            <v>TXGU7178796</v>
          </cell>
          <cell r="N215" t="str">
            <v>ĐÌNH VŨ</v>
          </cell>
          <cell r="O215" t="str">
            <v>VZ-25/50390 +VZ-25/50390R +VZ-25/50390R-01</v>
          </cell>
          <cell r="P215" t="str">
            <v>done</v>
          </cell>
          <cell r="Q215" t="str">
            <v>308004048020
308003533040
308003917450
308003996000</v>
          </cell>
        </row>
        <row r="216">
          <cell r="I216" t="str">
            <v>TRHU7340589</v>
          </cell>
          <cell r="J216" t="str">
            <v>QUÂN</v>
          </cell>
          <cell r="L216" t="str">
            <v>TCLU9306068</v>
          </cell>
          <cell r="Q216">
            <v>0</v>
          </cell>
        </row>
        <row r="217">
          <cell r="I217" t="str">
            <v>TLLU7633007</v>
          </cell>
          <cell r="J217" t="str">
            <v>VINH 
KÉO VỀ</v>
          </cell>
          <cell r="L217" t="str">
            <v>TLLU7633007</v>
          </cell>
          <cell r="N217" t="str">
            <v>GIC</v>
          </cell>
          <cell r="P217" t="str">
            <v>done</v>
          </cell>
          <cell r="Q217" t="str">
            <v>307999559250</v>
          </cell>
        </row>
        <row r="218">
          <cell r="I218" t="str">
            <v>TRHU7943514</v>
          </cell>
          <cell r="J218" t="str">
            <v>ĐỨC</v>
          </cell>
          <cell r="K218">
            <v>0.35416666666666669</v>
          </cell>
          <cell r="L218" t="str">
            <v>MRKU5075222</v>
          </cell>
          <cell r="M218" t="str">
            <v>TRI PHƯƠNG</v>
          </cell>
          <cell r="N218" t="str">
            <v>HATECO HICT</v>
          </cell>
          <cell r="O218" t="str">
            <v>VI-25/58150</v>
          </cell>
          <cell r="P218" t="str">
            <v>done</v>
          </cell>
          <cell r="Q218" t="str">
            <v>308000445930</v>
          </cell>
        </row>
        <row r="219">
          <cell r="I219" t="str">
            <v>SEKU4476339</v>
          </cell>
          <cell r="J219" t="str">
            <v>THÀNH</v>
          </cell>
          <cell r="K219">
            <v>0.4375</v>
          </cell>
          <cell r="L219" t="str">
            <v>MRSU4552529</v>
          </cell>
          <cell r="M219" t="str">
            <v>TRI PHƯƠNG</v>
          </cell>
          <cell r="N219" t="str">
            <v>HATECO HICT</v>
          </cell>
          <cell r="O219" t="str">
            <v>VI-25/58153</v>
          </cell>
          <cell r="P219" t="str">
            <v>done</v>
          </cell>
          <cell r="Q219" t="str">
            <v>308000401720</v>
          </cell>
        </row>
        <row r="220">
          <cell r="I220" t="str">
            <v>MRKU4533871</v>
          </cell>
          <cell r="J220" t="str">
            <v>THI</v>
          </cell>
          <cell r="K220">
            <v>6.25E-2</v>
          </cell>
          <cell r="L220" t="str">
            <v>TRHU8343330</v>
          </cell>
          <cell r="M220" t="str">
            <v>TRI PHƯƠNG</v>
          </cell>
          <cell r="N220" t="str">
            <v>HATECO HICT</v>
          </cell>
          <cell r="O220" t="str">
            <v>VI-25/58138</v>
          </cell>
          <cell r="P220" t="str">
            <v>done</v>
          </cell>
          <cell r="Q220" t="str">
            <v>308000430420</v>
          </cell>
        </row>
        <row r="221">
          <cell r="I221" t="str">
            <v>MRKU2914483</v>
          </cell>
          <cell r="J221" t="str">
            <v>ĐỨC</v>
          </cell>
          <cell r="K221">
            <v>0.41666666666666669</v>
          </cell>
          <cell r="L221" t="str">
            <v>NYKU4760802</v>
          </cell>
          <cell r="M221" t="str">
            <v>TRI PHƯƠNG</v>
          </cell>
          <cell r="N221" t="str">
            <v>HATECO HICT</v>
          </cell>
          <cell r="O221" t="str">
            <v>VB-25/52747</v>
          </cell>
          <cell r="P221" t="str">
            <v>done</v>
          </cell>
          <cell r="Q221" t="str">
            <v>308000711930</v>
          </cell>
        </row>
        <row r="222">
          <cell r="I222" t="str">
            <v>MRKU5252539</v>
          </cell>
          <cell r="J222" t="str">
            <v>THÀNH</v>
          </cell>
          <cell r="K222">
            <v>0.58333333333333337</v>
          </cell>
          <cell r="L222" t="str">
            <v>MRKU2914483</v>
          </cell>
          <cell r="M222" t="str">
            <v>TRI PHƯƠNG</v>
          </cell>
          <cell r="N222" t="str">
            <v>HATECO HICT</v>
          </cell>
          <cell r="O222" t="str">
            <v>VB-25/52749</v>
          </cell>
          <cell r="P222" t="str">
            <v>done</v>
          </cell>
          <cell r="Q222" t="str">
            <v>308000927420</v>
          </cell>
        </row>
        <row r="223">
          <cell r="I223" t="str">
            <v>HASU5137775</v>
          </cell>
          <cell r="J223" t="str">
            <v>PHƯƠNG</v>
          </cell>
          <cell r="K223">
            <v>0.125</v>
          </cell>
          <cell r="L223" t="str">
            <v>TRHU1207922</v>
          </cell>
          <cell r="M223" t="str">
            <v>TRI PHƯƠNG</v>
          </cell>
          <cell r="N223" t="str">
            <v>HATECO HICT</v>
          </cell>
          <cell r="O223" t="str">
            <v>VB-25/52748</v>
          </cell>
          <cell r="P223" t="str">
            <v>done</v>
          </cell>
          <cell r="Q223" t="str">
            <v>308000742950</v>
          </cell>
        </row>
        <row r="224">
          <cell r="I224" t="str">
            <v>MRKU2272260</v>
          </cell>
          <cell r="J224" t="str">
            <v>HƯỜNG</v>
          </cell>
          <cell r="K224">
            <v>0.125</v>
          </cell>
          <cell r="L224" t="str">
            <v>EMCU1799389</v>
          </cell>
          <cell r="M224" t="str">
            <v>TRI PHƯƠNG</v>
          </cell>
          <cell r="N224" t="str">
            <v>HATECO HICT</v>
          </cell>
          <cell r="O224" t="str">
            <v>VB-25/52750</v>
          </cell>
          <cell r="P224" t="str">
            <v>done</v>
          </cell>
          <cell r="Q224" t="str">
            <v>308001042000</v>
          </cell>
        </row>
        <row r="225">
          <cell r="I225" t="str">
            <v>MSKU1928503</v>
          </cell>
          <cell r="J225" t="str">
            <v>THỊNH</v>
          </cell>
          <cell r="K225">
            <v>0.875</v>
          </cell>
          <cell r="L225" t="str">
            <v>MSKU1928503</v>
          </cell>
          <cell r="M225" t="str">
            <v>TRI PHƯƠNG</v>
          </cell>
          <cell r="N225" t="str">
            <v>HATECO HICT</v>
          </cell>
          <cell r="O225" t="str">
            <v>VB-25/52752
cb VS-25/51659</v>
          </cell>
          <cell r="P225" t="str">
            <v>done</v>
          </cell>
          <cell r="Q225" t="str">
            <v>307999730200
307999738450</v>
          </cell>
        </row>
        <row r="226">
          <cell r="I226" t="str">
            <v>TCLU9306068</v>
          </cell>
          <cell r="J226" t="str">
            <v>ĐỨC</v>
          </cell>
          <cell r="K226" t="str">
            <v>11:00</v>
          </cell>
          <cell r="L226" t="str">
            <v>TCLU4889609</v>
          </cell>
          <cell r="M226" t="str">
            <v>TRI PHƯƠNG</v>
          </cell>
          <cell r="N226" t="str">
            <v>HATECO HICT</v>
          </cell>
          <cell r="O226" t="str">
            <v>VR-25/52648</v>
          </cell>
          <cell r="P226" t="str">
            <v>done</v>
          </cell>
          <cell r="Q226" t="str">
            <v>308001462220</v>
          </cell>
        </row>
        <row r="227">
          <cell r="I227" t="str">
            <v>MRSU4986762</v>
          </cell>
          <cell r="J227" t="str">
            <v>QUÂN</v>
          </cell>
          <cell r="K227" t="str">
            <v>13:00</v>
          </cell>
          <cell r="L227" t="str">
            <v>SELU4408115</v>
          </cell>
          <cell r="M227" t="str">
            <v>TRI PHƯƠNG</v>
          </cell>
          <cell r="N227" t="str">
            <v>HATECO HICT</v>
          </cell>
          <cell r="O227" t="str">
            <v>VR-25/52650</v>
          </cell>
          <cell r="P227" t="str">
            <v>done</v>
          </cell>
          <cell r="Q227" t="str">
            <v>308001529310</v>
          </cell>
        </row>
        <row r="228">
          <cell r="I228" t="str">
            <v>HASU4301040</v>
          </cell>
          <cell r="J228" t="str">
            <v>THÀNH</v>
          </cell>
          <cell r="K228" t="str">
            <v>0:00</v>
          </cell>
          <cell r="L228" t="str">
            <v>EGSU9469079</v>
          </cell>
          <cell r="M228" t="str">
            <v>TRI PHƯƠNG</v>
          </cell>
          <cell r="N228" t="str">
            <v>HATECO HICT</v>
          </cell>
          <cell r="O228" t="str">
            <v>VR-25/52649</v>
          </cell>
          <cell r="P228" t="str">
            <v>done</v>
          </cell>
          <cell r="Q228" t="str">
            <v>308001497550</v>
          </cell>
        </row>
        <row r="229">
          <cell r="I229" t="str">
            <v>CAAU5741540</v>
          </cell>
          <cell r="J229" t="str">
            <v>SÂM</v>
          </cell>
          <cell r="K229" t="str">
            <v>8:00</v>
          </cell>
          <cell r="L229" t="str">
            <v>ONEU5420342</v>
          </cell>
          <cell r="M229" t="str">
            <v>TRI PHƯƠNG</v>
          </cell>
          <cell r="N229" t="str">
            <v>HATECO HICT</v>
          </cell>
          <cell r="Q229">
            <v>0</v>
          </cell>
        </row>
        <row r="230">
          <cell r="I230" t="str">
            <v>HAMU3302924</v>
          </cell>
          <cell r="J230" t="str">
            <v>THI</v>
          </cell>
          <cell r="K230" t="str">
            <v>2:00</v>
          </cell>
          <cell r="M230" t="str">
            <v>TRI PHƯƠNG</v>
          </cell>
          <cell r="N230" t="str">
            <v>HATECO HICT</v>
          </cell>
          <cell r="Q230">
            <v>0</v>
          </cell>
        </row>
        <row r="231">
          <cell r="I231" t="str">
            <v>TRHU5204201</v>
          </cell>
          <cell r="J231" t="str">
            <v>MẠNH</v>
          </cell>
          <cell r="K231">
            <v>0.59375</v>
          </cell>
          <cell r="L231" t="str">
            <v>MRSU6547861</v>
          </cell>
          <cell r="O231" t="str">
            <v>VI-25/58171</v>
          </cell>
          <cell r="Q231">
            <v>0</v>
          </cell>
        </row>
        <row r="232">
          <cell r="I232" t="str">
            <v>GCXU6479070</v>
          </cell>
          <cell r="J232" t="str">
            <v>SƠN</v>
          </cell>
          <cell r="L232" t="str">
            <v>HASU5047732</v>
          </cell>
          <cell r="Q232">
            <v>0</v>
          </cell>
        </row>
        <row r="233">
          <cell r="I233" t="str">
            <v>ONEU0922693</v>
          </cell>
          <cell r="J233" t="str">
            <v>PHƯƠNG</v>
          </cell>
          <cell r="K233">
            <v>0.91666666666666663</v>
          </cell>
          <cell r="L233" t="str">
            <v>SELU4384559</v>
          </cell>
          <cell r="Q233">
            <v>0</v>
          </cell>
        </row>
        <row r="234">
          <cell r="I234" t="str">
            <v>MSNU8656356</v>
          </cell>
          <cell r="J234" t="str">
            <v>THI
THỊNH KÉO VỀ</v>
          </cell>
          <cell r="K234">
            <v>8.3333333333333329E-2</v>
          </cell>
          <cell r="L234" t="str">
            <v>TRHU8254850</v>
          </cell>
          <cell r="N234" t="str">
            <v>NAM ĐÌNH VŨ</v>
          </cell>
          <cell r="O234" t="str">
            <v>VH-25/50754</v>
          </cell>
          <cell r="P234" t="str">
            <v>done</v>
          </cell>
          <cell r="Q234" t="str">
            <v>308005949330</v>
          </cell>
        </row>
        <row r="235">
          <cell r="I235" t="str">
            <v>TGBU9970583</v>
          </cell>
          <cell r="J235" t="str">
            <v>DŨNG 
KÉO VỀ</v>
          </cell>
          <cell r="K235">
            <v>0.875</v>
          </cell>
          <cell r="L235" t="str">
            <v>TGBU9970583</v>
          </cell>
          <cell r="N235" t="str">
            <v>GIC</v>
          </cell>
          <cell r="O235" t="str">
            <v>VS-25/51660</v>
          </cell>
          <cell r="P235" t="str">
            <v>done</v>
          </cell>
          <cell r="Q235" t="str">
            <v>308005547750</v>
          </cell>
        </row>
        <row r="236">
          <cell r="I236" t="str">
            <v>GAOU7578687</v>
          </cell>
          <cell r="J236" t="str">
            <v>RU KỶ NGUYÊN</v>
          </cell>
          <cell r="K236">
            <v>0.33333333333333331</v>
          </cell>
          <cell r="L236" t="str">
            <v>GAOU7578687</v>
          </cell>
          <cell r="N236" t="str">
            <v>HATECO</v>
          </cell>
          <cell r="O236" t="str">
            <v>VH-25/50748</v>
          </cell>
          <cell r="P236" t="str">
            <v>done</v>
          </cell>
          <cell r="Q236" t="str">
            <v>308000991820</v>
          </cell>
        </row>
        <row r="237">
          <cell r="I237" t="str">
            <v>EGSU9350840</v>
          </cell>
          <cell r="J237" t="str">
            <v>THÀNH</v>
          </cell>
          <cell r="L237" t="str">
            <v>MRKU6473853</v>
          </cell>
          <cell r="Q237">
            <v>0</v>
          </cell>
        </row>
        <row r="238">
          <cell r="I238" t="str">
            <v>TLLU6849389</v>
          </cell>
          <cell r="J238" t="str">
            <v>ĐỨC</v>
          </cell>
          <cell r="K238">
            <v>0.33333333333333331</v>
          </cell>
          <cell r="L238" t="str">
            <v>MRKU4533871</v>
          </cell>
          <cell r="M238" t="str">
            <v>TRI PHƯƠNG</v>
          </cell>
          <cell r="N238" t="str">
            <v>HATECO HICT</v>
          </cell>
          <cell r="O238" t="str">
            <v>VI-25/58158</v>
          </cell>
          <cell r="P238" t="str">
            <v>done</v>
          </cell>
          <cell r="Q238" t="str">
            <v>308005006540</v>
          </cell>
        </row>
        <row r="239">
          <cell r="I239" t="str">
            <v>CAAU5266570</v>
          </cell>
          <cell r="J239" t="str">
            <v>QUÂN</v>
          </cell>
          <cell r="K239">
            <v>0.375</v>
          </cell>
          <cell r="L239" t="str">
            <v>TRHU7943514</v>
          </cell>
          <cell r="M239" t="str">
            <v>TRI PHƯƠNG</v>
          </cell>
          <cell r="N239" t="str">
            <v>HATECO HICT</v>
          </cell>
          <cell r="O239" t="str">
            <v>VI-25/58162</v>
          </cell>
          <cell r="P239" t="str">
            <v>done</v>
          </cell>
          <cell r="Q239" t="str">
            <v>308005029050</v>
          </cell>
        </row>
        <row r="240">
          <cell r="I240" t="str">
            <v>MRSU3800240</v>
          </cell>
          <cell r="J240" t="str">
            <v>PHƯƠNG</v>
          </cell>
          <cell r="K240">
            <v>0.44791666666666669</v>
          </cell>
          <cell r="L240" t="str">
            <v>SEKU4476339</v>
          </cell>
          <cell r="M240" t="str">
            <v>TRI PHƯƠNG</v>
          </cell>
          <cell r="N240" t="str">
            <v>HATECO HICT</v>
          </cell>
          <cell r="O240" t="str">
            <v>VI-25/58164</v>
          </cell>
          <cell r="P240" t="str">
            <v>done</v>
          </cell>
          <cell r="Q240" t="str">
            <v>308005194510</v>
          </cell>
        </row>
        <row r="241">
          <cell r="I241" t="str">
            <v>HASU4750099</v>
          </cell>
          <cell r="J241" t="str">
            <v>SÂM</v>
          </cell>
          <cell r="K241">
            <v>0.45833333333333331</v>
          </cell>
          <cell r="L241" t="str">
            <v>MRSU3800240</v>
          </cell>
          <cell r="M241" t="str">
            <v>TRI PHƯƠNG</v>
          </cell>
          <cell r="N241" t="str">
            <v>HATECO HICT</v>
          </cell>
          <cell r="O241" t="str">
            <v>VI-25/58165</v>
          </cell>
          <cell r="P241" t="str">
            <v>done</v>
          </cell>
          <cell r="Q241" t="str">
            <v>308005114600</v>
          </cell>
        </row>
        <row r="242">
          <cell r="I242" t="str">
            <v>TCKU6709247</v>
          </cell>
          <cell r="J242" t="str">
            <v>ĐỨC</v>
          </cell>
          <cell r="K242">
            <v>0.52083333333333337</v>
          </cell>
          <cell r="L242" t="str">
            <v>TLLU6849389</v>
          </cell>
          <cell r="M242" t="str">
            <v>TRI PHƯƠNG</v>
          </cell>
          <cell r="N242" t="str">
            <v>HATECO HICT</v>
          </cell>
          <cell r="O242" t="str">
            <v>VI-25/58166</v>
          </cell>
          <cell r="P242" t="str">
            <v>done</v>
          </cell>
          <cell r="Q242" t="str">
            <v>308005123920</v>
          </cell>
        </row>
        <row r="243">
          <cell r="I243" t="str">
            <v>MRSU6547861</v>
          </cell>
          <cell r="J243" t="str">
            <v>QUÂN</v>
          </cell>
          <cell r="K243">
            <v>0.54166666666666663</v>
          </cell>
          <cell r="L243" t="str">
            <v>CAAU5266570</v>
          </cell>
          <cell r="M243" t="str">
            <v>TRI PHƯƠNG</v>
          </cell>
          <cell r="N243" t="str">
            <v>HATECO HICT</v>
          </cell>
          <cell r="O243" t="str">
            <v>VI-25/58167</v>
          </cell>
          <cell r="P243" t="str">
            <v>done</v>
          </cell>
          <cell r="Q243" t="str">
            <v>308005213150</v>
          </cell>
        </row>
        <row r="244">
          <cell r="I244" t="str">
            <v>HASU5047732</v>
          </cell>
          <cell r="J244" t="str">
            <v>SƠN</v>
          </cell>
          <cell r="K244">
            <v>0.5625</v>
          </cell>
          <cell r="L244" t="str">
            <v>TCKU6709247</v>
          </cell>
          <cell r="M244" t="str">
            <v>TRI PHƯƠNG</v>
          </cell>
          <cell r="N244" t="str">
            <v>HATECO HICT</v>
          </cell>
          <cell r="O244" t="str">
            <v>VI-25/58169</v>
          </cell>
          <cell r="P244" t="str">
            <v>done</v>
          </cell>
          <cell r="Q244" t="str">
            <v>308005156820</v>
          </cell>
        </row>
        <row r="245">
          <cell r="I245" t="str">
            <v>TCKU7293895</v>
          </cell>
          <cell r="J245" t="str">
            <v>QUÂN</v>
          </cell>
          <cell r="K245">
            <v>0.875</v>
          </cell>
          <cell r="L245" t="str">
            <v>HASU4750099</v>
          </cell>
          <cell r="M245" t="str">
            <v>TRI PHƯƠNG</v>
          </cell>
          <cell r="N245" t="str">
            <v>HATECO HICT</v>
          </cell>
          <cell r="O245" t="str">
            <v>VI-25/58190
cb VI-25/58191</v>
          </cell>
          <cell r="P245" t="str">
            <v>done</v>
          </cell>
          <cell r="Q245" t="str">
            <v>308005499340
308005522550</v>
          </cell>
        </row>
        <row r="246">
          <cell r="I246" t="str">
            <v>GCXU5683828</v>
          </cell>
          <cell r="J246" t="str">
            <v>THỊNH</v>
          </cell>
          <cell r="K246">
            <v>0.89583333333333337</v>
          </cell>
          <cell r="L246" t="str">
            <v>TCKU7293895</v>
          </cell>
          <cell r="M246" t="str">
            <v>TRI PHƯƠNG</v>
          </cell>
          <cell r="N246" t="str">
            <v>HATECO HICT</v>
          </cell>
          <cell r="O246" t="str">
            <v>VI-25/58176</v>
          </cell>
          <cell r="P246" t="str">
            <v>done</v>
          </cell>
          <cell r="Q246" t="str">
            <v>308005068620</v>
          </cell>
        </row>
        <row r="247">
          <cell r="I247" t="str">
            <v>MRKU6011346</v>
          </cell>
          <cell r="J247" t="str">
            <v>ĐỨC</v>
          </cell>
          <cell r="K247">
            <v>7.2916666666666671E-2</v>
          </cell>
          <cell r="L247" t="str">
            <v>MRKU6011346</v>
          </cell>
          <cell r="M247" t="str">
            <v>TRI PHƯƠNG</v>
          </cell>
          <cell r="N247" t="str">
            <v>HATECO HICT</v>
          </cell>
          <cell r="O247" t="str">
            <v>VI-25/58181</v>
          </cell>
          <cell r="P247" t="str">
            <v>done</v>
          </cell>
          <cell r="Q247" t="str">
            <v>308005044010</v>
          </cell>
        </row>
        <row r="248">
          <cell r="I248" t="str">
            <v>HASU5145786</v>
          </cell>
          <cell r="J248" t="str">
            <v>SÂM</v>
          </cell>
          <cell r="K248">
            <v>0.10416666666666667</v>
          </cell>
          <cell r="L248" t="str">
            <v>GCXU5683828</v>
          </cell>
          <cell r="M248" t="str">
            <v>TRI PHƯƠNG</v>
          </cell>
          <cell r="N248" t="str">
            <v>HATECO HICT</v>
          </cell>
          <cell r="O248" t="str">
            <v>VI-25/58184</v>
          </cell>
          <cell r="P248" t="str">
            <v>done</v>
          </cell>
          <cell r="Q248" t="str">
            <v>308005093230</v>
          </cell>
        </row>
        <row r="249">
          <cell r="I249" t="str">
            <v>GAOU7083055</v>
          </cell>
          <cell r="J249" t="str">
            <v>QUÂN</v>
          </cell>
          <cell r="K249">
            <v>0.11458333333333333</v>
          </cell>
          <cell r="L249" t="str">
            <v>HASU5145786</v>
          </cell>
          <cell r="M249" t="str">
            <v>TRI PHƯƠNG</v>
          </cell>
          <cell r="N249" t="str">
            <v>HATECO HICT</v>
          </cell>
          <cell r="O249" t="str">
            <v>VI-25/58186</v>
          </cell>
          <cell r="P249" t="str">
            <v>done</v>
          </cell>
          <cell r="Q249" t="str">
            <v>308005175020</v>
          </cell>
        </row>
        <row r="250">
          <cell r="I250" t="str">
            <v>MRSU7931296</v>
          </cell>
          <cell r="J250" t="str">
            <v>THỊNH</v>
          </cell>
          <cell r="K250">
            <v>0.13541666666666666</v>
          </cell>
          <cell r="L250" t="str">
            <v>MRSU7931296</v>
          </cell>
          <cell r="M250" t="str">
            <v>TRI PHƯƠNG</v>
          </cell>
          <cell r="N250" t="str">
            <v>HATECO HICT</v>
          </cell>
          <cell r="O250" t="str">
            <v>VI-25/58187</v>
          </cell>
          <cell r="P250" t="str">
            <v>done</v>
          </cell>
          <cell r="Q250" t="str">
            <v>308005131030</v>
          </cell>
        </row>
        <row r="251">
          <cell r="I251" t="str">
            <v>PONU8198578</v>
          </cell>
          <cell r="J251" t="str">
            <v>THÀNH</v>
          </cell>
          <cell r="K251">
            <v>0.58333333333333337</v>
          </cell>
          <cell r="L251" t="str">
            <v>HASU5137775</v>
          </cell>
          <cell r="M251" t="str">
            <v>TRI PHƯƠNG</v>
          </cell>
          <cell r="N251" t="str">
            <v>HATECO HICT</v>
          </cell>
          <cell r="O251" t="str">
            <v>VB-25/52754</v>
          </cell>
          <cell r="P251" t="str">
            <v>done</v>
          </cell>
          <cell r="Q251" t="str">
            <v>308005451850</v>
          </cell>
        </row>
        <row r="252">
          <cell r="I252" t="str">
            <v>TLLU2239900</v>
          </cell>
          <cell r="J252" t="str">
            <v>PHƯƠNG</v>
          </cell>
          <cell r="K252">
            <v>0.875</v>
          </cell>
          <cell r="L252" t="str">
            <v>EGSU9641038</v>
          </cell>
          <cell r="M252" t="str">
            <v>TRI PHƯƠNG</v>
          </cell>
          <cell r="N252" t="str">
            <v>HATECO HICT</v>
          </cell>
          <cell r="O252" t="str">
            <v>VB-25/52756</v>
          </cell>
          <cell r="P252" t="str">
            <v>done</v>
          </cell>
          <cell r="Q252" t="str">
            <v>308005488400</v>
          </cell>
        </row>
        <row r="253">
          <cell r="I253" t="str">
            <v>MRKU6473853</v>
          </cell>
          <cell r="J253" t="str">
            <v>THỊNH</v>
          </cell>
          <cell r="K253">
            <v>0.95833333333333337</v>
          </cell>
          <cell r="L253" t="str">
            <v>MRKU2272260</v>
          </cell>
          <cell r="M253" t="str">
            <v>TRI PHƯƠNG</v>
          </cell>
          <cell r="N253" t="str">
            <v>HATECO HICT</v>
          </cell>
          <cell r="O253" t="str">
            <v>VB-25/52753</v>
          </cell>
          <cell r="P253" t="str">
            <v>done</v>
          </cell>
          <cell r="Q253" t="str">
            <v>308005515330</v>
          </cell>
        </row>
        <row r="254">
          <cell r="I254" t="str">
            <v>MRSU4161144</v>
          </cell>
          <cell r="J254" t="str">
            <v>SƠN</v>
          </cell>
          <cell r="K254">
            <v>8.3333333333333329E-2</v>
          </cell>
          <cell r="L254" t="str">
            <v>PONU8198578</v>
          </cell>
          <cell r="M254" t="str">
            <v>TRI PHƯƠNG</v>
          </cell>
          <cell r="N254" t="str">
            <v>HATECO HICT</v>
          </cell>
          <cell r="O254" t="str">
            <v>VB-25/52755</v>
          </cell>
          <cell r="P254" t="str">
            <v>done</v>
          </cell>
          <cell r="Q254" t="str">
            <v>308005556520</v>
          </cell>
        </row>
        <row r="255">
          <cell r="I255" t="str">
            <v>CGMU8012227</v>
          </cell>
          <cell r="J255" t="str">
            <v>MẠNH</v>
          </cell>
          <cell r="K255">
            <v>0.54166666666666663</v>
          </cell>
          <cell r="L255" t="str">
            <v>TRHU7340589</v>
          </cell>
          <cell r="M255" t="str">
            <v>TRI PHƯƠNG</v>
          </cell>
          <cell r="N255" t="str">
            <v xml:space="preserve">LẠCH HUYỆN </v>
          </cell>
          <cell r="Q255">
            <v>0</v>
          </cell>
        </row>
        <row r="256">
          <cell r="I256" t="str">
            <v>FBIU5214153</v>
          </cell>
          <cell r="J256" t="str">
            <v>SƠN</v>
          </cell>
          <cell r="K256" t="str">
            <v>09:00</v>
          </cell>
          <cell r="L256" t="str">
            <v>HAMU1881920</v>
          </cell>
          <cell r="M256" t="str">
            <v>TRI PHƯƠNG</v>
          </cell>
          <cell r="N256" t="str">
            <v xml:space="preserve">LẠCH HUYỆN </v>
          </cell>
          <cell r="Q256">
            <v>0</v>
          </cell>
        </row>
        <row r="257">
          <cell r="I257" t="str">
            <v>CGMU8008232</v>
          </cell>
          <cell r="J257" t="str">
            <v>THỊNH</v>
          </cell>
          <cell r="K257" t="str">
            <v>10:00</v>
          </cell>
          <cell r="L257" t="str">
            <v>HAMU3302924</v>
          </cell>
          <cell r="M257" t="str">
            <v>TRI PHƯƠNG</v>
          </cell>
          <cell r="N257" t="str">
            <v xml:space="preserve">LẠCH HUYỆN </v>
          </cell>
          <cell r="Q257">
            <v>0</v>
          </cell>
        </row>
        <row r="258">
          <cell r="I258" t="str">
            <v>CGMU5473586</v>
          </cell>
          <cell r="J258" t="str">
            <v>PHƯƠNG</v>
          </cell>
          <cell r="K258" t="str">
            <v>11:00</v>
          </cell>
          <cell r="L258" t="str">
            <v>FBIU5214153</v>
          </cell>
          <cell r="M258" t="str">
            <v>TRI PHƯƠNG</v>
          </cell>
          <cell r="N258" t="str">
            <v xml:space="preserve">LẠCH HUYỆN </v>
          </cell>
          <cell r="Q258">
            <v>0</v>
          </cell>
        </row>
        <row r="259">
          <cell r="I259" t="str">
            <v>CGMU5700503</v>
          </cell>
          <cell r="J259" t="str">
            <v>ĐỨC</v>
          </cell>
          <cell r="K259">
            <v>0.54166666666666663</v>
          </cell>
          <cell r="L259" t="str">
            <v>CAAU7171323</v>
          </cell>
          <cell r="M259" t="str">
            <v>TRI PHƯƠNG</v>
          </cell>
          <cell r="N259" t="str">
            <v>HATECO HICT</v>
          </cell>
          <cell r="Q259">
            <v>0</v>
          </cell>
        </row>
        <row r="260">
          <cell r="I260" t="str">
            <v>CGMU5325640</v>
          </cell>
          <cell r="K260" t="str">
            <v>23:00</v>
          </cell>
          <cell r="L260" t="str">
            <v>CGMU5473586</v>
          </cell>
          <cell r="M260" t="str">
            <v>TRI PHƯƠNG</v>
          </cell>
          <cell r="N260" t="str">
            <v xml:space="preserve">LẠCH HUYỆN </v>
          </cell>
          <cell r="Q260">
            <v>0</v>
          </cell>
        </row>
        <row r="261">
          <cell r="I261" t="str">
            <v>CGMU5366870</v>
          </cell>
          <cell r="K261" t="str">
            <v>23:00</v>
          </cell>
          <cell r="M261" t="str">
            <v>TRI PHƯƠNG</v>
          </cell>
          <cell r="N261" t="str">
            <v xml:space="preserve">LẠCH HUYỆN </v>
          </cell>
          <cell r="Q261">
            <v>0</v>
          </cell>
        </row>
        <row r="262">
          <cell r="I262" t="str">
            <v>AMCU9300212</v>
          </cell>
          <cell r="J262" t="str">
            <v>SÂM</v>
          </cell>
          <cell r="K262" t="str">
            <v>14:00</v>
          </cell>
          <cell r="L262" t="str">
            <v>MRKU4377697</v>
          </cell>
          <cell r="M262" t="str">
            <v>TRI PHƯƠNG</v>
          </cell>
          <cell r="N262" t="str">
            <v>TÂN VŨ</v>
          </cell>
          <cell r="Q262">
            <v>0</v>
          </cell>
        </row>
        <row r="263">
          <cell r="I263" t="str">
            <v>CAAU6203149</v>
          </cell>
          <cell r="J263" t="str">
            <v>THỊNH</v>
          </cell>
          <cell r="K263" t="str">
            <v>14:00</v>
          </cell>
          <cell r="L263" t="str">
            <v>CGMU8012227</v>
          </cell>
          <cell r="M263" t="str">
            <v>TRI PHƯƠNG</v>
          </cell>
          <cell r="N263" t="str">
            <v>HATECO HICT</v>
          </cell>
          <cell r="O263" t="str">
            <v>VR-25/52661</v>
          </cell>
          <cell r="P263" t="str">
            <v>done</v>
          </cell>
          <cell r="Q263" t="str">
            <v>308006248230</v>
          </cell>
        </row>
        <row r="264">
          <cell r="I264" t="str">
            <v>CAAU7171323</v>
          </cell>
          <cell r="J264" t="str">
            <v>PHƯƠNG</v>
          </cell>
          <cell r="K264" t="str">
            <v>15:00</v>
          </cell>
          <cell r="L264" t="str">
            <v>CGMU8008232</v>
          </cell>
          <cell r="M264" t="str">
            <v>TRI PHƯƠNG</v>
          </cell>
          <cell r="N264" t="str">
            <v>HATECO HICT</v>
          </cell>
          <cell r="P264" t="str">
            <v>done</v>
          </cell>
          <cell r="Q264" t="str">
            <v>308006278110</v>
          </cell>
        </row>
        <row r="265">
          <cell r="I265" t="str">
            <v>SEKU4444835</v>
          </cell>
          <cell r="J265" t="str">
            <v>SƠN</v>
          </cell>
          <cell r="K265">
            <v>8.3333333333333329E-2</v>
          </cell>
          <cell r="L265" t="str">
            <v>SITU9175183</v>
          </cell>
          <cell r="M265" t="str">
            <v>TRI PHƯƠNG</v>
          </cell>
          <cell r="N265" t="str">
            <v>HATECO HICT</v>
          </cell>
          <cell r="P265" t="str">
            <v>done</v>
          </cell>
          <cell r="Q265" t="str">
            <v>308006309460</v>
          </cell>
        </row>
        <row r="266">
          <cell r="I266" t="str">
            <v>MRKU4377697</v>
          </cell>
          <cell r="J266" t="str">
            <v>THÀNH</v>
          </cell>
          <cell r="K266" t="str">
            <v>9:00</v>
          </cell>
          <cell r="L266" t="str">
            <v>FFAU7129353</v>
          </cell>
          <cell r="M266" t="str">
            <v>TRI PHƯƠNG</v>
          </cell>
          <cell r="N266" t="str">
            <v>HATECO HICT</v>
          </cell>
          <cell r="P266" t="str">
            <v>done</v>
          </cell>
          <cell r="Q266" t="str">
            <v>308008449950</v>
          </cell>
        </row>
        <row r="267">
          <cell r="I267" t="str">
            <v>HPCU4729362</v>
          </cell>
          <cell r="J267" t="str">
            <v>PHƯƠNG</v>
          </cell>
          <cell r="K267">
            <v>0.45833333333333331</v>
          </cell>
          <cell r="L267" t="str">
            <v>TCLU7907100</v>
          </cell>
          <cell r="Q267">
            <v>0</v>
          </cell>
        </row>
        <row r="268">
          <cell r="I268" t="str">
            <v>FFAU3696596</v>
          </cell>
          <cell r="J268" t="str">
            <v>PHƯƠNG</v>
          </cell>
          <cell r="K268">
            <v>0.54166666666666663</v>
          </cell>
          <cell r="L268" t="str">
            <v>CGMU5700503</v>
          </cell>
          <cell r="Q268">
            <v>0</v>
          </cell>
        </row>
        <row r="269">
          <cell r="I269" t="str">
            <v>FFAU5103299</v>
          </cell>
          <cell r="J269" t="str">
            <v>THỊNH</v>
          </cell>
          <cell r="K269">
            <v>0.625</v>
          </cell>
          <cell r="L269" t="str">
            <v>TTNU8760651</v>
          </cell>
          <cell r="Q269">
            <v>0</v>
          </cell>
        </row>
        <row r="270">
          <cell r="I270" t="str">
            <v>UETU7039480</v>
          </cell>
          <cell r="J270" t="str">
            <v>SƠN</v>
          </cell>
          <cell r="K270">
            <v>0.625</v>
          </cell>
          <cell r="L270" t="str">
            <v>CGMU5325640</v>
          </cell>
          <cell r="Q270">
            <v>0</v>
          </cell>
        </row>
        <row r="271">
          <cell r="I271" t="str">
            <v>MRSU5925967</v>
          </cell>
          <cell r="J271" t="str">
            <v>MẠNH</v>
          </cell>
          <cell r="K271">
            <v>0.375</v>
          </cell>
          <cell r="L271" t="str">
            <v>SEKU4444835</v>
          </cell>
          <cell r="M271" t="str">
            <v>TRI PHƯƠNG</v>
          </cell>
          <cell r="N271" t="str">
            <v>HATECO HICT</v>
          </cell>
          <cell r="P271" t="str">
            <v>done</v>
          </cell>
          <cell r="Q271" t="str">
            <v>308010563030</v>
          </cell>
        </row>
        <row r="272">
          <cell r="I272" t="str">
            <v>MNBU0561155</v>
          </cell>
          <cell r="J272" t="str">
            <v>SÂM</v>
          </cell>
          <cell r="K272">
            <v>0.58333333333333337</v>
          </cell>
          <cell r="L272" t="str">
            <v>CAAU6203149</v>
          </cell>
          <cell r="M272" t="str">
            <v>TRI PHƯƠNG</v>
          </cell>
          <cell r="N272" t="str">
            <v>HATECO HICT</v>
          </cell>
          <cell r="P272" t="str">
            <v>done</v>
          </cell>
          <cell r="Q272" t="str">
            <v>308010755530</v>
          </cell>
        </row>
        <row r="273">
          <cell r="I273" t="str">
            <v>ONEU9051200</v>
          </cell>
          <cell r="J273" t="str">
            <v>SÂM</v>
          </cell>
          <cell r="K273">
            <v>0.875</v>
          </cell>
          <cell r="L273" t="str">
            <v>MRSU5925967</v>
          </cell>
          <cell r="M273" t="str">
            <v>TRI PHƯƠNG</v>
          </cell>
          <cell r="Q273">
            <v>0</v>
          </cell>
        </row>
        <row r="274">
          <cell r="I274" t="str">
            <v>TTNU8760651</v>
          </cell>
          <cell r="J274" t="str">
            <v>THỊNH</v>
          </cell>
          <cell r="K274">
            <v>0.41666666666666669</v>
          </cell>
          <cell r="L274" t="str">
            <v>ONEU1455309</v>
          </cell>
          <cell r="M274" t="str">
            <v>TRI PHƯƠNG</v>
          </cell>
          <cell r="Q274">
            <v>0</v>
          </cell>
        </row>
        <row r="275">
          <cell r="I275" t="str">
            <v>CGMU6598844</v>
          </cell>
          <cell r="J275" t="str">
            <v>SƠN</v>
          </cell>
          <cell r="K275">
            <v>0.54166666666666663</v>
          </cell>
          <cell r="L275" t="str">
            <v>FFAU5283919</v>
          </cell>
          <cell r="M275" t="str">
            <v>TRI PHƯƠNG</v>
          </cell>
          <cell r="Q275">
            <v>0</v>
          </cell>
        </row>
        <row r="276">
          <cell r="I276" t="str">
            <v>UETU7046999</v>
          </cell>
          <cell r="J276" t="str">
            <v>SÂM
SƠN KÉO VỀ</v>
          </cell>
          <cell r="K276">
            <v>0.33333333333333331</v>
          </cell>
          <cell r="L276" t="str">
            <v>AMCU9300212</v>
          </cell>
          <cell r="N276" t="str">
            <v>ĐÌNH VŨ</v>
          </cell>
          <cell r="O276" t="str">
            <v>VZ-25/50388 +VZ-25/50388R +VZ-25/50388R-01</v>
          </cell>
          <cell r="P276" t="str">
            <v>done</v>
          </cell>
          <cell r="Q276" t="str">
            <v>308014527940
308014487710
308014446630</v>
          </cell>
        </row>
        <row r="277">
          <cell r="I277" t="str">
            <v>SITU9205272</v>
          </cell>
          <cell r="J277" t="str">
            <v>QUÂN
KÉO VỀ</v>
          </cell>
          <cell r="K277">
            <v>0.54166666666666663</v>
          </cell>
          <cell r="L277" t="str">
            <v>MNBU0561155</v>
          </cell>
          <cell r="N277" t="str">
            <v>ĐÌNH VŨ</v>
          </cell>
          <cell r="O277" t="str">
            <v>VZ-25/50389 +VZ-25/50389R +VZ-25/50389R-01</v>
          </cell>
          <cell r="P277" t="str">
            <v>done</v>
          </cell>
          <cell r="Q277" t="str">
            <v>308014866740
308015858310
308015887010
308015912760</v>
          </cell>
        </row>
        <row r="278">
          <cell r="I278" t="str">
            <v>EMCU1683491</v>
          </cell>
          <cell r="J278" t="str">
            <v>PHƯƠNG</v>
          </cell>
          <cell r="K278">
            <v>0.54166666666666663</v>
          </cell>
          <cell r="L278" t="str">
            <v>FFAU3696596</v>
          </cell>
          <cell r="O278" t="str">
            <v>RTB-25/0422+SCN-25/45</v>
          </cell>
          <cell r="Q278">
            <v>0</v>
          </cell>
        </row>
        <row r="279">
          <cell r="I279" t="str">
            <v>FFAU7202330</v>
          </cell>
          <cell r="J279" t="str">
            <v>MẠNH</v>
          </cell>
          <cell r="K279">
            <v>0.625</v>
          </cell>
          <cell r="L279" t="str">
            <v>HPCU4729362</v>
          </cell>
          <cell r="Q279">
            <v>0</v>
          </cell>
        </row>
        <row r="280">
          <cell r="I280" t="str">
            <v>TIIU5779876</v>
          </cell>
          <cell r="K280">
            <v>0.875</v>
          </cell>
          <cell r="Q280">
            <v>0</v>
          </cell>
        </row>
        <row r="281">
          <cell r="I281" t="str">
            <v>TLLU4330429</v>
          </cell>
          <cell r="J281" t="str">
            <v>THAÀNH</v>
          </cell>
          <cell r="K281">
            <v>0.91666666666666663</v>
          </cell>
          <cell r="L281" t="str">
            <v>CGMU6598844</v>
          </cell>
          <cell r="Q281">
            <v>0</v>
          </cell>
        </row>
        <row r="282">
          <cell r="I282" t="str">
            <v>EGSU1290852</v>
          </cell>
          <cell r="K282">
            <v>0</v>
          </cell>
          <cell r="O282" t="str">
            <v>RTB-25/0423</v>
          </cell>
          <cell r="Q282">
            <v>0</v>
          </cell>
        </row>
        <row r="283">
          <cell r="I283" t="str">
            <v>EGSU1913227</v>
          </cell>
          <cell r="J283" t="str">
            <v>QUÂN</v>
          </cell>
          <cell r="L283" t="str">
            <v>MRSU8254250</v>
          </cell>
          <cell r="Q283">
            <v>0</v>
          </cell>
        </row>
        <row r="284">
          <cell r="I284" t="str">
            <v>TGBU5149440</v>
          </cell>
          <cell r="J284" t="str">
            <v>SÂM
PHƯƠNG KÉO VỀ</v>
          </cell>
          <cell r="K284">
            <v>0.125</v>
          </cell>
          <cell r="L284" t="str">
            <v>EGSU9350840</v>
          </cell>
          <cell r="N284" t="str">
            <v xml:space="preserve">LẠCH HUYỆN </v>
          </cell>
          <cell r="O284" t="str">
            <v>VH-25/50763</v>
          </cell>
          <cell r="P284" t="str">
            <v>done</v>
          </cell>
          <cell r="Q284" t="str">
            <v>308011991620</v>
          </cell>
        </row>
        <row r="285">
          <cell r="I285" t="str">
            <v>TCNU5896554</v>
          </cell>
          <cell r="J285" t="str">
            <v>PHƯƠNG</v>
          </cell>
          <cell r="K285">
            <v>0.10416666666666667</v>
          </cell>
          <cell r="L285" t="str">
            <v>UETU7328842</v>
          </cell>
          <cell r="O285" t="str">
            <v>VI-25/58224</v>
          </cell>
          <cell r="Q285">
            <v>0</v>
          </cell>
        </row>
        <row r="286">
          <cell r="I286" t="str">
            <v>TIIU5913389</v>
          </cell>
          <cell r="J286" t="str">
            <v>MẠNH
KÉO VỀ</v>
          </cell>
          <cell r="K286">
            <v>0.125</v>
          </cell>
          <cell r="L286" t="str">
            <v>TIIU5913389</v>
          </cell>
          <cell r="N286" t="str">
            <v>GIC</v>
          </cell>
          <cell r="O286" t="str">
            <v>VI-25/58194</v>
          </cell>
          <cell r="P286" t="str">
            <v>done</v>
          </cell>
          <cell r="Q286" t="str">
            <v>308013074630</v>
          </cell>
        </row>
        <row r="287">
          <cell r="I287" t="str">
            <v>CMAU8876442</v>
          </cell>
          <cell r="J287" t="str">
            <v>RU HẠNH AN</v>
          </cell>
          <cell r="K287">
            <v>0.625</v>
          </cell>
          <cell r="L287" t="str">
            <v>CMAU8876442</v>
          </cell>
          <cell r="N287" t="str">
            <v>TÂN VŨ</v>
          </cell>
          <cell r="P287" t="str">
            <v>done</v>
          </cell>
          <cell r="Q287" t="str">
            <v>308013313660</v>
          </cell>
        </row>
        <row r="288">
          <cell r="I288" t="str">
            <v>CMAU8911693</v>
          </cell>
          <cell r="J288" t="str">
            <v>RU HẠNH AN</v>
          </cell>
          <cell r="K288">
            <v>0.89583333333333337</v>
          </cell>
          <cell r="L288" t="str">
            <v>CMAU8911693</v>
          </cell>
          <cell r="N288" t="str">
            <v>TÂN VŨ</v>
          </cell>
          <cell r="O288" t="str">
            <v>VI-25/58219</v>
          </cell>
          <cell r="P288" t="str">
            <v>done</v>
          </cell>
          <cell r="Q288" t="str">
            <v>308013334110</v>
          </cell>
        </row>
        <row r="289">
          <cell r="I289" t="str">
            <v>WBPU7010319</v>
          </cell>
          <cell r="J289" t="str">
            <v>RU TRUNG KHÁNH</v>
          </cell>
          <cell r="K289">
            <v>0.875</v>
          </cell>
          <cell r="L289" t="str">
            <v>WBPU7010319</v>
          </cell>
          <cell r="N289" t="str">
            <v>NAM ĐÌNH VŨ</v>
          </cell>
          <cell r="O289" t="str">
            <v>VH-25/50758</v>
          </cell>
          <cell r="P289" t="str">
            <v>done</v>
          </cell>
          <cell r="Q289" t="str">
            <v>308012008860</v>
          </cell>
        </row>
        <row r="290">
          <cell r="I290" t="str">
            <v>BEAU6382309</v>
          </cell>
          <cell r="J290" t="str">
            <v>MẠNH</v>
          </cell>
          <cell r="K290">
            <v>0.41666666666666669</v>
          </cell>
          <cell r="L290" t="str">
            <v>TLLU2239900</v>
          </cell>
          <cell r="M290" t="str">
            <v>TRI PHƯƠNG</v>
          </cell>
          <cell r="N290" t="str">
            <v>HATECO HICT</v>
          </cell>
          <cell r="O290" t="str">
            <v>VB-25/52762</v>
          </cell>
          <cell r="P290" t="str">
            <v>done</v>
          </cell>
          <cell r="Q290" t="str">
            <v>308011981930</v>
          </cell>
        </row>
        <row r="291">
          <cell r="I291" t="str">
            <v>MRKU3521731</v>
          </cell>
          <cell r="J291" t="str">
            <v>ĐỨC</v>
          </cell>
          <cell r="K291">
            <v>0.33333333333333331</v>
          </cell>
          <cell r="L291" t="str">
            <v>MRKU3521731</v>
          </cell>
          <cell r="M291" t="str">
            <v>TRI PHƯƠNG</v>
          </cell>
          <cell r="N291" t="str">
            <v>HATECO HICT</v>
          </cell>
          <cell r="O291" t="str">
            <v>VI-25/58214</v>
          </cell>
          <cell r="P291" t="str">
            <v>done</v>
          </cell>
          <cell r="Q291" t="str">
            <v>308013126060</v>
          </cell>
        </row>
        <row r="292">
          <cell r="I292" t="str">
            <v>MRSU5082760</v>
          </cell>
          <cell r="J292" t="str">
            <v>THÀNH</v>
          </cell>
          <cell r="K292">
            <v>0.34375</v>
          </cell>
          <cell r="L292" t="str">
            <v>GCXU6479070</v>
          </cell>
          <cell r="M292" t="str">
            <v>TRI PHƯƠNG</v>
          </cell>
          <cell r="N292" t="str">
            <v>HATECO HICT</v>
          </cell>
          <cell r="O292" t="str">
            <v>VI-25/58215</v>
          </cell>
          <cell r="P292" t="str">
            <v>done</v>
          </cell>
          <cell r="Q292" t="str">
            <v>308013088260</v>
          </cell>
        </row>
        <row r="293">
          <cell r="I293" t="str">
            <v>TCKU7013464</v>
          </cell>
          <cell r="J293" t="str">
            <v>SƠN</v>
          </cell>
          <cell r="K293">
            <v>0.35416666666666669</v>
          </cell>
          <cell r="L293" t="str">
            <v>MRSU5082760</v>
          </cell>
          <cell r="M293" t="str">
            <v>TRI PHƯƠNG</v>
          </cell>
          <cell r="N293" t="str">
            <v>HATECO HICT</v>
          </cell>
          <cell r="O293" t="str">
            <v>VI-25/58188</v>
          </cell>
          <cell r="P293" t="str">
            <v>done</v>
          </cell>
          <cell r="Q293" t="str">
            <v>308005139760</v>
          </cell>
        </row>
        <row r="294">
          <cell r="I294" t="str">
            <v>UETU7328842</v>
          </cell>
          <cell r="J294" t="str">
            <v>THỊNH</v>
          </cell>
          <cell r="K294">
            <v>0.39583333333333331</v>
          </cell>
          <cell r="L294" t="str">
            <v>GAOU7083055</v>
          </cell>
          <cell r="M294" t="str">
            <v>TRI PHƯƠNG</v>
          </cell>
          <cell r="N294" t="str">
            <v>HATECO HICT</v>
          </cell>
          <cell r="O294" t="str">
            <v>VI-25/58216</v>
          </cell>
          <cell r="P294" t="str">
            <v>done</v>
          </cell>
          <cell r="Q294" t="str">
            <v>308013104620</v>
          </cell>
        </row>
        <row r="295">
          <cell r="I295" t="str">
            <v>SEKU6910362</v>
          </cell>
          <cell r="J295" t="str">
            <v>SÂM
ĐỨC KÉO VỀ</v>
          </cell>
          <cell r="K295">
            <v>0.4236111111111111</v>
          </cell>
          <cell r="L295" t="str">
            <v>TRHU5204201</v>
          </cell>
          <cell r="N295" t="str">
            <v>HATECO HICT</v>
          </cell>
          <cell r="O295" t="str">
            <v>VI-25/58213</v>
          </cell>
          <cell r="P295" t="str">
            <v>done</v>
          </cell>
          <cell r="Q295" t="str">
            <v>308013037050</v>
          </cell>
        </row>
        <row r="296">
          <cell r="I296" t="str">
            <v>MRSU5056082</v>
          </cell>
          <cell r="J296" t="str">
            <v>QUÂN
SÂM KÉO VỀ</v>
          </cell>
          <cell r="K296">
            <v>9.375E-2</v>
          </cell>
          <cell r="L296" t="str">
            <v>TCKU7013464</v>
          </cell>
          <cell r="N296" t="str">
            <v>HATECO HICT</v>
          </cell>
          <cell r="O296" t="str">
            <v>VI-25/58193</v>
          </cell>
          <cell r="P296" t="str">
            <v>done</v>
          </cell>
          <cell r="Q296" t="str">
            <v>308013015500</v>
          </cell>
        </row>
        <row r="297">
          <cell r="I297" t="str">
            <v>MRSU6163233</v>
          </cell>
          <cell r="J297" t="str">
            <v>MẠNH</v>
          </cell>
          <cell r="K297" t="str">
            <v>8:00</v>
          </cell>
          <cell r="L297" t="str">
            <v>ONEU0922693</v>
          </cell>
          <cell r="M297" t="str">
            <v>TRI PHƯƠNG</v>
          </cell>
          <cell r="N297" t="str">
            <v>HATECO HICT</v>
          </cell>
          <cell r="P297" t="str">
            <v>done</v>
          </cell>
          <cell r="Q297" t="str">
            <v>308013679650</v>
          </cell>
        </row>
        <row r="298">
          <cell r="I298" t="str">
            <v>MRSU8254250</v>
          </cell>
          <cell r="J298" t="str">
            <v>PHƯƠNG</v>
          </cell>
          <cell r="K298" t="str">
            <v>13:00</v>
          </cell>
          <cell r="L298" t="str">
            <v>TIIU5670571</v>
          </cell>
          <cell r="M298" t="str">
            <v>TRI PHƯƠNG</v>
          </cell>
          <cell r="N298" t="str">
            <v>HATECO HICT</v>
          </cell>
          <cell r="P298" t="str">
            <v>done</v>
          </cell>
          <cell r="Q298" t="str">
            <v>308013713620</v>
          </cell>
        </row>
        <row r="299">
          <cell r="I299" t="str">
            <v>MRSU7307459</v>
          </cell>
          <cell r="J299" t="str">
            <v>THỊNH</v>
          </cell>
          <cell r="K299">
            <v>0.58333333333333337</v>
          </cell>
          <cell r="L299" t="str">
            <v>ONEU9051200</v>
          </cell>
          <cell r="M299" t="str">
            <v>TRI PHƯƠNG</v>
          </cell>
          <cell r="N299" t="str">
            <v>HATECO HICT</v>
          </cell>
          <cell r="P299" t="str">
            <v>done</v>
          </cell>
          <cell r="Q299" t="str">
            <v>308014186120</v>
          </cell>
        </row>
        <row r="300">
          <cell r="I300" t="str">
            <v>SEGU9902896</v>
          </cell>
          <cell r="J300" t="str">
            <v>QUÂN</v>
          </cell>
          <cell r="K300" t="str">
            <v>22:00</v>
          </cell>
          <cell r="L300" t="str">
            <v>FFAU5103299</v>
          </cell>
          <cell r="M300" t="str">
            <v>TRI PHƯƠNG</v>
          </cell>
          <cell r="N300" t="str">
            <v>NAM HẢI ĐÌNH VŨ</v>
          </cell>
          <cell r="Q300">
            <v>0</v>
          </cell>
        </row>
        <row r="301">
          <cell r="I301" t="str">
            <v>CAIU5675293</v>
          </cell>
          <cell r="J301" t="str">
            <v>THỊNH</v>
          </cell>
          <cell r="K301" t="str">
            <v>2:00</v>
          </cell>
          <cell r="L301" t="str">
            <v>EGSU1913227</v>
          </cell>
          <cell r="M301" t="str">
            <v>TRI PHƯƠNG</v>
          </cell>
          <cell r="N301" t="str">
            <v>TÂN VŨ</v>
          </cell>
          <cell r="Q301">
            <v>0</v>
          </cell>
        </row>
        <row r="302">
          <cell r="I302" t="str">
            <v>ONEU9145486</v>
          </cell>
          <cell r="J302" t="str">
            <v>SƠN</v>
          </cell>
          <cell r="K302" t="str">
            <v>0:00</v>
          </cell>
          <cell r="L302" t="str">
            <v>TIIU5779876</v>
          </cell>
          <cell r="M302" t="str">
            <v>TRI PHƯƠNG</v>
          </cell>
          <cell r="N302" t="str">
            <v>TÂN VŨ</v>
          </cell>
          <cell r="Q302">
            <v>0</v>
          </cell>
        </row>
        <row r="303">
          <cell r="I303" t="str">
            <v>TLLU1093220</v>
          </cell>
          <cell r="J303" t="str">
            <v>SÂM</v>
          </cell>
          <cell r="K303" t="str">
            <v>09:00</v>
          </cell>
          <cell r="L303" t="str">
            <v>TLLU1093220</v>
          </cell>
          <cell r="M303" t="str">
            <v>TRI PHƯƠNG</v>
          </cell>
          <cell r="N303" t="str">
            <v xml:space="preserve">LẠCH HUYỆN </v>
          </cell>
          <cell r="Q303">
            <v>0</v>
          </cell>
        </row>
        <row r="304">
          <cell r="I304" t="str">
            <v>SEGU9170202</v>
          </cell>
          <cell r="J304" t="str">
            <v>THÀNH</v>
          </cell>
          <cell r="K304" t="str">
            <v>10:00</v>
          </cell>
          <cell r="L304" t="str">
            <v>TTNU8103641</v>
          </cell>
          <cell r="M304" t="str">
            <v>TRI PHƯƠNG</v>
          </cell>
          <cell r="N304" t="str">
            <v xml:space="preserve">LẠCH HUYỆN </v>
          </cell>
          <cell r="Q304">
            <v>0</v>
          </cell>
        </row>
        <row r="305">
          <cell r="I305" t="str">
            <v>FSCU5732620</v>
          </cell>
          <cell r="J305" t="str">
            <v>ĐỨC</v>
          </cell>
          <cell r="K305" t="str">
            <v>11:00</v>
          </cell>
          <cell r="L305" t="str">
            <v>CAIU5675293</v>
          </cell>
          <cell r="M305" t="str">
            <v>TRI PHƯƠNG</v>
          </cell>
          <cell r="N305" t="str">
            <v xml:space="preserve">LẠCH HUYỆN </v>
          </cell>
          <cell r="Q305">
            <v>0</v>
          </cell>
        </row>
        <row r="306">
          <cell r="I306" t="str">
            <v>ONEU9128072</v>
          </cell>
          <cell r="J306" t="str">
            <v>SÂM</v>
          </cell>
          <cell r="K306" t="str">
            <v>22:00</v>
          </cell>
          <cell r="L306" t="str">
            <v>ONEU9171757</v>
          </cell>
          <cell r="M306" t="str">
            <v>TRI PHƯƠNG</v>
          </cell>
          <cell r="N306" t="str">
            <v>TÂN VŨ</v>
          </cell>
          <cell r="Q306">
            <v>0</v>
          </cell>
        </row>
        <row r="307">
          <cell r="I307" t="str">
            <v>ONEU9163601</v>
          </cell>
          <cell r="J307" t="str">
            <v>THÀNH</v>
          </cell>
          <cell r="K307" t="str">
            <v>21:00</v>
          </cell>
          <cell r="L307" t="str">
            <v>SEGU9902896</v>
          </cell>
          <cell r="M307" t="str">
            <v>TRI PHƯƠNG</v>
          </cell>
          <cell r="N307" t="str">
            <v>TÂN VŨ</v>
          </cell>
          <cell r="Q307">
            <v>0</v>
          </cell>
        </row>
        <row r="308">
          <cell r="I308" t="str">
            <v>FSCU5862049</v>
          </cell>
          <cell r="J308" t="str">
            <v>ĐỨC</v>
          </cell>
          <cell r="K308" t="str">
            <v>00:00</v>
          </cell>
          <cell r="L308" t="str">
            <v>MRSU7307459</v>
          </cell>
          <cell r="M308" t="str">
            <v>TRI PHƯƠNG</v>
          </cell>
          <cell r="N308" t="str">
            <v>TÂN VŨ</v>
          </cell>
          <cell r="Q308">
            <v>0</v>
          </cell>
        </row>
        <row r="309">
          <cell r="I309" t="str">
            <v>TTNU8103641</v>
          </cell>
          <cell r="J309" t="str">
            <v>QUÂN</v>
          </cell>
          <cell r="K309" t="str">
            <v>13:00</v>
          </cell>
          <cell r="L309" t="str">
            <v>TGBU9708188</v>
          </cell>
          <cell r="M309" t="str">
            <v>TRI PHƯƠNG</v>
          </cell>
          <cell r="N309" t="str">
            <v xml:space="preserve">LẠCH HUYỆN </v>
          </cell>
          <cell r="Q309">
            <v>0</v>
          </cell>
        </row>
        <row r="310">
          <cell r="I310" t="str">
            <v>ONEU9257871</v>
          </cell>
          <cell r="J310" t="str">
            <v>THÀNH</v>
          </cell>
          <cell r="K310" t="str">
            <v>14:00</v>
          </cell>
          <cell r="L310" t="str">
            <v>SEGU9170202</v>
          </cell>
          <cell r="M310" t="str">
            <v>TRI PHƯƠNG</v>
          </cell>
          <cell r="N310" t="str">
            <v xml:space="preserve">LẠCH HUYỆN </v>
          </cell>
          <cell r="Q310">
            <v>0</v>
          </cell>
        </row>
        <row r="311">
          <cell r="I311" t="str">
            <v>ONEU9171757</v>
          </cell>
          <cell r="J311" t="str">
            <v>ĐỨC</v>
          </cell>
          <cell r="K311" t="str">
            <v>15:00</v>
          </cell>
          <cell r="L311" t="str">
            <v>OTPU6358733</v>
          </cell>
          <cell r="M311" t="str">
            <v>TRI PHƯƠNG</v>
          </cell>
          <cell r="N311" t="str">
            <v xml:space="preserve">LẠCH HUYỆN </v>
          </cell>
          <cell r="Q311">
            <v>0</v>
          </cell>
        </row>
        <row r="312">
          <cell r="I312" t="str">
            <v>OTPU6358733</v>
          </cell>
          <cell r="J312" t="str">
            <v>SÂM</v>
          </cell>
          <cell r="K312" t="str">
            <v>21:00</v>
          </cell>
          <cell r="L312" t="str">
            <v>ONEU9145486</v>
          </cell>
          <cell r="M312" t="str">
            <v>TRI PHƯƠNG</v>
          </cell>
          <cell r="N312" t="str">
            <v xml:space="preserve">LẠCH HUYỆN </v>
          </cell>
          <cell r="Q312">
            <v>0</v>
          </cell>
        </row>
        <row r="313">
          <cell r="I313" t="str">
            <v>AMCU9418946</v>
          </cell>
          <cell r="J313" t="str">
            <v>TÍN</v>
          </cell>
          <cell r="K313" t="str">
            <v>23:00</v>
          </cell>
          <cell r="L313" t="str">
            <v>ONEU9128072</v>
          </cell>
          <cell r="M313" t="str">
            <v>TRI PHƯƠNG</v>
          </cell>
          <cell r="N313" t="str">
            <v>TÂN VŨ</v>
          </cell>
          <cell r="Q313">
            <v>0</v>
          </cell>
        </row>
        <row r="314">
          <cell r="I314" t="str">
            <v>FSCU5902394</v>
          </cell>
          <cell r="J314" t="str">
            <v>ĐỨC</v>
          </cell>
          <cell r="K314" t="str">
            <v>22:00</v>
          </cell>
          <cell r="L314" t="str">
            <v>ONEU9163601</v>
          </cell>
          <cell r="M314" t="str">
            <v>TRI PHƯƠNG</v>
          </cell>
          <cell r="N314" t="str">
            <v>TÂN VŨ</v>
          </cell>
          <cell r="Q314">
            <v>0</v>
          </cell>
        </row>
        <row r="315">
          <cell r="I315" t="str">
            <v>SEGU9394440</v>
          </cell>
          <cell r="J315" t="str">
            <v>MẠNH</v>
          </cell>
          <cell r="K315" t="str">
            <v>23:00</v>
          </cell>
          <cell r="L315" t="str">
            <v>OTPU6358081</v>
          </cell>
          <cell r="M315" t="str">
            <v>TRI PHƯƠNG</v>
          </cell>
          <cell r="N315" t="str">
            <v>TÂN VŨ</v>
          </cell>
          <cell r="Q315">
            <v>0</v>
          </cell>
        </row>
        <row r="316">
          <cell r="I316" t="str">
            <v>EITU9298348</v>
          </cell>
          <cell r="J316" t="str">
            <v>THỊNH</v>
          </cell>
          <cell r="K316">
            <v>0.33333333333333331</v>
          </cell>
          <cell r="O316" t="str">
            <v>VS-25/51671</v>
          </cell>
          <cell r="Q316">
            <v>0</v>
          </cell>
        </row>
        <row r="317">
          <cell r="I317" t="str">
            <v>TLLU5380316</v>
          </cell>
          <cell r="J317" t="str">
            <v>THI</v>
          </cell>
          <cell r="K317">
            <v>0.58333333333333337</v>
          </cell>
          <cell r="L317" t="str">
            <v>EITU9298348</v>
          </cell>
          <cell r="O317" t="str">
            <v>VH-25/50766</v>
          </cell>
          <cell r="Q317">
            <v>0</v>
          </cell>
        </row>
        <row r="318">
          <cell r="I318" t="str">
            <v>CAAU6035786</v>
          </cell>
          <cell r="J318" t="str">
            <v>RU SAIKO</v>
          </cell>
          <cell r="K318">
            <v>0.91666666666666663</v>
          </cell>
          <cell r="L318" t="str">
            <v>CAAU6035786</v>
          </cell>
          <cell r="N318" t="str">
            <v>HATECO HICT</v>
          </cell>
          <cell r="O318" t="str">
            <v>VB-25/52764</v>
          </cell>
          <cell r="P318" t="str">
            <v>done</v>
          </cell>
          <cell r="Q318" t="str">
            <v>308017086110</v>
          </cell>
        </row>
        <row r="319">
          <cell r="I319" t="str">
            <v>CMAU3818973</v>
          </cell>
          <cell r="J319" t="str">
            <v>QUÂN</v>
          </cell>
          <cell r="K319">
            <v>0.34375</v>
          </cell>
          <cell r="L319" t="str">
            <v>CMAU3818973</v>
          </cell>
          <cell r="O319" t="str">
            <v>VI-25/58251</v>
          </cell>
          <cell r="Q319">
            <v>0</v>
          </cell>
        </row>
        <row r="320">
          <cell r="I320" t="str">
            <v>CMAU9780556</v>
          </cell>
          <cell r="J320" t="str">
            <v>SƠN</v>
          </cell>
          <cell r="K320">
            <v>0.35416666666666669</v>
          </cell>
          <cell r="L320" t="str">
            <v>CMAU9780556</v>
          </cell>
          <cell r="O320" t="str">
            <v>VI-25/58250</v>
          </cell>
          <cell r="Q320">
            <v>0</v>
          </cell>
        </row>
        <row r="321">
          <cell r="K321">
            <v>0.4236111111111111</v>
          </cell>
          <cell r="O321" t="str">
            <v>VI-25/58243</v>
          </cell>
          <cell r="Q321">
            <v>0</v>
          </cell>
        </row>
        <row r="322">
          <cell r="I322" t="str">
            <v>BEAU4775020</v>
          </cell>
          <cell r="J322" t="str">
            <v>PHƯƠNG</v>
          </cell>
          <cell r="K322">
            <v>0.44791666666666669</v>
          </cell>
          <cell r="L322" t="str">
            <v>BEAU4775020</v>
          </cell>
          <cell r="O322" t="str">
            <v>VI-25/58259</v>
          </cell>
          <cell r="Q322">
            <v>0</v>
          </cell>
        </row>
        <row r="323">
          <cell r="I323" t="str">
            <v>EGHU9587381</v>
          </cell>
          <cell r="J323" t="str">
            <v>THI</v>
          </cell>
          <cell r="K323">
            <v>0.54166666666666663</v>
          </cell>
          <cell r="L323" t="str">
            <v>FFAU7202330</v>
          </cell>
          <cell r="Q323">
            <v>0</v>
          </cell>
        </row>
        <row r="324">
          <cell r="I324" t="str">
            <v>TLLU8011625</v>
          </cell>
          <cell r="J324" t="str">
            <v>THI</v>
          </cell>
          <cell r="K324">
            <v>0.625</v>
          </cell>
          <cell r="L324" t="str">
            <v>EMCU1683491</v>
          </cell>
          <cell r="Q324">
            <v>0</v>
          </cell>
        </row>
        <row r="325">
          <cell r="I325" t="str">
            <v>FFAU4982887</v>
          </cell>
          <cell r="J325" t="str">
            <v>SƠN</v>
          </cell>
          <cell r="K325">
            <v>0.95833333333333337</v>
          </cell>
          <cell r="L325" t="str">
            <v>UETU7046999</v>
          </cell>
          <cell r="Q325">
            <v>0</v>
          </cell>
        </row>
        <row r="326">
          <cell r="I326" t="str">
            <v>TIIU5006562 </v>
          </cell>
          <cell r="J326" t="str">
            <v>QUÂN
chưa về</v>
          </cell>
          <cell r="L326" t="str">
            <v>SITU9205272</v>
          </cell>
          <cell r="N326" t="str">
            <v>ĐÌNH VŨ</v>
          </cell>
          <cell r="P326" t="str">
            <v>không phơi khách chịu, done</v>
          </cell>
          <cell r="Q326" t="str">
            <v>chưa có tk</v>
          </cell>
        </row>
        <row r="327">
          <cell r="I327" t="str">
            <v>TIIU5197833</v>
          </cell>
          <cell r="J327" t="str">
            <v>THÀNH
SÂM KÉO VỀ</v>
          </cell>
          <cell r="L327" t="str">
            <v>SZLU9694055</v>
          </cell>
          <cell r="N327" t="str">
            <v>ĐÌNH VŨ</v>
          </cell>
          <cell r="P327" t="str">
            <v>done</v>
          </cell>
          <cell r="Q327" t="str">
            <v>308018840860
308018890010
308018954150</v>
          </cell>
        </row>
        <row r="328">
          <cell r="I328" t="str">
            <v>GAOU7303611</v>
          </cell>
          <cell r="J328" t="str">
            <v>SƠN</v>
          </cell>
          <cell r="L328" t="str">
            <v>FFAU4982887</v>
          </cell>
          <cell r="Q328">
            <v>0</v>
          </cell>
        </row>
        <row r="329">
          <cell r="I329" t="str">
            <v>MRSU4835621</v>
          </cell>
          <cell r="J329" t="str">
            <v>PHƯƠNG
THÀNH KÉO VỀ</v>
          </cell>
          <cell r="K329">
            <v>0.39583333333333331</v>
          </cell>
          <cell r="L329" t="str">
            <v>TCNU5896554</v>
          </cell>
          <cell r="N329" t="str">
            <v>HATECO HICT</v>
          </cell>
          <cell r="O329" t="str">
            <v>VI-25/58256</v>
          </cell>
          <cell r="P329" t="str">
            <v>done</v>
          </cell>
          <cell r="Q329" t="str">
            <v>308016794210</v>
          </cell>
        </row>
        <row r="330">
          <cell r="I330" t="str">
            <v>UETU6844382</v>
          </cell>
          <cell r="J330" t="str">
            <v>RU MH</v>
          </cell>
          <cell r="K330">
            <v>0.58333333333333337</v>
          </cell>
          <cell r="L330" t="str">
            <v>UETU6844382</v>
          </cell>
          <cell r="N330" t="str">
            <v>HATECO HICT</v>
          </cell>
          <cell r="O330" t="str">
            <v>VI-25/58255</v>
          </cell>
          <cell r="P330" t="str">
            <v>done</v>
          </cell>
          <cell r="Q330" t="str">
            <v>308016726900</v>
          </cell>
        </row>
        <row r="331">
          <cell r="I331" t="str">
            <v>TRHU4520479</v>
          </cell>
          <cell r="J331" t="str">
            <v>RU MH</v>
          </cell>
          <cell r="K331">
            <v>0.875</v>
          </cell>
          <cell r="L331" t="str">
            <v>TRHU4520479</v>
          </cell>
          <cell r="N331" t="str">
            <v>HATECO HICT</v>
          </cell>
          <cell r="O331" t="str">
            <v>VI-25/58237</v>
          </cell>
          <cell r="P331" t="str">
            <v>done</v>
          </cell>
          <cell r="Q331" t="str">
            <v>308016711500</v>
          </cell>
        </row>
        <row r="332">
          <cell r="I332" t="str">
            <v>MRSU4836850</v>
          </cell>
          <cell r="J332" t="str">
            <v>RU TÙNG DŨNG</v>
          </cell>
          <cell r="K332">
            <v>6.25E-2</v>
          </cell>
          <cell r="L332" t="str">
            <v>MRSU4836850</v>
          </cell>
          <cell r="N332" t="str">
            <v>HATECO HICT</v>
          </cell>
          <cell r="O332" t="str">
            <v>VI-25/58236</v>
          </cell>
          <cell r="P332" t="str">
            <v>done</v>
          </cell>
          <cell r="Q332" t="str">
            <v>308016691420</v>
          </cell>
        </row>
        <row r="333">
          <cell r="I333" t="str">
            <v>MRSU7628839</v>
          </cell>
          <cell r="J333" t="str">
            <v>MẠNH</v>
          </cell>
          <cell r="K333">
            <v>0.14583333333333334</v>
          </cell>
          <cell r="L333" t="str">
            <v>MRSU7628839</v>
          </cell>
          <cell r="M333" t="str">
            <v>TRI PHƯƠNG</v>
          </cell>
          <cell r="N333" t="str">
            <v>HATECO HICT</v>
          </cell>
          <cell r="O333" t="str">
            <v>VI-25/58261</v>
          </cell>
          <cell r="P333" t="str">
            <v>done</v>
          </cell>
          <cell r="Q333" t="str">
            <v>308016750220</v>
          </cell>
        </row>
        <row r="334">
          <cell r="I334" t="str">
            <v>ONEU9024057</v>
          </cell>
          <cell r="J334" t="str">
            <v>SÂM</v>
          </cell>
          <cell r="K334" t="str">
            <v>09:00</v>
          </cell>
          <cell r="L334" t="str">
            <v>FSCU5732620</v>
          </cell>
          <cell r="M334" t="str">
            <v>TRI PHƯƠNG</v>
          </cell>
          <cell r="N334" t="str">
            <v xml:space="preserve">LẠCH HUYỆN </v>
          </cell>
          <cell r="Q334">
            <v>0</v>
          </cell>
        </row>
        <row r="335">
          <cell r="I335" t="str">
            <v>OTPU6358081</v>
          </cell>
          <cell r="J335" t="str">
            <v>THÀNH</v>
          </cell>
          <cell r="K335" t="str">
            <v>10:00</v>
          </cell>
          <cell r="L335" t="str">
            <v>ONEU9257871</v>
          </cell>
          <cell r="M335" t="str">
            <v>TRI PHƯƠNG</v>
          </cell>
          <cell r="N335" t="str">
            <v xml:space="preserve">LẠCH HUYỆN </v>
          </cell>
          <cell r="Q335">
            <v>0</v>
          </cell>
        </row>
        <row r="336">
          <cell r="I336" t="str">
            <v>CAIU5677887</v>
          </cell>
          <cell r="K336" t="str">
            <v>14:00</v>
          </cell>
          <cell r="M336" t="str">
            <v>TRI PHƯƠNG</v>
          </cell>
          <cell r="N336" t="str">
            <v>TÂN VŨ</v>
          </cell>
          <cell r="Q336">
            <v>0</v>
          </cell>
        </row>
        <row r="337">
          <cell r="I337" t="str">
            <v>SEGU9895457</v>
          </cell>
          <cell r="J337" t="str">
            <v>THỊNH</v>
          </cell>
          <cell r="K337" t="str">
            <v>22:00</v>
          </cell>
          <cell r="L337" t="str">
            <v>FFAU5153216</v>
          </cell>
          <cell r="M337" t="str">
            <v>TRI PHƯƠNG</v>
          </cell>
          <cell r="N337" t="str">
            <v>TÂN VŨ</v>
          </cell>
          <cell r="Q337">
            <v>0</v>
          </cell>
        </row>
        <row r="338">
          <cell r="I338" t="str">
            <v>SZLU9694055</v>
          </cell>
          <cell r="J338" t="str">
            <v>MẠNH</v>
          </cell>
          <cell r="K338" t="str">
            <v>23:00</v>
          </cell>
          <cell r="L338" t="str">
            <v>FSCU5902394</v>
          </cell>
          <cell r="M338" t="str">
            <v>TRI PHƯƠNG</v>
          </cell>
          <cell r="N338" t="str">
            <v>TÂN VŨ</v>
          </cell>
          <cell r="Q338">
            <v>0</v>
          </cell>
        </row>
        <row r="339">
          <cell r="I339" t="str">
            <v>MRSU5886412</v>
          </cell>
          <cell r="J339" t="str">
            <v>THỊNH</v>
          </cell>
          <cell r="K339" t="str">
            <v>8:00</v>
          </cell>
          <cell r="L339" t="str">
            <v>AMCU9418946</v>
          </cell>
          <cell r="M339" t="str">
            <v>TRI PHƯƠNG</v>
          </cell>
          <cell r="N339" t="str">
            <v>HATECO HICT</v>
          </cell>
          <cell r="P339" t="str">
            <v>done</v>
          </cell>
          <cell r="Q339" t="str">
            <v>308017471220</v>
          </cell>
        </row>
        <row r="340">
          <cell r="I340" t="str">
            <v>FFAU5153216</v>
          </cell>
          <cell r="J340" t="str">
            <v>TÍN</v>
          </cell>
          <cell r="K340" t="str">
            <v>13:00</v>
          </cell>
          <cell r="L340" t="str">
            <v>EGHU9587381</v>
          </cell>
          <cell r="M340" t="str">
            <v>TRI PHƯƠNG</v>
          </cell>
          <cell r="N340" t="str">
            <v>HATECO HICT</v>
          </cell>
          <cell r="O340" t="str">
            <v>VR-25/52691</v>
          </cell>
          <cell r="P340" t="str">
            <v>done</v>
          </cell>
          <cell r="Q340" t="str">
            <v>308017058000</v>
          </cell>
        </row>
        <row r="341">
          <cell r="I341" t="str">
            <v>GCXU5794903</v>
          </cell>
          <cell r="J341" t="str">
            <v>SÂM</v>
          </cell>
          <cell r="K341" t="str">
            <v>13:00</v>
          </cell>
          <cell r="L341" t="str">
            <v>CAAU9021066</v>
          </cell>
          <cell r="M341" t="str">
            <v>TRI PHƯƠNG</v>
          </cell>
          <cell r="N341" t="str">
            <v>HATECO HICT</v>
          </cell>
          <cell r="O341" t="str">
            <v>VR-25/52695</v>
          </cell>
          <cell r="P341" t="str">
            <v>done</v>
          </cell>
          <cell r="Q341" t="str">
            <v>308017158540</v>
          </cell>
        </row>
        <row r="342">
          <cell r="I342" t="str">
            <v>CAAU8974274</v>
          </cell>
          <cell r="J342" t="str">
            <v>ĐỨC</v>
          </cell>
          <cell r="K342" t="str">
            <v>14:00</v>
          </cell>
          <cell r="L342" t="str">
            <v>MRSU5886412</v>
          </cell>
          <cell r="M342" t="str">
            <v>TRI PHƯƠNG</v>
          </cell>
          <cell r="N342" t="str">
            <v>HATECO HICT</v>
          </cell>
          <cell r="O342" t="str">
            <v>VR-25/52694</v>
          </cell>
          <cell r="P342" t="str">
            <v>done</v>
          </cell>
          <cell r="Q342" t="str">
            <v>308017134300</v>
          </cell>
        </row>
        <row r="343">
          <cell r="I343" t="str">
            <v>CAAU9021066</v>
          </cell>
          <cell r="J343" t="str">
            <v>THÀNH</v>
          </cell>
          <cell r="K343" t="str">
            <v>22:00</v>
          </cell>
          <cell r="L343" t="str">
            <v>EGSU1290852</v>
          </cell>
          <cell r="M343" t="str">
            <v>TRI PHƯƠNG</v>
          </cell>
          <cell r="N343" t="str">
            <v>HATECO HICT</v>
          </cell>
          <cell r="O343" t="str">
            <v>VR-25/52692</v>
          </cell>
          <cell r="P343" t="str">
            <v>done</v>
          </cell>
          <cell r="Q343" t="str">
            <v>308017083420</v>
          </cell>
        </row>
        <row r="344">
          <cell r="I344" t="str">
            <v>MRSU6104987</v>
          </cell>
          <cell r="J344" t="str">
            <v>THỊNH</v>
          </cell>
          <cell r="K344" t="str">
            <v>23:00</v>
          </cell>
          <cell r="L344" t="str">
            <v>ONEU9024057</v>
          </cell>
          <cell r="M344" t="str">
            <v>TRI PHƯƠNG</v>
          </cell>
          <cell r="N344" t="str">
            <v>HATECO HICT</v>
          </cell>
          <cell r="O344" t="str">
            <v>VR-25/52693</v>
          </cell>
          <cell r="P344" t="str">
            <v>done</v>
          </cell>
          <cell r="Q344" t="str">
            <v>308017108400</v>
          </cell>
        </row>
        <row r="345">
          <cell r="I345" t="str">
            <v>CMAU8762096</v>
          </cell>
          <cell r="K345">
            <v>0.33333333333333331</v>
          </cell>
          <cell r="O345" t="str">
            <v>VB-25/52765</v>
          </cell>
          <cell r="Q345">
            <v>0</v>
          </cell>
        </row>
        <row r="346">
          <cell r="I346" t="str">
            <v>TCNU2265792</v>
          </cell>
          <cell r="K346">
            <v>0.33333333333333331</v>
          </cell>
          <cell r="O346" t="str">
            <v>VH-25/50770</v>
          </cell>
          <cell r="Q346">
            <v>0</v>
          </cell>
        </row>
        <row r="347">
          <cell r="I347" t="str">
            <v>TRHU6893960</v>
          </cell>
          <cell r="J347" t="str">
            <v>THI
QUÂN KÉO VỀ</v>
          </cell>
          <cell r="K347">
            <v>0.33333333333333331</v>
          </cell>
          <cell r="L347" t="str">
            <v xml:space="preserve">vỏ nhập </v>
          </cell>
          <cell r="N347" t="str">
            <v>CHÙA VẼ</v>
          </cell>
          <cell r="O347" t="str">
            <v>VH-25/50765</v>
          </cell>
          <cell r="P347" t="str">
            <v>done</v>
          </cell>
          <cell r="Q347" t="str">
            <v>308020955450</v>
          </cell>
        </row>
        <row r="348">
          <cell r="I348" t="str">
            <v>CMAU9821001</v>
          </cell>
          <cell r="J348" t="str">
            <v>SƠN</v>
          </cell>
          <cell r="K348">
            <v>0.875</v>
          </cell>
          <cell r="L348" t="str">
            <v>CMAU8762096</v>
          </cell>
          <cell r="O348" t="str">
            <v>VB-25/52769</v>
          </cell>
          <cell r="Q348">
            <v>0</v>
          </cell>
        </row>
        <row r="349">
          <cell r="I349" t="str">
            <v>ECMU7571502</v>
          </cell>
          <cell r="K349">
            <v>0.875</v>
          </cell>
          <cell r="O349" t="str">
            <v>VS-25/51674</v>
          </cell>
          <cell r="Q349">
            <v>0</v>
          </cell>
        </row>
        <row r="350">
          <cell r="I350" t="str">
            <v>TLLU4558091</v>
          </cell>
          <cell r="J350" t="str">
            <v>XUYÊN
KÉO VỀ</v>
          </cell>
          <cell r="K350">
            <v>0.875</v>
          </cell>
          <cell r="N350" t="str">
            <v>SAO Á</v>
          </cell>
          <cell r="O350" t="str">
            <v>VS-25/51676</v>
          </cell>
          <cell r="P350" t="str">
            <v>done</v>
          </cell>
          <cell r="Q350" t="str">
            <v>308020836450</v>
          </cell>
        </row>
        <row r="351">
          <cell r="I351" t="str">
            <v>TCKU7518841</v>
          </cell>
          <cell r="J351" t="str">
            <v>HƯỜNG</v>
          </cell>
          <cell r="K351">
            <v>0.58333333333333337</v>
          </cell>
          <cell r="L351" t="str">
            <v>SEGU9394440</v>
          </cell>
          <cell r="Q351">
            <v>0</v>
          </cell>
        </row>
        <row r="352">
          <cell r="I352" t="str">
            <v>CMAU3821196</v>
          </cell>
          <cell r="J352" t="str">
            <v>ĐỨC</v>
          </cell>
          <cell r="K352">
            <v>0.875</v>
          </cell>
          <cell r="L352" t="str">
            <v>MRSU6104987</v>
          </cell>
          <cell r="Q352">
            <v>0</v>
          </cell>
        </row>
        <row r="353">
          <cell r="I353" t="str">
            <v>CAAU8443236</v>
          </cell>
          <cell r="J353" t="str">
            <v>SƠN</v>
          </cell>
          <cell r="K353">
            <v>0.875</v>
          </cell>
          <cell r="L353" t="str">
            <v>GCXU5794903</v>
          </cell>
          <cell r="Q353">
            <v>0</v>
          </cell>
        </row>
        <row r="354">
          <cell r="I354" t="str">
            <v>ECMU7386802</v>
          </cell>
          <cell r="J354" t="str">
            <v>SÂM</v>
          </cell>
          <cell r="K354">
            <v>0.91666666666666663</v>
          </cell>
          <cell r="L354" t="str">
            <v>TLLU4330429</v>
          </cell>
          <cell r="Q354">
            <v>0</v>
          </cell>
        </row>
        <row r="355">
          <cell r="I355" t="str">
            <v>FFAU1486040</v>
          </cell>
          <cell r="J355" t="str">
            <v xml:space="preserve">THI
MẠNH KÉO VỀ </v>
          </cell>
          <cell r="K355">
            <v>0.91666666666666663</v>
          </cell>
          <cell r="L355" t="str">
            <v>CGMU5195989</v>
          </cell>
          <cell r="N355" t="str">
            <v>TÂN VŨ</v>
          </cell>
          <cell r="P355" t="str">
            <v>done</v>
          </cell>
          <cell r="Q355" t="str">
            <v>308020702750</v>
          </cell>
        </row>
        <row r="356">
          <cell r="I356" t="str">
            <v xml:space="preserve">EGSU9264633 </v>
          </cell>
          <cell r="J356" t="str">
            <v>MẠNH</v>
          </cell>
          <cell r="K356">
            <v>0</v>
          </cell>
          <cell r="L356" t="str">
            <v>TTNU8892489</v>
          </cell>
          <cell r="O356" t="str">
            <v>RTB-25/0427</v>
          </cell>
          <cell r="Q356">
            <v>0</v>
          </cell>
        </row>
        <row r="357">
          <cell r="I357" t="str">
            <v>TIIU5406912</v>
          </cell>
          <cell r="J357" t="str">
            <v>PHƯƠNG
THI KÉO VỀ</v>
          </cell>
          <cell r="N357" t="str">
            <v>ĐÌNH VŨ</v>
          </cell>
          <cell r="P357" t="str">
            <v>done</v>
          </cell>
          <cell r="Q357" t="str">
            <v>308021574840
308021627560
308021670520
308021697230</v>
          </cell>
        </row>
        <row r="358">
          <cell r="I358" t="str">
            <v>SELU4283234</v>
          </cell>
          <cell r="J358" t="str">
            <v>HƯỜNG
QUÂN KÉO VỀ</v>
          </cell>
          <cell r="L358" t="str">
            <v>ONEU9165369</v>
          </cell>
          <cell r="N358" t="str">
            <v>ĐÌNH VŨ</v>
          </cell>
          <cell r="P358" t="str">
            <v>done</v>
          </cell>
          <cell r="Q358" t="str">
            <v>308022051800
308021872120
308021891350
308021919500</v>
          </cell>
        </row>
        <row r="359">
          <cell r="I359" t="str">
            <v>FFAU7252795</v>
          </cell>
          <cell r="J359" t="str">
            <v>QUÂN
ĐỨC KÉO VỀ</v>
          </cell>
          <cell r="L359" t="str">
            <v>CMAU3821196</v>
          </cell>
          <cell r="N359" t="str">
            <v>ĐÌNH VŨ</v>
          </cell>
          <cell r="P359" t="str">
            <v>done</v>
          </cell>
          <cell r="Q359" t="str">
            <v>308022062740
308021987360
308022013150
308022034040</v>
          </cell>
        </row>
        <row r="360">
          <cell r="I360" t="str">
            <v>FFAU6238679</v>
          </cell>
          <cell r="J360" t="str">
            <v>TRỌNG
KÉO VỀ</v>
          </cell>
          <cell r="K360">
            <v>0.875</v>
          </cell>
          <cell r="L360" t="str">
            <v>FFAU6238679</v>
          </cell>
          <cell r="N360" t="str">
            <v>SITC ĐÌNH VŨ</v>
          </cell>
          <cell r="O360" t="str">
            <v>VI-25/58284</v>
          </cell>
          <cell r="P360" t="str">
            <v>done</v>
          </cell>
          <cell r="Q360" t="str">
            <v>308020884860</v>
          </cell>
        </row>
        <row r="361">
          <cell r="I361" t="str">
            <v>MRSU6660311</v>
          </cell>
          <cell r="J361" t="str">
            <v>ĐỨC</v>
          </cell>
          <cell r="K361">
            <v>0.39583333333333331</v>
          </cell>
          <cell r="L361" t="str">
            <v>SEKU6910362</v>
          </cell>
          <cell r="M361" t="str">
            <v>TRI PHƯƠNG</v>
          </cell>
          <cell r="N361" t="str">
            <v>HATECO HICT</v>
          </cell>
          <cell r="O361" t="str">
            <v>VI-25/58275</v>
          </cell>
          <cell r="P361" t="str">
            <v>done</v>
          </cell>
          <cell r="Q361" t="str">
            <v>308020858630</v>
          </cell>
        </row>
        <row r="362">
          <cell r="I362" t="str">
            <v>MRSU5647450</v>
          </cell>
          <cell r="J362" t="str">
            <v>SÂM</v>
          </cell>
          <cell r="K362">
            <v>0.61458333333333337</v>
          </cell>
          <cell r="L362" t="str">
            <v>MRSU5056082</v>
          </cell>
          <cell r="M362" t="str">
            <v>TRI PHƯƠNG</v>
          </cell>
          <cell r="N362" t="str">
            <v>HATECO HICT</v>
          </cell>
          <cell r="O362" t="str">
            <v>VI-25/58279</v>
          </cell>
          <cell r="P362" t="str">
            <v>done</v>
          </cell>
          <cell r="Q362" t="str">
            <v>308020834500</v>
          </cell>
        </row>
        <row r="363">
          <cell r="I363" t="str">
            <v>MRSU4449212</v>
          </cell>
          <cell r="J363" t="str">
            <v>THÀNH</v>
          </cell>
          <cell r="K363">
            <v>0.10416666666666667</v>
          </cell>
          <cell r="L363" t="str">
            <v>MRSU4835621</v>
          </cell>
          <cell r="M363" t="str">
            <v>TRI PHƯƠNG</v>
          </cell>
          <cell r="N363" t="str">
            <v>HATECO HICT</v>
          </cell>
          <cell r="P363" t="str">
            <v>done</v>
          </cell>
          <cell r="Q363" t="str">
            <v>308020713250</v>
          </cell>
        </row>
        <row r="364">
          <cell r="I364" t="str">
            <v>HASU4434629</v>
          </cell>
          <cell r="J364" t="str">
            <v>ĐỨC</v>
          </cell>
          <cell r="K364">
            <v>0.125</v>
          </cell>
          <cell r="L364" t="str">
            <v>MRSU5647450</v>
          </cell>
          <cell r="M364" t="str">
            <v>TRI PHƯƠNG</v>
          </cell>
          <cell r="N364" t="str">
            <v>HATECO HICT</v>
          </cell>
          <cell r="O364" t="str">
            <v>VI-25/58294</v>
          </cell>
          <cell r="P364" t="str">
            <v>done</v>
          </cell>
          <cell r="Q364" t="str">
            <v>308020687350</v>
          </cell>
        </row>
        <row r="365">
          <cell r="I365" t="str">
            <v>SUDU5922533</v>
          </cell>
          <cell r="J365" t="str">
            <v>RU MH</v>
          </cell>
          <cell r="K365">
            <v>0.375</v>
          </cell>
          <cell r="L365" t="str">
            <v>SUDU5922533</v>
          </cell>
          <cell r="N365" t="str">
            <v>HATECO HICT</v>
          </cell>
          <cell r="O365" t="str">
            <v>VI-25/58267</v>
          </cell>
          <cell r="P365" t="str">
            <v>done</v>
          </cell>
          <cell r="Q365" t="str">
            <v>308021132110</v>
          </cell>
        </row>
        <row r="366">
          <cell r="I366" t="str">
            <v>MRSU7678341</v>
          </cell>
          <cell r="J366" t="str">
            <v>RU KỶ NGUYÊN</v>
          </cell>
          <cell r="K366">
            <v>0.4236111111111111</v>
          </cell>
          <cell r="L366" t="str">
            <v>MRSU7678341</v>
          </cell>
          <cell r="N366" t="str">
            <v>HATECO HICT</v>
          </cell>
          <cell r="O366" t="str">
            <v>VI-25/58266</v>
          </cell>
          <cell r="P366" t="str">
            <v>done</v>
          </cell>
          <cell r="Q366" t="str">
            <v>308020596460</v>
          </cell>
        </row>
        <row r="367">
          <cell r="I367" t="str">
            <v>MSKU1470468</v>
          </cell>
          <cell r="J367" t="str">
            <v>RU KỶ NGUYÊN</v>
          </cell>
          <cell r="K367">
            <v>0.45833333333333331</v>
          </cell>
          <cell r="L367" t="str">
            <v>MSKU1470468</v>
          </cell>
          <cell r="N367" t="str">
            <v>HATECO HICT</v>
          </cell>
          <cell r="O367" t="str">
            <v>VI-25/58301</v>
          </cell>
          <cell r="P367" t="str">
            <v>done</v>
          </cell>
          <cell r="Q367" t="str">
            <v>308020646640</v>
          </cell>
        </row>
        <row r="368">
          <cell r="I368" t="str">
            <v>CAAU4728499</v>
          </cell>
          <cell r="J368" t="str">
            <v>RU DIỆP LÂM ANH</v>
          </cell>
          <cell r="K368">
            <v>6.25E-2</v>
          </cell>
          <cell r="L368" t="str">
            <v>CAAU4728499</v>
          </cell>
          <cell r="N368" t="str">
            <v>HATECO HICT</v>
          </cell>
          <cell r="O368" t="str">
            <v>VI-25/58304</v>
          </cell>
          <cell r="P368" t="str">
            <v>done</v>
          </cell>
          <cell r="Q368" t="str">
            <v>308020664620</v>
          </cell>
        </row>
        <row r="369">
          <cell r="I369" t="str">
            <v>MNBU3930806</v>
          </cell>
          <cell r="J369" t="str">
            <v>MẠNH
THỊNH KÉO VỀ</v>
          </cell>
          <cell r="K369" t="str">
            <v>15:00</v>
          </cell>
          <cell r="L369" t="str">
            <v>SEGU9895457</v>
          </cell>
          <cell r="N369" t="str">
            <v>HATECO HICT</v>
          </cell>
          <cell r="O369" t="str">
            <v>VR-25/52707</v>
          </cell>
          <cell r="P369" t="str">
            <v>done</v>
          </cell>
          <cell r="Q369" t="str">
            <v>308020837410</v>
          </cell>
        </row>
        <row r="370">
          <cell r="I370" t="str">
            <v>MNBU4139493</v>
          </cell>
          <cell r="J370" t="str">
            <v>MẠNH
PHƯƠNG KÉO VỀ</v>
          </cell>
          <cell r="K370" t="str">
            <v>16:00</v>
          </cell>
          <cell r="L370" t="str">
            <v>CAIU5677887</v>
          </cell>
          <cell r="N370" t="str">
            <v>HATECO HICT</v>
          </cell>
          <cell r="O370" t="str">
            <v>VR-25/52708</v>
          </cell>
          <cell r="P370" t="str">
            <v>done</v>
          </cell>
          <cell r="Q370" t="str">
            <v>308020888030</v>
          </cell>
        </row>
        <row r="371">
          <cell r="I371" t="str">
            <v>TTNU8892489</v>
          </cell>
          <cell r="J371" t="str">
            <v>THỊNH</v>
          </cell>
          <cell r="K371">
            <v>0.875</v>
          </cell>
          <cell r="L371" t="str">
            <v>TLLU8011625</v>
          </cell>
          <cell r="M371" t="str">
            <v>TRI PHƯƠNG</v>
          </cell>
          <cell r="N371" t="str">
            <v xml:space="preserve">LẠCH HUYỆN </v>
          </cell>
          <cell r="Q371">
            <v>0</v>
          </cell>
        </row>
        <row r="372">
          <cell r="I372" t="str">
            <v>FSCU5884768</v>
          </cell>
          <cell r="J372" t="str">
            <v>THỊNH</v>
          </cell>
          <cell r="K372" t="str">
            <v>10:00</v>
          </cell>
          <cell r="L372" t="str">
            <v>FSCU5862049</v>
          </cell>
          <cell r="M372" t="str">
            <v>TRI PHƯƠNG</v>
          </cell>
          <cell r="N372" t="str">
            <v>TÂN VŨ</v>
          </cell>
          <cell r="Q372">
            <v>0</v>
          </cell>
        </row>
        <row r="373">
          <cell r="I373" t="str">
            <v>ONEU9165369</v>
          </cell>
          <cell r="J373" t="str">
            <v>THỊNH</v>
          </cell>
          <cell r="K373" t="str">
            <v>15:00</v>
          </cell>
          <cell r="L373" t="str">
            <v>CAAU8974274</v>
          </cell>
          <cell r="M373" t="str">
            <v>TRI PHƯƠNG</v>
          </cell>
          <cell r="N373" t="str">
            <v>TÂN VŨ</v>
          </cell>
          <cell r="Q373">
            <v>0</v>
          </cell>
        </row>
        <row r="374">
          <cell r="I374" t="str">
            <v>AMCU9342671</v>
          </cell>
          <cell r="J374" t="str">
            <v>HƯỜNG</v>
          </cell>
          <cell r="K374" t="str">
            <v>21:00</v>
          </cell>
          <cell r="L374" t="str">
            <v>FFAU7430562</v>
          </cell>
          <cell r="M374" t="str">
            <v>TRI PHƯƠNG</v>
          </cell>
          <cell r="N374" t="str">
            <v>HATECO HICT</v>
          </cell>
          <cell r="Q374">
            <v>0</v>
          </cell>
        </row>
        <row r="375">
          <cell r="I375" t="str">
            <v>BMOU9603516</v>
          </cell>
          <cell r="J375" t="str">
            <v>PHƯƠNG</v>
          </cell>
          <cell r="K375" t="str">
            <v>22:00</v>
          </cell>
          <cell r="L375" t="str">
            <v>MNBU4139493</v>
          </cell>
          <cell r="M375" t="str">
            <v>TRI PHƯƠNG</v>
          </cell>
          <cell r="N375" t="str">
            <v>HATECO HICT</v>
          </cell>
          <cell r="Q375">
            <v>0</v>
          </cell>
        </row>
        <row r="376">
          <cell r="I376" t="str">
            <v>CGMU5195989</v>
          </cell>
          <cell r="J376" t="str">
            <v>MẠNH</v>
          </cell>
          <cell r="K376" t="str">
            <v>23:00</v>
          </cell>
          <cell r="L376" t="str">
            <v>GAOU7303611</v>
          </cell>
          <cell r="M376" t="str">
            <v>TRI PHƯƠNG</v>
          </cell>
          <cell r="N376" t="str">
            <v>HATECO HICT</v>
          </cell>
          <cell r="Q376">
            <v>0</v>
          </cell>
        </row>
        <row r="377">
          <cell r="I377" t="str">
            <v>TTNU8835339</v>
          </cell>
          <cell r="J377" t="str">
            <v>THỊNH</v>
          </cell>
          <cell r="K377" t="str">
            <v>00:00</v>
          </cell>
          <cell r="L377" t="str">
            <v>MNBU3930806</v>
          </cell>
          <cell r="M377" t="str">
            <v>TRI PHƯƠNG</v>
          </cell>
          <cell r="N377" t="str">
            <v>HATECO HICT</v>
          </cell>
          <cell r="Q377">
            <v>0</v>
          </cell>
        </row>
        <row r="378">
          <cell r="I378" t="str">
            <v>CGMU5558301</v>
          </cell>
          <cell r="J378" t="str">
            <v>THÀNH</v>
          </cell>
          <cell r="K378" t="str">
            <v>01:00</v>
          </cell>
          <cell r="L378" t="str">
            <v>ECMU7386802</v>
          </cell>
          <cell r="M378" t="str">
            <v>TRI PHƯƠNG</v>
          </cell>
          <cell r="N378" t="str">
            <v>HATECO HICT</v>
          </cell>
          <cell r="Q378">
            <v>0</v>
          </cell>
        </row>
        <row r="379">
          <cell r="I379" t="str">
            <v>CGMU7028126</v>
          </cell>
          <cell r="J379" t="str">
            <v>QUÂN</v>
          </cell>
          <cell r="K379" t="str">
            <v>02:00</v>
          </cell>
          <cell r="L379" t="str">
            <v>CGMU7028126</v>
          </cell>
          <cell r="M379" t="str">
            <v>TRI PHƯƠNG</v>
          </cell>
          <cell r="N379" t="str">
            <v>HATECO HICT</v>
          </cell>
          <cell r="Q379">
            <v>0</v>
          </cell>
        </row>
        <row r="380">
          <cell r="I380" t="str">
            <v>TIIU5671979</v>
          </cell>
          <cell r="J380" t="str">
            <v>THÀNH
MẠNH KÉO VỀ</v>
          </cell>
          <cell r="K380">
            <v>0.33333333333333331</v>
          </cell>
          <cell r="L380" t="str">
            <v>AMCU9342671</v>
          </cell>
          <cell r="N380" t="str">
            <v>ĐÌNH VŨ</v>
          </cell>
          <cell r="O380" t="str">
            <v>VZ-25/50401 +VZ-25/50401R +VZ-25/50401R-01</v>
          </cell>
          <cell r="P380" t="str">
            <v>done</v>
          </cell>
          <cell r="Q380" t="str">
            <v>308025011510
308024985350
308025119640</v>
          </cell>
        </row>
        <row r="381">
          <cell r="I381" t="str">
            <v>SELU4344577</v>
          </cell>
          <cell r="J381" t="str">
            <v>THI
THÀNH KÉO VỀ</v>
          </cell>
          <cell r="K381">
            <v>0.58333333333333337</v>
          </cell>
          <cell r="L381" t="str">
            <v>TRHU4760844</v>
          </cell>
          <cell r="N381" t="str">
            <v>ĐÌNH VŨ</v>
          </cell>
          <cell r="Q381" t="str">
            <v>308025380520
308025342240
308025301640
308025255220</v>
          </cell>
        </row>
        <row r="382">
          <cell r="I382" t="str">
            <v>TIIU6428583</v>
          </cell>
          <cell r="J382" t="str">
            <v>MẠNH
PHƯƠNG KÉO VỀ</v>
          </cell>
          <cell r="K382">
            <v>0.875</v>
          </cell>
          <cell r="L382" t="str">
            <v>TRHU4982179</v>
          </cell>
          <cell r="N382" t="str">
            <v>ĐÌNH VŨ</v>
          </cell>
          <cell r="O382" t="str">
            <v>VZ-25/50403 +VZ-25/50403R +VZ-25/50403R-01</v>
          </cell>
          <cell r="P382" t="str">
            <v>done</v>
          </cell>
          <cell r="Q382" t="str">
            <v>308025458660
308025443260
308025421120</v>
          </cell>
        </row>
        <row r="383">
          <cell r="I383" t="str">
            <v>TEMU7786670</v>
          </cell>
          <cell r="J383" t="str">
            <v>HỒNG HƯNG
KÉO VỀ</v>
          </cell>
          <cell r="K383">
            <v>0.91666666666666663</v>
          </cell>
          <cell r="L383" t="str">
            <v>TEMU7786670</v>
          </cell>
          <cell r="N383" t="str">
            <v>HATECO</v>
          </cell>
          <cell r="O383" t="str">
            <v>VP-25/53889</v>
          </cell>
          <cell r="P383" t="str">
            <v>done</v>
          </cell>
          <cell r="Q383" t="str">
            <v>308025747100</v>
          </cell>
        </row>
        <row r="384">
          <cell r="I384" t="str">
            <v>FSCU8477370 </v>
          </cell>
          <cell r="J384" t="str">
            <v>RU AVS</v>
          </cell>
          <cell r="K384">
            <v>0.54166666666666663</v>
          </cell>
          <cell r="L384" t="str">
            <v>FSCU8477370 </v>
          </cell>
          <cell r="N384" t="str">
            <v>TÂN VŨ</v>
          </cell>
          <cell r="P384" t="str">
            <v>done</v>
          </cell>
          <cell r="Q384" t="str">
            <v>308024817830</v>
          </cell>
        </row>
        <row r="385">
          <cell r="I385" t="str">
            <v>FFAU5215160</v>
          </cell>
          <cell r="J385" t="str">
            <v>THANH
KÉO VỀ</v>
          </cell>
          <cell r="K385">
            <v>0.125</v>
          </cell>
          <cell r="L385" t="str">
            <v>FFAU5215160</v>
          </cell>
          <cell r="N385" t="str">
            <v>HATECO</v>
          </cell>
          <cell r="O385" t="str">
            <v>VB-25/52770</v>
          </cell>
          <cell r="P385" t="str">
            <v>done</v>
          </cell>
          <cell r="Q385" t="str">
            <v>308024257350</v>
          </cell>
        </row>
        <row r="386">
          <cell r="I386" t="str">
            <v>TIIU4972330</v>
          </cell>
          <cell r="J386" t="str">
            <v>RU KỶ NGUYÊN</v>
          </cell>
          <cell r="K386">
            <v>0.45833333333333331</v>
          </cell>
          <cell r="L386" t="str">
            <v>TIIU4972330</v>
          </cell>
          <cell r="N386" t="str">
            <v>HATECO</v>
          </cell>
          <cell r="O386" t="str">
            <v>VB-25/52772</v>
          </cell>
          <cell r="P386" t="str">
            <v>done</v>
          </cell>
          <cell r="Q386" t="str">
            <v>308024195860</v>
          </cell>
        </row>
        <row r="387">
          <cell r="I387" t="str">
            <v>TCKU6415535</v>
          </cell>
          <cell r="J387" t="str">
            <v>QUÂN</v>
          </cell>
          <cell r="K387">
            <v>0.125</v>
          </cell>
          <cell r="L387" t="str">
            <v>TRHU6893960</v>
          </cell>
          <cell r="M387" t="str">
            <v>TRI PHƯƠNG</v>
          </cell>
          <cell r="N387" t="str">
            <v>HATECO HICT</v>
          </cell>
          <cell r="O387" t="str">
            <v>VB-25/52775</v>
          </cell>
          <cell r="P387" t="str">
            <v>done</v>
          </cell>
          <cell r="Q387" t="str">
            <v>308024233660</v>
          </cell>
        </row>
        <row r="388">
          <cell r="I388" t="str">
            <v>TRHU6326462</v>
          </cell>
          <cell r="J388" t="str">
            <v>THỊNH</v>
          </cell>
          <cell r="K388">
            <v>0.125</v>
          </cell>
          <cell r="L388" t="str">
            <v>ECMU7571502</v>
          </cell>
          <cell r="M388" t="str">
            <v>TRI PHƯƠNG</v>
          </cell>
          <cell r="N388" t="str">
            <v>HATECO HICT</v>
          </cell>
          <cell r="O388" t="str">
            <v>VB-25/52774
cb VS-25/51682</v>
          </cell>
          <cell r="P388" t="str">
            <v>done</v>
          </cell>
          <cell r="Q388" t="str">
            <v>308024488940
308024569700</v>
          </cell>
        </row>
        <row r="389">
          <cell r="I389" t="str">
            <v>TGHU6901997</v>
          </cell>
          <cell r="J389" t="str">
            <v>THI</v>
          </cell>
          <cell r="K389">
            <v>0.33333333333333331</v>
          </cell>
          <cell r="L389" t="str">
            <v>MRSU6660311</v>
          </cell>
          <cell r="M389" t="str">
            <v>TRI PHƯƠNG</v>
          </cell>
          <cell r="N389" t="str">
            <v>HATECO HICT</v>
          </cell>
          <cell r="O389" t="str">
            <v>VI-25/58342</v>
          </cell>
          <cell r="P389" t="str">
            <v>done</v>
          </cell>
          <cell r="Q389" t="str">
            <v>308024442040</v>
          </cell>
        </row>
        <row r="390">
          <cell r="I390" t="str">
            <v>SUDU5872140</v>
          </cell>
          <cell r="J390" t="str">
            <v>SƠN</v>
          </cell>
          <cell r="K390">
            <v>0.34375</v>
          </cell>
          <cell r="L390" t="str">
            <v>HASU4434629</v>
          </cell>
          <cell r="M390" t="str">
            <v>TRI PHƯƠNG</v>
          </cell>
          <cell r="N390" t="str">
            <v>HATECO HICT</v>
          </cell>
          <cell r="O390" t="str">
            <v>VI-25/58313</v>
          </cell>
          <cell r="P390" t="str">
            <v>done</v>
          </cell>
          <cell r="Q390" t="str">
            <v>308024409030</v>
          </cell>
        </row>
        <row r="391">
          <cell r="I391" t="str">
            <v>MRKU3425229</v>
          </cell>
          <cell r="J391" t="str">
            <v>ĐỨC</v>
          </cell>
          <cell r="K391">
            <v>0.375</v>
          </cell>
          <cell r="L391" t="str">
            <v>SUDU5872140</v>
          </cell>
          <cell r="M391" t="str">
            <v>TRI PHƯƠNG</v>
          </cell>
          <cell r="N391" t="str">
            <v>HATECO HICT</v>
          </cell>
          <cell r="O391" t="str">
            <v>VI-25/58314</v>
          </cell>
          <cell r="P391" t="str">
            <v>done</v>
          </cell>
          <cell r="Q391" t="str">
            <v>308024422920</v>
          </cell>
        </row>
        <row r="392">
          <cell r="I392" t="str">
            <v>HASU4172806</v>
          </cell>
          <cell r="J392" t="str">
            <v>QUÂN</v>
          </cell>
          <cell r="K392">
            <v>0.44791666666666669</v>
          </cell>
          <cell r="L392" t="str">
            <v>MRSU4449212</v>
          </cell>
          <cell r="M392" t="str">
            <v>TRI PHƯƠNG</v>
          </cell>
          <cell r="N392" t="str">
            <v>HATECO HICT</v>
          </cell>
          <cell r="O392" t="str">
            <v>VI-25/58340</v>
          </cell>
          <cell r="P392" t="str">
            <v>done</v>
          </cell>
          <cell r="Q392" t="str">
            <v>308024487540</v>
          </cell>
        </row>
        <row r="393">
          <cell r="I393" t="str">
            <v>HASU5201046</v>
          </cell>
          <cell r="J393" t="str">
            <v>ĐỨC</v>
          </cell>
          <cell r="K393">
            <v>0.64583333333333337</v>
          </cell>
          <cell r="L393" t="str">
            <v>HASU4172806</v>
          </cell>
          <cell r="M393" t="str">
            <v>TRI PHƯƠNG</v>
          </cell>
          <cell r="N393" t="str">
            <v>HATECO HICT</v>
          </cell>
          <cell r="O393" t="str">
            <v>VI-25/58341</v>
          </cell>
          <cell r="P393" t="str">
            <v>done</v>
          </cell>
          <cell r="Q393" t="str">
            <v>308024504340</v>
          </cell>
        </row>
        <row r="394">
          <cell r="I394" t="str">
            <v>GESU6781610</v>
          </cell>
          <cell r="J394" t="str">
            <v>THÀNH</v>
          </cell>
          <cell r="K394">
            <v>9.375E-2</v>
          </cell>
          <cell r="L394" t="str">
            <v>MRKU3425229</v>
          </cell>
          <cell r="M394" t="str">
            <v>TRI PHƯƠNG</v>
          </cell>
          <cell r="N394" t="str">
            <v>HATECO HICT</v>
          </cell>
          <cell r="O394" t="str">
            <v>VI-25/58339</v>
          </cell>
          <cell r="P394" t="str">
            <v>done</v>
          </cell>
          <cell r="Q394" t="str">
            <v>308024467350</v>
          </cell>
        </row>
        <row r="395">
          <cell r="I395" t="str">
            <v>TRHU4982179</v>
          </cell>
          <cell r="J395" t="str">
            <v>SƠN</v>
          </cell>
          <cell r="K395" t="str">
            <v>15:00</v>
          </cell>
          <cell r="L395" t="str">
            <v>MRSU4196372</v>
          </cell>
          <cell r="M395" t="str">
            <v>TRI PHƯƠNG</v>
          </cell>
          <cell r="N395" t="str">
            <v>HATECO HICT</v>
          </cell>
          <cell r="P395" t="str">
            <v>done</v>
          </cell>
          <cell r="Q395" t="str">
            <v>308024535360</v>
          </cell>
        </row>
        <row r="396">
          <cell r="I396" t="str">
            <v>MRSU4196372</v>
          </cell>
          <cell r="J396" t="str">
            <v>THI</v>
          </cell>
          <cell r="K396" t="str">
            <v>11:00</v>
          </cell>
          <cell r="L396" t="str">
            <v xml:space="preserve">EGSU9264633 </v>
          </cell>
          <cell r="M396" t="str">
            <v>TRI PHƯƠNG</v>
          </cell>
          <cell r="N396" t="str">
            <v>HATECO HICT</v>
          </cell>
          <cell r="P396" t="str">
            <v>done</v>
          </cell>
          <cell r="Q396" t="str">
            <v>308024561960</v>
          </cell>
        </row>
        <row r="397">
          <cell r="I397" t="str">
            <v>MRKU5715952</v>
          </cell>
          <cell r="J397" t="str">
            <v>THÀNH</v>
          </cell>
          <cell r="K397" t="str">
            <v>14:00</v>
          </cell>
          <cell r="L397" t="str">
            <v>CGMU5558301</v>
          </cell>
          <cell r="M397" t="str">
            <v>TRI PHƯƠNG</v>
          </cell>
          <cell r="N397" t="str">
            <v>HATECO HICT</v>
          </cell>
          <cell r="P397" t="str">
            <v>done</v>
          </cell>
          <cell r="Q397" t="str">
            <v>308024585430</v>
          </cell>
        </row>
        <row r="398">
          <cell r="I398" t="str">
            <v>TRHU4760844</v>
          </cell>
          <cell r="J398" t="str">
            <v>SƠN</v>
          </cell>
          <cell r="K398" t="str">
            <v>9:00</v>
          </cell>
          <cell r="L398" t="str">
            <v>TTNU8835339</v>
          </cell>
          <cell r="M398" t="str">
            <v>TRI PHƯƠNG</v>
          </cell>
          <cell r="N398" t="str">
            <v>HATECO HICT</v>
          </cell>
          <cell r="P398" t="str">
            <v>done</v>
          </cell>
          <cell r="Q398" t="str">
            <v>308024609930</v>
          </cell>
        </row>
        <row r="399">
          <cell r="I399" t="str">
            <v>TRHU5085252</v>
          </cell>
          <cell r="J399" t="str">
            <v>PHƯƠNG</v>
          </cell>
          <cell r="K399" t="str">
            <v>23:00</v>
          </cell>
          <cell r="L399" t="str">
            <v>FFAU7242502</v>
          </cell>
          <cell r="M399" t="str">
            <v>TRI PHƯƠNG</v>
          </cell>
          <cell r="N399" t="str">
            <v>HATECO HICT</v>
          </cell>
          <cell r="O399" t="str">
            <v>VR-25/52719</v>
          </cell>
          <cell r="P399" t="str">
            <v>done</v>
          </cell>
          <cell r="Q399" t="str">
            <v>308024634910</v>
          </cell>
        </row>
        <row r="400">
          <cell r="I400" t="str">
            <v>TEMU9238525</v>
          </cell>
          <cell r="K400" t="str">
            <v>22:00</v>
          </cell>
          <cell r="Q400">
            <v>0</v>
          </cell>
        </row>
        <row r="401">
          <cell r="I401" t="str">
            <v>CGMU9300568</v>
          </cell>
          <cell r="J401" t="str">
            <v>MẠNH</v>
          </cell>
          <cell r="K401" t="str">
            <v>09:00</v>
          </cell>
          <cell r="L401" t="str">
            <v>BMOU9603516</v>
          </cell>
          <cell r="Q401">
            <v>0</v>
          </cell>
        </row>
        <row r="402">
          <cell r="I402" t="str">
            <v>CGMU5766202</v>
          </cell>
          <cell r="J402" t="str">
            <v>MẠNH</v>
          </cell>
          <cell r="K402" t="str">
            <v>10:00</v>
          </cell>
          <cell r="Q402">
            <v>0</v>
          </cell>
        </row>
        <row r="403">
          <cell r="I403" t="str">
            <v>CXRU1577815</v>
          </cell>
          <cell r="J403" t="str">
            <v>SƠN</v>
          </cell>
          <cell r="K403" t="str">
            <v>13:00</v>
          </cell>
          <cell r="Q403">
            <v>0</v>
          </cell>
        </row>
        <row r="404">
          <cell r="I404" t="str">
            <v>TEMU9259390</v>
          </cell>
          <cell r="K404" t="str">
            <v>21:00</v>
          </cell>
          <cell r="Q404">
            <v>0</v>
          </cell>
        </row>
        <row r="405">
          <cell r="I405" t="str">
            <v>TCNU4924380</v>
          </cell>
          <cell r="J405" t="str">
            <v>THAÀNH</v>
          </cell>
          <cell r="K405">
            <v>0.33333333333333331</v>
          </cell>
          <cell r="L405" t="str">
            <v>TCKU6415535</v>
          </cell>
          <cell r="O405" t="str">
            <v>VH-25/50774</v>
          </cell>
          <cell r="Q405">
            <v>0</v>
          </cell>
        </row>
        <row r="406">
          <cell r="I406" t="str">
            <v>EGSU1724100</v>
          </cell>
          <cell r="J406" t="str">
            <v>THỊNH</v>
          </cell>
          <cell r="K406">
            <v>4.1666666666666664E-2</v>
          </cell>
          <cell r="O406" t="str">
            <v>VS-25/51686</v>
          </cell>
          <cell r="Q406">
            <v>0</v>
          </cell>
        </row>
        <row r="407">
          <cell r="I407" t="str">
            <v>EITU1837870</v>
          </cell>
          <cell r="J407" t="str">
            <v>SƠN</v>
          </cell>
          <cell r="L407" t="str">
            <v>TRHU6326462</v>
          </cell>
          <cell r="O407" t="str">
            <v>VS-25/51685</v>
          </cell>
          <cell r="Q407">
            <v>0</v>
          </cell>
        </row>
        <row r="408">
          <cell r="I408" t="str">
            <v>EGHU9416440</v>
          </cell>
          <cell r="J408" t="str">
            <v>THỊNH</v>
          </cell>
          <cell r="K408">
            <v>0.45833333333333331</v>
          </cell>
          <cell r="L408" t="str">
            <v>TRHU5085252</v>
          </cell>
          <cell r="Q408">
            <v>0</v>
          </cell>
        </row>
        <row r="409">
          <cell r="I409" t="str">
            <v>TXGU7518237</v>
          </cell>
          <cell r="J409" t="str">
            <v>SÂM</v>
          </cell>
          <cell r="K409">
            <v>0.54166666666666663</v>
          </cell>
          <cell r="L409" t="str">
            <v>TEMU9238525</v>
          </cell>
          <cell r="O409" t="str">
            <v>RTB-25/0430</v>
          </cell>
          <cell r="Q409">
            <v>0</v>
          </cell>
        </row>
        <row r="410">
          <cell r="I410" t="str">
            <v>EGSU1254346</v>
          </cell>
          <cell r="J410" t="str">
            <v>SƠN</v>
          </cell>
          <cell r="K410">
            <v>0.54166666666666663</v>
          </cell>
          <cell r="L410" t="str">
            <v>TTNU8702784</v>
          </cell>
          <cell r="Q410">
            <v>0</v>
          </cell>
        </row>
        <row r="411">
          <cell r="I411" t="str">
            <v>EGSU6421913</v>
          </cell>
          <cell r="J411" t="str">
            <v>QUÂN</v>
          </cell>
          <cell r="K411">
            <v>0.58333333333333337</v>
          </cell>
          <cell r="L411" t="str">
            <v>CGMU5166790</v>
          </cell>
          <cell r="Q411">
            <v>0</v>
          </cell>
        </row>
        <row r="412">
          <cell r="I412" t="str">
            <v>UETU7037575</v>
          </cell>
          <cell r="J412" t="str">
            <v>THI</v>
          </cell>
          <cell r="K412">
            <v>0.58333333333333337</v>
          </cell>
          <cell r="L412" t="str">
            <v>TXGU7518237</v>
          </cell>
          <cell r="Q412">
            <v>0</v>
          </cell>
        </row>
        <row r="413">
          <cell r="I413" t="str">
            <v>TRHU7534075</v>
          </cell>
          <cell r="J413" t="str">
            <v>ĐỨC</v>
          </cell>
          <cell r="K413">
            <v>0.875</v>
          </cell>
          <cell r="L413" t="str">
            <v>UETU6400515</v>
          </cell>
          <cell r="Q413">
            <v>0</v>
          </cell>
        </row>
        <row r="414">
          <cell r="I414" t="str">
            <v>GAOU6654205</v>
          </cell>
          <cell r="J414" t="str">
            <v>QUÂN</v>
          </cell>
          <cell r="K414">
            <v>0.91666666666666663</v>
          </cell>
          <cell r="L414" t="str">
            <v>TLLU1067978</v>
          </cell>
          <cell r="Q414">
            <v>0</v>
          </cell>
        </row>
        <row r="415">
          <cell r="I415" t="str">
            <v>HPCU5024839</v>
          </cell>
          <cell r="J415" t="str">
            <v>PHƯƠNG</v>
          </cell>
          <cell r="K415">
            <v>0.91666666666666663</v>
          </cell>
          <cell r="L415" t="str">
            <v>MNBU3133910</v>
          </cell>
          <cell r="Q415">
            <v>0</v>
          </cell>
        </row>
        <row r="416">
          <cell r="I416" t="str">
            <v>HPCU5034420</v>
          </cell>
          <cell r="J416" t="str">
            <v>THỊNH</v>
          </cell>
          <cell r="K416">
            <v>0.95833333333333337</v>
          </cell>
          <cell r="L416" t="str">
            <v>HPCU5034420</v>
          </cell>
          <cell r="Q416">
            <v>0</v>
          </cell>
        </row>
        <row r="417">
          <cell r="I417" t="str">
            <v>TRHU5713615</v>
          </cell>
          <cell r="J417" t="str">
            <v>RU KỶ NGUYÊN</v>
          </cell>
          <cell r="K417">
            <v>0.54166666666666663</v>
          </cell>
          <cell r="L417" t="str">
            <v>TRHU5713615</v>
          </cell>
          <cell r="N417" t="str">
            <v>HATECO</v>
          </cell>
          <cell r="O417" t="str">
            <v>VP-25/53893</v>
          </cell>
          <cell r="P417" t="str">
            <v>done</v>
          </cell>
          <cell r="Q417" t="str">
            <v>308029304020</v>
          </cell>
        </row>
        <row r="418">
          <cell r="I418" t="str">
            <v>CSNU8092071</v>
          </cell>
          <cell r="J418" t="str">
            <v>RU KỶ NGUYÊN</v>
          </cell>
          <cell r="K418">
            <v>0.54166666666666663</v>
          </cell>
          <cell r="L418" t="str">
            <v>CSNU8092071</v>
          </cell>
          <cell r="N418" t="str">
            <v>TÂN VŨ</v>
          </cell>
          <cell r="O418" t="str">
            <v>VP-25/53899</v>
          </cell>
          <cell r="P418" t="str">
            <v>done</v>
          </cell>
          <cell r="Q418" t="str">
            <v>308028956340</v>
          </cell>
        </row>
        <row r="419">
          <cell r="I419" t="str">
            <v>CAAU4905059</v>
          </cell>
          <cell r="J419" t="str">
            <v>MẠNH</v>
          </cell>
          <cell r="L419" t="str">
            <v>TTNU8014689</v>
          </cell>
          <cell r="Q419">
            <v>0</v>
          </cell>
        </row>
        <row r="420">
          <cell r="I420" t="str">
            <v>FFAU7426731</v>
          </cell>
          <cell r="J420" t="str">
            <v>THỊNH</v>
          </cell>
          <cell r="Q420">
            <v>0</v>
          </cell>
        </row>
        <row r="421">
          <cell r="I421" t="str">
            <v>CAAU9912195</v>
          </cell>
          <cell r="Q421">
            <v>0</v>
          </cell>
        </row>
        <row r="422">
          <cell r="I422" t="str">
            <v>HPCU5030410</v>
          </cell>
          <cell r="J422" t="str">
            <v>THI</v>
          </cell>
          <cell r="Q422">
            <v>0</v>
          </cell>
        </row>
        <row r="423">
          <cell r="I423" t="str">
            <v>FFAU7240937</v>
          </cell>
          <cell r="J423" t="str">
            <v>HƯỜNG</v>
          </cell>
          <cell r="L423" t="str">
            <v>EGSU6421913</v>
          </cell>
          <cell r="Q423">
            <v>0</v>
          </cell>
        </row>
        <row r="424">
          <cell r="I424" t="str">
            <v>SITU9165420</v>
          </cell>
          <cell r="J424" t="str">
            <v>THI</v>
          </cell>
          <cell r="L424" t="str">
            <v>MNBU4139106</v>
          </cell>
          <cell r="Q424">
            <v>0</v>
          </cell>
        </row>
        <row r="425">
          <cell r="I425" t="str">
            <v>TCNU7760340</v>
          </cell>
          <cell r="J425" t="str">
            <v>THI</v>
          </cell>
          <cell r="K425">
            <v>4.1666666666666664E-2</v>
          </cell>
          <cell r="L425" t="str">
            <v>TLLU5380316</v>
          </cell>
          <cell r="M425" t="str">
            <v>TRI PHƯƠNG</v>
          </cell>
          <cell r="N425" t="str">
            <v>HATECO HICT</v>
          </cell>
          <cell r="O425" t="str">
            <v>VB-25/52776</v>
          </cell>
          <cell r="P425" t="str">
            <v>done</v>
          </cell>
          <cell r="Q425" t="str">
            <v>308027010560</v>
          </cell>
        </row>
        <row r="426">
          <cell r="I426" t="str">
            <v>HAMU1410597</v>
          </cell>
          <cell r="J426" t="str">
            <v>MẠNH</v>
          </cell>
          <cell r="K426">
            <v>0.91666666666666663</v>
          </cell>
          <cell r="L426" t="str">
            <v>CMAU9821001</v>
          </cell>
          <cell r="M426" t="str">
            <v>TRI PHƯƠNG</v>
          </cell>
          <cell r="N426" t="str">
            <v>HATECO HICT</v>
          </cell>
          <cell r="O426" t="str">
            <v>VB-25/52777
VS-25/51684</v>
          </cell>
          <cell r="Q426">
            <v>0</v>
          </cell>
        </row>
        <row r="427">
          <cell r="I427" t="str">
            <v>MRSU7097645</v>
          </cell>
          <cell r="J427" t="str">
            <v>PHƯƠNG</v>
          </cell>
          <cell r="K427">
            <v>0.33333333333333331</v>
          </cell>
          <cell r="L427" t="str">
            <v>HASU5201046</v>
          </cell>
          <cell r="M427" t="str">
            <v>TRI PHƯƠNG</v>
          </cell>
          <cell r="N427" t="str">
            <v>HATECO HICT</v>
          </cell>
          <cell r="O427" t="str">
            <v>VI-25/58353</v>
          </cell>
          <cell r="P427" t="str">
            <v>done</v>
          </cell>
          <cell r="Q427" t="str">
            <v>308028649740</v>
          </cell>
        </row>
        <row r="428">
          <cell r="I428" t="str">
            <v>MRSU4932051</v>
          </cell>
          <cell r="J428" t="str">
            <v>HƯỜNG</v>
          </cell>
          <cell r="K428">
            <v>0.35416666666666669</v>
          </cell>
          <cell r="L428" t="str">
            <v>GESU6781610</v>
          </cell>
          <cell r="M428" t="str">
            <v>TRI PHƯƠNG</v>
          </cell>
          <cell r="N428" t="str">
            <v>HATECO HICT</v>
          </cell>
          <cell r="O428" t="str">
            <v>VI-25/58354</v>
          </cell>
          <cell r="P428" t="str">
            <v>done</v>
          </cell>
          <cell r="Q428" t="str">
            <v>308028517920</v>
          </cell>
        </row>
        <row r="429">
          <cell r="I429" t="str">
            <v>MRSU4375779</v>
          </cell>
          <cell r="J429" t="str">
            <v>THI</v>
          </cell>
          <cell r="K429">
            <v>0.375</v>
          </cell>
          <cell r="L429" t="str">
            <v>MRSU4375779</v>
          </cell>
          <cell r="M429" t="str">
            <v>TRI PHƯƠNG</v>
          </cell>
          <cell r="N429" t="str">
            <v>HATECO HICT</v>
          </cell>
          <cell r="O429" t="str">
            <v>VI-25/58373</v>
          </cell>
          <cell r="P429" t="str">
            <v>done</v>
          </cell>
          <cell r="Q429" t="str">
            <v>308028704820</v>
          </cell>
        </row>
        <row r="430">
          <cell r="I430" t="str">
            <v>MRSU4011910</v>
          </cell>
          <cell r="J430" t="str">
            <v>SÂM</v>
          </cell>
          <cell r="K430">
            <v>0.4375</v>
          </cell>
          <cell r="L430" t="str">
            <v>MRSU7097645</v>
          </cell>
          <cell r="M430" t="str">
            <v>TRI PHƯƠNG</v>
          </cell>
          <cell r="N430" t="str">
            <v>HATECO HICT</v>
          </cell>
          <cell r="O430" t="str">
            <v>VI-25/58374</v>
          </cell>
          <cell r="P430" t="str">
            <v>done</v>
          </cell>
          <cell r="Q430" t="str">
            <v>308028663630</v>
          </cell>
        </row>
        <row r="431">
          <cell r="I431" t="str">
            <v>HASU5123283</v>
          </cell>
          <cell r="J431" t="str">
            <v>HƯỜNG</v>
          </cell>
          <cell r="K431">
            <v>0.875</v>
          </cell>
          <cell r="L431" t="str">
            <v>TGHU6901997</v>
          </cell>
          <cell r="M431" t="str">
            <v>TRI PHƯƠNG</v>
          </cell>
          <cell r="N431" t="str">
            <v>HATECO HICT</v>
          </cell>
          <cell r="O431" t="str">
            <v>VI-25/58377</v>
          </cell>
          <cell r="P431" t="str">
            <v>done</v>
          </cell>
          <cell r="Q431" t="str">
            <v>308028429940</v>
          </cell>
        </row>
        <row r="432">
          <cell r="I432" t="str">
            <v>TCKU7764573</v>
          </cell>
          <cell r="J432" t="str">
            <v>SƠN</v>
          </cell>
          <cell r="K432">
            <v>0.875</v>
          </cell>
          <cell r="L432" t="str">
            <v>MRSU4011910</v>
          </cell>
          <cell r="M432" t="str">
            <v>TRI PHƯƠNG</v>
          </cell>
          <cell r="N432" t="str">
            <v>HATECO HICT</v>
          </cell>
          <cell r="O432" t="str">
            <v>VI-25/58352</v>
          </cell>
          <cell r="P432" t="str">
            <v>done</v>
          </cell>
          <cell r="Q432" t="str">
            <v>308028631540</v>
          </cell>
        </row>
        <row r="433">
          <cell r="I433" t="str">
            <v>AXIU1637387</v>
          </cell>
          <cell r="J433" t="str">
            <v>THÀNH</v>
          </cell>
          <cell r="K433">
            <v>0.89583333333333337</v>
          </cell>
          <cell r="L433" t="str">
            <v>MRSU4932051</v>
          </cell>
          <cell r="M433" t="str">
            <v>TRI PHƯƠNG</v>
          </cell>
          <cell r="N433" t="str">
            <v>HATECO HICT</v>
          </cell>
          <cell r="O433" t="str">
            <v>VI-25/58357</v>
          </cell>
          <cell r="P433" t="str">
            <v>done</v>
          </cell>
          <cell r="Q433" t="str">
            <v>308028456650</v>
          </cell>
        </row>
        <row r="434">
          <cell r="I434" t="str">
            <v>HASU4914084</v>
          </cell>
          <cell r="J434" t="str">
            <v>ĐỨC</v>
          </cell>
          <cell r="K434">
            <v>0.96875</v>
          </cell>
          <cell r="L434" t="str">
            <v>HASU5123283</v>
          </cell>
          <cell r="M434" t="str">
            <v>TRI PHƯƠNG</v>
          </cell>
          <cell r="N434" t="str">
            <v>HATECO HICT</v>
          </cell>
          <cell r="O434" t="str">
            <v>VI-25/58348</v>
          </cell>
          <cell r="P434" t="str">
            <v>done</v>
          </cell>
          <cell r="Q434" t="str">
            <v>308028614150</v>
          </cell>
        </row>
        <row r="435">
          <cell r="I435" t="str">
            <v>MRSU3411207</v>
          </cell>
          <cell r="J435" t="str">
            <v>THÀNH</v>
          </cell>
          <cell r="K435">
            <v>6.25E-2</v>
          </cell>
          <cell r="L435" t="str">
            <v>TCKU7764573</v>
          </cell>
          <cell r="M435" t="str">
            <v>TRI PHƯƠNG</v>
          </cell>
          <cell r="N435" t="str">
            <v>HATECO HICT</v>
          </cell>
          <cell r="O435" t="str">
            <v>VI-25/58358</v>
          </cell>
          <cell r="P435" t="str">
            <v>done</v>
          </cell>
          <cell r="Q435" t="str">
            <v>308028477540</v>
          </cell>
        </row>
        <row r="436">
          <cell r="I436" t="str">
            <v>DFSU7089267</v>
          </cell>
          <cell r="J436" t="str">
            <v>HƯỜNG</v>
          </cell>
          <cell r="K436">
            <v>7.2916666666666671E-2</v>
          </cell>
          <cell r="L436" t="str">
            <v>HASU4914084</v>
          </cell>
          <cell r="M436" t="str">
            <v>TRI PHƯƠNG</v>
          </cell>
          <cell r="N436" t="str">
            <v>HATECO HICT</v>
          </cell>
          <cell r="O436" t="str">
            <v>VI-25/58359</v>
          </cell>
          <cell r="P436" t="str">
            <v>done</v>
          </cell>
          <cell r="Q436" t="str">
            <v>308028542420</v>
          </cell>
        </row>
        <row r="437">
          <cell r="I437" t="str">
            <v>MRSU5353877</v>
          </cell>
          <cell r="J437" t="str">
            <v>MẠNH</v>
          </cell>
          <cell r="K437">
            <v>8.3333333333333329E-2</v>
          </cell>
          <cell r="L437" t="str">
            <v>AXIU1637387</v>
          </cell>
          <cell r="M437" t="str">
            <v>TRI PHƯƠNG</v>
          </cell>
          <cell r="N437" t="str">
            <v>HATECO HICT</v>
          </cell>
          <cell r="O437" t="str">
            <v>VI-25/58361</v>
          </cell>
          <cell r="P437" t="str">
            <v>done</v>
          </cell>
          <cell r="Q437" t="str">
            <v>308028492610</v>
          </cell>
        </row>
        <row r="438">
          <cell r="I438" t="str">
            <v>TCNU5176050</v>
          </cell>
          <cell r="J438" t="str">
            <v>ĐỨC</v>
          </cell>
          <cell r="K438">
            <v>0.11458333333333333</v>
          </cell>
          <cell r="L438" t="str">
            <v>MRSU4709496</v>
          </cell>
          <cell r="M438" t="str">
            <v>TRI PHƯƠNG</v>
          </cell>
          <cell r="N438" t="str">
            <v>HATECO HICT</v>
          </cell>
          <cell r="O438" t="str">
            <v>VI-25/58364</v>
          </cell>
          <cell r="P438" t="str">
            <v>done</v>
          </cell>
          <cell r="Q438" t="str">
            <v>308028571230</v>
          </cell>
        </row>
        <row r="439">
          <cell r="I439" t="str">
            <v>MRSU4709496</v>
          </cell>
          <cell r="J439" t="str">
            <v>SƠN</v>
          </cell>
          <cell r="K439">
            <v>0.125</v>
          </cell>
          <cell r="L439" t="str">
            <v>DFSU7089267</v>
          </cell>
          <cell r="M439" t="str">
            <v>TRI PHƯƠNG</v>
          </cell>
          <cell r="N439" t="str">
            <v>HATECO HICT</v>
          </cell>
          <cell r="O439" t="str">
            <v>VI-25/58367</v>
          </cell>
          <cell r="P439" t="str">
            <v>done</v>
          </cell>
          <cell r="Q439" t="str">
            <v>308028592930</v>
          </cell>
        </row>
        <row r="440">
          <cell r="I440" t="str">
            <v>CAAU6545922</v>
          </cell>
          <cell r="J440" t="str">
            <v>THỊNH</v>
          </cell>
          <cell r="K440">
            <v>0.14583333333333334</v>
          </cell>
          <cell r="L440" t="str">
            <v>TCNU5176050</v>
          </cell>
          <cell r="M440" t="str">
            <v>TRI PHƯƠNG</v>
          </cell>
          <cell r="N440" t="str">
            <v>HATECO HICT</v>
          </cell>
          <cell r="O440" t="str">
            <v>VI-25/58372</v>
          </cell>
          <cell r="P440" t="str">
            <v>done</v>
          </cell>
          <cell r="Q440" t="str">
            <v>308028685440</v>
          </cell>
        </row>
        <row r="441">
          <cell r="I441" t="str">
            <v>MRSU4070888</v>
          </cell>
          <cell r="J441" t="str">
            <v>PHƯƠNG</v>
          </cell>
          <cell r="K441" t="str">
            <v>10:00</v>
          </cell>
          <cell r="L441" t="str">
            <v>EGSU1254346</v>
          </cell>
          <cell r="M441" t="str">
            <v>TRI PHƯƠNG</v>
          </cell>
          <cell r="N441" t="str">
            <v>HATECO HICT</v>
          </cell>
          <cell r="O441" t="str">
            <v>VR-25/52724</v>
          </cell>
          <cell r="P441" t="str">
            <v>done</v>
          </cell>
          <cell r="Q441" t="str">
            <v>308028712300</v>
          </cell>
        </row>
        <row r="442">
          <cell r="I442" t="str">
            <v>MNBU3133910</v>
          </cell>
          <cell r="J442" t="str">
            <v>HƯỜNG</v>
          </cell>
          <cell r="K442" t="str">
            <v>22:00</v>
          </cell>
          <cell r="M442" t="str">
            <v>TRI PHƯƠNG</v>
          </cell>
          <cell r="N442" t="str">
            <v>HATECO HICT</v>
          </cell>
          <cell r="O442" t="str">
            <v>VR-25/52720</v>
          </cell>
          <cell r="P442" t="str">
            <v>done</v>
          </cell>
          <cell r="Q442" t="str">
            <v>308029931550</v>
          </cell>
        </row>
        <row r="443">
          <cell r="I443" t="str">
            <v>MNBU4139106</v>
          </cell>
          <cell r="J443" t="str">
            <v>SÂM</v>
          </cell>
          <cell r="K443" t="str">
            <v>21:00</v>
          </cell>
          <cell r="M443" t="str">
            <v>TRI PHƯƠNG</v>
          </cell>
          <cell r="N443" t="str">
            <v>HATECO HICT</v>
          </cell>
          <cell r="O443" t="str">
            <v>VR-25/52688</v>
          </cell>
          <cell r="P443" t="str">
            <v>done</v>
          </cell>
          <cell r="Q443" t="str">
            <v>308029970160</v>
          </cell>
        </row>
        <row r="444">
          <cell r="I444" t="str">
            <v>UETU6400515</v>
          </cell>
          <cell r="J444" t="str">
            <v>THÀNH</v>
          </cell>
          <cell r="K444" t="str">
            <v>13:00</v>
          </cell>
          <cell r="L444" t="str">
            <v>SELU4344577</v>
          </cell>
          <cell r="M444" t="str">
            <v>TRI PHƯƠNG</v>
          </cell>
          <cell r="N444" t="str">
            <v>HATECO HICT</v>
          </cell>
          <cell r="Q444">
            <v>0</v>
          </cell>
        </row>
        <row r="445">
          <cell r="I445" t="str">
            <v>TEMU9576142</v>
          </cell>
          <cell r="J445" t="str">
            <v>QUÂN</v>
          </cell>
          <cell r="K445" t="str">
            <v>15:00</v>
          </cell>
          <cell r="L445" t="str">
            <v>TEMU9576142</v>
          </cell>
          <cell r="M445" t="str">
            <v>TRI PHƯƠNG</v>
          </cell>
          <cell r="N445" t="str">
            <v xml:space="preserve">LẠCH HUYỆN </v>
          </cell>
          <cell r="Q445">
            <v>0</v>
          </cell>
        </row>
        <row r="446">
          <cell r="I446" t="str">
            <v>TTNU8702784</v>
          </cell>
          <cell r="J446" t="str">
            <v>MẠNH</v>
          </cell>
          <cell r="K446" t="str">
            <v>09:00</v>
          </cell>
          <cell r="L446" t="str">
            <v>CXRU1577815</v>
          </cell>
          <cell r="M446" t="str">
            <v>TRI PHƯƠNG</v>
          </cell>
          <cell r="N446" t="str">
            <v>HATECO HICT</v>
          </cell>
          <cell r="Q446">
            <v>0</v>
          </cell>
        </row>
        <row r="447">
          <cell r="I447" t="str">
            <v>TTNU8014689</v>
          </cell>
          <cell r="J447" t="str">
            <v>PHƯƠNG</v>
          </cell>
          <cell r="K447" t="str">
            <v>10:00</v>
          </cell>
          <cell r="L447" t="str">
            <v>TEMU9259390</v>
          </cell>
          <cell r="M447" t="str">
            <v>TRI PHƯƠNG</v>
          </cell>
          <cell r="N447" t="str">
            <v>HATECO HICT</v>
          </cell>
          <cell r="Q447">
            <v>0</v>
          </cell>
        </row>
        <row r="448">
          <cell r="I448" t="str">
            <v>CGMU5166790</v>
          </cell>
          <cell r="J448" t="str">
            <v>HƯỜNG</v>
          </cell>
          <cell r="K448" t="str">
            <v>11:00</v>
          </cell>
          <cell r="L448" t="str">
            <v>CGMU5766202</v>
          </cell>
          <cell r="M448" t="str">
            <v>TRI PHƯƠNG</v>
          </cell>
          <cell r="N448" t="str">
            <v>HATECO HICT</v>
          </cell>
          <cell r="Q448">
            <v>0</v>
          </cell>
        </row>
        <row r="449">
          <cell r="I449" t="str">
            <v>CGMU5677105</v>
          </cell>
          <cell r="J449" t="str">
            <v>THỊNH</v>
          </cell>
          <cell r="K449" t="str">
            <v>13:00</v>
          </cell>
          <cell r="L449" t="str">
            <v>mooc không</v>
          </cell>
          <cell r="M449" t="str">
            <v>TRI PHƯƠNG</v>
          </cell>
          <cell r="N449" t="str">
            <v xml:space="preserve">LẠCH HUYỆN </v>
          </cell>
          <cell r="Q449">
            <v>0</v>
          </cell>
        </row>
        <row r="450">
          <cell r="I450" t="str">
            <v>TLLU1067978</v>
          </cell>
          <cell r="J450" t="str">
            <v>MẠNH</v>
          </cell>
          <cell r="K450" t="str">
            <v>21:00</v>
          </cell>
          <cell r="L450" t="str">
            <v>TEMU9576142</v>
          </cell>
          <cell r="M450" t="str">
            <v>TRI PHƯƠNG</v>
          </cell>
          <cell r="N450" t="str">
            <v xml:space="preserve">LẠCH HUYỆN </v>
          </cell>
          <cell r="Q450">
            <v>0</v>
          </cell>
        </row>
        <row r="451">
          <cell r="I451" t="str">
            <v>CGMU6586951</v>
          </cell>
          <cell r="J451" t="str">
            <v>THÀNH</v>
          </cell>
          <cell r="K451" t="str">
            <v>22:00</v>
          </cell>
          <cell r="L451" t="str">
            <v>CGMU6586951</v>
          </cell>
          <cell r="M451" t="str">
            <v>TRI PHƯƠNG</v>
          </cell>
          <cell r="N451" t="str">
            <v xml:space="preserve">LẠCH HUYỆN </v>
          </cell>
          <cell r="Q451">
            <v>0</v>
          </cell>
        </row>
        <row r="452">
          <cell r="I452" t="str">
            <v>ONEU1433552</v>
          </cell>
          <cell r="J452" t="str">
            <v>SÂM</v>
          </cell>
          <cell r="K452">
            <v>0.33333333333333331</v>
          </cell>
          <cell r="L452" t="str">
            <v>MRSU4070888</v>
          </cell>
          <cell r="Q452">
            <v>0</v>
          </cell>
        </row>
        <row r="453">
          <cell r="I453" t="str">
            <v>FFAU7236114</v>
          </cell>
          <cell r="J453" t="str">
            <v>THI</v>
          </cell>
          <cell r="K453">
            <v>0.58333333333333337</v>
          </cell>
          <cell r="L453" t="str">
            <v>SITU9181036</v>
          </cell>
          <cell r="Q453">
            <v>0</v>
          </cell>
        </row>
        <row r="454">
          <cell r="I454" t="str">
            <v>SITU9181036</v>
          </cell>
          <cell r="J454" t="str">
            <v>THAÀNH</v>
          </cell>
          <cell r="K454">
            <v>0.625</v>
          </cell>
          <cell r="L454" t="str">
            <v>TLLU4897412</v>
          </cell>
          <cell r="Q454">
            <v>0</v>
          </cell>
        </row>
        <row r="455">
          <cell r="I455" t="str">
            <v>UETU6981385</v>
          </cell>
          <cell r="J455" t="str">
            <v>MẠNH
KÉO VỀ</v>
          </cell>
          <cell r="K455">
            <v>0.91666666666666663</v>
          </cell>
          <cell r="L455" t="str">
            <v>UETU6981385</v>
          </cell>
          <cell r="N455" t="str">
            <v>NAM ĐÌNH VŨ</v>
          </cell>
          <cell r="O455" t="str">
            <v>VP-25/53937</v>
          </cell>
          <cell r="P455" t="str">
            <v>done</v>
          </cell>
          <cell r="Q455" t="str">
            <v>308033476830</v>
          </cell>
        </row>
        <row r="456">
          <cell r="I456" t="str">
            <v>CAAU9877237</v>
          </cell>
          <cell r="J456" t="str">
            <v>ĐỨC</v>
          </cell>
          <cell r="K456">
            <v>0.95833333333333337</v>
          </cell>
          <cell r="L456" t="str">
            <v>MRKU2218675</v>
          </cell>
          <cell r="Q456">
            <v>0</v>
          </cell>
        </row>
        <row r="457">
          <cell r="K457">
            <v>0.875</v>
          </cell>
          <cell r="Q457">
            <v>0</v>
          </cell>
        </row>
        <row r="458">
          <cell r="I458" t="str">
            <v>TXGU7187756</v>
          </cell>
          <cell r="J458" t="str">
            <v>CHƯA VỀ</v>
          </cell>
          <cell r="N458" t="str">
            <v>NAM ĐÌNH VŨ</v>
          </cell>
          <cell r="P458" t="str">
            <v>không phơi khách chịu, done</v>
          </cell>
          <cell r="Q458" t="str">
            <v>308032005910</v>
          </cell>
        </row>
        <row r="459">
          <cell r="I459" t="str">
            <v>CGMU5102287</v>
          </cell>
          <cell r="J459" t="str">
            <v>THÀNH</v>
          </cell>
          <cell r="K459">
            <v>0.875</v>
          </cell>
          <cell r="L459" t="str">
            <v>ONEU1433552</v>
          </cell>
          <cell r="M459" t="str">
            <v>TRI PHƯƠNG</v>
          </cell>
          <cell r="N459" t="str">
            <v xml:space="preserve">LẠCH HUYỆN </v>
          </cell>
          <cell r="Q459">
            <v>0</v>
          </cell>
        </row>
        <row r="460">
          <cell r="I460" t="str">
            <v>CGMU5569836</v>
          </cell>
          <cell r="J460" t="str">
            <v>SƠN</v>
          </cell>
          <cell r="K460">
            <v>0.41666666666666669</v>
          </cell>
          <cell r="L460" t="str">
            <v>CGMU5569836</v>
          </cell>
          <cell r="M460" t="str">
            <v>TRI PHƯƠNG</v>
          </cell>
          <cell r="N460" t="str">
            <v xml:space="preserve">LẠCH HUYỆN </v>
          </cell>
          <cell r="Q460">
            <v>0</v>
          </cell>
        </row>
        <row r="461">
          <cell r="I461" t="str">
            <v>MRKU5622248</v>
          </cell>
          <cell r="J461" t="str">
            <v>ĐỨC</v>
          </cell>
          <cell r="K461">
            <v>0.58333333333333337</v>
          </cell>
          <cell r="L461" t="str">
            <v>GAOU6654205</v>
          </cell>
          <cell r="M461" t="str">
            <v>TRI PHƯƠNG</v>
          </cell>
          <cell r="N461" t="str">
            <v>HATECO HICT</v>
          </cell>
          <cell r="P461" t="str">
            <v>done</v>
          </cell>
          <cell r="Q461" t="str">
            <v>308033420720</v>
          </cell>
        </row>
        <row r="462">
          <cell r="I462" t="str">
            <v>MRKU2218675</v>
          </cell>
          <cell r="J462" t="str">
            <v>THI</v>
          </cell>
          <cell r="K462">
            <v>0.91666666666666663</v>
          </cell>
          <cell r="L462" t="str">
            <v>HPCU5024839</v>
          </cell>
          <cell r="M462" t="str">
            <v>TRI PHƯƠNG</v>
          </cell>
          <cell r="N462" t="str">
            <v>HATECO HICT</v>
          </cell>
          <cell r="P462" t="str">
            <v>done</v>
          </cell>
          <cell r="Q462" t="str">
            <v>308033442050</v>
          </cell>
        </row>
        <row r="463">
          <cell r="I463" t="str">
            <v>GCXU5732434</v>
          </cell>
          <cell r="J463" t="str">
            <v>SÂM</v>
          </cell>
          <cell r="K463">
            <v>0.91666666666666663</v>
          </cell>
          <cell r="L463" t="str">
            <v>GCXU5732434</v>
          </cell>
          <cell r="M463" t="str">
            <v>TRI PHƯƠNG</v>
          </cell>
          <cell r="N463" t="str">
            <v>HATECO HICT</v>
          </cell>
          <cell r="P463" t="str">
            <v>done</v>
          </cell>
          <cell r="Q463" t="str">
            <v>308030899650</v>
          </cell>
        </row>
        <row r="464">
          <cell r="I464" t="str">
            <v>TLLU4897412</v>
          </cell>
          <cell r="J464" t="str">
            <v>MẠNH</v>
          </cell>
          <cell r="K464">
            <v>0.875</v>
          </cell>
          <cell r="L464" t="str">
            <v>MRKU5622248</v>
          </cell>
          <cell r="M464" t="str">
            <v>TRI PHƯƠNG</v>
          </cell>
          <cell r="N464" t="str">
            <v>HATECO HICT</v>
          </cell>
          <cell r="P464" t="str">
            <v>done</v>
          </cell>
          <cell r="Q464" t="str">
            <v>308031265050</v>
          </cell>
        </row>
        <row r="465">
          <cell r="I465" t="str">
            <v>TCLU6500130</v>
          </cell>
          <cell r="J465" t="str">
            <v>SƠN</v>
          </cell>
          <cell r="K465">
            <v>0.33333333333333331</v>
          </cell>
          <cell r="L465" t="str">
            <v>CAIU8382914</v>
          </cell>
          <cell r="O465" t="str">
            <v>VS-25/51691</v>
          </cell>
          <cell r="Q465">
            <v>0</v>
          </cell>
        </row>
        <row r="466">
          <cell r="K466">
            <v>0.33333333333333331</v>
          </cell>
          <cell r="O466" t="str">
            <v>VH-25/50787</v>
          </cell>
          <cell r="Q466">
            <v>0</v>
          </cell>
        </row>
        <row r="467">
          <cell r="I467" t="str">
            <v>CMAU7869182</v>
          </cell>
          <cell r="K467">
            <v>0.875</v>
          </cell>
          <cell r="O467" t="str">
            <v>VB-25/52783</v>
          </cell>
          <cell r="Q467">
            <v>0</v>
          </cell>
        </row>
        <row r="468">
          <cell r="I468" t="str">
            <v>ECMU7263860</v>
          </cell>
          <cell r="K468">
            <v>0.125</v>
          </cell>
          <cell r="O468" t="str">
            <v>VB-25/52784</v>
          </cell>
          <cell r="Q468">
            <v>0</v>
          </cell>
        </row>
        <row r="469">
          <cell r="I469" t="str">
            <v>TRHU8015860</v>
          </cell>
          <cell r="J469" t="str">
            <v>QUÂN</v>
          </cell>
          <cell r="K469">
            <v>0.125</v>
          </cell>
          <cell r="L469" t="str">
            <v>TCLU6500130</v>
          </cell>
          <cell r="O469" t="str">
            <v>VS-25/51693</v>
          </cell>
          <cell r="Q469">
            <v>0</v>
          </cell>
        </row>
        <row r="470">
          <cell r="I470" t="str">
            <v>SELU4339225</v>
          </cell>
          <cell r="J470" t="str">
            <v>HƯỜNG</v>
          </cell>
          <cell r="K470">
            <v>0.33333333333333331</v>
          </cell>
          <cell r="L470" t="str">
            <v>FFAU7492543</v>
          </cell>
          <cell r="N470" t="str">
            <v>ĐÌNH VŨ</v>
          </cell>
          <cell r="O470" t="str">
            <v>VZ-25/50408 +VZ-25/50408R +VZ-25/50408R-01</v>
          </cell>
          <cell r="P470">
            <v>5771.2</v>
          </cell>
          <cell r="Q470" t="str">
            <v>308036119920
308036089820
308036055300</v>
          </cell>
        </row>
        <row r="471">
          <cell r="I471" t="str">
            <v>FFAU6197564</v>
          </cell>
          <cell r="J471" t="str">
            <v>PHƯƠNG</v>
          </cell>
          <cell r="K471">
            <v>0.41666666666666669</v>
          </cell>
          <cell r="L471" t="str">
            <v>EGHU9416440</v>
          </cell>
          <cell r="O471" t="str">
            <v>HP</v>
          </cell>
          <cell r="Q471">
            <v>0</v>
          </cell>
        </row>
        <row r="472">
          <cell r="I472" t="str">
            <v>EGSU6392311</v>
          </cell>
          <cell r="J472" t="str">
            <v>PHƯƠNG</v>
          </cell>
          <cell r="K472">
            <v>0.54166666666666663</v>
          </cell>
          <cell r="L472" t="str">
            <v>EGSU6392311</v>
          </cell>
          <cell r="Q472">
            <v>0</v>
          </cell>
        </row>
        <row r="473">
          <cell r="I473" t="str">
            <v>FFAU7441401</v>
          </cell>
          <cell r="J473" t="str">
            <v>QUÂN</v>
          </cell>
          <cell r="K473">
            <v>0.54166666666666663</v>
          </cell>
          <cell r="L473" t="str">
            <v>CAAU8443236</v>
          </cell>
          <cell r="O473" t="str">
            <v>HP</v>
          </cell>
          <cell r="Q473">
            <v>0</v>
          </cell>
        </row>
        <row r="474">
          <cell r="I474" t="str">
            <v>EGSU9678171</v>
          </cell>
          <cell r="J474" t="str">
            <v>MẠNH</v>
          </cell>
          <cell r="K474">
            <v>0.54166666666666663</v>
          </cell>
          <cell r="L474" t="str">
            <v>MRKU2707655</v>
          </cell>
          <cell r="O474" t="str">
            <v>RTB-25/0435+SCN-25/46</v>
          </cell>
          <cell r="Q474">
            <v>0</v>
          </cell>
        </row>
        <row r="475">
          <cell r="I475" t="str">
            <v>FFAU7492543</v>
          </cell>
          <cell r="J475" t="str">
            <v>THỊNH</v>
          </cell>
          <cell r="K475">
            <v>0.58333333333333337</v>
          </cell>
          <cell r="L475" t="str">
            <v>FFAU7236114</v>
          </cell>
          <cell r="O475" t="str">
            <v>HP</v>
          </cell>
          <cell r="Q475">
            <v>0</v>
          </cell>
        </row>
        <row r="476">
          <cell r="I476" t="str">
            <v>CAAU8796378</v>
          </cell>
          <cell r="J476" t="str">
            <v>PHƯƠNG</v>
          </cell>
          <cell r="K476">
            <v>0.58333333333333337</v>
          </cell>
          <cell r="L476" t="str">
            <v>TGBU5411437</v>
          </cell>
          <cell r="Q476">
            <v>0</v>
          </cell>
        </row>
        <row r="477">
          <cell r="I477" t="str">
            <v>TIIU4678670</v>
          </cell>
          <cell r="J477" t="str">
            <v>QUÂN
THÀNH KÉO VỀ</v>
          </cell>
          <cell r="K477">
            <v>0.58333333333333337</v>
          </cell>
          <cell r="L477" t="str">
            <v>FFAU6197564</v>
          </cell>
          <cell r="N477" t="str">
            <v>TÂN CẢNG 189</v>
          </cell>
          <cell r="O477" t="str">
            <v>VZ-25/50409 +VZ-25/50409R +VZ-25/50409R-01</v>
          </cell>
          <cell r="P477" t="str">
            <v>done</v>
          </cell>
          <cell r="Q477" t="str">
            <v>308036350110
308036321850
308036278930
308036218730
308036186530</v>
          </cell>
        </row>
        <row r="478">
          <cell r="I478" t="str">
            <v>CAJU5072591</v>
          </cell>
          <cell r="J478" t="str">
            <v>QUÂN
THI KÉO VỀ</v>
          </cell>
          <cell r="K478">
            <v>0.875</v>
          </cell>
          <cell r="L478" t="str">
            <v>FFAU7441401</v>
          </cell>
          <cell r="N478" t="str">
            <v>TÂN CẢNG 189</v>
          </cell>
          <cell r="O478" t="str">
            <v>VZ-25/50410 +VZ-25/50410R +VZ-25/50410R-01</v>
          </cell>
          <cell r="P478" t="str">
            <v>done</v>
          </cell>
          <cell r="Q478" t="str">
            <v>308036971340
308036926210
308036850940
308036814210</v>
          </cell>
        </row>
        <row r="479">
          <cell r="I479" t="str">
            <v>HPCU4969091</v>
          </cell>
          <cell r="J479" t="str">
            <v>THAÀNH
HƯỜNG KÉO VỀ</v>
          </cell>
          <cell r="K479">
            <v>0.875</v>
          </cell>
          <cell r="L479" t="str">
            <v>CAAU9877237</v>
          </cell>
          <cell r="N479" t="str">
            <v>ĐÌNH VŨ</v>
          </cell>
          <cell r="O479" t="str">
            <v>HP</v>
          </cell>
          <cell r="P479" t="str">
            <v>done</v>
          </cell>
          <cell r="Q479" t="str">
            <v>308036180120</v>
          </cell>
        </row>
        <row r="480">
          <cell r="K480">
            <v>0.875</v>
          </cell>
          <cell r="Q480">
            <v>0</v>
          </cell>
        </row>
        <row r="481">
          <cell r="I481" t="str">
            <v>TGCU0202211</v>
          </cell>
          <cell r="J481" t="str">
            <v>THAÀNH</v>
          </cell>
          <cell r="K481">
            <v>0.875</v>
          </cell>
          <cell r="L481" t="str">
            <v>ONEU9162890</v>
          </cell>
          <cell r="Q481">
            <v>0</v>
          </cell>
        </row>
        <row r="482">
          <cell r="K482">
            <v>0.91666666666666663</v>
          </cell>
          <cell r="Q482">
            <v>0</v>
          </cell>
        </row>
        <row r="483">
          <cell r="I483" t="str">
            <v>TGBU9672790</v>
          </cell>
          <cell r="J483" t="str">
            <v>SƠN</v>
          </cell>
          <cell r="K483">
            <v>0.95833333333333337</v>
          </cell>
          <cell r="L483" t="str">
            <v>TGBU9672790</v>
          </cell>
          <cell r="Q483">
            <v>0</v>
          </cell>
        </row>
        <row r="484">
          <cell r="I484" t="str">
            <v>UETU7047151</v>
          </cell>
          <cell r="J484" t="str">
            <v>MẠNH</v>
          </cell>
          <cell r="K484">
            <v>0</v>
          </cell>
          <cell r="L484" t="str">
            <v>EGSU9678171</v>
          </cell>
          <cell r="O484" t="str">
            <v>RTB-25/0434</v>
          </cell>
          <cell r="Q484">
            <v>0</v>
          </cell>
        </row>
        <row r="485">
          <cell r="K485">
            <v>0.10416666666666667</v>
          </cell>
          <cell r="O485" t="str">
            <v>VI-25/58405</v>
          </cell>
          <cell r="Q485">
            <v>0</v>
          </cell>
        </row>
        <row r="486">
          <cell r="I486" t="str">
            <v>FFAU6117276</v>
          </cell>
          <cell r="J486" t="str">
            <v>DŨNG
KÉO VỀ</v>
          </cell>
          <cell r="K486">
            <v>6.25E-2</v>
          </cell>
          <cell r="N486" t="str">
            <v>ĐÌNH VŨ</v>
          </cell>
          <cell r="O486" t="str">
            <v>VI-25/58389</v>
          </cell>
          <cell r="P486" t="str">
            <v>done</v>
          </cell>
          <cell r="Q486" t="str">
            <v>308034578630</v>
          </cell>
        </row>
        <row r="487">
          <cell r="I487" t="str">
            <v>TIIU6642661</v>
          </cell>
          <cell r="J487" t="str">
            <v>VINH
KÉO VỀ</v>
          </cell>
          <cell r="K487">
            <v>0.125</v>
          </cell>
          <cell r="N487" t="str">
            <v>SITC ĐÌNH VŨ</v>
          </cell>
          <cell r="O487" t="str">
            <v>VI-25/58385</v>
          </cell>
          <cell r="P487" t="str">
            <v>done</v>
          </cell>
          <cell r="Q487" t="str">
            <v>308034680940</v>
          </cell>
        </row>
        <row r="488">
          <cell r="I488" t="str">
            <v>CAIU8382914</v>
          </cell>
          <cell r="J488" t="str">
            <v>SƠN
kéo về</v>
          </cell>
          <cell r="K488">
            <v>0.33333333333333331</v>
          </cell>
          <cell r="L488" t="str">
            <v>TCNU4924380</v>
          </cell>
          <cell r="N488" t="str">
            <v>HATECO HICT</v>
          </cell>
          <cell r="O488" t="str">
            <v>VB-25/52782</v>
          </cell>
          <cell r="P488" t="str">
            <v>done</v>
          </cell>
          <cell r="Q488" t="str">
            <v>308034030310</v>
          </cell>
        </row>
        <row r="489">
          <cell r="I489" t="str">
            <v>TCKU7231620</v>
          </cell>
          <cell r="J489" t="str">
            <v>THÀNH
kéo về</v>
          </cell>
          <cell r="K489">
            <v>0.33333333333333331</v>
          </cell>
          <cell r="L489" t="str">
            <v>TCKU7231620</v>
          </cell>
          <cell r="N489" t="str">
            <v>HATECO HICT</v>
          </cell>
          <cell r="O489" t="str">
            <v>VI-25/58404</v>
          </cell>
          <cell r="P489" t="str">
            <v>done</v>
          </cell>
          <cell r="Q489" t="str">
            <v>308034476650</v>
          </cell>
        </row>
        <row r="490">
          <cell r="I490" t="str">
            <v>CAAU6064357</v>
          </cell>
          <cell r="J490" t="str">
            <v>PHƯƠNG</v>
          </cell>
          <cell r="K490">
            <v>0.33333333333333331</v>
          </cell>
          <cell r="L490" t="str">
            <v>MRSU5353877</v>
          </cell>
          <cell r="M490" t="str">
            <v>TRI PHƯƠNG</v>
          </cell>
          <cell r="N490" t="str">
            <v>HATECO HICT</v>
          </cell>
          <cell r="O490" t="str">
            <v>VI-25/58392</v>
          </cell>
          <cell r="P490" t="str">
            <v>done</v>
          </cell>
          <cell r="Q490" t="str">
            <v>308034499900</v>
          </cell>
        </row>
        <row r="491">
          <cell r="I491" t="str">
            <v>TCKU7302512</v>
          </cell>
          <cell r="J491" t="str">
            <v>QUÂN</v>
          </cell>
          <cell r="K491">
            <v>0.33333333333333331</v>
          </cell>
          <cell r="L491" t="str">
            <v>MRSU3411207</v>
          </cell>
          <cell r="M491" t="str">
            <v>TRI PHƯƠNG</v>
          </cell>
          <cell r="N491" t="str">
            <v>HATECO HICT</v>
          </cell>
          <cell r="O491" t="str">
            <v>VI-25/58393</v>
          </cell>
          <cell r="P491" t="str">
            <v>done</v>
          </cell>
          <cell r="Q491" t="str">
            <v>308034333740</v>
          </cell>
        </row>
        <row r="492">
          <cell r="I492" t="str">
            <v>HASU4984820</v>
          </cell>
          <cell r="J492" t="str">
            <v>SÂM</v>
          </cell>
          <cell r="K492">
            <v>0.375</v>
          </cell>
          <cell r="L492" t="str">
            <v>CAAU6545922</v>
          </cell>
          <cell r="M492" t="str">
            <v>TRI PHƯƠNG</v>
          </cell>
          <cell r="N492" t="str">
            <v>HATECO HICT</v>
          </cell>
          <cell r="O492" t="str">
            <v>VI-25/58400</v>
          </cell>
          <cell r="P492" t="str">
            <v>done</v>
          </cell>
          <cell r="Q492" t="str">
            <v>308034388230</v>
          </cell>
        </row>
        <row r="493">
          <cell r="I493" t="str">
            <v>MRSU3720232</v>
          </cell>
          <cell r="J493" t="str">
            <v>ĐỨC</v>
          </cell>
          <cell r="K493">
            <v>0.42708333333333331</v>
          </cell>
          <cell r="L493" t="str">
            <v>HASU4984820</v>
          </cell>
          <cell r="M493" t="str">
            <v>TRI PHƯƠNG</v>
          </cell>
          <cell r="N493" t="str">
            <v>HATECO HICT</v>
          </cell>
          <cell r="O493" t="str">
            <v>VI-25/58401</v>
          </cell>
          <cell r="P493" t="str">
            <v>done</v>
          </cell>
          <cell r="Q493" t="str">
            <v>308034518430</v>
          </cell>
        </row>
        <row r="494">
          <cell r="I494" t="str">
            <v>CAAU8248271</v>
          </cell>
          <cell r="J494" t="str">
            <v>PHƯƠNG</v>
          </cell>
          <cell r="K494">
            <v>0.875</v>
          </cell>
          <cell r="L494" t="str">
            <v>CAAU6064357</v>
          </cell>
          <cell r="M494" t="str">
            <v>TRI PHƯƠNG</v>
          </cell>
          <cell r="N494" t="str">
            <v>HATECO HICT</v>
          </cell>
          <cell r="O494" t="str">
            <v>VI-25/58379</v>
          </cell>
          <cell r="P494" t="str">
            <v>done</v>
          </cell>
          <cell r="Q494" t="str">
            <v>308034358240</v>
          </cell>
        </row>
        <row r="495">
          <cell r="I495" t="str">
            <v>MRSU3760554</v>
          </cell>
          <cell r="J495" t="str">
            <v>SÂM</v>
          </cell>
          <cell r="K495">
            <v>0.10416666666666667</v>
          </cell>
          <cell r="L495" t="str">
            <v>MRSU3720232</v>
          </cell>
          <cell r="M495" t="str">
            <v>TRI PHƯƠNG</v>
          </cell>
          <cell r="N495" t="str">
            <v>HATECO HICT</v>
          </cell>
          <cell r="O495" t="str">
            <v>VI-25/58402</v>
          </cell>
          <cell r="P495" t="str">
            <v>done</v>
          </cell>
          <cell r="Q495" t="str">
            <v>308034529040</v>
          </cell>
        </row>
        <row r="496">
          <cell r="I496" t="str">
            <v>TGBU5411437</v>
          </cell>
          <cell r="J496" t="str">
            <v>SÂM</v>
          </cell>
          <cell r="K496" t="str">
            <v>11:00</v>
          </cell>
          <cell r="L496" t="str">
            <v>SITU9165420</v>
          </cell>
          <cell r="M496" t="str">
            <v>TRI PHƯƠNG</v>
          </cell>
          <cell r="N496" t="str">
            <v>HATECO HICT</v>
          </cell>
          <cell r="P496" t="str">
            <v>done</v>
          </cell>
          <cell r="Q496" t="str">
            <v>308034981830</v>
          </cell>
        </row>
        <row r="497">
          <cell r="I497" t="str">
            <v>MRSU3448546</v>
          </cell>
          <cell r="J497" t="str">
            <v>ĐỨC</v>
          </cell>
          <cell r="K497" t="str">
            <v>0:00</v>
          </cell>
          <cell r="L497" t="str">
            <v>MRSU3448546</v>
          </cell>
          <cell r="M497" t="str">
            <v>TRI PHƯƠNG</v>
          </cell>
          <cell r="N497" t="str">
            <v>HATECO HICT</v>
          </cell>
          <cell r="P497" t="str">
            <v>done</v>
          </cell>
          <cell r="Q497" t="str">
            <v>308035015650</v>
          </cell>
        </row>
        <row r="498">
          <cell r="I498" t="str">
            <v>MRKU2707655</v>
          </cell>
          <cell r="J498" t="str">
            <v>ĐỨC</v>
          </cell>
          <cell r="K498" t="str">
            <v>10:00</v>
          </cell>
          <cell r="L498" t="str">
            <v>CGMU5102287</v>
          </cell>
          <cell r="M498" t="str">
            <v>TRI PHƯƠNG</v>
          </cell>
          <cell r="N498" t="str">
            <v>HATECO HICT</v>
          </cell>
          <cell r="P498" t="str">
            <v>done</v>
          </cell>
          <cell r="Q498" t="str">
            <v>308035059640</v>
          </cell>
        </row>
        <row r="499">
          <cell r="I499" t="str">
            <v>CGMU6589420</v>
          </cell>
          <cell r="K499" t="str">
            <v>14:00</v>
          </cell>
          <cell r="M499" t="str">
            <v>TRI PHƯƠNG</v>
          </cell>
          <cell r="N499" t="str">
            <v xml:space="preserve">LẠCH HUYỆN </v>
          </cell>
          <cell r="Q499">
            <v>0</v>
          </cell>
        </row>
        <row r="500">
          <cell r="I500" t="str">
            <v>TCLU1238476</v>
          </cell>
          <cell r="K500" t="str">
            <v>13:00</v>
          </cell>
          <cell r="M500" t="str">
            <v>TRI PHƯƠNG</v>
          </cell>
          <cell r="N500" t="str">
            <v>TÂN VŨ</v>
          </cell>
          <cell r="Q500">
            <v>0</v>
          </cell>
        </row>
        <row r="501">
          <cell r="I501" t="str">
            <v>ONEU9045018</v>
          </cell>
          <cell r="K501" t="str">
            <v>21:00</v>
          </cell>
          <cell r="M501" t="str">
            <v>TRI PHƯƠNG</v>
          </cell>
          <cell r="N501" t="str">
            <v>TÂN VŨ</v>
          </cell>
          <cell r="Q501">
            <v>0</v>
          </cell>
        </row>
        <row r="502">
          <cell r="I502" t="str">
            <v>ONEU9162890</v>
          </cell>
          <cell r="K502" t="str">
            <v>09:00</v>
          </cell>
          <cell r="M502" t="str">
            <v>TRI PHƯƠNG</v>
          </cell>
          <cell r="N502" t="str">
            <v xml:space="preserve">LẠCH HUYỆN </v>
          </cell>
          <cell r="Q502">
            <v>0</v>
          </cell>
        </row>
        <row r="503">
          <cell r="I503" t="str">
            <v>FFAU7043650</v>
          </cell>
          <cell r="J503" t="str">
            <v>SÂM</v>
          </cell>
          <cell r="K503">
            <v>0</v>
          </cell>
          <cell r="L503" t="str">
            <v>CAAU4905059</v>
          </cell>
          <cell r="O503" t="str">
            <v>RTB-25/0437</v>
          </cell>
          <cell r="Q503">
            <v>0</v>
          </cell>
        </row>
        <row r="504">
          <cell r="I504" t="str">
            <v>EMCU6194512</v>
          </cell>
          <cell r="J504" t="str">
            <v>TRỌNG
KÉO VỀ</v>
          </cell>
          <cell r="K504">
            <v>0.45833333333333331</v>
          </cell>
          <cell r="L504" t="str">
            <v>EMCU6194512</v>
          </cell>
          <cell r="N504" t="str">
            <v>GIC</v>
          </cell>
          <cell r="O504" t="str">
            <v>VB-25/52793
CB VS-25/51702</v>
          </cell>
          <cell r="P504" t="str">
            <v>done</v>
          </cell>
          <cell r="Q504" t="str">
            <v>308038818640
308038870110</v>
          </cell>
        </row>
        <row r="505">
          <cell r="I505" t="str">
            <v>EMCU8959724</v>
          </cell>
          <cell r="J505" t="str">
            <v>TÍN  
KÉO VỀ</v>
          </cell>
          <cell r="K505">
            <v>0.875</v>
          </cell>
          <cell r="L505" t="str">
            <v>EMCU8959724</v>
          </cell>
          <cell r="N505" t="str">
            <v>GIC</v>
          </cell>
          <cell r="O505" t="str">
            <v>VF-25/50102</v>
          </cell>
          <cell r="P505" t="str">
            <v>done</v>
          </cell>
          <cell r="Q505" t="str">
            <v>308038621350</v>
          </cell>
        </row>
        <row r="506">
          <cell r="I506" t="str">
            <v>HPCU4947826</v>
          </cell>
          <cell r="J506" t="str">
            <v>HƯNG
KÉO VỀ</v>
          </cell>
          <cell r="K506">
            <v>0.125</v>
          </cell>
          <cell r="L506" t="str">
            <v>HPCU4947826</v>
          </cell>
          <cell r="N506" t="str">
            <v>SITC ĐÌNH VŨ</v>
          </cell>
          <cell r="O506" t="str">
            <v>VI-25/58444
VI-25/58343</v>
          </cell>
          <cell r="P506" t="str">
            <v>done</v>
          </cell>
          <cell r="Q506" t="str">
            <v>308038671420
308038652740</v>
          </cell>
        </row>
        <row r="507">
          <cell r="I507" t="str">
            <v>MRKU3367776</v>
          </cell>
          <cell r="J507" t="str">
            <v>PHƯƠNG</v>
          </cell>
          <cell r="K507">
            <v>4.1666666666666664E-2</v>
          </cell>
          <cell r="L507" t="str">
            <v>EITU1837870</v>
          </cell>
          <cell r="M507" t="str">
            <v>TRI PHƯƠNG</v>
          </cell>
          <cell r="N507" t="str">
            <v>HATECO HICT</v>
          </cell>
          <cell r="O507" t="str">
            <v>VB-25/52787</v>
          </cell>
          <cell r="P507" t="str">
            <v>done</v>
          </cell>
          <cell r="Q507" t="str">
            <v>308038566420</v>
          </cell>
        </row>
        <row r="508">
          <cell r="I508" t="str">
            <v>MRKU5821213</v>
          </cell>
          <cell r="J508" t="str">
            <v>THÀNH</v>
          </cell>
          <cell r="K508">
            <v>0.39583333333333331</v>
          </cell>
          <cell r="L508" t="str">
            <v>TCKU7302512</v>
          </cell>
          <cell r="M508" t="str">
            <v>TRI PHƯƠNG</v>
          </cell>
          <cell r="N508" t="str">
            <v>HATECO HICT</v>
          </cell>
          <cell r="O508" t="str">
            <v>VI-25/58440</v>
          </cell>
          <cell r="P508" t="str">
            <v>done</v>
          </cell>
          <cell r="Q508" t="str">
            <v>308038327020</v>
          </cell>
        </row>
        <row r="509">
          <cell r="I509" t="str">
            <v>TCKU7082892</v>
          </cell>
          <cell r="J509" t="str">
            <v>PHƯƠNG</v>
          </cell>
          <cell r="K509">
            <v>0.63541666666666663</v>
          </cell>
          <cell r="L509" t="str">
            <v>MRSU3760554</v>
          </cell>
          <cell r="M509" t="str">
            <v>TRI PHƯƠNG</v>
          </cell>
          <cell r="N509" t="str">
            <v>HATECO HICT</v>
          </cell>
          <cell r="O509" t="str">
            <v>VI-25/58419</v>
          </cell>
          <cell r="P509" t="str">
            <v>done</v>
          </cell>
          <cell r="Q509" t="str">
            <v>308038415920</v>
          </cell>
        </row>
        <row r="510">
          <cell r="I510" t="str">
            <v>TGBU9349299</v>
          </cell>
          <cell r="J510" t="str">
            <v>SÂM</v>
          </cell>
          <cell r="K510">
            <v>0.64583333333333337</v>
          </cell>
          <cell r="L510" t="str">
            <v>CAAU8248271</v>
          </cell>
          <cell r="M510" t="str">
            <v>TRI PHƯƠNG</v>
          </cell>
          <cell r="N510" t="str">
            <v>HATECO HICT</v>
          </cell>
          <cell r="O510" t="str">
            <v>VI-25/58439</v>
          </cell>
          <cell r="P510" t="str">
            <v>done</v>
          </cell>
          <cell r="Q510" t="str">
            <v>308038309300</v>
          </cell>
        </row>
        <row r="511">
          <cell r="I511" t="str">
            <v>CAAU5941261</v>
          </cell>
          <cell r="J511" t="str">
            <v>MẠNH</v>
          </cell>
          <cell r="K511">
            <v>0.96875</v>
          </cell>
          <cell r="L511" t="str">
            <v>MRKU5821213</v>
          </cell>
          <cell r="M511" t="str">
            <v>TRI PHƯƠNG</v>
          </cell>
          <cell r="N511" t="str">
            <v>HATECO HICT</v>
          </cell>
          <cell r="O511" t="str">
            <v>VI-25/58428</v>
          </cell>
          <cell r="P511" t="str">
            <v>done</v>
          </cell>
          <cell r="Q511" t="str">
            <v>308038340060</v>
          </cell>
        </row>
        <row r="512">
          <cell r="I512" t="str">
            <v>FFAU2343336</v>
          </cell>
          <cell r="J512" t="str">
            <v>SƠN</v>
          </cell>
          <cell r="K512">
            <v>6.25E-2</v>
          </cell>
          <cell r="L512" t="str">
            <v>TCKU7082892</v>
          </cell>
          <cell r="M512" t="str">
            <v>TRI PHƯƠNG</v>
          </cell>
          <cell r="N512" t="str">
            <v>HATECO HICT</v>
          </cell>
          <cell r="O512" t="str">
            <v>VI-25/58436</v>
          </cell>
          <cell r="P512" t="str">
            <v>done</v>
          </cell>
          <cell r="Q512" t="str">
            <v>308038396430</v>
          </cell>
        </row>
        <row r="513">
          <cell r="I513" t="str">
            <v>MRSU4847746</v>
          </cell>
          <cell r="J513" t="str">
            <v>THỊNH</v>
          </cell>
          <cell r="K513">
            <v>0.10416666666666667</v>
          </cell>
          <cell r="L513" t="str">
            <v>TGBU9349299</v>
          </cell>
          <cell r="M513" t="str">
            <v>TRI PHƯƠNG</v>
          </cell>
          <cell r="N513" t="str">
            <v>HATECO HICT</v>
          </cell>
          <cell r="O513" t="str">
            <v>VI-25/58443</v>
          </cell>
          <cell r="P513" t="str">
            <v>done</v>
          </cell>
          <cell r="Q513" t="str">
            <v>308038378120</v>
          </cell>
        </row>
        <row r="514">
          <cell r="I514" t="str">
            <v>TCKU6533311</v>
          </cell>
          <cell r="J514" t="str">
            <v>MẠNH</v>
          </cell>
          <cell r="K514" t="str">
            <v>10:00</v>
          </cell>
          <cell r="L514" t="str">
            <v>TGCU0202211</v>
          </cell>
          <cell r="M514" t="str">
            <v>TRI PHƯƠNG</v>
          </cell>
          <cell r="N514" t="str">
            <v>HATECO HICT</v>
          </cell>
          <cell r="O514" t="str">
            <v>VR-25/52750</v>
          </cell>
          <cell r="P514" t="str">
            <v>done</v>
          </cell>
          <cell r="Q514" t="str">
            <v>308039247960</v>
          </cell>
        </row>
        <row r="515">
          <cell r="I515" t="str">
            <v>TCKU7327980</v>
          </cell>
          <cell r="J515" t="str">
            <v>THỊNH</v>
          </cell>
          <cell r="K515" t="str">
            <v>11:00</v>
          </cell>
          <cell r="L515" t="str">
            <v>TCKU7327980</v>
          </cell>
          <cell r="M515" t="str">
            <v>TRI PHƯƠNG</v>
          </cell>
          <cell r="N515" t="str">
            <v>HATECO HICT</v>
          </cell>
          <cell r="P515" t="str">
            <v>done</v>
          </cell>
          <cell r="Q515" t="str">
            <v>308039291510</v>
          </cell>
        </row>
        <row r="516">
          <cell r="I516" t="str">
            <v>ONEU9062669</v>
          </cell>
          <cell r="J516" t="str">
            <v>HƯỜNG</v>
          </cell>
          <cell r="K516" t="str">
            <v>13:00</v>
          </cell>
          <cell r="L516" t="str">
            <v>ONEU9062669</v>
          </cell>
          <cell r="M516" t="str">
            <v>TRI PHƯƠNG</v>
          </cell>
          <cell r="N516" t="str">
            <v xml:space="preserve">LẠCH HUYỆN </v>
          </cell>
          <cell r="Q516">
            <v>0</v>
          </cell>
        </row>
        <row r="517">
          <cell r="I517" t="str">
            <v>TTNU8870010</v>
          </cell>
          <cell r="J517" t="str">
            <v>ĐỨC</v>
          </cell>
          <cell r="K517" t="str">
            <v>13:00</v>
          </cell>
          <cell r="L517" t="str">
            <v>TTNU8870010</v>
          </cell>
          <cell r="M517" t="str">
            <v>TRI PHƯƠNG</v>
          </cell>
          <cell r="N517" t="str">
            <v>TÂN VŨ</v>
          </cell>
          <cell r="Q517">
            <v>0</v>
          </cell>
        </row>
        <row r="518">
          <cell r="I518" t="str">
            <v>TTNU8832324</v>
          </cell>
          <cell r="J518" t="str">
            <v>SƠN</v>
          </cell>
          <cell r="K518" t="str">
            <v>14:00</v>
          </cell>
          <cell r="L518" t="str">
            <v>TCKU6533311</v>
          </cell>
          <cell r="M518" t="str">
            <v>TRI PHƯƠNG</v>
          </cell>
          <cell r="N518" t="str">
            <v>TÂN VŨ</v>
          </cell>
          <cell r="Q518">
            <v>0</v>
          </cell>
        </row>
        <row r="519">
          <cell r="I519" t="str">
            <v>FBIU5400878</v>
          </cell>
          <cell r="J519" t="str">
            <v>THÀNH</v>
          </cell>
          <cell r="K519" t="str">
            <v>15:00</v>
          </cell>
          <cell r="L519" t="str">
            <v>FBIU5400878</v>
          </cell>
          <cell r="M519" t="str">
            <v>TRI PHƯƠNG</v>
          </cell>
          <cell r="N519" t="str">
            <v xml:space="preserve">LẠCH HUYỆN </v>
          </cell>
          <cell r="Q519">
            <v>0</v>
          </cell>
        </row>
        <row r="520">
          <cell r="I520" t="str">
            <v>SZLU7002287</v>
          </cell>
          <cell r="J520" t="str">
            <v>SÂM</v>
          </cell>
          <cell r="K520" t="str">
            <v>15:00</v>
          </cell>
          <cell r="L520" t="str">
            <v>UETU7047151</v>
          </cell>
          <cell r="M520" t="str">
            <v>TRI PHƯƠNG</v>
          </cell>
          <cell r="N520" t="str">
            <v>TÂN VŨ</v>
          </cell>
          <cell r="Q520">
            <v>0</v>
          </cell>
        </row>
        <row r="521">
          <cell r="I521" t="str">
            <v>OTPU6287780</v>
          </cell>
          <cell r="J521" t="str">
            <v>ĐỨC</v>
          </cell>
          <cell r="K521" t="str">
            <v>21:00</v>
          </cell>
          <cell r="L521" t="str">
            <v>OTPU6287780</v>
          </cell>
          <cell r="M521" t="str">
            <v>TRI PHƯƠNG</v>
          </cell>
          <cell r="N521" t="str">
            <v xml:space="preserve">LẠCH HUYỆN </v>
          </cell>
          <cell r="Q521">
            <v>0</v>
          </cell>
        </row>
        <row r="522">
          <cell r="I522" t="str">
            <v>CGMU5705070</v>
          </cell>
          <cell r="J522" t="str">
            <v>QUÂN</v>
          </cell>
          <cell r="K522" t="str">
            <v>22:00</v>
          </cell>
          <cell r="L522" t="str">
            <v>CGMU5705070</v>
          </cell>
          <cell r="M522" t="str">
            <v>TRI PHƯƠNG</v>
          </cell>
          <cell r="N522" t="str">
            <v>TÂN VŨ</v>
          </cell>
          <cell r="Q522">
            <v>0</v>
          </cell>
        </row>
        <row r="523">
          <cell r="I523" t="str">
            <v>BMOU9859703</v>
          </cell>
          <cell r="J523" t="str">
            <v>THÀNH</v>
          </cell>
          <cell r="K523" t="str">
            <v>23:00</v>
          </cell>
          <cell r="L523" t="str">
            <v>BMOU9859703</v>
          </cell>
          <cell r="M523" t="str">
            <v>TRI PHƯƠNG</v>
          </cell>
          <cell r="N523" t="str">
            <v xml:space="preserve">LẠCH HUYỆN </v>
          </cell>
          <cell r="Q523">
            <v>0</v>
          </cell>
        </row>
        <row r="524">
          <cell r="I524" t="str">
            <v>FANU1844300</v>
          </cell>
          <cell r="J524" t="str">
            <v>MẠNH</v>
          </cell>
          <cell r="K524" t="str">
            <v>23:00</v>
          </cell>
          <cell r="L524" t="str">
            <v>FANU1844300</v>
          </cell>
          <cell r="M524" t="str">
            <v>TRI PHƯƠNG</v>
          </cell>
          <cell r="N524" t="str">
            <v>HATECO HICT</v>
          </cell>
          <cell r="Q524">
            <v>0</v>
          </cell>
        </row>
        <row r="525">
          <cell r="I525" t="str">
            <v>ECMU5273962</v>
          </cell>
          <cell r="K525">
            <v>0.45833333333333331</v>
          </cell>
          <cell r="O525" t="str">
            <v>VB-25/52788</v>
          </cell>
          <cell r="Q525">
            <v>0</v>
          </cell>
        </row>
        <row r="526">
          <cell r="I526" t="str">
            <v>BSIU9385301</v>
          </cell>
          <cell r="J526" t="str">
            <v>RU CIMC5</v>
          </cell>
          <cell r="K526">
            <v>0.54166666666666663</v>
          </cell>
          <cell r="L526" t="str">
            <v>BSIU9385301</v>
          </cell>
          <cell r="N526" t="str">
            <v>TÂN VŨ</v>
          </cell>
          <cell r="O526" t="str">
            <v>VH-25/50797</v>
          </cell>
          <cell r="P526" t="str">
            <v>done</v>
          </cell>
          <cell r="Q526" t="str">
            <v>308041570820</v>
          </cell>
        </row>
        <row r="527">
          <cell r="I527" t="str">
            <v>TXGU4299860</v>
          </cell>
          <cell r="J527" t="str">
            <v>THI</v>
          </cell>
          <cell r="K527">
            <v>0.41666666666666669</v>
          </cell>
          <cell r="L527" t="str">
            <v>TTNU8832324</v>
          </cell>
          <cell r="Q527">
            <v>0</v>
          </cell>
        </row>
        <row r="528">
          <cell r="I528" t="str">
            <v>GAOU6555603</v>
          </cell>
          <cell r="J528" t="str">
            <v>PHƯƠNG</v>
          </cell>
          <cell r="K528">
            <v>0.54166666666666663</v>
          </cell>
          <cell r="L528" t="str">
            <v>TIIU6428583</v>
          </cell>
          <cell r="Q528">
            <v>0</v>
          </cell>
        </row>
        <row r="529">
          <cell r="I529" t="str">
            <v>FFAU3665698</v>
          </cell>
          <cell r="J529" t="str">
            <v>THÀNH KÉO VỀ</v>
          </cell>
          <cell r="K529">
            <v>0.54166666666666663</v>
          </cell>
          <cell r="N529" t="str">
            <v>LẠCH HUYỆN</v>
          </cell>
          <cell r="P529" t="str">
            <v>done</v>
          </cell>
          <cell r="Q529" t="str">
            <v>308043475740</v>
          </cell>
        </row>
        <row r="530">
          <cell r="I530" t="str">
            <v>ONEU5506620</v>
          </cell>
          <cell r="J530" t="str">
            <v>THI
HƯỜNG KÉO VỀ</v>
          </cell>
          <cell r="K530">
            <v>0.58333333333333337</v>
          </cell>
          <cell r="L530" t="str">
            <v>TIIU5406912</v>
          </cell>
          <cell r="N530" t="str">
            <v>LẠCH HUYỆN</v>
          </cell>
          <cell r="P530" t="str">
            <v>done</v>
          </cell>
          <cell r="Q530" t="str">
            <v>308043487310</v>
          </cell>
        </row>
        <row r="531">
          <cell r="I531" t="str">
            <v>CAAU8806563</v>
          </cell>
          <cell r="J531" t="str">
            <v>SÂM
SƠN KÉO VỀ</v>
          </cell>
          <cell r="K531">
            <v>0.625</v>
          </cell>
          <cell r="L531" t="str">
            <v>TIIU5197833</v>
          </cell>
          <cell r="N531" t="str">
            <v>LẠCH HUYỆN</v>
          </cell>
          <cell r="P531" t="str">
            <v>done</v>
          </cell>
          <cell r="Q531" t="str">
            <v>308043501160</v>
          </cell>
        </row>
        <row r="532">
          <cell r="I532" t="str">
            <v xml:space="preserve">EGSU6422993 </v>
          </cell>
          <cell r="J532" t="str">
            <v>PHƯƠNG</v>
          </cell>
          <cell r="K532">
            <v>0</v>
          </cell>
          <cell r="L532" t="str">
            <v>TLLU1204134</v>
          </cell>
          <cell r="N532" t="str">
            <v>GIC</v>
          </cell>
          <cell r="O532" t="str">
            <v>RTB-25/0439</v>
          </cell>
          <cell r="Q532" t="str">
            <v>chưa có tk</v>
          </cell>
        </row>
        <row r="533">
          <cell r="I533" t="str">
            <v>FFAU7426731</v>
          </cell>
          <cell r="K533">
            <v>0.54166666666666663</v>
          </cell>
          <cell r="Q533">
            <v>0</v>
          </cell>
        </row>
        <row r="534">
          <cell r="I534" t="str">
            <v>CAAU9912195</v>
          </cell>
          <cell r="K534">
            <v>0.58333333333333337</v>
          </cell>
          <cell r="Q534">
            <v>0</v>
          </cell>
        </row>
        <row r="535">
          <cell r="I535" t="str">
            <v>HPCU5035941</v>
          </cell>
          <cell r="J535" t="str">
            <v>THỤY 
KÉO VỀ</v>
          </cell>
          <cell r="K535">
            <v>0.58333333333333337</v>
          </cell>
          <cell r="L535" t="str">
            <v>HPCU5035941</v>
          </cell>
          <cell r="N535" t="str">
            <v>ĐÌNH VŨ</v>
          </cell>
          <cell r="O535" t="str">
            <v>VI-25/58448</v>
          </cell>
          <cell r="P535" t="str">
            <v>done</v>
          </cell>
          <cell r="Q535" t="str">
            <v>308042869210</v>
          </cell>
        </row>
        <row r="536">
          <cell r="I536" t="str">
            <v>TRHU7944634</v>
          </cell>
          <cell r="J536" t="str">
            <v>THI</v>
          </cell>
          <cell r="K536">
            <v>0.41666666666666669</v>
          </cell>
          <cell r="L536" t="str">
            <v>TRHU8015860</v>
          </cell>
          <cell r="M536" t="str">
            <v>TRI PHƯƠNG</v>
          </cell>
          <cell r="N536" t="str">
            <v>HATECO HICT</v>
          </cell>
          <cell r="O536" t="str">
            <v>VB-25/52790</v>
          </cell>
          <cell r="P536" t="str">
            <v>done</v>
          </cell>
          <cell r="Q536" t="str">
            <v>308041519130</v>
          </cell>
        </row>
        <row r="537">
          <cell r="I537" t="str">
            <v>SUDU6888053</v>
          </cell>
          <cell r="J537" t="str">
            <v>THÀNH</v>
          </cell>
          <cell r="K537">
            <v>0.33333333333333331</v>
          </cell>
          <cell r="L537" t="str">
            <v>CMAU7869182</v>
          </cell>
          <cell r="M537" t="str">
            <v>TRI PHƯƠNG</v>
          </cell>
          <cell r="N537" t="str">
            <v>HATECO HICT</v>
          </cell>
          <cell r="O537" t="str">
            <v>VS-25/51698</v>
          </cell>
          <cell r="P537" t="str">
            <v>done</v>
          </cell>
          <cell r="Q537" t="str">
            <v>308041545950</v>
          </cell>
        </row>
        <row r="538">
          <cell r="I538" t="str">
            <v>GAOU7158088</v>
          </cell>
          <cell r="J538" t="str">
            <v>MẠNH</v>
          </cell>
          <cell r="K538">
            <v>0.125</v>
          </cell>
          <cell r="L538" t="str">
            <v>SUDU6888053</v>
          </cell>
          <cell r="M538" t="str">
            <v>TRI PHƯƠNG</v>
          </cell>
          <cell r="N538" t="str">
            <v>HATECO HICT</v>
          </cell>
          <cell r="O538" t="str">
            <v>VB-25/52791</v>
          </cell>
          <cell r="P538" t="str">
            <v>done</v>
          </cell>
          <cell r="Q538" t="str">
            <v>308041544550</v>
          </cell>
        </row>
        <row r="539">
          <cell r="I539" t="str">
            <v>MRSU6140480</v>
          </cell>
          <cell r="J539" t="str">
            <v>PHƯƠNG</v>
          </cell>
          <cell r="K539">
            <v>0.875</v>
          </cell>
          <cell r="L539" t="str">
            <v>ECMU5273962</v>
          </cell>
          <cell r="M539" t="str">
            <v>TRI PHƯƠNG</v>
          </cell>
          <cell r="N539" t="str">
            <v>HATECO HICT</v>
          </cell>
          <cell r="O539" t="str">
            <v>VB-25/52792
VS-25/51699</v>
          </cell>
          <cell r="P539" t="str">
            <v>done</v>
          </cell>
          <cell r="Q539" t="str">
            <v>308041553650
308041559400</v>
          </cell>
        </row>
        <row r="540">
          <cell r="I540" t="str">
            <v>FFAU7699398</v>
          </cell>
          <cell r="J540" t="str">
            <v>HƯỜNG</v>
          </cell>
          <cell r="K540">
            <v>0.875</v>
          </cell>
          <cell r="L540" t="str">
            <v>TRHU7944634</v>
          </cell>
          <cell r="M540" t="str">
            <v>TRI PHƯƠNG</v>
          </cell>
          <cell r="N540" t="str">
            <v>HATECO HICT</v>
          </cell>
          <cell r="O540" t="str">
            <v>VS-25/51700</v>
          </cell>
          <cell r="P540" t="str">
            <v>done</v>
          </cell>
          <cell r="Q540" t="str">
            <v>308041571630</v>
          </cell>
        </row>
        <row r="541">
          <cell r="I541" t="str">
            <v>CAAU9021003</v>
          </cell>
          <cell r="J541" t="str">
            <v>THÀNH</v>
          </cell>
          <cell r="K541">
            <v>0.375</v>
          </cell>
          <cell r="L541" t="str">
            <v>CAAU5941261</v>
          </cell>
          <cell r="M541" t="str">
            <v>TRI PHƯƠNG</v>
          </cell>
          <cell r="N541" t="str">
            <v>HATECO HICT</v>
          </cell>
          <cell r="O541" t="str">
            <v>VI-25/58480</v>
          </cell>
          <cell r="P541" t="str">
            <v>done</v>
          </cell>
          <cell r="Q541" t="str">
            <v>308042505100</v>
          </cell>
        </row>
        <row r="542">
          <cell r="I542" t="str">
            <v>MRSU4016608</v>
          </cell>
          <cell r="J542" t="str">
            <v>THỊNH</v>
          </cell>
          <cell r="K542">
            <v>0.57291666666666663</v>
          </cell>
          <cell r="L542" t="str">
            <v>CAAU9021003</v>
          </cell>
          <cell r="M542" t="str">
            <v>TRI PHƯƠNG</v>
          </cell>
          <cell r="N542" t="str">
            <v>HATECO HICT</v>
          </cell>
          <cell r="O542" t="str">
            <v>VI-25/58462</v>
          </cell>
          <cell r="P542" t="str">
            <v>done</v>
          </cell>
          <cell r="Q542" t="str">
            <v>308042685810</v>
          </cell>
        </row>
        <row r="543">
          <cell r="I543" t="str">
            <v>SUDU5979349</v>
          </cell>
          <cell r="J543" t="str">
            <v>SƠN</v>
          </cell>
          <cell r="K543">
            <v>0.57291666666666663</v>
          </cell>
          <cell r="L543" t="str">
            <v>SUDU5979349</v>
          </cell>
          <cell r="M543" t="str">
            <v>TRI PHƯƠNG</v>
          </cell>
          <cell r="N543" t="str">
            <v>HATECO HICT</v>
          </cell>
          <cell r="O543" t="str">
            <v>VI-25/58481</v>
          </cell>
          <cell r="P543" t="str">
            <v>done</v>
          </cell>
          <cell r="Q543" t="str">
            <v>308042714730</v>
          </cell>
        </row>
        <row r="544">
          <cell r="I544" t="str">
            <v>MRSU3935821</v>
          </cell>
          <cell r="J544" t="str">
            <v>ĐỨC</v>
          </cell>
          <cell r="K544">
            <v>0.625</v>
          </cell>
          <cell r="L544" t="str">
            <v>MRSU4016608</v>
          </cell>
          <cell r="M544" t="str">
            <v>TRI PHƯƠNG</v>
          </cell>
          <cell r="N544" t="str">
            <v>HATECO HICT</v>
          </cell>
          <cell r="O544" t="str">
            <v>VI-25/58454</v>
          </cell>
          <cell r="P544" t="str">
            <v>done</v>
          </cell>
          <cell r="Q544" t="str">
            <v>308042935120</v>
          </cell>
        </row>
        <row r="545">
          <cell r="I545" t="str">
            <v>MRSU6366586</v>
          </cell>
          <cell r="J545" t="str">
            <v>ĐỨC</v>
          </cell>
          <cell r="K545">
            <v>0.625</v>
          </cell>
          <cell r="L545" t="str">
            <v>MRSU3935821</v>
          </cell>
          <cell r="M545" t="str">
            <v>TRI PHƯƠNG</v>
          </cell>
          <cell r="N545" t="str">
            <v>HATECO HICT</v>
          </cell>
          <cell r="O545" t="str">
            <v>VI-25/58468</v>
          </cell>
          <cell r="P545" t="str">
            <v>done</v>
          </cell>
          <cell r="Q545" t="str">
            <v>308042984010</v>
          </cell>
        </row>
        <row r="546">
          <cell r="I546" t="str">
            <v>CAIU4630524</v>
          </cell>
          <cell r="J546" t="str">
            <v>RU ANH KIỆT</v>
          </cell>
          <cell r="K546">
            <v>0.91666666666666663</v>
          </cell>
          <cell r="L546" t="str">
            <v>CAIU4630524</v>
          </cell>
          <cell r="N546" t="str">
            <v>HATECO HICT</v>
          </cell>
          <cell r="O546" t="str">
            <v>VI-25/58455</v>
          </cell>
          <cell r="P546" t="str">
            <v>done</v>
          </cell>
          <cell r="Q546" t="str">
            <v>308043096710</v>
          </cell>
        </row>
        <row r="547">
          <cell r="I547" t="str">
            <v>MRSU4223056</v>
          </cell>
          <cell r="J547" t="str">
            <v>TRỌNG 
KÉO VỀ</v>
          </cell>
          <cell r="K547">
            <v>0.52083333333333337</v>
          </cell>
          <cell r="L547" t="str">
            <v>MRSU4223056</v>
          </cell>
          <cell r="N547" t="str">
            <v>HATECO HICT</v>
          </cell>
          <cell r="O547" t="str">
            <v>VI-25/58456</v>
          </cell>
          <cell r="P547" t="str">
            <v>done</v>
          </cell>
          <cell r="Q547" t="str">
            <v>308042420030</v>
          </cell>
        </row>
        <row r="548">
          <cell r="I548" t="str">
            <v>GCXU5713856</v>
          </cell>
          <cell r="J548" t="str">
            <v>ĐỨC</v>
          </cell>
          <cell r="K548" t="str">
            <v>9:00</v>
          </cell>
          <cell r="L548" t="str">
            <v>ONEU9418467</v>
          </cell>
          <cell r="M548" t="str">
            <v>TRI PHƯƠNG</v>
          </cell>
          <cell r="N548" t="str">
            <v>HATECO HICT</v>
          </cell>
          <cell r="P548" t="str">
            <v>done</v>
          </cell>
          <cell r="Q548" t="str">
            <v>308043211030</v>
          </cell>
        </row>
        <row r="549">
          <cell r="I549" t="str">
            <v>GCXU6289737</v>
          </cell>
          <cell r="J549" t="str">
            <v>MẠNH</v>
          </cell>
          <cell r="K549" t="str">
            <v>10:00</v>
          </cell>
          <cell r="L549" t="str">
            <v>TIIU5671979</v>
          </cell>
          <cell r="M549" t="str">
            <v>TRI PHƯƠNG</v>
          </cell>
          <cell r="N549" t="str">
            <v>HATECO HICT</v>
          </cell>
          <cell r="P549" t="str">
            <v>done</v>
          </cell>
          <cell r="Q549" t="str">
            <v>308043183360</v>
          </cell>
        </row>
        <row r="550">
          <cell r="I550" t="str">
            <v>CIPU5032564</v>
          </cell>
          <cell r="J550" t="str">
            <v>QUÂN</v>
          </cell>
          <cell r="K550">
            <v>0.54166666666666663</v>
          </cell>
          <cell r="L550" t="str">
            <v>TLLU1121343</v>
          </cell>
          <cell r="M550" t="str">
            <v>TRI PHƯƠNG</v>
          </cell>
          <cell r="N550" t="str">
            <v>HATECO HICT</v>
          </cell>
          <cell r="P550" t="str">
            <v>done</v>
          </cell>
          <cell r="Q550" t="str">
            <v>308043232140</v>
          </cell>
        </row>
        <row r="551">
          <cell r="I551" t="str">
            <v>MRSU7907181</v>
          </cell>
          <cell r="J551" t="str">
            <v>QUÂN</v>
          </cell>
          <cell r="K551" t="str">
            <v>14:00</v>
          </cell>
          <cell r="L551" t="str">
            <v>SELU4283234</v>
          </cell>
          <cell r="M551" t="str">
            <v>TRI PHƯƠNG</v>
          </cell>
          <cell r="N551" t="str">
            <v>HATECO HICT</v>
          </cell>
          <cell r="P551" t="str">
            <v>done</v>
          </cell>
          <cell r="Q551" t="str">
            <v>308043149540</v>
          </cell>
        </row>
        <row r="552">
          <cell r="I552" t="str">
            <v>UETU8098385</v>
          </cell>
          <cell r="J552" t="str">
            <v>THỊNH</v>
          </cell>
          <cell r="K552">
            <v>0.91666666666666663</v>
          </cell>
          <cell r="L552" t="str">
            <v>ONEU9214930</v>
          </cell>
          <cell r="M552" t="str">
            <v>TRI PHƯƠNG</v>
          </cell>
          <cell r="N552" t="str">
            <v>HATECO HICT</v>
          </cell>
          <cell r="P552" t="str">
            <v>done</v>
          </cell>
          <cell r="Q552" t="str">
            <v>308043267250</v>
          </cell>
        </row>
        <row r="553">
          <cell r="I553" t="str">
            <v>FFAU5175196</v>
          </cell>
          <cell r="J553" t="str">
            <v>ĐỨC</v>
          </cell>
          <cell r="K553" t="str">
            <v>0:00</v>
          </cell>
          <cell r="L553" t="str">
            <v>FFAU7252795</v>
          </cell>
          <cell r="M553" t="str">
            <v>TRI PHƯƠNG</v>
          </cell>
          <cell r="N553" t="str">
            <v>HATECO HICT</v>
          </cell>
          <cell r="P553" t="str">
            <v>done</v>
          </cell>
          <cell r="Q553" t="str">
            <v>308043290940</v>
          </cell>
        </row>
        <row r="554">
          <cell r="I554" t="str">
            <v>MNBU4568034</v>
          </cell>
          <cell r="J554" t="str">
            <v>THỊNH
CHƯA VỀ</v>
          </cell>
          <cell r="K554" t="str">
            <v>22:00</v>
          </cell>
          <cell r="L554" t="str">
            <v>MNBU4046148</v>
          </cell>
          <cell r="N554" t="str">
            <v>HATECO HICT</v>
          </cell>
          <cell r="O554" t="str">
            <v>VP-25/53962</v>
          </cell>
          <cell r="P554" t="str">
            <v>done</v>
          </cell>
          <cell r="Q554" t="str">
            <v>308044094800</v>
          </cell>
        </row>
        <row r="555">
          <cell r="I555" t="str">
            <v>GCXU5530686</v>
          </cell>
          <cell r="J555" t="str">
            <v>RU ANH KIỆT</v>
          </cell>
          <cell r="K555" t="str">
            <v>23:00</v>
          </cell>
          <cell r="L555" t="str">
            <v>GCXU5530686</v>
          </cell>
          <cell r="N555" t="str">
            <v>HATECO HICT</v>
          </cell>
          <cell r="O555" t="str">
            <v>VP-25/53960</v>
          </cell>
          <cell r="P555" t="str">
            <v>done</v>
          </cell>
          <cell r="Q555" t="str">
            <v>308044054310</v>
          </cell>
        </row>
        <row r="556">
          <cell r="I556" t="str">
            <v>CAAU9052200</v>
          </cell>
          <cell r="J556" t="str">
            <v>RU ANH KIỆT</v>
          </cell>
          <cell r="K556" t="str">
            <v>21:00</v>
          </cell>
          <cell r="L556" t="str">
            <v>CAAU9052200</v>
          </cell>
          <cell r="N556" t="str">
            <v>HATECO HICT</v>
          </cell>
          <cell r="O556" t="str">
            <v>VP-25/53961
cb VV-25/50149</v>
          </cell>
          <cell r="P556" t="str">
            <v>done</v>
          </cell>
          <cell r="Q556" t="str">
            <v>308044183330
308044204000</v>
          </cell>
        </row>
        <row r="557">
          <cell r="I557" t="str">
            <v>MNBU4046148</v>
          </cell>
          <cell r="J557" t="str">
            <v>SƠN 
THỊNH KÉO VỀ</v>
          </cell>
          <cell r="K557" t="str">
            <v>15:00</v>
          </cell>
          <cell r="L557" t="str">
            <v>ONEU9462412</v>
          </cell>
          <cell r="N557" t="str">
            <v>HATECO HICT</v>
          </cell>
          <cell r="O557" t="str">
            <v>VP-25/53963</v>
          </cell>
          <cell r="P557" t="str">
            <v>done</v>
          </cell>
          <cell r="Q557" t="str">
            <v>308044138860</v>
          </cell>
        </row>
        <row r="558">
          <cell r="I558" t="str">
            <v>ONEU9418467</v>
          </cell>
          <cell r="J558" t="str">
            <v>SƠN</v>
          </cell>
          <cell r="K558" t="str">
            <v>08:00</v>
          </cell>
          <cell r="L558" t="str">
            <v>ONEU9045018</v>
          </cell>
          <cell r="M558" t="str">
            <v>TRI PHƯƠNG</v>
          </cell>
          <cell r="N558" t="str">
            <v xml:space="preserve">LẠCH HUYỆN </v>
          </cell>
          <cell r="Q558">
            <v>0</v>
          </cell>
        </row>
        <row r="559">
          <cell r="I559" t="str">
            <v>FBIU5354685</v>
          </cell>
          <cell r="J559" t="str">
            <v>THỊNH</v>
          </cell>
          <cell r="K559" t="str">
            <v>09:00</v>
          </cell>
          <cell r="L559" t="str">
            <v>SZLU7002287</v>
          </cell>
          <cell r="M559" t="str">
            <v>TRI PHƯƠNG</v>
          </cell>
          <cell r="N559" t="str">
            <v xml:space="preserve">LẠCH HUYỆN </v>
          </cell>
          <cell r="Q559">
            <v>0</v>
          </cell>
        </row>
        <row r="560">
          <cell r="I560" t="str">
            <v>ONEU9305711</v>
          </cell>
          <cell r="J560" t="str">
            <v>HƯỜNG</v>
          </cell>
          <cell r="K560" t="str">
            <v>10:00</v>
          </cell>
          <cell r="L560" t="str">
            <v>HPCU4969091</v>
          </cell>
          <cell r="M560" t="str">
            <v>TRI PHƯƠNG</v>
          </cell>
          <cell r="N560" t="str">
            <v xml:space="preserve">LẠCH HUYỆN </v>
          </cell>
          <cell r="Q560">
            <v>0</v>
          </cell>
        </row>
        <row r="561">
          <cell r="I561" t="str">
            <v>ONEU9370867</v>
          </cell>
          <cell r="J561" t="str">
            <v>QUÂN</v>
          </cell>
          <cell r="K561" t="str">
            <v>10:00</v>
          </cell>
          <cell r="L561" t="str">
            <v>FBIU5354685</v>
          </cell>
          <cell r="M561" t="str">
            <v>TRI PHƯƠNG</v>
          </cell>
          <cell r="N561" t="str">
            <v xml:space="preserve">LẠCH HUYỆN </v>
          </cell>
          <cell r="Q561">
            <v>0</v>
          </cell>
        </row>
        <row r="562">
          <cell r="I562" t="str">
            <v>TLLU1121343</v>
          </cell>
          <cell r="J562" t="str">
            <v>THI</v>
          </cell>
          <cell r="K562" t="str">
            <v>10:00</v>
          </cell>
          <cell r="L562" t="str">
            <v>TXGU4299860</v>
          </cell>
          <cell r="M562" t="str">
            <v>TRI PHƯƠNG</v>
          </cell>
          <cell r="N562" t="str">
            <v xml:space="preserve">LẠCH HUYỆN </v>
          </cell>
          <cell r="Q562">
            <v>0</v>
          </cell>
        </row>
        <row r="563">
          <cell r="I563" t="str">
            <v>TLLU1204134</v>
          </cell>
          <cell r="J563" t="str">
            <v>THÀNH</v>
          </cell>
          <cell r="K563" t="str">
            <v>11:00</v>
          </cell>
          <cell r="L563" t="str">
            <v>SZLU9741054</v>
          </cell>
          <cell r="M563" t="str">
            <v>TRI PHƯƠNG</v>
          </cell>
          <cell r="N563" t="str">
            <v xml:space="preserve">LẠCH HUYỆN </v>
          </cell>
          <cell r="Q563">
            <v>0</v>
          </cell>
        </row>
        <row r="564">
          <cell r="I564" t="str">
            <v>SZLU9741054</v>
          </cell>
          <cell r="J564" t="str">
            <v>QUÂN</v>
          </cell>
          <cell r="K564" t="str">
            <v>11:00</v>
          </cell>
          <cell r="L564" t="str">
            <v>ONEU9370867</v>
          </cell>
          <cell r="M564" t="str">
            <v>TRI PHƯƠNG</v>
          </cell>
          <cell r="N564" t="str">
            <v xml:space="preserve">LẠCH HUYỆN </v>
          </cell>
          <cell r="Q564">
            <v>0</v>
          </cell>
        </row>
        <row r="565">
          <cell r="I565" t="str">
            <v>FBIU5281110</v>
          </cell>
          <cell r="J565" t="str">
            <v>SƠN
THI KÉO VỀ</v>
          </cell>
          <cell r="K565" t="str">
            <v>13:00</v>
          </cell>
          <cell r="L565" t="str">
            <v>ONEU9305711</v>
          </cell>
          <cell r="N565" t="str">
            <v xml:space="preserve">LẠCH HUYỆN </v>
          </cell>
          <cell r="P565" t="str">
            <v>done</v>
          </cell>
          <cell r="Q565" t="str">
            <v>308043083300</v>
          </cell>
        </row>
        <row r="566">
          <cell r="I566" t="str">
            <v>ONEU9462412</v>
          </cell>
          <cell r="J566" t="str">
            <v>THỊNH</v>
          </cell>
          <cell r="K566" t="str">
            <v>14:00</v>
          </cell>
          <cell r="L566" t="str">
            <v>GCXU6289737</v>
          </cell>
          <cell r="M566" t="str">
            <v>TRI PHƯƠNG</v>
          </cell>
          <cell r="N566" t="str">
            <v xml:space="preserve">LẠCH HUYỆN </v>
          </cell>
          <cell r="Q566">
            <v>0</v>
          </cell>
        </row>
        <row r="567">
          <cell r="I567" t="str">
            <v>ONEU9214930</v>
          </cell>
          <cell r="J567" t="str">
            <v>THÀNH</v>
          </cell>
          <cell r="K567" t="str">
            <v>15:00</v>
          </cell>
          <cell r="L567" t="str">
            <v>FFAU3665698</v>
          </cell>
          <cell r="M567" t="str">
            <v>TRI PHƯƠNG</v>
          </cell>
          <cell r="N567" t="str">
            <v xml:space="preserve">LẠCH HUYỆN </v>
          </cell>
          <cell r="Q567">
            <v>0</v>
          </cell>
        </row>
        <row r="568">
          <cell r="I568" t="str">
            <v>CGMU6596435</v>
          </cell>
          <cell r="J568" t="str">
            <v>SƠN</v>
          </cell>
          <cell r="K568" t="str">
            <v>21:00</v>
          </cell>
          <cell r="L568" t="str">
            <v>FFAU5175196</v>
          </cell>
          <cell r="M568" t="str">
            <v>TRI PHƯƠNG</v>
          </cell>
          <cell r="N568" t="str">
            <v>TÂN VŨ</v>
          </cell>
          <cell r="Q568">
            <v>0</v>
          </cell>
        </row>
        <row r="569">
          <cell r="I569" t="str">
            <v>FDCU0549285</v>
          </cell>
          <cell r="J569" t="str">
            <v>THÀNH</v>
          </cell>
          <cell r="K569">
            <v>0.33333333333333331</v>
          </cell>
          <cell r="L569" t="str">
            <v>MRSU5792144</v>
          </cell>
          <cell r="O569" t="str">
            <v>VH-25/50807</v>
          </cell>
          <cell r="Q569">
            <v>0</v>
          </cell>
        </row>
        <row r="570">
          <cell r="I570" t="str">
            <v>TLLU7614080</v>
          </cell>
          <cell r="J570" t="str">
            <v>THÀNH</v>
          </cell>
          <cell r="K570">
            <v>0.33333333333333331</v>
          </cell>
          <cell r="L570" t="str">
            <v>ECMU7263860</v>
          </cell>
          <cell r="O570" t="str">
            <v>VH-25/50800</v>
          </cell>
          <cell r="Q570">
            <v>0</v>
          </cell>
        </row>
        <row r="571">
          <cell r="I571" t="str">
            <v>TCKU7142630</v>
          </cell>
          <cell r="J571" t="str">
            <v>SƠN</v>
          </cell>
          <cell r="K571">
            <v>0.625</v>
          </cell>
          <cell r="L571" t="str">
            <v>TLLU7614080</v>
          </cell>
          <cell r="O571" t="str">
            <v>VB-25/52795</v>
          </cell>
          <cell r="Q571">
            <v>0</v>
          </cell>
        </row>
        <row r="572">
          <cell r="I572" t="str">
            <v>SELU4241624</v>
          </cell>
          <cell r="J572" t="str">
            <v>MẠNH</v>
          </cell>
          <cell r="K572">
            <v>0.95833333333333337</v>
          </cell>
          <cell r="L572" t="str">
            <v>TCKU7142630</v>
          </cell>
          <cell r="O572" t="str">
            <v>VB-25/52796</v>
          </cell>
          <cell r="Q572">
            <v>0</v>
          </cell>
        </row>
        <row r="573">
          <cell r="I573" t="str">
            <v>TCNU5607203</v>
          </cell>
          <cell r="J573" t="str">
            <v>SƠN</v>
          </cell>
          <cell r="K573">
            <v>0.125</v>
          </cell>
          <cell r="L573" t="str">
            <v>FDCU0549285</v>
          </cell>
          <cell r="O573" t="str">
            <v>VH-25/50801</v>
          </cell>
          <cell r="Q573">
            <v>0</v>
          </cell>
        </row>
        <row r="574">
          <cell r="I574" t="str">
            <v>ONEU5476399</v>
          </cell>
          <cell r="J574" t="str">
            <v>THÀNH</v>
          </cell>
          <cell r="K574">
            <v>0.375</v>
          </cell>
          <cell r="L574" t="str">
            <v xml:space="preserve">EGSU6422993 </v>
          </cell>
          <cell r="Q574">
            <v>0</v>
          </cell>
        </row>
        <row r="575">
          <cell r="I575" t="str">
            <v>ONEU0574094</v>
          </cell>
          <cell r="J575" t="str">
            <v>DĐỨC</v>
          </cell>
          <cell r="K575">
            <v>0.41666666666666669</v>
          </cell>
          <cell r="L575" t="str">
            <v>MRSU7907181</v>
          </cell>
          <cell r="N575" t="str">
            <v>LẠCH HUYỆN</v>
          </cell>
          <cell r="P575" t="str">
            <v>done</v>
          </cell>
          <cell r="Q575" t="str">
            <v>308047640300</v>
          </cell>
        </row>
        <row r="576">
          <cell r="I576" t="str">
            <v>MSNU5590825</v>
          </cell>
          <cell r="K576">
            <v>0.58333333333333337</v>
          </cell>
          <cell r="Q576">
            <v>0</v>
          </cell>
        </row>
        <row r="577">
          <cell r="K577">
            <v>0.875</v>
          </cell>
          <cell r="Q577">
            <v>0</v>
          </cell>
        </row>
        <row r="578">
          <cell r="I578" t="str">
            <v>CMAU6123645</v>
          </cell>
          <cell r="J578" t="str">
            <v>THI</v>
          </cell>
          <cell r="K578">
            <v>0.95833333333333337</v>
          </cell>
          <cell r="L578" t="str">
            <v>FBIU5281110</v>
          </cell>
          <cell r="Q578">
            <v>0</v>
          </cell>
        </row>
        <row r="579">
          <cell r="I579" t="str">
            <v>HPCU5030410</v>
          </cell>
          <cell r="K579">
            <v>0.625</v>
          </cell>
          <cell r="Q579">
            <v>0</v>
          </cell>
        </row>
        <row r="580">
          <cell r="I580" t="str">
            <v>FFAU7240937</v>
          </cell>
          <cell r="K580">
            <v>0.54166666666666663</v>
          </cell>
          <cell r="Q580">
            <v>0</v>
          </cell>
        </row>
        <row r="581">
          <cell r="I581" t="str">
            <v>UETU5537530</v>
          </cell>
          <cell r="J581" t="str">
            <v>VINH 
kéo về</v>
          </cell>
          <cell r="K581">
            <v>0.375</v>
          </cell>
          <cell r="L581" t="str">
            <v>CAAU9912195</v>
          </cell>
          <cell r="N581" t="str">
            <v>GIC</v>
          </cell>
          <cell r="P581" t="str">
            <v>done</v>
          </cell>
          <cell r="Q581" t="str">
            <v>308047288310</v>
          </cell>
        </row>
        <row r="582">
          <cell r="I582" t="str">
            <v>ONEU0737680</v>
          </cell>
          <cell r="J582" t="str">
            <v>THỊNH
THÀNH KÉO VỀ</v>
          </cell>
          <cell r="L582" t="str">
            <v>MRSU5817561</v>
          </cell>
          <cell r="N582" t="str">
            <v>LẠCH HUYỆN</v>
          </cell>
          <cell r="P582" t="str">
            <v>done</v>
          </cell>
          <cell r="Q582" t="str">
            <v>308043059720</v>
          </cell>
        </row>
        <row r="583">
          <cell r="I583" t="str">
            <v>CAAU7728445</v>
          </cell>
          <cell r="J583" t="str">
            <v>HƯỜNG</v>
          </cell>
          <cell r="K583">
            <v>0.33333333333333331</v>
          </cell>
          <cell r="L583" t="str">
            <v>SUDU5979349</v>
          </cell>
          <cell r="M583" t="str">
            <v>TRI PHƯƠNG</v>
          </cell>
          <cell r="N583" t="str">
            <v>HATECO HICT</v>
          </cell>
          <cell r="O583" t="str">
            <v>VI-25/58486</v>
          </cell>
          <cell r="P583" t="str">
            <v>done</v>
          </cell>
          <cell r="Q583" t="str">
            <v>308045968440</v>
          </cell>
        </row>
        <row r="584">
          <cell r="I584" t="str">
            <v>MRSU6763515</v>
          </cell>
          <cell r="J584" t="str">
            <v>MẠNH</v>
          </cell>
          <cell r="K584">
            <v>0.33333333333333331</v>
          </cell>
          <cell r="L584" t="str">
            <v>FFAU2343336</v>
          </cell>
          <cell r="M584" t="str">
            <v>TRI PHƯƠNG</v>
          </cell>
          <cell r="N584" t="str">
            <v>HATECO HICT</v>
          </cell>
          <cell r="O584" t="str">
            <v>VI-25/58507</v>
          </cell>
          <cell r="P584" t="str">
            <v>done</v>
          </cell>
          <cell r="Q584" t="str">
            <v>308046004840</v>
          </cell>
        </row>
        <row r="585">
          <cell r="I585" t="str">
            <v>MRSU8135360</v>
          </cell>
          <cell r="J585" t="str">
            <v>SƠN</v>
          </cell>
          <cell r="K585">
            <v>0.34375</v>
          </cell>
          <cell r="L585" t="str">
            <v>MRSU6763515</v>
          </cell>
          <cell r="M585" t="str">
            <v>TRI PHƯƠNG</v>
          </cell>
          <cell r="N585" t="str">
            <v>HATECO HICT</v>
          </cell>
          <cell r="O585" t="str">
            <v>VI-25/58508</v>
          </cell>
          <cell r="P585" t="str">
            <v>done</v>
          </cell>
          <cell r="Q585" t="str">
            <v>308046050930</v>
          </cell>
        </row>
        <row r="586">
          <cell r="I586" t="str">
            <v>CAAU9306921</v>
          </cell>
          <cell r="J586" t="str">
            <v>HƯỜNG</v>
          </cell>
          <cell r="K586">
            <v>0.40625</v>
          </cell>
          <cell r="L586" t="str">
            <v>CAAU7728445</v>
          </cell>
          <cell r="M586" t="str">
            <v>TRI PHƯƠNG</v>
          </cell>
          <cell r="N586" t="str">
            <v>HATECO HICT</v>
          </cell>
          <cell r="O586" t="str">
            <v>VI-25/58491</v>
          </cell>
          <cell r="P586" t="str">
            <v>done</v>
          </cell>
          <cell r="Q586" t="str">
            <v>308046082800</v>
          </cell>
        </row>
        <row r="587">
          <cell r="I587" t="str">
            <v>CAAU9038182</v>
          </cell>
          <cell r="J587" t="str">
            <v>SÂM</v>
          </cell>
          <cell r="K587">
            <v>0.97916666666666663</v>
          </cell>
          <cell r="L587" t="str">
            <v>MRSU6366586</v>
          </cell>
          <cell r="M587" t="str">
            <v>TRI PHƯƠNG</v>
          </cell>
          <cell r="N587" t="str">
            <v>HATECO HICT</v>
          </cell>
          <cell r="O587" t="str">
            <v>VI-25/58506</v>
          </cell>
          <cell r="P587" t="str">
            <v>done</v>
          </cell>
          <cell r="Q587">
            <v>308046396360</v>
          </cell>
        </row>
        <row r="588">
          <cell r="I588" t="str">
            <v>CAAU9049818</v>
          </cell>
          <cell r="J588" t="str">
            <v>QUÂN</v>
          </cell>
          <cell r="K588">
            <v>6.25E-2</v>
          </cell>
          <cell r="L588" t="str">
            <v>CAAU9306921</v>
          </cell>
          <cell r="M588" t="str">
            <v>TRI PHƯƠNG</v>
          </cell>
          <cell r="N588" t="str">
            <v>HATECO HICT</v>
          </cell>
          <cell r="O588" t="str">
            <v>VI-25/58509</v>
          </cell>
          <cell r="P588" t="str">
            <v>done</v>
          </cell>
          <cell r="Q588" t="str">
            <v>308046431620</v>
          </cell>
        </row>
        <row r="589">
          <cell r="I589" t="str">
            <v>MRSU6647942</v>
          </cell>
          <cell r="J589" t="str">
            <v>ĐỨC</v>
          </cell>
          <cell r="K589">
            <v>7.2916666666666671E-2</v>
          </cell>
          <cell r="M589" t="str">
            <v>TRI PHƯƠNG</v>
          </cell>
          <cell r="N589" t="str">
            <v>HATECO HICT</v>
          </cell>
          <cell r="O589" t="str">
            <v>VI-25/58493</v>
          </cell>
          <cell r="P589" t="str">
            <v>done</v>
          </cell>
          <cell r="Q589" t="str">
            <v>308046497160</v>
          </cell>
        </row>
        <row r="590">
          <cell r="I590" t="str">
            <v>CAAU9353775</v>
          </cell>
          <cell r="J590" t="str">
            <v>SÂM</v>
          </cell>
          <cell r="K590">
            <v>9.375E-2</v>
          </cell>
          <cell r="L590" t="str">
            <v>CAAU9353775</v>
          </cell>
          <cell r="M590" t="str">
            <v>TRI PHƯƠNG</v>
          </cell>
          <cell r="N590" t="str">
            <v>HATECO HICT</v>
          </cell>
          <cell r="O590" t="str">
            <v>VI-25/58492</v>
          </cell>
          <cell r="P590" t="str">
            <v>done</v>
          </cell>
          <cell r="Q590" t="str">
            <v>308046524500</v>
          </cell>
        </row>
        <row r="591">
          <cell r="I591" t="str">
            <v>MRSU5792144</v>
          </cell>
          <cell r="J591" t="str">
            <v>PHƯƠNG</v>
          </cell>
          <cell r="K591">
            <v>0.54166666666666663</v>
          </cell>
          <cell r="L591" t="str">
            <v>FFAU7699398</v>
          </cell>
          <cell r="M591" t="str">
            <v>TRI PHƯƠNG</v>
          </cell>
          <cell r="N591" t="str">
            <v>HATECO HICT</v>
          </cell>
          <cell r="O591" t="str">
            <v>VS-25/51703</v>
          </cell>
          <cell r="P591" t="str">
            <v>done</v>
          </cell>
          <cell r="Q591" t="str">
            <v>308046451440</v>
          </cell>
        </row>
        <row r="592">
          <cell r="I592" t="str">
            <v>MSKU1269617</v>
          </cell>
          <cell r="J592" t="str">
            <v>HƯỜNG</v>
          </cell>
          <cell r="K592">
            <v>0.875</v>
          </cell>
          <cell r="L592" t="str">
            <v>MRSU6140480</v>
          </cell>
          <cell r="M592" t="str">
            <v>TRI PHƯƠNG</v>
          </cell>
          <cell r="N592" t="str">
            <v>HATECO HICT</v>
          </cell>
          <cell r="O592" t="str">
            <v>VB-25/52794</v>
          </cell>
          <cell r="P592" t="str">
            <v>done</v>
          </cell>
          <cell r="Q592" t="str">
            <v>308045461310</v>
          </cell>
        </row>
        <row r="593">
          <cell r="I593" t="str">
            <v>MRSU4095000</v>
          </cell>
          <cell r="J593" t="str">
            <v>PHƯƠNG</v>
          </cell>
          <cell r="K593">
            <v>0.875</v>
          </cell>
          <cell r="L593" t="str">
            <v>GAOU7158088</v>
          </cell>
          <cell r="M593" t="str">
            <v>TRI PHƯƠNG</v>
          </cell>
          <cell r="N593" t="str">
            <v>HATECO HICT</v>
          </cell>
          <cell r="O593" t="str">
            <v>VS-25/51706</v>
          </cell>
          <cell r="P593" t="str">
            <v>done</v>
          </cell>
          <cell r="Q593" t="str">
            <v>308045464330</v>
          </cell>
        </row>
        <row r="594">
          <cell r="I594" t="str">
            <v>MRSU5817561</v>
          </cell>
          <cell r="J594" t="str">
            <v>SÂM</v>
          </cell>
          <cell r="K594">
            <v>0.54166666666666663</v>
          </cell>
          <cell r="L594" t="str">
            <v>CIPU5032564</v>
          </cell>
          <cell r="M594" t="str">
            <v>TRI PHƯƠNG</v>
          </cell>
          <cell r="N594" t="str">
            <v>HATECO HICT</v>
          </cell>
          <cell r="P594" t="str">
            <v>done</v>
          </cell>
          <cell r="Q594" t="str">
            <v>308047063460</v>
          </cell>
        </row>
        <row r="595">
          <cell r="I595" t="str">
            <v>GAOU7069231</v>
          </cell>
          <cell r="J595" t="str">
            <v>SƠN</v>
          </cell>
          <cell r="K595">
            <v>0.58333333333333337</v>
          </cell>
          <cell r="L595" t="str">
            <v>FFAU7426731</v>
          </cell>
          <cell r="M595" t="str">
            <v>TRI PHƯƠNG</v>
          </cell>
          <cell r="N595" t="str">
            <v>HATECO HICT</v>
          </cell>
          <cell r="P595" t="str">
            <v>done</v>
          </cell>
          <cell r="Q595" t="str">
            <v>308047177820</v>
          </cell>
        </row>
        <row r="596">
          <cell r="I596" t="str">
            <v>CAAU7584760</v>
          </cell>
          <cell r="J596" t="str">
            <v>THỊNH</v>
          </cell>
          <cell r="K596">
            <v>0.91666666666666663</v>
          </cell>
          <cell r="L596" t="str">
            <v>CGMU6596435</v>
          </cell>
          <cell r="M596" t="str">
            <v>TRI PHƯƠNG</v>
          </cell>
          <cell r="N596" t="str">
            <v>HATECO HICT</v>
          </cell>
          <cell r="P596" t="str">
            <v>done</v>
          </cell>
          <cell r="Q596" t="str">
            <v>308047973350</v>
          </cell>
        </row>
        <row r="597">
          <cell r="I597" t="str">
            <v>HAMU2389581</v>
          </cell>
          <cell r="J597" t="str">
            <v>QUÂN</v>
          </cell>
          <cell r="K597">
            <v>0.54166666666666663</v>
          </cell>
          <cell r="L597" t="str">
            <v>CXRU1134930</v>
          </cell>
          <cell r="Q597">
            <v>0</v>
          </cell>
        </row>
        <row r="598">
          <cell r="I598" t="str">
            <v>TRIU8115457</v>
          </cell>
          <cell r="J598" t="str">
            <v>THI</v>
          </cell>
          <cell r="K598" t="str">
            <v>15:00</v>
          </cell>
          <cell r="L598" t="str">
            <v>FFAU7043650</v>
          </cell>
          <cell r="Q598">
            <v>0</v>
          </cell>
        </row>
        <row r="599">
          <cell r="I599" t="str">
            <v>GESU9574534</v>
          </cell>
          <cell r="J599" t="str">
            <v>MẠNH</v>
          </cell>
          <cell r="K599" t="str">
            <v>11:00</v>
          </cell>
          <cell r="L599" t="str">
            <v>TIIU5006562 </v>
          </cell>
          <cell r="Q599">
            <v>0</v>
          </cell>
        </row>
        <row r="600">
          <cell r="I600" t="str">
            <v>CXRU1134930</v>
          </cell>
          <cell r="J600" t="str">
            <v>PHƯƠNG</v>
          </cell>
          <cell r="K600" t="str">
            <v>14:00</v>
          </cell>
          <cell r="L600" t="str">
            <v>MNBU4568034</v>
          </cell>
          <cell r="Q600">
            <v>0</v>
          </cell>
        </row>
        <row r="601">
          <cell r="I601" t="str">
            <v>AMCU9398773</v>
          </cell>
          <cell r="J601" t="str">
            <v>HƯỜNG</v>
          </cell>
          <cell r="K601" t="str">
            <v>23:00</v>
          </cell>
          <cell r="L601" t="str">
            <v>ONEU5506620</v>
          </cell>
          <cell r="Q601">
            <v>0</v>
          </cell>
        </row>
        <row r="602">
          <cell r="I602" t="str">
            <v>ONEU9356088</v>
          </cell>
          <cell r="J602" t="str">
            <v>ĐỨC</v>
          </cell>
          <cell r="K602" t="str">
            <v>21:00</v>
          </cell>
          <cell r="L602" t="str">
            <v>GESU9574534</v>
          </cell>
          <cell r="N602" t="str">
            <v>LẠCH HUYỆN</v>
          </cell>
          <cell r="P602" t="str">
            <v>done</v>
          </cell>
          <cell r="Q602" t="str">
            <v>308047820750</v>
          </cell>
        </row>
        <row r="603">
          <cell r="I603" t="str">
            <v>TLLU1126556</v>
          </cell>
          <cell r="J603" t="str">
            <v>THÀNH
SÂM KÉO VỀ</v>
          </cell>
          <cell r="K603" t="str">
            <v>21:00</v>
          </cell>
          <cell r="L603" t="str">
            <v>ONEU0737680</v>
          </cell>
          <cell r="N603" t="str">
            <v>LẠCH HUYỆN</v>
          </cell>
          <cell r="P603" t="str">
            <v>done</v>
          </cell>
          <cell r="Q603" t="str">
            <v>308047800560</v>
          </cell>
        </row>
        <row r="604">
          <cell r="I604" t="str">
            <v>TIIU6150635</v>
          </cell>
          <cell r="K604">
            <v>0.33333333333333331</v>
          </cell>
          <cell r="O604" t="str">
            <v>VH-25/50790-1</v>
          </cell>
          <cell r="Q604">
            <v>0</v>
          </cell>
        </row>
        <row r="605">
          <cell r="I605" t="str">
            <v>EGSU6394119</v>
          </cell>
          <cell r="K605">
            <v>0.33333333333333331</v>
          </cell>
          <cell r="O605" t="str">
            <v>VH-25/50805-1</v>
          </cell>
          <cell r="Q605">
            <v>0</v>
          </cell>
        </row>
        <row r="606">
          <cell r="I606" t="str">
            <v>ECMU7418860</v>
          </cell>
          <cell r="K606">
            <v>0.375</v>
          </cell>
          <cell r="O606" t="str">
            <v>VB-25/52798</v>
          </cell>
          <cell r="Q606">
            <v>0</v>
          </cell>
        </row>
        <row r="607">
          <cell r="I607" t="str">
            <v>FFAU4223427</v>
          </cell>
          <cell r="J607" t="str">
            <v>SÂM</v>
          </cell>
          <cell r="K607">
            <v>0.875</v>
          </cell>
          <cell r="L607" t="str">
            <v>EGSU6394119</v>
          </cell>
          <cell r="O607" t="str">
            <v>VB-25/52799</v>
          </cell>
          <cell r="Q607">
            <v>0</v>
          </cell>
        </row>
        <row r="608">
          <cell r="I608" t="str">
            <v>CMAU8873295</v>
          </cell>
          <cell r="J608" t="str">
            <v>PHƯƠNG</v>
          </cell>
          <cell r="K608">
            <v>4.1666666666666664E-2</v>
          </cell>
          <cell r="L608" t="str">
            <v>TIIU6150635</v>
          </cell>
          <cell r="O608" t="str">
            <v>VH-25/50806</v>
          </cell>
          <cell r="Q608">
            <v>0</v>
          </cell>
        </row>
        <row r="609">
          <cell r="I609" t="str">
            <v>ECMU4898533</v>
          </cell>
          <cell r="J609" t="str">
            <v>HƯỜNG</v>
          </cell>
          <cell r="K609">
            <v>8.3333333333333329E-2</v>
          </cell>
          <cell r="L609" t="str">
            <v>ECMU7418860</v>
          </cell>
          <cell r="O609" t="str">
            <v>VB-25/52800</v>
          </cell>
          <cell r="Q609">
            <v>0</v>
          </cell>
        </row>
        <row r="610">
          <cell r="I610" t="str">
            <v>CAAU9899935</v>
          </cell>
          <cell r="J610" t="str">
            <v>SƠN
PHƯƠNG KÉO VỀ</v>
          </cell>
          <cell r="K610">
            <v>0.33333333333333331</v>
          </cell>
          <cell r="L610" t="str">
            <v>CAAU8806563</v>
          </cell>
          <cell r="N610" t="str">
            <v>ĐÌNH VŨ</v>
          </cell>
          <cell r="O610" t="str">
            <v>VZ-25/50412 +VZ-25/50412R+ VZ-25/50412R-01</v>
          </cell>
          <cell r="P610" t="str">
            <v>done</v>
          </cell>
          <cell r="Q610">
            <v>0</v>
          </cell>
        </row>
        <row r="611">
          <cell r="I611" t="str">
            <v>TRHU8030145</v>
          </cell>
          <cell r="J611" t="str">
            <v>THI</v>
          </cell>
          <cell r="K611">
            <v>0.41666666666666669</v>
          </cell>
          <cell r="L611" t="str">
            <v>GAOU7069231</v>
          </cell>
          <cell r="O611" t="str">
            <v>HP</v>
          </cell>
          <cell r="Q611">
            <v>0</v>
          </cell>
        </row>
        <row r="612">
          <cell r="I612" t="str">
            <v>TIIU5838496</v>
          </cell>
          <cell r="J612" t="str">
            <v>HƯỜNG</v>
          </cell>
          <cell r="K612">
            <v>0.41666666666666669</v>
          </cell>
          <cell r="L612" t="str">
            <v>UETU8098385</v>
          </cell>
          <cell r="Q612">
            <v>0</v>
          </cell>
        </row>
        <row r="613">
          <cell r="I613" t="str">
            <v>TCLU7904306</v>
          </cell>
          <cell r="J613" t="str">
            <v>THÀNH</v>
          </cell>
          <cell r="K613">
            <v>0.45833333333333331</v>
          </cell>
          <cell r="L613" t="str">
            <v>CAAU7584760</v>
          </cell>
          <cell r="O613" t="str">
            <v>HP</v>
          </cell>
          <cell r="Q613">
            <v>0</v>
          </cell>
        </row>
        <row r="614">
          <cell r="I614" t="str">
            <v>CAAU9878357</v>
          </cell>
          <cell r="J614" t="str">
            <v>MẠNH
ĐỨC KÉO VỀ</v>
          </cell>
          <cell r="K614">
            <v>0.58333333333333337</v>
          </cell>
          <cell r="L614" t="str">
            <v>HASU4819723</v>
          </cell>
          <cell r="N614" t="str">
            <v>ĐÌNH VŨ</v>
          </cell>
          <cell r="O614" t="str">
            <v>VZ-25/50413+ VZ-25/50413R+ VZ-25/50413R-01</v>
          </cell>
          <cell r="P614" t="str">
            <v>done</v>
          </cell>
          <cell r="Q614" t="str">
            <v>ok</v>
          </cell>
        </row>
        <row r="615">
          <cell r="I615" t="str">
            <v>CAAU9941090</v>
          </cell>
          <cell r="J615" t="str">
            <v>THỊNH
SÂM KÉO VỀ</v>
          </cell>
          <cell r="K615">
            <v>0.875</v>
          </cell>
          <cell r="L615" t="str">
            <v>HAMU2389581</v>
          </cell>
          <cell r="N615" t="str">
            <v>ĐÌNH VŨ</v>
          </cell>
          <cell r="O615" t="str">
            <v>VZ-25/50414 +VZ-25/50414R +VZ-25/50414R-01</v>
          </cell>
          <cell r="P615" t="str">
            <v>done</v>
          </cell>
          <cell r="Q615" t="str">
            <v>ok</v>
          </cell>
        </row>
        <row r="616">
          <cell r="I616" t="str">
            <v>EGSU1557907</v>
          </cell>
          <cell r="J616" t="str">
            <v>SƠN</v>
          </cell>
          <cell r="K616">
            <v>0.91666666666666663</v>
          </cell>
          <cell r="L616" t="str">
            <v>TTNU8693867</v>
          </cell>
          <cell r="Q616">
            <v>0</v>
          </cell>
        </row>
        <row r="617">
          <cell r="I617" t="str">
            <v>ECMU7541365</v>
          </cell>
          <cell r="J617" t="str">
            <v>SÂM</v>
          </cell>
          <cell r="K617">
            <v>0</v>
          </cell>
          <cell r="L617" t="str">
            <v>TIIU5838496</v>
          </cell>
          <cell r="O617" t="str">
            <v>HP</v>
          </cell>
          <cell r="Q617">
            <v>0</v>
          </cell>
        </row>
        <row r="618">
          <cell r="I618" t="str">
            <v>MRSU8005319</v>
          </cell>
          <cell r="J618" t="str">
            <v>PHƯƠNG</v>
          </cell>
          <cell r="K618">
            <v>0.33333333333333331</v>
          </cell>
          <cell r="L618" t="str">
            <v>MRSU6647942</v>
          </cell>
          <cell r="M618" t="str">
            <v>TRI PHƯƠNG</v>
          </cell>
          <cell r="N618" t="str">
            <v>HATECO HICT</v>
          </cell>
          <cell r="O618" t="str">
            <v>VI-25/58515</v>
          </cell>
          <cell r="P618" t="str">
            <v>done</v>
          </cell>
          <cell r="Q618" t="str">
            <v>308050344250</v>
          </cell>
        </row>
        <row r="619">
          <cell r="I619" t="str">
            <v>MRSU5289865</v>
          </cell>
          <cell r="J619" t="str">
            <v>THỊNH</v>
          </cell>
          <cell r="K619">
            <v>0.33333333333333331</v>
          </cell>
          <cell r="L619" t="str">
            <v>CAAU9049818</v>
          </cell>
          <cell r="M619" t="str">
            <v>TRI PHƯƠNG</v>
          </cell>
          <cell r="N619" t="str">
            <v>HATECO HICT</v>
          </cell>
          <cell r="O619" t="str">
            <v>VI-25/58520</v>
          </cell>
          <cell r="P619" t="str">
            <v>done</v>
          </cell>
          <cell r="Q619" t="str">
            <v>308050277050</v>
          </cell>
        </row>
        <row r="620">
          <cell r="I620" t="str">
            <v>HASU5014739</v>
          </cell>
          <cell r="J620" t="str">
            <v>MẠNH</v>
          </cell>
          <cell r="K620">
            <v>0.375</v>
          </cell>
          <cell r="L620" t="str">
            <v>MRSU5289865</v>
          </cell>
          <cell r="M620" t="str">
            <v>TRI PHƯƠNG</v>
          </cell>
          <cell r="N620" t="str">
            <v>HATECO HICT</v>
          </cell>
          <cell r="O620" t="str">
            <v>VI-25/58522</v>
          </cell>
          <cell r="P620" t="str">
            <v>done</v>
          </cell>
          <cell r="Q620" t="str">
            <v>308050316140</v>
          </cell>
        </row>
        <row r="621">
          <cell r="I621" t="str">
            <v>CAIU4630571</v>
          </cell>
          <cell r="J621" t="str">
            <v>PHƯƠNG</v>
          </cell>
          <cell r="K621">
            <v>0.40625</v>
          </cell>
          <cell r="L621" t="str">
            <v>MRSU8005319</v>
          </cell>
          <cell r="M621" t="str">
            <v>TRI PHƯƠNG</v>
          </cell>
          <cell r="N621" t="str">
            <v>HATECO HICT</v>
          </cell>
          <cell r="O621" t="str">
            <v>VI-25/58528</v>
          </cell>
          <cell r="P621" t="str">
            <v>done</v>
          </cell>
          <cell r="Q621" t="str">
            <v>308050205910</v>
          </cell>
        </row>
        <row r="622">
          <cell r="I622" t="str">
            <v>MRKU5535816</v>
          </cell>
          <cell r="J622" t="str">
            <v>THI</v>
          </cell>
          <cell r="K622">
            <v>0.45833333333333331</v>
          </cell>
          <cell r="L622" t="str">
            <v>HASU5014739</v>
          </cell>
          <cell r="M622" t="str">
            <v>TRI PHƯƠNG</v>
          </cell>
          <cell r="N622" t="str">
            <v>HATECO HICT</v>
          </cell>
          <cell r="O622" t="str">
            <v>VI-25/58541</v>
          </cell>
          <cell r="P622" t="str">
            <v>done</v>
          </cell>
          <cell r="Q622" t="str">
            <v>308050419630</v>
          </cell>
        </row>
        <row r="623">
          <cell r="I623" t="str">
            <v>TGBU8890246</v>
          </cell>
          <cell r="J623" t="str">
            <v>HƯỜNG</v>
          </cell>
          <cell r="K623">
            <v>0.52083333333333337</v>
          </cell>
          <cell r="L623" t="str">
            <v>CAIU4630571</v>
          </cell>
          <cell r="M623" t="str">
            <v>TRI PHƯƠNG</v>
          </cell>
          <cell r="N623" t="str">
            <v>HATECO HICT</v>
          </cell>
          <cell r="O623" t="str">
            <v>VI-25/58543</v>
          </cell>
          <cell r="P623" t="str">
            <v>done</v>
          </cell>
          <cell r="Q623" t="str">
            <v>308050438640</v>
          </cell>
        </row>
        <row r="624">
          <cell r="I624" t="str">
            <v>HASU4428457</v>
          </cell>
          <cell r="J624" t="str">
            <v>THI</v>
          </cell>
          <cell r="K624">
            <v>0.625</v>
          </cell>
          <cell r="L624" t="str">
            <v>HASU4428457</v>
          </cell>
          <cell r="M624" t="str">
            <v>TRI PHƯƠNG</v>
          </cell>
          <cell r="N624" t="str">
            <v>HATECO HICT</v>
          </cell>
          <cell r="O624" t="str">
            <v>VI-25/58540</v>
          </cell>
          <cell r="P624" t="str">
            <v>done</v>
          </cell>
          <cell r="Q624" t="str">
            <v>308050113950</v>
          </cell>
        </row>
        <row r="625">
          <cell r="I625" t="str">
            <v>HASU4670331</v>
          </cell>
          <cell r="J625" t="str">
            <v>ĐỨC</v>
          </cell>
          <cell r="K625">
            <v>0.88541666666666663</v>
          </cell>
          <cell r="L625" t="str">
            <v>MRKU5535816</v>
          </cell>
          <cell r="M625" t="str">
            <v>TRI PHƯƠNG</v>
          </cell>
          <cell r="N625" t="str">
            <v>HATECO HICT</v>
          </cell>
          <cell r="O625" t="str">
            <v>VI-25/58521</v>
          </cell>
          <cell r="P625" t="str">
            <v>done</v>
          </cell>
          <cell r="Q625" t="str">
            <v>308050297940</v>
          </cell>
        </row>
        <row r="626">
          <cell r="I626" t="str">
            <v>TCNU3198889</v>
          </cell>
          <cell r="J626" t="str">
            <v>THÀNH</v>
          </cell>
          <cell r="K626">
            <v>0.89583333333333337</v>
          </cell>
          <cell r="L626" t="str">
            <v>TGBU8890246</v>
          </cell>
          <cell r="M626" t="str">
            <v>TRI PHƯƠNG</v>
          </cell>
          <cell r="N626" t="str">
            <v>HATECO HICT</v>
          </cell>
          <cell r="O626" t="str">
            <v>VI-25/58526</v>
          </cell>
          <cell r="P626" t="str">
            <v>done</v>
          </cell>
          <cell r="Q626">
            <v>308050168660</v>
          </cell>
        </row>
        <row r="627">
          <cell r="I627" t="str">
            <v>MRSU7990494</v>
          </cell>
          <cell r="J627" t="str">
            <v>QUÂN</v>
          </cell>
          <cell r="K627">
            <v>0.9375</v>
          </cell>
          <cell r="L627" t="str">
            <v>MRSU7990494</v>
          </cell>
          <cell r="M627" t="str">
            <v>TRI PHƯƠNG</v>
          </cell>
          <cell r="N627" t="str">
            <v>HATECO HICT</v>
          </cell>
          <cell r="O627" t="str">
            <v>VI-25/58527</v>
          </cell>
          <cell r="P627" t="str">
            <v>done</v>
          </cell>
          <cell r="Q627" t="str">
            <v>308050184320</v>
          </cell>
        </row>
        <row r="628">
          <cell r="I628" t="str">
            <v>MRSU5789330</v>
          </cell>
          <cell r="J628" t="str">
            <v>THỊNH</v>
          </cell>
          <cell r="K628">
            <v>0.97916666666666663</v>
          </cell>
          <cell r="L628" t="str">
            <v>MRSU5789330</v>
          </cell>
          <cell r="M628" t="str">
            <v>TRI PHƯƠNG</v>
          </cell>
          <cell r="N628" t="str">
            <v>HATECO HICT</v>
          </cell>
          <cell r="O628" t="str">
            <v>VI-25/58529</v>
          </cell>
          <cell r="P628" t="str">
            <v>done</v>
          </cell>
          <cell r="Q628" t="str">
            <v>308050220830</v>
          </cell>
        </row>
        <row r="629">
          <cell r="I629" t="str">
            <v>MRSU6383536</v>
          </cell>
          <cell r="J629" t="str">
            <v>MẠNH</v>
          </cell>
          <cell r="K629">
            <v>9.375E-2</v>
          </cell>
          <cell r="L629" t="str">
            <v>MRSU6383536</v>
          </cell>
          <cell r="M629" t="str">
            <v>TRI PHƯƠNG</v>
          </cell>
          <cell r="N629" t="str">
            <v>HATECO HICT</v>
          </cell>
          <cell r="O629" t="str">
            <v>VI-25/58539</v>
          </cell>
          <cell r="P629" t="str">
            <v>done</v>
          </cell>
          <cell r="Q629" t="str">
            <v>308050374830</v>
          </cell>
        </row>
        <row r="630">
          <cell r="I630" t="str">
            <v>MRSU3408899</v>
          </cell>
          <cell r="J630" t="str">
            <v>SƠN</v>
          </cell>
          <cell r="K630">
            <v>0.10416666666666667</v>
          </cell>
          <cell r="L630" t="str">
            <v>MRSU3408899</v>
          </cell>
          <cell r="M630" t="str">
            <v>TRI PHƯƠNG</v>
          </cell>
          <cell r="N630" t="str">
            <v>HATECO HICT</v>
          </cell>
          <cell r="O630" t="str">
            <v>VI-25/58544</v>
          </cell>
          <cell r="P630" t="str">
            <v>done</v>
          </cell>
          <cell r="Q630">
            <v>308050462440</v>
          </cell>
        </row>
        <row r="631">
          <cell r="I631" t="str">
            <v>HASU4819723</v>
          </cell>
          <cell r="J631" t="str">
            <v>THÀNH</v>
          </cell>
          <cell r="K631" t="str">
            <v>10:00</v>
          </cell>
          <cell r="L631" t="str">
            <v>TTNU8822624</v>
          </cell>
          <cell r="M631" t="str">
            <v>TRI PHƯƠNG</v>
          </cell>
          <cell r="N631" t="str">
            <v>HATECO HICT</v>
          </cell>
          <cell r="P631" t="str">
            <v>done</v>
          </cell>
          <cell r="Q631" t="str">
            <v>308051151350</v>
          </cell>
        </row>
        <row r="632">
          <cell r="I632" t="str">
            <v>MRKU4129026</v>
          </cell>
          <cell r="J632" t="str">
            <v>THÀNH</v>
          </cell>
          <cell r="K632" t="str">
            <v>14:00</v>
          </cell>
          <cell r="L632" t="str">
            <v>SELU4339225</v>
          </cell>
          <cell r="M632" t="str">
            <v>TRI PHƯƠNG</v>
          </cell>
          <cell r="N632" t="str">
            <v>HATECO HICT</v>
          </cell>
          <cell r="P632" t="str">
            <v>done</v>
          </cell>
          <cell r="Q632" t="str">
            <v>308051235350</v>
          </cell>
        </row>
        <row r="633">
          <cell r="I633" t="str">
            <v>MRKU6483126</v>
          </cell>
          <cell r="J633" t="str">
            <v>MẠNH</v>
          </cell>
          <cell r="K633" t="str">
            <v>13:00</v>
          </cell>
          <cell r="L633" t="str">
            <v>CMAU6123645</v>
          </cell>
          <cell r="M633" t="str">
            <v>TRI PHƯƠNG</v>
          </cell>
          <cell r="N633" t="str">
            <v>HATECO HICT</v>
          </cell>
          <cell r="P633" t="str">
            <v>done</v>
          </cell>
          <cell r="Q633" t="str">
            <v>308051427410</v>
          </cell>
        </row>
        <row r="634">
          <cell r="I634" t="str">
            <v>MSKU1510745</v>
          </cell>
          <cell r="J634" t="str">
            <v>HƯỜNG</v>
          </cell>
          <cell r="K634" t="str">
            <v>21:00</v>
          </cell>
          <cell r="L634" t="str">
            <v>TCLU7904306</v>
          </cell>
          <cell r="M634" t="str">
            <v>TRI PHƯƠNG</v>
          </cell>
          <cell r="N634" t="str">
            <v>HATECO HICT</v>
          </cell>
          <cell r="O634" t="str">
            <v>VR-25/52783</v>
          </cell>
          <cell r="P634" t="str">
            <v>done</v>
          </cell>
          <cell r="Q634" t="str">
            <v>308051179830</v>
          </cell>
        </row>
        <row r="635">
          <cell r="I635" t="str">
            <v>TTNU8822624</v>
          </cell>
          <cell r="J635" t="str">
            <v>THỊNH</v>
          </cell>
          <cell r="K635" t="str">
            <v>10:00</v>
          </cell>
          <cell r="L635" t="str">
            <v>ONEU0574094</v>
          </cell>
          <cell r="M635" t="str">
            <v>TRI PHƯƠNG</v>
          </cell>
          <cell r="N635" t="str">
            <v>NAM HẢI ĐÌNH VŨ</v>
          </cell>
          <cell r="Q635">
            <v>0</v>
          </cell>
        </row>
        <row r="636">
          <cell r="I636" t="str">
            <v>TCLU1387680</v>
          </cell>
          <cell r="J636" t="str">
            <v>QUÂN</v>
          </cell>
          <cell r="K636" t="str">
            <v>14:00</v>
          </cell>
          <cell r="L636" t="str">
            <v>AMCU9398773</v>
          </cell>
          <cell r="M636" t="str">
            <v>TRI PHƯƠNG</v>
          </cell>
          <cell r="N636" t="str">
            <v>NAM HẢI ĐÌNH VŨ</v>
          </cell>
          <cell r="Q636">
            <v>0</v>
          </cell>
        </row>
        <row r="637">
          <cell r="I637" t="str">
            <v>CAAU4018711</v>
          </cell>
          <cell r="J637" t="str">
            <v>SÂM</v>
          </cell>
          <cell r="K637" t="str">
            <v>9:00</v>
          </cell>
          <cell r="L637" t="str">
            <v>TLLU1126556</v>
          </cell>
          <cell r="M637" t="str">
            <v>TRI PHƯƠNG</v>
          </cell>
          <cell r="N637" t="str">
            <v>NAM HẢI ĐÌNH VŨ</v>
          </cell>
          <cell r="Q637">
            <v>0</v>
          </cell>
        </row>
        <row r="638">
          <cell r="I638" t="str">
            <v>TLLU1039261</v>
          </cell>
          <cell r="K638" t="str">
            <v>21:00</v>
          </cell>
          <cell r="L638" t="str">
            <v>TRHU8030145</v>
          </cell>
          <cell r="M638" t="str">
            <v>TRI PHƯƠNG</v>
          </cell>
          <cell r="N638" t="str">
            <v>NAM HẢI ĐÌNH VŨ</v>
          </cell>
          <cell r="Q638">
            <v>0</v>
          </cell>
        </row>
        <row r="639">
          <cell r="I639" t="str">
            <v>SZLU9700230</v>
          </cell>
          <cell r="J639" t="str">
            <v>ĐỨC</v>
          </cell>
          <cell r="K639" t="str">
            <v>8:00</v>
          </cell>
          <cell r="L639" t="str">
            <v>ONEU9356088</v>
          </cell>
          <cell r="M639" t="str">
            <v>TRI PHƯƠNG</v>
          </cell>
          <cell r="N639" t="str">
            <v xml:space="preserve">LẠCH HUYỆN </v>
          </cell>
          <cell r="Q639">
            <v>0</v>
          </cell>
        </row>
        <row r="640">
          <cell r="I640" t="str">
            <v>TTNU8693867</v>
          </cell>
          <cell r="J640" t="str">
            <v>PHƯƠNG</v>
          </cell>
          <cell r="K640" t="str">
            <v>13:00</v>
          </cell>
          <cell r="L640" t="str">
            <v>CAAU4018711</v>
          </cell>
          <cell r="M640" t="str">
            <v>TRI PHƯƠNG</v>
          </cell>
          <cell r="N640" t="str">
            <v xml:space="preserve">LẠCH HUYỆN </v>
          </cell>
          <cell r="Q640">
            <v>0</v>
          </cell>
        </row>
        <row r="641">
          <cell r="I641" t="str">
            <v>EISU8477520</v>
          </cell>
          <cell r="K641">
            <v>0.33333333333333331</v>
          </cell>
          <cell r="O641" t="str">
            <v>VS-25/51709</v>
          </cell>
          <cell r="Q641">
            <v>0</v>
          </cell>
        </row>
        <row r="642">
          <cell r="I642" t="str">
            <v>TLLU4426840</v>
          </cell>
          <cell r="J642" t="str">
            <v>SÂM</v>
          </cell>
          <cell r="K642">
            <v>0.45833333333333331</v>
          </cell>
          <cell r="L642" t="str">
            <v>TCKU6888190</v>
          </cell>
          <cell r="O642" t="str">
            <v>VI-25/58552</v>
          </cell>
          <cell r="Q642">
            <v>0</v>
          </cell>
        </row>
        <row r="643">
          <cell r="I643" t="str">
            <v>EGHU8501510</v>
          </cell>
          <cell r="J643" t="str">
            <v>THỊNH</v>
          </cell>
          <cell r="K643">
            <v>0.54166666666666663</v>
          </cell>
          <cell r="L643" t="str">
            <v>TLLU4426840</v>
          </cell>
          <cell r="O643" t="str">
            <v>VI-25/58564</v>
          </cell>
          <cell r="Q643">
            <v>0</v>
          </cell>
        </row>
        <row r="644">
          <cell r="I644" t="str">
            <v>EGHU8511674</v>
          </cell>
          <cell r="J644" t="str">
            <v>PHƯƠNG</v>
          </cell>
          <cell r="K644">
            <v>0.875</v>
          </cell>
          <cell r="L644" t="str">
            <v>EGHU8511674</v>
          </cell>
          <cell r="O644" t="str">
            <v>VI-25/58551</v>
          </cell>
          <cell r="Q644">
            <v>0</v>
          </cell>
        </row>
        <row r="645">
          <cell r="I645" t="str">
            <v>ECMU7310031</v>
          </cell>
          <cell r="J645" t="str">
            <v>QUÂN</v>
          </cell>
          <cell r="K645">
            <v>0.125</v>
          </cell>
          <cell r="L645" t="str">
            <v>ECMU7310031</v>
          </cell>
          <cell r="O645" t="str">
            <v>VI-25/58577</v>
          </cell>
          <cell r="Q645">
            <v>0</v>
          </cell>
        </row>
        <row r="646">
          <cell r="I646" t="str">
            <v>FFAU6190549</v>
          </cell>
          <cell r="J646" t="str">
            <v>PHƯƠNG
THI KÉO VỀ</v>
          </cell>
          <cell r="K646">
            <v>0.33333333333333331</v>
          </cell>
          <cell r="L646" t="str">
            <v>SZLU9700230</v>
          </cell>
          <cell r="N646" t="str">
            <v>ĐÌNH VŨ</v>
          </cell>
          <cell r="O646" t="str">
            <v>VZ-25/50415 +VZ-25/50415R +VZ-25/50415R-01</v>
          </cell>
          <cell r="P646" t="str">
            <v>done</v>
          </cell>
          <cell r="Q646" t="str">
            <v>tk</v>
          </cell>
        </row>
        <row r="647">
          <cell r="I647" t="str">
            <v>EITU9347669</v>
          </cell>
          <cell r="J647" t="str">
            <v>THI</v>
          </cell>
          <cell r="K647">
            <v>0.33333333333333331</v>
          </cell>
          <cell r="L647" t="str">
            <v>EGSU6090939</v>
          </cell>
          <cell r="Q647">
            <v>0</v>
          </cell>
        </row>
        <row r="648">
          <cell r="I648" t="str">
            <v>SELU4394921</v>
          </cell>
          <cell r="J648" t="str">
            <v>THỊNH</v>
          </cell>
          <cell r="K648">
            <v>0.54166666666666663</v>
          </cell>
          <cell r="L648" t="str">
            <v>EGSU1557907</v>
          </cell>
          <cell r="O648" t="str">
            <v>RTB-25/0445</v>
          </cell>
          <cell r="Q648">
            <v>0</v>
          </cell>
        </row>
        <row r="649">
          <cell r="I649" t="str">
            <v>SITU9180451</v>
          </cell>
          <cell r="J649" t="str">
            <v>SƠN
TÍN KÉO VỀ</v>
          </cell>
          <cell r="K649">
            <v>0.58333333333333337</v>
          </cell>
          <cell r="N649" t="str">
            <v>ĐÌNH VŨ</v>
          </cell>
          <cell r="O649" t="str">
            <v>VZ-25/50416 +VZ-25/50416R+ VZ-25/50416R-01</v>
          </cell>
          <cell r="P649" t="str">
            <v>done</v>
          </cell>
          <cell r="Q649" t="str">
            <v>308082528960
308082551030
308082571000
308082580540</v>
          </cell>
        </row>
        <row r="650">
          <cell r="I650" t="str">
            <v>TIIU5145803</v>
          </cell>
          <cell r="K650">
            <v>0.625</v>
          </cell>
          <cell r="Q650">
            <v>0</v>
          </cell>
        </row>
        <row r="651">
          <cell r="I651" t="str">
            <v>EGSU6090939</v>
          </cell>
          <cell r="J651" t="str">
            <v>QUÂN</v>
          </cell>
          <cell r="K651">
            <v>0.625</v>
          </cell>
          <cell r="L651" t="str">
            <v>SELU4394921</v>
          </cell>
          <cell r="Q651">
            <v>0</v>
          </cell>
        </row>
        <row r="652">
          <cell r="I652" t="str">
            <v>TIIU6625432</v>
          </cell>
          <cell r="J652" t="str">
            <v>HƯỜNG
THỊNH KÉO VỀ</v>
          </cell>
          <cell r="K652">
            <v>0.875</v>
          </cell>
          <cell r="L652" t="str">
            <v>MRSU8467322</v>
          </cell>
          <cell r="N652" t="str">
            <v>ĐÌNH VŨ</v>
          </cell>
          <cell r="O652" t="str">
            <v>VZ-25/50417 +VZ-25/50417R +VZ-25/50417R-01</v>
          </cell>
          <cell r="P652" t="str">
            <v>done</v>
          </cell>
          <cell r="Q652" t="str">
            <v>tk</v>
          </cell>
        </row>
        <row r="653">
          <cell r="K653">
            <v>0.875</v>
          </cell>
          <cell r="Q653">
            <v>0</v>
          </cell>
        </row>
        <row r="654">
          <cell r="K654">
            <v>0</v>
          </cell>
          <cell r="Q654">
            <v>0</v>
          </cell>
        </row>
        <row r="655">
          <cell r="I655" t="str">
            <v>SITU9160711</v>
          </cell>
          <cell r="J655" t="str">
            <v>MẠNH</v>
          </cell>
          <cell r="L655" t="str">
            <v>TRIU8599500</v>
          </cell>
          <cell r="Q655">
            <v>0</v>
          </cell>
        </row>
        <row r="656">
          <cell r="I656" t="str">
            <v>TIIU4823594</v>
          </cell>
          <cell r="J656" t="str">
            <v>THỊNH</v>
          </cell>
          <cell r="L656" t="str">
            <v>GCXU5672762</v>
          </cell>
          <cell r="Q656">
            <v>0</v>
          </cell>
        </row>
        <row r="657">
          <cell r="I657" t="str">
            <v>MRKU3589080</v>
          </cell>
          <cell r="J657" t="str">
            <v>ĐỨC</v>
          </cell>
          <cell r="K657">
            <v>0.33333333333333331</v>
          </cell>
          <cell r="L657" t="str">
            <v>CAAU9038182</v>
          </cell>
          <cell r="M657" t="str">
            <v>TRI PHƯƠNG</v>
          </cell>
          <cell r="N657" t="str">
            <v>HATECO HICT</v>
          </cell>
          <cell r="O657" t="str">
            <v>VI-25/58556</v>
          </cell>
          <cell r="P657" t="str">
            <v>done</v>
          </cell>
          <cell r="Q657">
            <v>308052298210</v>
          </cell>
        </row>
        <row r="658">
          <cell r="I658" t="str">
            <v>TCKU6888190</v>
          </cell>
          <cell r="J658" t="str">
            <v>THÀNH</v>
          </cell>
          <cell r="K658">
            <v>0.33333333333333331</v>
          </cell>
          <cell r="L658" t="str">
            <v>TCNU3198889</v>
          </cell>
          <cell r="M658" t="str">
            <v>TRI PHƯƠNG</v>
          </cell>
          <cell r="N658" t="str">
            <v>HATECO HICT</v>
          </cell>
          <cell r="O658" t="str">
            <v>VI-25/58567</v>
          </cell>
          <cell r="P658" t="str">
            <v>done</v>
          </cell>
          <cell r="Q658" t="str">
            <v>308052885250</v>
          </cell>
        </row>
        <row r="659">
          <cell r="I659" t="str">
            <v>FFAU1929831</v>
          </cell>
          <cell r="J659" t="str">
            <v>THI</v>
          </cell>
          <cell r="K659">
            <v>0.375</v>
          </cell>
          <cell r="L659" t="str">
            <v>FFAU1929831</v>
          </cell>
          <cell r="M659" t="str">
            <v>TRI PHƯƠNG</v>
          </cell>
          <cell r="N659" t="str">
            <v>HATECO HICT</v>
          </cell>
          <cell r="O659" t="str">
            <v>VI-25/58574</v>
          </cell>
          <cell r="P659" t="str">
            <v>done</v>
          </cell>
          <cell r="Q659">
            <v>308052808620</v>
          </cell>
        </row>
        <row r="660">
          <cell r="I660" t="str">
            <v>MRSU6210248</v>
          </cell>
          <cell r="J660" t="str">
            <v>QUÂN</v>
          </cell>
          <cell r="K660">
            <v>0.4236111111111111</v>
          </cell>
          <cell r="L660" t="str">
            <v>MRSU6210248</v>
          </cell>
          <cell r="M660" t="str">
            <v>TRI PHƯƠNG</v>
          </cell>
          <cell r="N660" t="str">
            <v>HATECO HICT</v>
          </cell>
          <cell r="O660" t="str">
            <v>VI-25/58573</v>
          </cell>
          <cell r="P660" t="str">
            <v>done</v>
          </cell>
          <cell r="Q660">
            <v>308052491300</v>
          </cell>
        </row>
        <row r="661">
          <cell r="I661" t="str">
            <v>MRSU6729172</v>
          </cell>
          <cell r="J661" t="str">
            <v>THI</v>
          </cell>
          <cell r="K661">
            <v>0.52083333333333337</v>
          </cell>
          <cell r="L661" t="str">
            <v>MRSU8132078</v>
          </cell>
          <cell r="M661" t="str">
            <v>TRI PHƯƠNG</v>
          </cell>
          <cell r="N661" t="str">
            <v>HATECO HICT</v>
          </cell>
          <cell r="O661" t="str">
            <v>VI-25/58575</v>
          </cell>
          <cell r="P661" t="str">
            <v>done</v>
          </cell>
          <cell r="Q661" t="str">
            <v>308052820410</v>
          </cell>
        </row>
        <row r="662">
          <cell r="I662" t="str">
            <v>CAAU7239090</v>
          </cell>
          <cell r="J662" t="str">
            <v>ĐỨC</v>
          </cell>
          <cell r="K662">
            <v>0.92708333333333337</v>
          </cell>
          <cell r="L662" t="str">
            <v>MRKU3589080</v>
          </cell>
          <cell r="M662" t="str">
            <v>TRI PHƯƠNG</v>
          </cell>
          <cell r="N662" t="str">
            <v>HATECO HICT</v>
          </cell>
          <cell r="O662" t="str">
            <v>VI-25/58580</v>
          </cell>
          <cell r="P662" t="str">
            <v>done</v>
          </cell>
          <cell r="Q662">
            <v>308052856110</v>
          </cell>
        </row>
        <row r="663">
          <cell r="I663" t="str">
            <v>FFAU6251644</v>
          </cell>
          <cell r="J663" t="str">
            <v>SÂM</v>
          </cell>
          <cell r="K663">
            <v>0.94791666666666663</v>
          </cell>
          <cell r="L663" t="str">
            <v>HASU4670331</v>
          </cell>
          <cell r="M663" t="str">
            <v>TRI PHƯƠNG</v>
          </cell>
          <cell r="N663" t="str">
            <v>HATECO HICT</v>
          </cell>
          <cell r="O663" t="str">
            <v>VI-25/58569</v>
          </cell>
          <cell r="P663" t="str">
            <v>done</v>
          </cell>
          <cell r="Q663">
            <v>308052323410</v>
          </cell>
        </row>
        <row r="664">
          <cell r="I664" t="str">
            <v>MRSU6949290</v>
          </cell>
          <cell r="J664" t="str">
            <v>ĐỨC</v>
          </cell>
          <cell r="K664">
            <v>6.25E-2</v>
          </cell>
          <cell r="M664" t="str">
            <v>TRI PHƯƠNG</v>
          </cell>
          <cell r="N664" t="str">
            <v>HATECO HICT</v>
          </cell>
          <cell r="O664" t="str">
            <v>VI-25/58550</v>
          </cell>
          <cell r="P664" t="str">
            <v>done</v>
          </cell>
          <cell r="Q664" t="str">
            <v>308052522210</v>
          </cell>
        </row>
        <row r="665">
          <cell r="I665" t="str">
            <v>MRSU4511345</v>
          </cell>
          <cell r="J665" t="str">
            <v>SÂM</v>
          </cell>
          <cell r="K665">
            <v>8.3333333333333329E-2</v>
          </cell>
          <cell r="L665" t="str">
            <v>CAAU7239090</v>
          </cell>
          <cell r="M665" t="str">
            <v>TRI PHƯƠNG</v>
          </cell>
          <cell r="N665" t="str">
            <v>HATECO HICT</v>
          </cell>
          <cell r="O665" t="str">
            <v>VI-25/58566</v>
          </cell>
          <cell r="P665" t="str">
            <v>done</v>
          </cell>
          <cell r="Q665">
            <v>308052745250</v>
          </cell>
        </row>
        <row r="666">
          <cell r="I666" t="str">
            <v>MRSU8132078</v>
          </cell>
          <cell r="J666" t="str">
            <v>HƯỜNG</v>
          </cell>
          <cell r="K666">
            <v>9.375E-2</v>
          </cell>
          <cell r="L666" t="str">
            <v>EGHU8501510</v>
          </cell>
          <cell r="M666" t="str">
            <v>TRI PHƯƠNG</v>
          </cell>
          <cell r="N666" t="str">
            <v>HATECO HICT</v>
          </cell>
          <cell r="O666" t="str">
            <v>VI-25/58568</v>
          </cell>
          <cell r="P666" t="str">
            <v>done</v>
          </cell>
          <cell r="Q666">
            <v>308052768130</v>
          </cell>
        </row>
        <row r="667">
          <cell r="I667" t="str">
            <v>CAAU7164638</v>
          </cell>
          <cell r="J667" t="str">
            <v>THỊNH</v>
          </cell>
          <cell r="K667">
            <v>0.14583333333333334</v>
          </cell>
          <cell r="L667" t="str">
            <v>CAAU7164638</v>
          </cell>
          <cell r="M667" t="str">
            <v>TRI PHƯƠNG</v>
          </cell>
          <cell r="N667" t="str">
            <v>HATECO HICT</v>
          </cell>
          <cell r="O667" t="str">
            <v>VI-25/58571</v>
          </cell>
          <cell r="P667" t="str">
            <v>done</v>
          </cell>
          <cell r="Q667">
            <v>308052788760</v>
          </cell>
        </row>
        <row r="668">
          <cell r="I668" t="str">
            <v>MRSU5657545</v>
          </cell>
          <cell r="J668" t="str">
            <v>RU VIETLINK</v>
          </cell>
          <cell r="K668">
            <v>0.875</v>
          </cell>
          <cell r="L668" t="str">
            <v>MRSU5657545</v>
          </cell>
          <cell r="N668" t="str">
            <v>HATECO HICT</v>
          </cell>
          <cell r="O668" t="str">
            <v>VI-25/58555</v>
          </cell>
          <cell r="P668" t="str">
            <v>done</v>
          </cell>
          <cell r="Q668">
            <v>308052581930</v>
          </cell>
        </row>
        <row r="669">
          <cell r="I669" t="str">
            <v>MRSU4129667</v>
          </cell>
          <cell r="J669" t="str">
            <v>RU VIETLINK</v>
          </cell>
          <cell r="K669">
            <v>0.89583333333333337</v>
          </cell>
          <cell r="L669" t="str">
            <v>MRSU4129667</v>
          </cell>
          <cell r="N669" t="str">
            <v>HATECO HICT</v>
          </cell>
          <cell r="O669" t="str">
            <v>VI-25/58558</v>
          </cell>
          <cell r="P669" t="str">
            <v>done</v>
          </cell>
          <cell r="Q669" t="str">
            <v>308052609450</v>
          </cell>
        </row>
        <row r="670">
          <cell r="I670" t="str">
            <v>MRKU3382894</v>
          </cell>
          <cell r="J670" t="str">
            <v>RU MH</v>
          </cell>
          <cell r="K670">
            <v>7.2916666666666671E-2</v>
          </cell>
          <cell r="L670" t="str">
            <v>MRKU3382894</v>
          </cell>
          <cell r="N670" t="str">
            <v>HATECO HICT</v>
          </cell>
          <cell r="O670" t="str">
            <v>VI-25/58559</v>
          </cell>
          <cell r="P670" t="str">
            <v>done</v>
          </cell>
          <cell r="Q670">
            <v>308052631630</v>
          </cell>
        </row>
        <row r="671">
          <cell r="I671" t="str">
            <v>MIEU0014672</v>
          </cell>
          <cell r="J671" t="str">
            <v>MẠNH
THÀNH KÉO VỀ</v>
          </cell>
          <cell r="K671">
            <v>0.125</v>
          </cell>
          <cell r="L671" t="str">
            <v>CMAU8873295</v>
          </cell>
          <cell r="N671" t="str">
            <v>HATECO HICT</v>
          </cell>
          <cell r="O671" t="str">
            <v>VS-25/51716</v>
          </cell>
          <cell r="P671" t="str">
            <v>done</v>
          </cell>
          <cell r="Q671" t="str">
            <v>308053137360</v>
          </cell>
        </row>
        <row r="672">
          <cell r="I672" t="str">
            <v>CAIU9021726</v>
          </cell>
          <cell r="J672" t="str">
            <v>THỊNH</v>
          </cell>
          <cell r="K672" t="str">
            <v>9:00</v>
          </cell>
          <cell r="L672" t="str">
            <v>MSNU5590825</v>
          </cell>
          <cell r="M672" t="str">
            <v>TRI PHƯƠNG</v>
          </cell>
          <cell r="N672" t="str">
            <v>HATECO HICT</v>
          </cell>
          <cell r="P672" t="str">
            <v>done</v>
          </cell>
          <cell r="Q672" t="str">
            <v>308055493450</v>
          </cell>
        </row>
        <row r="673">
          <cell r="I673" t="str">
            <v>GCXU5672762</v>
          </cell>
          <cell r="J673" t="str">
            <v>MẠNH</v>
          </cell>
          <cell r="K673" t="str">
            <v>14:00</v>
          </cell>
          <cell r="L673" t="str">
            <v>CAIU9021726</v>
          </cell>
          <cell r="M673" t="str">
            <v>TRI PHƯƠNG</v>
          </cell>
          <cell r="N673" t="str">
            <v>HATECO HICT</v>
          </cell>
          <cell r="P673" t="str">
            <v>done</v>
          </cell>
          <cell r="Q673" t="str">
            <v>308055516920</v>
          </cell>
        </row>
        <row r="674">
          <cell r="I674" t="str">
            <v>MRSU8467322</v>
          </cell>
          <cell r="J674" t="str">
            <v>THÀNH</v>
          </cell>
          <cell r="K674" t="str">
            <v>15:00</v>
          </cell>
          <cell r="L674" t="str">
            <v>FFAU7240937</v>
          </cell>
          <cell r="M674" t="str">
            <v>TRI PHƯƠNG</v>
          </cell>
          <cell r="N674" t="str">
            <v>HATECO HICT</v>
          </cell>
          <cell r="P674" t="str">
            <v>done</v>
          </cell>
          <cell r="Q674" t="str">
            <v>308055506860</v>
          </cell>
        </row>
        <row r="675">
          <cell r="I675" t="str">
            <v>HASU5025245</v>
          </cell>
          <cell r="J675" t="str">
            <v>THI</v>
          </cell>
          <cell r="K675" t="str">
            <v>22:00</v>
          </cell>
          <cell r="L675" t="str">
            <v>HASU5025245</v>
          </cell>
          <cell r="M675" t="str">
            <v>TRI PHƯƠNG</v>
          </cell>
          <cell r="N675" t="str">
            <v>HATECO HICT</v>
          </cell>
          <cell r="P675" t="str">
            <v>done</v>
          </cell>
          <cell r="Q675" t="str">
            <v>308055277260</v>
          </cell>
        </row>
        <row r="676">
          <cell r="I676" t="str">
            <v>MRSU7048698</v>
          </cell>
          <cell r="J676" t="str">
            <v>SƠN</v>
          </cell>
          <cell r="K676" t="str">
            <v>23:00</v>
          </cell>
          <cell r="L676" t="str">
            <v>CAAU4016350</v>
          </cell>
          <cell r="M676" t="str">
            <v>TRI PHƯƠNG</v>
          </cell>
          <cell r="N676" t="str">
            <v>HATECO HICT</v>
          </cell>
          <cell r="P676" t="str">
            <v>done</v>
          </cell>
          <cell r="Q676" t="str">
            <v>308055286950</v>
          </cell>
        </row>
        <row r="677">
          <cell r="I677" t="str">
            <v>TRIU8599500</v>
          </cell>
          <cell r="J677" t="str">
            <v>HƯỜNG</v>
          </cell>
          <cell r="K677" t="str">
            <v>13:00</v>
          </cell>
          <cell r="L677" t="str">
            <v>TIIU5145803</v>
          </cell>
          <cell r="M677" t="str">
            <v>TRI PHƯƠNG</v>
          </cell>
          <cell r="N677" t="str">
            <v xml:space="preserve">LẠCH HUYỆN </v>
          </cell>
          <cell r="Q677">
            <v>0</v>
          </cell>
        </row>
        <row r="678">
          <cell r="I678" t="str">
            <v>CGMU5185281</v>
          </cell>
          <cell r="J678" t="str">
            <v>SƠN</v>
          </cell>
          <cell r="K678" t="str">
            <v>13:00</v>
          </cell>
          <cell r="L678" t="str">
            <v>MSKU1510745</v>
          </cell>
          <cell r="M678" t="str">
            <v>TRI PHƯƠNG</v>
          </cell>
          <cell r="N678" t="str">
            <v>TÂN VŨ</v>
          </cell>
          <cell r="Q678">
            <v>0</v>
          </cell>
        </row>
        <row r="679">
          <cell r="I679" t="str">
            <v>CAAU4016350</v>
          </cell>
          <cell r="J679" t="str">
            <v>PHƯƠNG</v>
          </cell>
          <cell r="K679" t="str">
            <v>14:00</v>
          </cell>
          <cell r="L679" t="str">
            <v>TRIU8115457</v>
          </cell>
          <cell r="M679" t="str">
            <v>TRI PHƯƠNG</v>
          </cell>
          <cell r="N679" t="str">
            <v>NAM HẢI ĐÌNH VŨ</v>
          </cell>
          <cell r="Q679">
            <v>0</v>
          </cell>
        </row>
        <row r="680">
          <cell r="I680" t="str">
            <v>CGMU5319190</v>
          </cell>
          <cell r="J680" t="str">
            <v>MẠNH</v>
          </cell>
          <cell r="K680" t="str">
            <v>11:00</v>
          </cell>
          <cell r="L680" t="str">
            <v>TLLU1039261</v>
          </cell>
          <cell r="M680" t="str">
            <v>TRI PHƯƠNG</v>
          </cell>
          <cell r="N680" t="str">
            <v>TÂN VŨ</v>
          </cell>
          <cell r="Q680">
            <v>0</v>
          </cell>
        </row>
        <row r="681">
          <cell r="I681" t="str">
            <v>MNBU4409916</v>
          </cell>
          <cell r="J681" t="str">
            <v>ĐỨC</v>
          </cell>
          <cell r="K681">
            <v>0.91666666666666663</v>
          </cell>
          <cell r="L681" t="str">
            <v>MRKU6483126</v>
          </cell>
          <cell r="M681" t="str">
            <v>TRI PHƯƠNG</v>
          </cell>
          <cell r="N681" t="str">
            <v>HATECO HICT</v>
          </cell>
          <cell r="P681" t="str">
            <v>done</v>
          </cell>
          <cell r="Q681" t="str">
            <v>308053857110</v>
          </cell>
        </row>
        <row r="682">
          <cell r="I682" t="str">
            <v>CAAU5752355</v>
          </cell>
          <cell r="J682" t="str">
            <v>PHƯƠNG</v>
          </cell>
          <cell r="K682">
            <v>0.54166666666666663</v>
          </cell>
          <cell r="L682" t="str">
            <v>FFAU4223427</v>
          </cell>
          <cell r="O682" t="str">
            <v>VH-25/50817</v>
          </cell>
          <cell r="Q682">
            <v>0</v>
          </cell>
        </row>
        <row r="683">
          <cell r="I683" t="str">
            <v>EITU1891450</v>
          </cell>
          <cell r="J683" t="str">
            <v>THÀNH</v>
          </cell>
          <cell r="K683">
            <v>0.54166666666666663</v>
          </cell>
          <cell r="L683" t="str">
            <v>ECMU4898533</v>
          </cell>
          <cell r="O683" t="str">
            <v>VS-25/51724</v>
          </cell>
          <cell r="Q683">
            <v>0</v>
          </cell>
        </row>
        <row r="684">
          <cell r="I684" t="str">
            <v>EGHU9210145</v>
          </cell>
          <cell r="J684" t="str">
            <v>THÀNH</v>
          </cell>
          <cell r="K684">
            <v>0.875</v>
          </cell>
          <cell r="L684" t="str">
            <v>MIEU0014672</v>
          </cell>
          <cell r="O684" t="str">
            <v>VH-25/50816</v>
          </cell>
          <cell r="Q684">
            <v>0</v>
          </cell>
        </row>
        <row r="685">
          <cell r="I685" t="str">
            <v>TCLU6658553</v>
          </cell>
          <cell r="J685" t="str">
            <v>HƯỜNG</v>
          </cell>
          <cell r="K685">
            <v>0.875</v>
          </cell>
          <cell r="L685" t="str">
            <v>EITU1891450</v>
          </cell>
          <cell r="O685" t="str">
            <v>VS-25/51723</v>
          </cell>
          <cell r="Q685">
            <v>0</v>
          </cell>
        </row>
        <row r="686">
          <cell r="I686" t="str">
            <v>TIIU6101991</v>
          </cell>
          <cell r="J686" t="str">
            <v>QUÂN
SƠN KÉO VỀ</v>
          </cell>
          <cell r="K686">
            <v>0.33333333333333331</v>
          </cell>
          <cell r="L686" t="str">
            <v>MNBU4409916</v>
          </cell>
          <cell r="N686" t="str">
            <v>ĐÌNH VŨ</v>
          </cell>
          <cell r="O686" t="str">
            <v>VZ-25/50421 +VZ-25/50421R +VZ-25/50421R-01</v>
          </cell>
          <cell r="P686" t="str">
            <v>done</v>
          </cell>
          <cell r="Q686" t="str">
            <v>tk</v>
          </cell>
        </row>
        <row r="687">
          <cell r="K687">
            <v>0.33333333333333331</v>
          </cell>
          <cell r="Q687">
            <v>0</v>
          </cell>
        </row>
        <row r="688">
          <cell r="I688" t="str">
            <v>FFAU7124217</v>
          </cell>
          <cell r="J688" t="str">
            <v>THÀNH</v>
          </cell>
          <cell r="K688">
            <v>0.54166666666666663</v>
          </cell>
          <cell r="L688" t="str">
            <v>ONEU9063808</v>
          </cell>
          <cell r="O688" t="str">
            <v>RTB-25/0448+SCN-25/47</v>
          </cell>
          <cell r="Q688">
            <v>0</v>
          </cell>
        </row>
        <row r="689">
          <cell r="I689" t="str">
            <v>TIIU4821689</v>
          </cell>
          <cell r="J689" t="str">
            <v>ĐỨC</v>
          </cell>
          <cell r="K689">
            <v>0.58333333333333337</v>
          </cell>
          <cell r="L689" t="str">
            <v>HPCU5030410</v>
          </cell>
          <cell r="O689" t="str">
            <v>RTB-25/0449</v>
          </cell>
          <cell r="Q689">
            <v>0</v>
          </cell>
        </row>
        <row r="690">
          <cell r="I690" t="str">
            <v>FFAU5955417</v>
          </cell>
          <cell r="J690" t="str">
            <v>PHƯƠNG</v>
          </cell>
          <cell r="K690">
            <v>0</v>
          </cell>
          <cell r="L690" t="str">
            <v>TRIU8976352</v>
          </cell>
          <cell r="O690" t="str">
            <v>RTB-25/0450</v>
          </cell>
          <cell r="Q690">
            <v>0</v>
          </cell>
        </row>
        <row r="691">
          <cell r="I691" t="str">
            <v>EGSU1495277</v>
          </cell>
          <cell r="J691" t="str">
            <v>TÍN</v>
          </cell>
          <cell r="K691">
            <v>0.875</v>
          </cell>
          <cell r="L691" t="str">
            <v>SZLU9896246</v>
          </cell>
          <cell r="O691" t="str">
            <v>HP</v>
          </cell>
          <cell r="Q691">
            <v>0</v>
          </cell>
        </row>
        <row r="692">
          <cell r="I692" t="str">
            <v>SEKU6271744</v>
          </cell>
          <cell r="J692" t="str">
            <v>SÂM</v>
          </cell>
          <cell r="K692">
            <v>0</v>
          </cell>
          <cell r="L692" t="str">
            <v>SEKU6271744</v>
          </cell>
          <cell r="O692" t="str">
            <v>HP</v>
          </cell>
          <cell r="Q692">
            <v>0</v>
          </cell>
        </row>
        <row r="693">
          <cell r="I693" t="str">
            <v>CMAU4692998</v>
          </cell>
          <cell r="J693" t="str">
            <v>ĐỨC</v>
          </cell>
          <cell r="K693">
            <v>0.34375</v>
          </cell>
          <cell r="L693" t="str">
            <v>CMAU3720077</v>
          </cell>
          <cell r="O693" t="str">
            <v>VI-25/58593</v>
          </cell>
          <cell r="Q693">
            <v>0</v>
          </cell>
        </row>
        <row r="694">
          <cell r="I694" t="str">
            <v>CMAU3720077</v>
          </cell>
          <cell r="J694" t="str">
            <v>SÂM</v>
          </cell>
          <cell r="K694">
            <v>0.35416666666666669</v>
          </cell>
          <cell r="L694" t="str">
            <v>MRSU6729172</v>
          </cell>
          <cell r="O694" t="str">
            <v>VI-25/58596</v>
          </cell>
          <cell r="Q694">
            <v>0</v>
          </cell>
        </row>
        <row r="695">
          <cell r="I695" t="str">
            <v>EGSU1770867</v>
          </cell>
          <cell r="J695" t="str">
            <v>HƯỜNG</v>
          </cell>
          <cell r="K695">
            <v>0.4236111111111111</v>
          </cell>
          <cell r="L695" t="str">
            <v>EGSU1770867</v>
          </cell>
          <cell r="O695" t="str">
            <v>VI-25/58610</v>
          </cell>
          <cell r="Q695">
            <v>0</v>
          </cell>
        </row>
        <row r="696">
          <cell r="I696" t="str">
            <v>TIIU5411164</v>
          </cell>
          <cell r="J696" t="str">
            <v>THI</v>
          </cell>
          <cell r="K696">
            <v>0.45833333333333331</v>
          </cell>
          <cell r="L696" t="str">
            <v>MRSU5524028</v>
          </cell>
          <cell r="O696" t="str">
            <v>VI-25/58605</v>
          </cell>
          <cell r="Q696">
            <v>0</v>
          </cell>
        </row>
        <row r="697">
          <cell r="I697" t="str">
            <v>ECMU5122056</v>
          </cell>
          <cell r="J697" t="str">
            <v>MẠNH</v>
          </cell>
          <cell r="K697">
            <v>0.52083333333333337</v>
          </cell>
          <cell r="L697" t="str">
            <v>TIIU5411164</v>
          </cell>
          <cell r="O697" t="str">
            <v>VI-25/58597</v>
          </cell>
          <cell r="Q697">
            <v>0</v>
          </cell>
        </row>
        <row r="698">
          <cell r="I698" t="str">
            <v>EGHU9544203</v>
          </cell>
          <cell r="J698" t="str">
            <v>ĐỨC</v>
          </cell>
          <cell r="K698">
            <v>0.625</v>
          </cell>
          <cell r="L698" t="str">
            <v>EGHU9544203</v>
          </cell>
          <cell r="O698" t="str">
            <v>VI-25/58606</v>
          </cell>
          <cell r="Q698">
            <v>0</v>
          </cell>
        </row>
        <row r="699">
          <cell r="I699" t="str">
            <v>TEMU7305898</v>
          </cell>
          <cell r="J699" t="str">
            <v>THỊNH</v>
          </cell>
          <cell r="K699">
            <v>0.875</v>
          </cell>
          <cell r="L699" t="str">
            <v>MRSU5233819</v>
          </cell>
          <cell r="O699" t="str">
            <v>VI-25/58607</v>
          </cell>
          <cell r="Q699">
            <v>0</v>
          </cell>
        </row>
        <row r="700">
          <cell r="I700" t="str">
            <v>TLLU5924195</v>
          </cell>
          <cell r="J700" t="str">
            <v>MẠNH</v>
          </cell>
          <cell r="K700">
            <v>0.89583333333333337</v>
          </cell>
          <cell r="L700" t="str">
            <v>MRSU6949290</v>
          </cell>
          <cell r="O700" t="str">
            <v>VI-25/58611</v>
          </cell>
          <cell r="Q700">
            <v>0</v>
          </cell>
        </row>
        <row r="701">
          <cell r="I701" t="str">
            <v>EGSU1660052</v>
          </cell>
          <cell r="J701" t="str">
            <v>THI</v>
          </cell>
          <cell r="K701">
            <v>0.91666666666666663</v>
          </cell>
          <cell r="L701" t="str">
            <v>INKU6509701</v>
          </cell>
          <cell r="O701" t="str">
            <v>VI-25/58588</v>
          </cell>
          <cell r="Q701">
            <v>0</v>
          </cell>
        </row>
        <row r="702">
          <cell r="I702" t="str">
            <v>EGSU6153786</v>
          </cell>
          <cell r="J702" t="str">
            <v>HƯỜNG</v>
          </cell>
          <cell r="K702">
            <v>0.9375</v>
          </cell>
          <cell r="O702" t="str">
            <v>VI-25/58589</v>
          </cell>
          <cell r="Q702">
            <v>0</v>
          </cell>
        </row>
        <row r="703">
          <cell r="I703" t="str">
            <v>TLLU5013347</v>
          </cell>
          <cell r="K703">
            <v>6.25E-2</v>
          </cell>
          <cell r="O703" t="str">
            <v>VI-25/58592</v>
          </cell>
          <cell r="Q703">
            <v>0</v>
          </cell>
        </row>
        <row r="704">
          <cell r="I704" t="str">
            <v>TCNU3900784</v>
          </cell>
          <cell r="J704" t="str">
            <v>THÀNH</v>
          </cell>
          <cell r="K704">
            <v>0.13541666666666666</v>
          </cell>
          <cell r="L704" t="str">
            <v>EGSU6153786</v>
          </cell>
          <cell r="O704" t="str">
            <v>VI-25/58608</v>
          </cell>
          <cell r="Q704">
            <v>0</v>
          </cell>
        </row>
        <row r="705">
          <cell r="I705" t="str">
            <v>UETU7650910</v>
          </cell>
          <cell r="J705" t="str">
            <v>XUYÊN
KÉO VỀ</v>
          </cell>
          <cell r="L705" t="str">
            <v>UETU7650910</v>
          </cell>
          <cell r="N705" t="str">
            <v>TÂN CẢNG 189</v>
          </cell>
          <cell r="O705" t="str">
            <v>VI-25/58604</v>
          </cell>
          <cell r="P705" t="str">
            <v>done</v>
          </cell>
          <cell r="Q705" t="str">
            <v>308057517850</v>
          </cell>
        </row>
        <row r="706">
          <cell r="I706" t="str">
            <v>SEGU9530947</v>
          </cell>
          <cell r="J706" t="str">
            <v>THỊNH</v>
          </cell>
          <cell r="K706" t="str">
            <v>08:00</v>
          </cell>
          <cell r="L706" t="str">
            <v>ONEU5476399</v>
          </cell>
          <cell r="M706" t="str">
            <v>TRI PHƯƠNG</v>
          </cell>
          <cell r="N706" t="str">
            <v xml:space="preserve">LẠCH HUYỆN </v>
          </cell>
          <cell r="Q706">
            <v>0</v>
          </cell>
        </row>
        <row r="707">
          <cell r="I707" t="str">
            <v>TCLU1078450</v>
          </cell>
          <cell r="J707" t="str">
            <v>TÍN</v>
          </cell>
          <cell r="K707" t="str">
            <v>09:00</v>
          </cell>
          <cell r="L707" t="str">
            <v>SITU9160711</v>
          </cell>
          <cell r="M707" t="str">
            <v>TRI PHƯƠNG</v>
          </cell>
          <cell r="N707" t="str">
            <v xml:space="preserve">LẠCH HUYỆN </v>
          </cell>
          <cell r="Q707">
            <v>0</v>
          </cell>
        </row>
        <row r="708">
          <cell r="I708" t="str">
            <v>CGMU5678380</v>
          </cell>
          <cell r="J708" t="str">
            <v>THÀNH</v>
          </cell>
          <cell r="K708" t="str">
            <v>9:00</v>
          </cell>
          <cell r="L708" t="str">
            <v>GAOU6555603</v>
          </cell>
          <cell r="M708" t="str">
            <v>TRI PHƯƠNG</v>
          </cell>
          <cell r="N708" t="str">
            <v>TÂN VŨ</v>
          </cell>
          <cell r="Q708">
            <v>0</v>
          </cell>
        </row>
        <row r="709">
          <cell r="I709" t="str">
            <v>SZLU9896246</v>
          </cell>
          <cell r="J709" t="str">
            <v>QUÂN</v>
          </cell>
          <cell r="K709" t="str">
            <v>10:00</v>
          </cell>
          <cell r="L709" t="str">
            <v>MRKU6314466</v>
          </cell>
          <cell r="M709" t="str">
            <v>TRI PHƯƠNG</v>
          </cell>
          <cell r="N709" t="str">
            <v>TÂN VŨ</v>
          </cell>
          <cell r="Q709">
            <v>0</v>
          </cell>
        </row>
        <row r="710">
          <cell r="I710" t="str">
            <v>ONEU9063808</v>
          </cell>
          <cell r="J710" t="str">
            <v>THỊNH</v>
          </cell>
          <cell r="K710" t="str">
            <v>10:00</v>
          </cell>
          <cell r="L710" t="str">
            <v>CAAU6618612</v>
          </cell>
          <cell r="M710" t="str">
            <v>TRI PHƯƠNG</v>
          </cell>
          <cell r="N710" t="str">
            <v>TÂN VŨ</v>
          </cell>
          <cell r="Q710">
            <v>0</v>
          </cell>
        </row>
        <row r="711">
          <cell r="I711" t="str">
            <v>TCLU1147144</v>
          </cell>
          <cell r="J711" t="str">
            <v>THÀNH</v>
          </cell>
          <cell r="K711" t="str">
            <v>10:00</v>
          </cell>
          <cell r="L711" t="str">
            <v>CGMU5059426</v>
          </cell>
          <cell r="M711" t="str">
            <v>TRI PHƯƠNG</v>
          </cell>
          <cell r="N711" t="str">
            <v>TÂN VŨ</v>
          </cell>
          <cell r="Q711">
            <v>0</v>
          </cell>
        </row>
        <row r="712">
          <cell r="I712" t="str">
            <v>EGSU5060518</v>
          </cell>
          <cell r="J712" t="str">
            <v>MẠNH</v>
          </cell>
          <cell r="K712" t="str">
            <v>10:00</v>
          </cell>
          <cell r="L712" t="str">
            <v>EITU9347669</v>
          </cell>
          <cell r="M712" t="str">
            <v>TRI PHƯƠNG</v>
          </cell>
          <cell r="N712" t="str">
            <v>VIP</v>
          </cell>
          <cell r="Q712">
            <v>0</v>
          </cell>
        </row>
        <row r="713">
          <cell r="I713" t="str">
            <v>TRIU8976352</v>
          </cell>
          <cell r="J713" t="str">
            <v>TÍN</v>
          </cell>
          <cell r="K713" t="str">
            <v>10:00</v>
          </cell>
          <cell r="L713" t="str">
            <v>CGMU5678380</v>
          </cell>
          <cell r="M713" t="str">
            <v>TRI PHƯƠNG</v>
          </cell>
          <cell r="N713" t="str">
            <v xml:space="preserve">LẠCH HUYỆN </v>
          </cell>
          <cell r="Q713">
            <v>0</v>
          </cell>
        </row>
        <row r="714">
          <cell r="I714" t="str">
            <v>CGMU9362003</v>
          </cell>
          <cell r="J714" t="str">
            <v>SÂM</v>
          </cell>
          <cell r="K714" t="str">
            <v>13:00</v>
          </cell>
          <cell r="L714" t="str">
            <v>EGSU5060518</v>
          </cell>
          <cell r="M714" t="str">
            <v>TRI PHƯƠNG</v>
          </cell>
          <cell r="N714" t="str">
            <v>TÂN VŨ</v>
          </cell>
          <cell r="Q714">
            <v>0</v>
          </cell>
        </row>
        <row r="715">
          <cell r="I715" t="str">
            <v>CGMU5059426</v>
          </cell>
          <cell r="J715" t="str">
            <v>TÍN</v>
          </cell>
          <cell r="K715" t="str">
            <v>15:00</v>
          </cell>
          <cell r="L715" t="str">
            <v>TIIU4823594</v>
          </cell>
          <cell r="M715" t="str">
            <v>TRI PHƯƠNG</v>
          </cell>
          <cell r="N715" t="str">
            <v xml:space="preserve">LẠCH HUYỆN </v>
          </cell>
          <cell r="Q715">
            <v>0</v>
          </cell>
        </row>
        <row r="716">
          <cell r="I716" t="str">
            <v xml:space="preserve"> CGMU6992668</v>
          </cell>
          <cell r="J716" t="str">
            <v>SÂM</v>
          </cell>
          <cell r="K716">
            <v>0.625</v>
          </cell>
          <cell r="L716" t="str">
            <v>CGMU5779956</v>
          </cell>
          <cell r="M716" t="str">
            <v>TRI PHƯƠNG</v>
          </cell>
          <cell r="N716" t="str">
            <v xml:space="preserve">LẠCH HUYỆN </v>
          </cell>
          <cell r="Q716">
            <v>0</v>
          </cell>
        </row>
        <row r="717">
          <cell r="I717" t="str">
            <v>CGMU5779956</v>
          </cell>
          <cell r="J717" t="str">
            <v>SƠN</v>
          </cell>
          <cell r="K717">
            <v>0.625</v>
          </cell>
          <cell r="L717" t="str">
            <v>CGMU9362003</v>
          </cell>
          <cell r="M717" t="str">
            <v>TRI PHƯƠNG</v>
          </cell>
          <cell r="N717" t="str">
            <v xml:space="preserve">LẠCH HUYỆN </v>
          </cell>
          <cell r="Q717">
            <v>0</v>
          </cell>
        </row>
        <row r="718">
          <cell r="I718" t="str">
            <v>MRKU6314466</v>
          </cell>
          <cell r="J718" t="str">
            <v>THỊNH</v>
          </cell>
          <cell r="K718" t="str">
            <v>10:00</v>
          </cell>
          <cell r="L718" t="str">
            <v>MRSU7048698</v>
          </cell>
          <cell r="M718" t="str">
            <v>TRI PHƯƠNG</v>
          </cell>
          <cell r="N718" t="str">
            <v>HATECO HICT</v>
          </cell>
          <cell r="P718" t="str">
            <v>done</v>
          </cell>
          <cell r="Q718">
            <v>308058090560</v>
          </cell>
        </row>
        <row r="719">
          <cell r="I719" t="str">
            <v>CAAU6618612</v>
          </cell>
          <cell r="J719" t="str">
            <v xml:space="preserve">MẠNH </v>
          </cell>
          <cell r="K719" t="str">
            <v>14:00</v>
          </cell>
          <cell r="L719" t="str">
            <v>TCLU1387680</v>
          </cell>
          <cell r="M719" t="str">
            <v>TRI PHƯƠNG</v>
          </cell>
          <cell r="N719" t="str">
            <v>HATECO HICT</v>
          </cell>
          <cell r="P719" t="str">
            <v>done</v>
          </cell>
          <cell r="Q719" t="str">
            <v>308058144020</v>
          </cell>
        </row>
        <row r="720">
          <cell r="I720" t="str">
            <v>CAAU6079104</v>
          </cell>
          <cell r="J720" t="str">
            <v>QUÂN</v>
          </cell>
          <cell r="K720" t="str">
            <v>23:00</v>
          </cell>
          <cell r="L720" t="str">
            <v>CGMU5185281</v>
          </cell>
          <cell r="M720" t="str">
            <v>TRI PHƯƠNG</v>
          </cell>
          <cell r="N720" t="str">
            <v>HATECO HICT</v>
          </cell>
          <cell r="P720" t="str">
            <v>done</v>
          </cell>
          <cell r="Q720">
            <v>308058179500</v>
          </cell>
        </row>
        <row r="721">
          <cell r="I721" t="str">
            <v>MRSU6703286</v>
          </cell>
          <cell r="J721" t="str">
            <v>MẠNH</v>
          </cell>
          <cell r="K721">
            <v>0.33333333333333331</v>
          </cell>
          <cell r="L721" t="str">
            <v>MRSU4511345</v>
          </cell>
          <cell r="M721" t="str">
            <v>TRI PHƯƠNG</v>
          </cell>
          <cell r="N721" t="str">
            <v>HATECO HICT</v>
          </cell>
          <cell r="O721" t="str">
            <v>VI-25/58590</v>
          </cell>
          <cell r="P721" t="str">
            <v>done</v>
          </cell>
          <cell r="Q721" t="str">
            <v>308057398960</v>
          </cell>
        </row>
        <row r="722">
          <cell r="I722" t="str">
            <v>MRSU5524028</v>
          </cell>
          <cell r="J722" t="str">
            <v>SƠN</v>
          </cell>
          <cell r="K722">
            <v>0.57291666666666663</v>
          </cell>
          <cell r="L722" t="str">
            <v>MRSU6703286</v>
          </cell>
          <cell r="M722" t="str">
            <v>TRI PHƯƠNG</v>
          </cell>
          <cell r="N722" t="str">
            <v>HATECO HICT</v>
          </cell>
          <cell r="O722" t="str">
            <v>VI-25/58609</v>
          </cell>
          <cell r="P722" t="str">
            <v>done</v>
          </cell>
          <cell r="Q722">
            <v>308057140810</v>
          </cell>
        </row>
        <row r="723">
          <cell r="I723" t="str">
            <v>FFAU6251496</v>
          </cell>
          <cell r="J723" t="str">
            <v>SƠN</v>
          </cell>
          <cell r="K723">
            <v>0.59375</v>
          </cell>
          <cell r="L723" t="str">
            <v>FFAU6251496</v>
          </cell>
          <cell r="M723" t="str">
            <v>TRI PHƯƠNG</v>
          </cell>
          <cell r="N723" t="str">
            <v>HATECO HICT</v>
          </cell>
          <cell r="O723" t="str">
            <v>VI-25/58583</v>
          </cell>
          <cell r="P723" t="str">
            <v>done</v>
          </cell>
          <cell r="Q723">
            <v>308057445050</v>
          </cell>
        </row>
        <row r="724">
          <cell r="I724" t="str">
            <v>MRSU5233819</v>
          </cell>
          <cell r="J724" t="str">
            <v>SÂM</v>
          </cell>
          <cell r="K724">
            <v>0.60416666666666663</v>
          </cell>
          <cell r="L724" t="str">
            <v>ECMU5122056</v>
          </cell>
          <cell r="M724" t="str">
            <v>TRI PHƯƠNG</v>
          </cell>
          <cell r="N724" t="str">
            <v>HATECO HICT</v>
          </cell>
          <cell r="O724" t="str">
            <v>VI-25/58598</v>
          </cell>
          <cell r="P724" t="str">
            <v>done</v>
          </cell>
          <cell r="Q724">
            <v>308057485100</v>
          </cell>
        </row>
        <row r="725">
          <cell r="I725" t="str">
            <v>MRSU5310617</v>
          </cell>
          <cell r="J725" t="str">
            <v>SƠN</v>
          </cell>
          <cell r="K725">
            <v>0.95833333333333337</v>
          </cell>
          <cell r="L725" t="str">
            <v>TEMU7305898</v>
          </cell>
          <cell r="M725" t="str">
            <v>TRI PHƯƠNG</v>
          </cell>
          <cell r="N725" t="str">
            <v>HATECO HICT</v>
          </cell>
          <cell r="O725" t="str">
            <v>VI-25/58591</v>
          </cell>
          <cell r="P725" t="str">
            <v>done</v>
          </cell>
          <cell r="Q725">
            <v>308057420440</v>
          </cell>
        </row>
        <row r="726">
          <cell r="I726" t="str">
            <v>INKU6509701</v>
          </cell>
          <cell r="J726" t="str">
            <v>PHƯƠNG</v>
          </cell>
          <cell r="K726">
            <v>8.3333333333333329E-2</v>
          </cell>
          <cell r="L726" t="str">
            <v>CMAU4692998</v>
          </cell>
          <cell r="M726" t="str">
            <v>TRI PHƯƠNG</v>
          </cell>
          <cell r="N726" t="str">
            <v>HATECO HICT</v>
          </cell>
          <cell r="O726" t="str">
            <v>VI-25/58599</v>
          </cell>
          <cell r="P726" t="str">
            <v>done</v>
          </cell>
          <cell r="Q726">
            <v>308057494900</v>
          </cell>
        </row>
        <row r="727">
          <cell r="I727" t="str">
            <v>MRSU5580660</v>
          </cell>
          <cell r="J727" t="str">
            <v>THỊNH</v>
          </cell>
          <cell r="K727">
            <v>9.375E-2</v>
          </cell>
          <cell r="L727" t="str">
            <v>MRSU5580660</v>
          </cell>
          <cell r="M727" t="str">
            <v>TRI PHƯƠNG</v>
          </cell>
          <cell r="N727" t="str">
            <v>HATECO HICT</v>
          </cell>
          <cell r="O727" t="str">
            <v>VI-25/58600</v>
          </cell>
          <cell r="P727" t="str">
            <v>done</v>
          </cell>
          <cell r="Q727">
            <v>308057467820</v>
          </cell>
        </row>
        <row r="728">
          <cell r="I728" t="str">
            <v>TCKU7131929</v>
          </cell>
          <cell r="J728" t="str">
            <v>QUÂN</v>
          </cell>
          <cell r="K728">
            <v>0.58333333333333337</v>
          </cell>
          <cell r="L728" t="str">
            <v>EISU8477520</v>
          </cell>
          <cell r="M728" t="str">
            <v>TRI PHƯƠNG</v>
          </cell>
          <cell r="N728" t="str">
            <v>HATECO HICT</v>
          </cell>
          <cell r="O728" t="str">
            <v>VB-25/52806</v>
          </cell>
          <cell r="P728" t="str">
            <v>done</v>
          </cell>
          <cell r="Q728" t="str">
            <v>308055551330</v>
          </cell>
        </row>
        <row r="729">
          <cell r="I729" t="str">
            <v>MRSU3815169</v>
          </cell>
          <cell r="J729" t="str">
            <v>THI</v>
          </cell>
          <cell r="K729">
            <v>0</v>
          </cell>
          <cell r="L729" t="str">
            <v>MRSU4095000</v>
          </cell>
          <cell r="M729" t="str">
            <v>TRI PHƯƠNG</v>
          </cell>
          <cell r="N729" t="str">
            <v>HATECO HICT</v>
          </cell>
          <cell r="O729" t="str">
            <v>VB-25/52807</v>
          </cell>
          <cell r="P729" t="str">
            <v>done</v>
          </cell>
          <cell r="Q729">
            <v>308055598120</v>
          </cell>
        </row>
        <row r="730">
          <cell r="I730" t="str">
            <v>CAAU6676331</v>
          </cell>
          <cell r="J730" t="str">
            <v>SƠN</v>
          </cell>
          <cell r="K730">
            <v>4.1666666666666664E-2</v>
          </cell>
          <cell r="L730" t="str">
            <v>TCKU7131929</v>
          </cell>
          <cell r="M730" t="str">
            <v>TRI PHƯƠNG</v>
          </cell>
          <cell r="N730" t="str">
            <v>HATECO HICT</v>
          </cell>
          <cell r="O730" t="str">
            <v>VS-25/51721</v>
          </cell>
          <cell r="P730" t="str">
            <v>done</v>
          </cell>
          <cell r="Q730">
            <v>308055659350</v>
          </cell>
        </row>
        <row r="731">
          <cell r="I731" t="str">
            <v>EMCU8620366</v>
          </cell>
          <cell r="J731" t="str">
            <v>SÂM</v>
          </cell>
          <cell r="K731">
            <v>0.33333333333333331</v>
          </cell>
          <cell r="L731" t="str">
            <v>MRSU3815169</v>
          </cell>
          <cell r="O731" t="str">
            <v>VH-25/50790</v>
          </cell>
          <cell r="Q731">
            <v>0</v>
          </cell>
        </row>
        <row r="732">
          <cell r="I732" t="str">
            <v>EGHU9224658</v>
          </cell>
          <cell r="J732" t="str">
            <v>SƠN</v>
          </cell>
          <cell r="K732">
            <v>0.33333333333333331</v>
          </cell>
          <cell r="L732" t="str">
            <v>CAAU6676331</v>
          </cell>
          <cell r="O732" t="str">
            <v>VS-25/51725</v>
          </cell>
          <cell r="Q732">
            <v>0</v>
          </cell>
        </row>
        <row r="733">
          <cell r="I733" t="str">
            <v>EGHU9560518</v>
          </cell>
          <cell r="J733" t="str">
            <v>TÍN</v>
          </cell>
          <cell r="K733">
            <v>0.875</v>
          </cell>
          <cell r="L733" t="str">
            <v>TCKU6585660</v>
          </cell>
          <cell r="O733" t="str">
            <v>VS-25/51728</v>
          </cell>
          <cell r="Q733">
            <v>0</v>
          </cell>
        </row>
        <row r="734">
          <cell r="I734" t="str">
            <v>CMAU6863220</v>
          </cell>
          <cell r="J734" t="str">
            <v>HƯỜNG</v>
          </cell>
          <cell r="K734">
            <v>0.33333333333333331</v>
          </cell>
          <cell r="L734" t="str">
            <v>CMAU6863220</v>
          </cell>
          <cell r="O734" t="str">
            <v>VI-25/58615</v>
          </cell>
          <cell r="Q734">
            <v>0</v>
          </cell>
        </row>
        <row r="735">
          <cell r="I735" t="str">
            <v>TGBU6969676</v>
          </cell>
          <cell r="K735">
            <v>0.34375</v>
          </cell>
          <cell r="O735" t="str">
            <v>VI-25/58618</v>
          </cell>
          <cell r="Q735">
            <v>0</v>
          </cell>
        </row>
        <row r="736">
          <cell r="I736" t="str">
            <v>TXGU8182975</v>
          </cell>
          <cell r="J736" t="str">
            <v>QUÂN</v>
          </cell>
          <cell r="K736">
            <v>0.35416666666666669</v>
          </cell>
          <cell r="L736" t="str">
            <v>CAAU8011058</v>
          </cell>
          <cell r="O736" t="str">
            <v>VI-25/58620</v>
          </cell>
          <cell r="Q736">
            <v>0</v>
          </cell>
        </row>
        <row r="737">
          <cell r="I737" t="str">
            <v>CAAU8011058</v>
          </cell>
          <cell r="J737" t="str">
            <v>MẠNH</v>
          </cell>
          <cell r="K737">
            <v>0.4375</v>
          </cell>
          <cell r="L737" t="str">
            <v>TGBU6969676</v>
          </cell>
          <cell r="O737" t="str">
            <v>VI-25/58637</v>
          </cell>
          <cell r="Q737">
            <v>0</v>
          </cell>
        </row>
        <row r="738">
          <cell r="I738" t="str">
            <v>EGSU9847369</v>
          </cell>
          <cell r="J738" t="str">
            <v>MẠNH</v>
          </cell>
          <cell r="K738">
            <v>0.89583333333333337</v>
          </cell>
          <cell r="L738" t="str">
            <v>MRSU4250010</v>
          </cell>
          <cell r="O738" t="str">
            <v>VI-25/58619</v>
          </cell>
          <cell r="Q738">
            <v>0</v>
          </cell>
        </row>
        <row r="739">
          <cell r="I739" t="str">
            <v>TCNU2126328</v>
          </cell>
          <cell r="J739" t="str">
            <v>THI</v>
          </cell>
          <cell r="K739">
            <v>0.11458333333333333</v>
          </cell>
          <cell r="L739" t="str">
            <v>SEKU6930100</v>
          </cell>
          <cell r="O739" t="str">
            <v>VI-25/58640</v>
          </cell>
          <cell r="Q739">
            <v>0</v>
          </cell>
        </row>
        <row r="740">
          <cell r="I740" t="str">
            <v>CMAU8896984</v>
          </cell>
          <cell r="J740" t="str">
            <v>THỊNH</v>
          </cell>
          <cell r="K740">
            <v>0.13541666666666666</v>
          </cell>
          <cell r="L740" t="str">
            <v>CMAU8896984</v>
          </cell>
          <cell r="O740" t="str">
            <v>VI-25/58641</v>
          </cell>
          <cell r="Q740">
            <v>0</v>
          </cell>
        </row>
        <row r="741">
          <cell r="I741" t="str">
            <v>GAOU6948560</v>
          </cell>
          <cell r="J741" t="str">
            <v>PHƯƠNG</v>
          </cell>
          <cell r="K741">
            <v>0.41666666666666669</v>
          </cell>
          <cell r="L741" t="str">
            <v>SEGU9530947</v>
          </cell>
          <cell r="Q741">
            <v>0</v>
          </cell>
        </row>
        <row r="742">
          <cell r="I742" t="str">
            <v>EGSU1877243</v>
          </cell>
          <cell r="K742">
            <v>0.45833333333333331</v>
          </cell>
          <cell r="Q742">
            <v>0</v>
          </cell>
        </row>
        <row r="743">
          <cell r="I743" t="str">
            <v>GCXU6540143</v>
          </cell>
          <cell r="J743" t="str">
            <v>THÀNH</v>
          </cell>
          <cell r="K743">
            <v>0.58333333333333337</v>
          </cell>
          <cell r="L743" t="str">
            <v>CAAU2244860</v>
          </cell>
          <cell r="Q743">
            <v>0</v>
          </cell>
        </row>
        <row r="744">
          <cell r="I744" t="str">
            <v>TIIU5546956</v>
          </cell>
          <cell r="J744" t="str">
            <v>QUÂN
HƯỜNG KÉO VỀ</v>
          </cell>
          <cell r="N744" t="str">
            <v>ĐÌNH VŨ</v>
          </cell>
          <cell r="O744" t="str">
            <v>VZ-25/50422 +VZ-25/50422R +VZ-25/50422R-01</v>
          </cell>
          <cell r="P744" t="str">
            <v>done</v>
          </cell>
          <cell r="Q744" t="str">
            <v>tk</v>
          </cell>
        </row>
        <row r="745">
          <cell r="I745" t="str">
            <v>CAAU8442121</v>
          </cell>
          <cell r="J745" t="str">
            <v>PHƯƠNG</v>
          </cell>
          <cell r="L745" t="str">
            <v>TEMU9904750</v>
          </cell>
          <cell r="Q745">
            <v>0</v>
          </cell>
        </row>
        <row r="746">
          <cell r="I746" t="str">
            <v>TCKU6585660</v>
          </cell>
          <cell r="J746" t="str">
            <v>THI</v>
          </cell>
          <cell r="K746">
            <v>0.375</v>
          </cell>
          <cell r="L746" t="str">
            <v>CAAU5752355</v>
          </cell>
          <cell r="M746" t="str">
            <v>TRI PHƯƠNG</v>
          </cell>
          <cell r="N746" t="str">
            <v>HATECO HICT</v>
          </cell>
          <cell r="O746" t="str">
            <v>VB-25/52808</v>
          </cell>
          <cell r="P746" t="str">
            <v>done</v>
          </cell>
          <cell r="Q746">
            <v>308061209060</v>
          </cell>
        </row>
        <row r="747">
          <cell r="I747" t="str">
            <v>BSIU9851400</v>
          </cell>
          <cell r="J747" t="str">
            <v>THÀNH</v>
          </cell>
          <cell r="K747">
            <v>0.625</v>
          </cell>
          <cell r="L747" t="str">
            <v>TCLU6658553</v>
          </cell>
          <cell r="M747" t="str">
            <v>TRI PHƯƠNG</v>
          </cell>
          <cell r="N747" t="str">
            <v>HATECO HICT</v>
          </cell>
          <cell r="O747" t="str">
            <v>VB-25/52809</v>
          </cell>
          <cell r="P747" t="str">
            <v>done</v>
          </cell>
          <cell r="Q747">
            <v>308061229360</v>
          </cell>
        </row>
        <row r="748">
          <cell r="I748" t="str">
            <v>MRSU4877843</v>
          </cell>
          <cell r="J748" t="str">
            <v>QUÂN</v>
          </cell>
          <cell r="K748">
            <v>4.1666666666666664E-2</v>
          </cell>
          <cell r="L748" t="str">
            <v>EGHU9210145</v>
          </cell>
          <cell r="M748" t="str">
            <v>TRI PHƯƠNG</v>
          </cell>
          <cell r="N748" t="str">
            <v>HATECO HICT</v>
          </cell>
          <cell r="O748" t="str">
            <v>VB-25/52810</v>
          </cell>
          <cell r="P748" t="str">
            <v>done</v>
          </cell>
          <cell r="Q748">
            <v>308061429450</v>
          </cell>
        </row>
        <row r="749">
          <cell r="I749" t="str">
            <v>MRSU7464376</v>
          </cell>
          <cell r="J749" t="str">
            <v>QUÂN</v>
          </cell>
          <cell r="K749">
            <v>0.875</v>
          </cell>
          <cell r="L749" t="str">
            <v>EMCU8620366</v>
          </cell>
          <cell r="M749" t="str">
            <v>TRI PHƯƠNG</v>
          </cell>
          <cell r="N749" t="str">
            <v>HATECO HICT</v>
          </cell>
          <cell r="O749" t="str">
            <v>VS-25/51727</v>
          </cell>
          <cell r="P749" t="str">
            <v>done</v>
          </cell>
          <cell r="Q749">
            <v>308061394820</v>
          </cell>
        </row>
        <row r="750">
          <cell r="I750" t="str">
            <v>MRSU4250010</v>
          </cell>
          <cell r="J750" t="str">
            <v>MẠNH</v>
          </cell>
          <cell r="K750">
            <v>0.4236111111111111</v>
          </cell>
          <cell r="L750" t="str">
            <v>EGSU1660052</v>
          </cell>
          <cell r="M750" t="str">
            <v>TRI PHƯƠNG</v>
          </cell>
          <cell r="N750" t="str">
            <v>HATECO HICT</v>
          </cell>
          <cell r="O750" t="str">
            <v>VI-25/58647</v>
          </cell>
          <cell r="P750" t="str">
            <v>done</v>
          </cell>
          <cell r="Q750">
            <v>308061572360</v>
          </cell>
        </row>
        <row r="751">
          <cell r="I751" t="str">
            <v>HASU4426691</v>
          </cell>
          <cell r="J751" t="str">
            <v>THI</v>
          </cell>
          <cell r="K751">
            <v>0.52083333333333337</v>
          </cell>
          <cell r="L751" t="str">
            <v>TXGU8182975</v>
          </cell>
          <cell r="M751" t="str">
            <v>TRI PHƯƠNG</v>
          </cell>
          <cell r="N751" t="str">
            <v>HATECO HICT</v>
          </cell>
          <cell r="O751" t="str">
            <v>VI-25/58638</v>
          </cell>
          <cell r="P751" t="str">
            <v>done</v>
          </cell>
          <cell r="Q751">
            <v>308061341510</v>
          </cell>
        </row>
        <row r="752">
          <cell r="I752" t="str">
            <v>TCNU2817000</v>
          </cell>
          <cell r="J752" t="str">
            <v>THỊNH</v>
          </cell>
          <cell r="K752">
            <v>0.57291666666666663</v>
          </cell>
          <cell r="L752" t="str">
            <v>TCNU3900784</v>
          </cell>
          <cell r="M752" t="str">
            <v>TRI PHƯƠNG</v>
          </cell>
          <cell r="N752" t="str">
            <v>HATECO HICT</v>
          </cell>
          <cell r="O752" t="str">
            <v>VI-25/58645</v>
          </cell>
          <cell r="P752" t="str">
            <v>done</v>
          </cell>
          <cell r="Q752">
            <v>308061617200</v>
          </cell>
        </row>
        <row r="753">
          <cell r="I753" t="str">
            <v>SEKU6930100</v>
          </cell>
          <cell r="J753" t="str">
            <v>ĐỨC</v>
          </cell>
          <cell r="K753">
            <v>9.375E-2</v>
          </cell>
          <cell r="L753" t="str">
            <v>EGSU9847369</v>
          </cell>
          <cell r="M753" t="str">
            <v>TRI PHƯƠNG</v>
          </cell>
          <cell r="N753" t="str">
            <v>HATECO HICT</v>
          </cell>
          <cell r="O753" t="str">
            <v>VI-25/58633</v>
          </cell>
          <cell r="P753" t="str">
            <v>done</v>
          </cell>
          <cell r="Q753">
            <v>308061594210</v>
          </cell>
        </row>
        <row r="754">
          <cell r="I754" t="str">
            <v>TLLU6908291</v>
          </cell>
          <cell r="J754" t="str">
            <v>THỊNH</v>
          </cell>
          <cell r="K754" t="str">
            <v>10:00</v>
          </cell>
          <cell r="L754" t="str">
            <v>MRSU4475696</v>
          </cell>
          <cell r="M754" t="str">
            <v>TRI PHƯƠNG</v>
          </cell>
          <cell r="N754" t="str">
            <v>HATECO HICT</v>
          </cell>
          <cell r="P754" t="str">
            <v>done</v>
          </cell>
          <cell r="Q754">
            <v>308062146620</v>
          </cell>
        </row>
        <row r="755">
          <cell r="I755" t="str">
            <v>CAAU2244860</v>
          </cell>
          <cell r="J755" t="str">
            <v>HƯỜNG</v>
          </cell>
          <cell r="K755" t="str">
            <v>10:00</v>
          </cell>
          <cell r="L755" t="str">
            <v>TCLU1147144</v>
          </cell>
          <cell r="M755" t="str">
            <v>TRI PHƯƠNG</v>
          </cell>
          <cell r="N755" t="str">
            <v>HATECO HICT</v>
          </cell>
          <cell r="P755" t="str">
            <v>done</v>
          </cell>
          <cell r="Q755">
            <v>308062322210</v>
          </cell>
        </row>
        <row r="756">
          <cell r="I756" t="str">
            <v>MRSU4475696</v>
          </cell>
          <cell r="J756" t="str">
            <v>THI</v>
          </cell>
          <cell r="K756" t="str">
            <v>11:00</v>
          </cell>
          <cell r="L756" t="str">
            <v>TCLU1078450</v>
          </cell>
          <cell r="M756" t="str">
            <v>TRI PHƯƠNG</v>
          </cell>
          <cell r="N756" t="str">
            <v>HATECO HICT</v>
          </cell>
          <cell r="P756" t="str">
            <v>done</v>
          </cell>
          <cell r="Q756">
            <v>308062203100</v>
          </cell>
        </row>
        <row r="757">
          <cell r="I757" t="str">
            <v>MRSU6793741</v>
          </cell>
          <cell r="J757" t="str">
            <v>PHƯƠNG</v>
          </cell>
          <cell r="K757" t="str">
            <v>13:00</v>
          </cell>
          <cell r="L757" t="str">
            <v>GAOU6948560</v>
          </cell>
          <cell r="M757" t="str">
            <v>TRI PHƯƠNG</v>
          </cell>
          <cell r="N757" t="str">
            <v>HATECO HICT</v>
          </cell>
          <cell r="P757" t="str">
            <v>done</v>
          </cell>
          <cell r="Q757">
            <v>308062299700</v>
          </cell>
        </row>
        <row r="758">
          <cell r="I758" t="str">
            <v>CAAU9941233</v>
          </cell>
          <cell r="J758" t="str">
            <v>HƯỜNG</v>
          </cell>
          <cell r="K758" t="str">
            <v>13:00</v>
          </cell>
          <cell r="L758" t="str">
            <v>EGSU1877243</v>
          </cell>
          <cell r="M758" t="str">
            <v>TRI PHƯƠNG</v>
          </cell>
          <cell r="N758" t="str">
            <v>HATECO HICT</v>
          </cell>
          <cell r="P758" t="str">
            <v>done</v>
          </cell>
          <cell r="Q758">
            <v>308062169460</v>
          </cell>
        </row>
        <row r="759">
          <cell r="I759" t="str">
            <v>MRSU6913404</v>
          </cell>
          <cell r="J759" t="str">
            <v>ĐỨC</v>
          </cell>
          <cell r="K759" t="str">
            <v>14:00</v>
          </cell>
          <cell r="L759" t="str">
            <v>CAAU6079104</v>
          </cell>
          <cell r="M759" t="str">
            <v>TRI PHƯƠNG</v>
          </cell>
          <cell r="N759" t="str">
            <v>HATECO HICT</v>
          </cell>
          <cell r="P759" t="str">
            <v>done</v>
          </cell>
          <cell r="Q759">
            <v>308062125950</v>
          </cell>
        </row>
        <row r="760">
          <cell r="I760" t="str">
            <v>MRSU8274200</v>
          </cell>
          <cell r="J760" t="str">
            <v>TÍN</v>
          </cell>
          <cell r="K760" t="str">
            <v>14:00</v>
          </cell>
          <cell r="L760" t="str">
            <v>MRSU8274200</v>
          </cell>
          <cell r="M760" t="str">
            <v>TRI PHƯƠNG</v>
          </cell>
          <cell r="N760" t="str">
            <v>HATECO HICT</v>
          </cell>
          <cell r="P760" t="str">
            <v>done</v>
          </cell>
          <cell r="Q760">
            <v>308062223250</v>
          </cell>
        </row>
        <row r="761">
          <cell r="I761" t="str">
            <v>TIIU5304989</v>
          </cell>
          <cell r="J761" t="str">
            <v>THÀNH</v>
          </cell>
          <cell r="K761" t="str">
            <v>23:00</v>
          </cell>
          <cell r="L761" t="str">
            <v>TIIU5304989</v>
          </cell>
          <cell r="M761" t="str">
            <v>TRI PHƯƠNG</v>
          </cell>
          <cell r="N761" t="str">
            <v>HATECO HICT</v>
          </cell>
          <cell r="P761" t="str">
            <v>done</v>
          </cell>
          <cell r="Q761">
            <v>308062248230</v>
          </cell>
        </row>
        <row r="762">
          <cell r="I762" t="str">
            <v>GAOU7323686</v>
          </cell>
          <cell r="J762" t="str">
            <v>MẠNH</v>
          </cell>
          <cell r="K762" t="str">
            <v>23:00</v>
          </cell>
          <cell r="L762" t="str">
            <v>MRSU6913404</v>
          </cell>
          <cell r="M762" t="str">
            <v>TRI PHƯƠNG</v>
          </cell>
          <cell r="N762" t="str">
            <v>HATECO HICT</v>
          </cell>
          <cell r="P762" t="str">
            <v>done</v>
          </cell>
          <cell r="Q762">
            <v>308062270300</v>
          </cell>
        </row>
        <row r="763">
          <cell r="I763" t="str">
            <v>TTNU8603307</v>
          </cell>
          <cell r="J763" t="str">
            <v>SƠN</v>
          </cell>
          <cell r="K763" t="str">
            <v>13:00</v>
          </cell>
          <cell r="L763" t="str">
            <v>EGSU1495277</v>
          </cell>
          <cell r="M763" t="str">
            <v>TRI PHƯƠNG</v>
          </cell>
          <cell r="N763" t="str">
            <v>TÂN VŨ</v>
          </cell>
          <cell r="Q763">
            <v>0</v>
          </cell>
        </row>
        <row r="764">
          <cell r="I764" t="str">
            <v>EMCU5449537</v>
          </cell>
          <cell r="J764" t="str">
            <v>THÀNH</v>
          </cell>
          <cell r="K764" t="str">
            <v>14:00</v>
          </cell>
          <cell r="L764" t="str">
            <v xml:space="preserve"> CGMU6992668</v>
          </cell>
          <cell r="M764" t="str">
            <v>TRI PHƯƠNG</v>
          </cell>
          <cell r="N764" t="str">
            <v>VIP</v>
          </cell>
          <cell r="Q764">
            <v>0</v>
          </cell>
        </row>
        <row r="765">
          <cell r="I765" t="str">
            <v>EMCU5401148</v>
          </cell>
          <cell r="J765" t="str">
            <v>MẠNH</v>
          </cell>
          <cell r="K765" t="str">
            <v>23:00</v>
          </cell>
          <cell r="L765" t="str">
            <v>TTNU8603307</v>
          </cell>
          <cell r="M765" t="str">
            <v>TRI PHƯƠNG</v>
          </cell>
          <cell r="N765" t="str">
            <v>VIP</v>
          </cell>
          <cell r="Q765">
            <v>0</v>
          </cell>
        </row>
        <row r="766">
          <cell r="I766" t="str">
            <v>TEMU9904750</v>
          </cell>
          <cell r="J766" t="str">
            <v>SÂM</v>
          </cell>
          <cell r="K766" t="str">
            <v>15:00</v>
          </cell>
          <cell r="L766" t="str">
            <v>CAAU9941233</v>
          </cell>
          <cell r="M766" t="str">
            <v>TRI PHƯƠNG</v>
          </cell>
          <cell r="N766" t="str">
            <v>HATECO HICT</v>
          </cell>
          <cell r="Q766">
            <v>0</v>
          </cell>
        </row>
        <row r="767">
          <cell r="I767" t="str">
            <v>CXRU1308210</v>
          </cell>
          <cell r="J767" t="str">
            <v>TÍN</v>
          </cell>
          <cell r="K767" t="str">
            <v>21:00</v>
          </cell>
          <cell r="L767" t="str">
            <v>EMCU5449537</v>
          </cell>
          <cell r="M767" t="str">
            <v>TRI PHƯƠNG</v>
          </cell>
          <cell r="N767" t="str">
            <v>HATECO HICT</v>
          </cell>
          <cell r="Q767">
            <v>0</v>
          </cell>
        </row>
        <row r="768">
          <cell r="I768" t="str">
            <v>APHU7294963</v>
          </cell>
          <cell r="K768">
            <v>0.35416666666666669</v>
          </cell>
          <cell r="O768" t="str">
            <v>VI-25/58681</v>
          </cell>
          <cell r="Q768">
            <v>0</v>
          </cell>
        </row>
        <row r="769">
          <cell r="I769" t="str">
            <v>TGBU9754500</v>
          </cell>
          <cell r="J769" t="str">
            <v>PHƯƠNG</v>
          </cell>
          <cell r="K769">
            <v>0.875</v>
          </cell>
          <cell r="L769" t="str">
            <v>APHU7294963</v>
          </cell>
          <cell r="O769" t="str">
            <v>VI-25/58672</v>
          </cell>
          <cell r="Q769">
            <v>0</v>
          </cell>
        </row>
        <row r="770">
          <cell r="I770" t="str">
            <v>EMCU8783390</v>
          </cell>
          <cell r="J770" t="str">
            <v>ĐỨC</v>
          </cell>
          <cell r="K770">
            <v>0.89583333333333337</v>
          </cell>
          <cell r="L770" t="str">
            <v>MRSU4734550</v>
          </cell>
          <cell r="O770" t="str">
            <v>VI-25/58649</v>
          </cell>
          <cell r="Q770">
            <v>0</v>
          </cell>
        </row>
        <row r="771">
          <cell r="I771" t="str">
            <v>TGBU7871302</v>
          </cell>
          <cell r="J771" t="str">
            <v>THANH
KÉO VỀ</v>
          </cell>
          <cell r="K771">
            <v>6.25E-2</v>
          </cell>
          <cell r="L771" t="str">
            <v>TGBU7871302</v>
          </cell>
          <cell r="N771" t="str">
            <v>GIC</v>
          </cell>
          <cell r="O771" t="str">
            <v>VI-25/58668</v>
          </cell>
          <cell r="P771" t="str">
            <v>done</v>
          </cell>
          <cell r="Q771">
            <v>308065232110</v>
          </cell>
        </row>
        <row r="772">
          <cell r="K772">
            <v>0.10416666666666667</v>
          </cell>
          <cell r="O772" t="str">
            <v>VI-25/58686</v>
          </cell>
          <cell r="Q772">
            <v>0</v>
          </cell>
        </row>
        <row r="773">
          <cell r="I773" t="str">
            <v>EGHU9326958</v>
          </cell>
          <cell r="J773" t="str">
            <v>SÂM</v>
          </cell>
          <cell r="K773">
            <v>7.2916666666666671E-2</v>
          </cell>
          <cell r="L773" t="str">
            <v>EGHU9326958</v>
          </cell>
          <cell r="N773" t="str">
            <v>TÂN VŨ</v>
          </cell>
          <cell r="O773" t="str">
            <v>VI-25/58670</v>
          </cell>
          <cell r="Q773">
            <v>0</v>
          </cell>
        </row>
        <row r="774">
          <cell r="I774" t="str">
            <v>ECMU7516892</v>
          </cell>
          <cell r="J774" t="str">
            <v>RU ATP</v>
          </cell>
          <cell r="K774">
            <v>0.55208333333333337</v>
          </cell>
          <cell r="L774" t="str">
            <v>ECMU7516892</v>
          </cell>
          <cell r="N774" t="str">
            <v>TÂN VŨ</v>
          </cell>
          <cell r="O774" t="str">
            <v>VI-25/58666</v>
          </cell>
          <cell r="P774" t="str">
            <v>done</v>
          </cell>
          <cell r="Q774">
            <v>308065516310</v>
          </cell>
        </row>
        <row r="775">
          <cell r="I775" t="str">
            <v>CMAU9215909</v>
          </cell>
          <cell r="J775" t="str">
            <v>TÍN</v>
          </cell>
          <cell r="K775">
            <v>0.58333333333333337</v>
          </cell>
          <cell r="L775" t="str">
            <v>CMAU9215909</v>
          </cell>
          <cell r="N775" t="str">
            <v>LẠCH HUYỆN</v>
          </cell>
          <cell r="O775" t="str">
            <v>VI-25/58655</v>
          </cell>
          <cell r="Q775">
            <v>0</v>
          </cell>
        </row>
        <row r="776">
          <cell r="I776" t="str">
            <v>TXGU8421529</v>
          </cell>
          <cell r="J776" t="str">
            <v>TÍN</v>
          </cell>
          <cell r="K776">
            <v>0.97916666666666663</v>
          </cell>
          <cell r="L776" t="str">
            <v>TXGU8421529</v>
          </cell>
          <cell r="N776" t="str">
            <v>TÂN VŨ</v>
          </cell>
          <cell r="O776" t="str">
            <v>VI-25/58667</v>
          </cell>
          <cell r="P776" t="str">
            <v>done</v>
          </cell>
          <cell r="Q776">
            <v>308065530750</v>
          </cell>
        </row>
        <row r="777">
          <cell r="I777" t="str">
            <v>CMAU9315390</v>
          </cell>
          <cell r="J777" t="str">
            <v>HƯỜNG
KÉO VỀ</v>
          </cell>
          <cell r="L777" t="str">
            <v>CMAU9315390</v>
          </cell>
          <cell r="N777" t="str">
            <v>TÂN VŨ</v>
          </cell>
          <cell r="O777" t="str">
            <v>VI-25/58653</v>
          </cell>
          <cell r="P777" t="str">
            <v>done</v>
          </cell>
          <cell r="Q777">
            <v>308065089900</v>
          </cell>
        </row>
        <row r="778">
          <cell r="I778" t="str">
            <v>CMAU9575660</v>
          </cell>
          <cell r="J778" t="str">
            <v>PHƯƠNG
KÉO VỀ</v>
          </cell>
          <cell r="L778" t="str">
            <v>CMAU9575660</v>
          </cell>
          <cell r="N778" t="str">
            <v>TÂN VŨ</v>
          </cell>
          <cell r="O778" t="str">
            <v>VI-25/58660</v>
          </cell>
          <cell r="P778" t="str">
            <v>done</v>
          </cell>
          <cell r="Q778">
            <v>308065112630</v>
          </cell>
        </row>
        <row r="779">
          <cell r="I779" t="str">
            <v>EGSU1296830</v>
          </cell>
          <cell r="K779">
            <v>0.33333333333333331</v>
          </cell>
          <cell r="O779" t="str">
            <v>VS-25/51734</v>
          </cell>
          <cell r="Q779">
            <v>0</v>
          </cell>
        </row>
        <row r="780">
          <cell r="I780" t="str">
            <v>EGSU3894065</v>
          </cell>
          <cell r="J780" t="str">
            <v>HƯNG
KÉO VỀ</v>
          </cell>
          <cell r="L780" t="str">
            <v>EGSU3894065</v>
          </cell>
          <cell r="N780" t="str">
            <v>GIC</v>
          </cell>
          <cell r="O780" t="str">
            <v>VS-25/51738</v>
          </cell>
          <cell r="P780" t="str">
            <v>done</v>
          </cell>
          <cell r="Q780">
            <v>308065565160</v>
          </cell>
        </row>
        <row r="781">
          <cell r="I781" t="str">
            <v>FFAU6283071</v>
          </cell>
          <cell r="J781" t="str">
            <v>QUÂN</v>
          </cell>
          <cell r="K781">
            <v>0.33333333333333331</v>
          </cell>
          <cell r="L781" t="str">
            <v>MRSU7464376</v>
          </cell>
          <cell r="O781" t="str">
            <v>VH-25/50821</v>
          </cell>
          <cell r="Q781">
            <v>0</v>
          </cell>
        </row>
        <row r="782">
          <cell r="I782" t="str">
            <v>TEMU7124415</v>
          </cell>
          <cell r="J782" t="str">
            <v>SƠN</v>
          </cell>
          <cell r="K782">
            <v>0.875</v>
          </cell>
          <cell r="L782" t="str">
            <v>MRSU4877843</v>
          </cell>
          <cell r="O782" t="str">
            <v>VF-25/50103</v>
          </cell>
          <cell r="Q782">
            <v>0</v>
          </cell>
        </row>
        <row r="783">
          <cell r="I783" t="str">
            <v>EMCU8822177</v>
          </cell>
          <cell r="K783">
            <v>0.875</v>
          </cell>
          <cell r="O783" t="str">
            <v>VS-25/51730</v>
          </cell>
          <cell r="Q783">
            <v>0</v>
          </cell>
        </row>
        <row r="784">
          <cell r="I784" t="str">
            <v>TEMU7765260</v>
          </cell>
          <cell r="J784" t="str">
            <v>RU AVS</v>
          </cell>
          <cell r="K784">
            <v>0.625</v>
          </cell>
          <cell r="L784" t="str">
            <v>TEMU7765260</v>
          </cell>
          <cell r="N784" t="str">
            <v>NAM ĐÌNH VŨ</v>
          </cell>
          <cell r="O784" t="str">
            <v>VH-25/50825</v>
          </cell>
          <cell r="P784" t="str">
            <v>done</v>
          </cell>
          <cell r="Q784">
            <v>308064244260</v>
          </cell>
        </row>
        <row r="785">
          <cell r="I785" t="str">
            <v>TRHU5881265</v>
          </cell>
          <cell r="J785" t="str">
            <v>HƯỜNG</v>
          </cell>
          <cell r="K785">
            <v>0.45833333333333331</v>
          </cell>
          <cell r="L785" t="str">
            <v>SRMU2409580</v>
          </cell>
          <cell r="Q785">
            <v>0</v>
          </cell>
        </row>
        <row r="786">
          <cell r="I786" t="str">
            <v>SRMU2409580</v>
          </cell>
          <cell r="J786" t="str">
            <v>SÂM</v>
          </cell>
          <cell r="K786">
            <v>0.54166666666666663</v>
          </cell>
          <cell r="L786" t="str">
            <v>EMCU5401148</v>
          </cell>
          <cell r="O786" t="str">
            <v>RTB-25/0452</v>
          </cell>
          <cell r="Q786">
            <v>0</v>
          </cell>
        </row>
        <row r="787">
          <cell r="I787" t="str">
            <v>FFAU7177367</v>
          </cell>
          <cell r="J787" t="str">
            <v>HƯỜNG</v>
          </cell>
          <cell r="K787">
            <v>0.58333333333333337</v>
          </cell>
          <cell r="L787" t="str">
            <v>CGMU5353750</v>
          </cell>
          <cell r="O787" t="str">
            <v>VZ-25/50424 +VZ-25/50424R +VZ-25/50424R-01</v>
          </cell>
          <cell r="Q787">
            <v>0</v>
          </cell>
        </row>
        <row r="788">
          <cell r="I788" t="str">
            <v>TGBU6835738</v>
          </cell>
          <cell r="J788" t="str">
            <v>THỊNH</v>
          </cell>
          <cell r="K788">
            <v>0.91666666666666663</v>
          </cell>
          <cell r="L788" t="str">
            <v>ECMU7541365</v>
          </cell>
          <cell r="Q788">
            <v>0</v>
          </cell>
        </row>
        <row r="789">
          <cell r="I789" t="str">
            <v>EGHU8404531</v>
          </cell>
          <cell r="J789" t="str">
            <v>PHƯƠNG</v>
          </cell>
          <cell r="K789">
            <v>0.91666666666666663</v>
          </cell>
          <cell r="L789" t="str">
            <v>TRHU5881265</v>
          </cell>
          <cell r="Q789">
            <v>0</v>
          </cell>
        </row>
        <row r="790">
          <cell r="I790" t="str">
            <v>EGSU9879366</v>
          </cell>
          <cell r="J790" t="str">
            <v>THAÀNH</v>
          </cell>
          <cell r="K790">
            <v>0</v>
          </cell>
          <cell r="L790" t="str">
            <v>TIIU4678670</v>
          </cell>
          <cell r="O790" t="str">
            <v>RTB-25/0453</v>
          </cell>
          <cell r="Q790">
            <v>0</v>
          </cell>
        </row>
        <row r="791">
          <cell r="I791" t="str">
            <v>EMCU8382041</v>
          </cell>
          <cell r="J791" t="str">
            <v>THI</v>
          </cell>
          <cell r="K791">
            <v>0</v>
          </cell>
          <cell r="L791" t="str">
            <v>CAJU5072591</v>
          </cell>
          <cell r="O791" t="str">
            <v>HP</v>
          </cell>
          <cell r="Q791">
            <v>0</v>
          </cell>
        </row>
        <row r="792">
          <cell r="I792" t="str">
            <v>ECMU7541365</v>
          </cell>
          <cell r="Q792">
            <v>0</v>
          </cell>
        </row>
        <row r="793">
          <cell r="I793" t="str">
            <v>TXGU8839334</v>
          </cell>
          <cell r="J793" t="str">
            <v>DŨNG
KÉO VỀ</v>
          </cell>
          <cell r="K793">
            <v>0.95833333333333337</v>
          </cell>
          <cell r="L793" t="str">
            <v>TXGU8839334</v>
          </cell>
          <cell r="N793" t="str">
            <v>GIC</v>
          </cell>
          <cell r="P793" t="str">
            <v>done</v>
          </cell>
          <cell r="Q793">
            <v>308065362900</v>
          </cell>
        </row>
        <row r="794">
          <cell r="I794" t="str">
            <v>TIIU5782463</v>
          </cell>
          <cell r="J794" t="str">
            <v>QUÂN</v>
          </cell>
          <cell r="K794">
            <v>8.3333333333333329E-2</v>
          </cell>
          <cell r="L794" t="str">
            <v>FFAU7124217</v>
          </cell>
          <cell r="Q794">
            <v>0</v>
          </cell>
        </row>
        <row r="795">
          <cell r="I795" t="str">
            <v>CMAU9644987</v>
          </cell>
          <cell r="J795" t="str">
            <v>QUÂN
SƠN KÉO VỀ</v>
          </cell>
          <cell r="L795" t="str">
            <v>TRIU8071997</v>
          </cell>
          <cell r="N795" t="str">
            <v>NAM ĐÌNH VŨ</v>
          </cell>
          <cell r="P795" t="str">
            <v>done</v>
          </cell>
          <cell r="Q795">
            <v>308065307450</v>
          </cell>
        </row>
        <row r="796">
          <cell r="I796" t="str">
            <v>CMAU3545668</v>
          </cell>
          <cell r="J796" t="str">
            <v>SƠN</v>
          </cell>
          <cell r="L796" t="str">
            <v>CMAU9644987</v>
          </cell>
          <cell r="Q796">
            <v>0</v>
          </cell>
        </row>
        <row r="797">
          <cell r="I797" t="str">
            <v>FFAU5493582</v>
          </cell>
          <cell r="J797" t="str">
            <v>SÂM</v>
          </cell>
          <cell r="K797">
            <v>0.375</v>
          </cell>
          <cell r="L797" t="str">
            <v>EGHU9560518</v>
          </cell>
          <cell r="M797" t="str">
            <v>TRI PHƯƠNG</v>
          </cell>
          <cell r="N797" t="str">
            <v>HATECO HICT</v>
          </cell>
          <cell r="O797" t="str">
            <v>VB-25/52811</v>
          </cell>
          <cell r="P797" t="str">
            <v>done</v>
          </cell>
          <cell r="Q797">
            <v>308064128320</v>
          </cell>
        </row>
        <row r="798">
          <cell r="I798" t="str">
            <v>MSKU1928761</v>
          </cell>
          <cell r="J798" t="str">
            <v>THI</v>
          </cell>
          <cell r="K798">
            <v>0.625</v>
          </cell>
          <cell r="L798" t="str">
            <v>EGSU1296830</v>
          </cell>
          <cell r="M798" t="str">
            <v>TRI PHƯƠNG</v>
          </cell>
          <cell r="N798" t="str">
            <v>HATECO HICT</v>
          </cell>
          <cell r="O798" t="str">
            <v>VB-25/52812</v>
          </cell>
          <cell r="P798" t="str">
            <v>done</v>
          </cell>
          <cell r="Q798">
            <v>308064143830</v>
          </cell>
        </row>
        <row r="799">
          <cell r="I799" t="str">
            <v>MRSU4727099</v>
          </cell>
          <cell r="J799" t="str">
            <v>THÀNH</v>
          </cell>
          <cell r="K799">
            <v>4.1666666666666664E-2</v>
          </cell>
          <cell r="L799" t="str">
            <v>FFAU6283071</v>
          </cell>
          <cell r="M799" t="str">
            <v>TRI PHƯƠNG</v>
          </cell>
          <cell r="N799" t="str">
            <v>HATECO HICT</v>
          </cell>
          <cell r="O799" t="str">
            <v>VB-25/52813</v>
          </cell>
          <cell r="P799" t="str">
            <v>done</v>
          </cell>
          <cell r="Q799">
            <v>308064153300</v>
          </cell>
        </row>
        <row r="800">
          <cell r="I800" t="str">
            <v>GAOU7389560</v>
          </cell>
          <cell r="J800" t="str">
            <v>PHƯƠNG</v>
          </cell>
          <cell r="K800">
            <v>0.33333333333333331</v>
          </cell>
          <cell r="L800" t="str">
            <v>TCNU2126328</v>
          </cell>
          <cell r="M800" t="str">
            <v>TRI PHƯƠNG</v>
          </cell>
          <cell r="N800" t="str">
            <v>HATECO HICT</v>
          </cell>
          <cell r="O800" t="str">
            <v>VI-25/58680</v>
          </cell>
          <cell r="P800" t="str">
            <v>done</v>
          </cell>
          <cell r="Q800">
            <v>308065064220</v>
          </cell>
        </row>
        <row r="801">
          <cell r="I801" t="str">
            <v>CAAU6512960</v>
          </cell>
          <cell r="J801" t="str">
            <v>THÀNH</v>
          </cell>
          <cell r="K801">
            <v>0.34375</v>
          </cell>
          <cell r="L801" t="str">
            <v>HASU4426691</v>
          </cell>
          <cell r="M801" t="str">
            <v>TRI PHƯƠNG</v>
          </cell>
          <cell r="N801" t="str">
            <v>HATECO HICT</v>
          </cell>
          <cell r="O801" t="str">
            <v>VI-25/58662</v>
          </cell>
          <cell r="P801" t="str">
            <v>done</v>
          </cell>
          <cell r="Q801">
            <v>308065255800</v>
          </cell>
        </row>
        <row r="802">
          <cell r="I802" t="str">
            <v>SEKU6892947</v>
          </cell>
          <cell r="J802" t="str">
            <v>THI</v>
          </cell>
          <cell r="K802">
            <v>0.375</v>
          </cell>
          <cell r="L802" t="str">
            <v>CAAU6512960</v>
          </cell>
          <cell r="M802" t="str">
            <v>TRI PHƯƠNG</v>
          </cell>
          <cell r="N802" t="str">
            <v>HATECO HICT</v>
          </cell>
          <cell r="O802" t="str">
            <v>VI-25/58675</v>
          </cell>
          <cell r="P802" t="str">
            <v>done</v>
          </cell>
          <cell r="Q802">
            <v>308065296250</v>
          </cell>
        </row>
        <row r="803">
          <cell r="I803" t="str">
            <v>MRSU6966786</v>
          </cell>
          <cell r="J803" t="str">
            <v>THỊNH</v>
          </cell>
          <cell r="K803">
            <v>0.57291666666666663</v>
          </cell>
          <cell r="L803" t="str">
            <v>SEKU6892947</v>
          </cell>
          <cell r="M803" t="str">
            <v>TRI PHƯƠNG</v>
          </cell>
          <cell r="N803" t="str">
            <v>HATECO HICT</v>
          </cell>
          <cell r="O803" t="str">
            <v>VI-25/58663</v>
          </cell>
          <cell r="P803" t="str">
            <v>done</v>
          </cell>
          <cell r="Q803">
            <v>308065270130</v>
          </cell>
        </row>
        <row r="804">
          <cell r="I804" t="str">
            <v>MRSU8980320</v>
          </cell>
          <cell r="J804" t="str">
            <v xml:space="preserve">RU DIỆP LÂM ANH </v>
          </cell>
          <cell r="K804">
            <v>0.59375</v>
          </cell>
          <cell r="L804" t="str">
            <v>MRSU8980320</v>
          </cell>
          <cell r="M804" t="str">
            <v>HATECO HICT</v>
          </cell>
          <cell r="N804" t="str">
            <v>HATECO HICT</v>
          </cell>
          <cell r="O804" t="str">
            <v>VI-25/58650</v>
          </cell>
          <cell r="P804" t="str">
            <v>done</v>
          </cell>
          <cell r="Q804">
            <v>308065020600</v>
          </cell>
        </row>
        <row r="805">
          <cell r="I805" t="str">
            <v>MRSU4734550</v>
          </cell>
          <cell r="J805" t="str">
            <v>MẠNH</v>
          </cell>
          <cell r="K805">
            <v>0.60416666666666663</v>
          </cell>
          <cell r="M805" t="str">
            <v>TRI PHƯƠNG</v>
          </cell>
          <cell r="N805" t="str">
            <v>HATECO HICT</v>
          </cell>
          <cell r="O805" t="str">
            <v>VI-25/58669</v>
          </cell>
          <cell r="P805" t="str">
            <v>done</v>
          </cell>
          <cell r="Q805">
            <v>308065047160</v>
          </cell>
        </row>
        <row r="806">
          <cell r="I806" t="str">
            <v>TCKU7686022</v>
          </cell>
          <cell r="J806" t="str">
            <v>MẠNH</v>
          </cell>
          <cell r="K806" t="str">
            <v>10:00</v>
          </cell>
          <cell r="L806" t="str">
            <v>GAOU7323686</v>
          </cell>
          <cell r="M806" t="str">
            <v>TRI PHƯƠNG</v>
          </cell>
          <cell r="N806" t="str">
            <v>HATECO HICT</v>
          </cell>
          <cell r="P806" t="str">
            <v>done</v>
          </cell>
          <cell r="Q806">
            <v>308065220760</v>
          </cell>
        </row>
        <row r="807">
          <cell r="I807" t="str">
            <v>HASU4441269</v>
          </cell>
          <cell r="J807" t="str">
            <v>ĐỨC</v>
          </cell>
          <cell r="K807" t="str">
            <v>10:00</v>
          </cell>
          <cell r="L807" t="str">
            <v>FFAU5955417</v>
          </cell>
          <cell r="M807" t="str">
            <v>TRI PHƯƠNG</v>
          </cell>
          <cell r="N807" t="str">
            <v>HATECO HICT</v>
          </cell>
          <cell r="P807" t="str">
            <v>done</v>
          </cell>
          <cell r="Q807">
            <v>308065241910</v>
          </cell>
        </row>
        <row r="808">
          <cell r="I808" t="str">
            <v>FFAU7201587</v>
          </cell>
          <cell r="J808" t="str">
            <v>QUÂN</v>
          </cell>
          <cell r="K808" t="str">
            <v>15:00</v>
          </cell>
          <cell r="L808" t="str">
            <v>EMCU5390450</v>
          </cell>
          <cell r="M808" t="str">
            <v>TRI PHƯƠNG</v>
          </cell>
          <cell r="N808" t="str">
            <v>HATECO HICT</v>
          </cell>
          <cell r="P808" t="str">
            <v>done</v>
          </cell>
          <cell r="Q808">
            <v>308065195560</v>
          </cell>
        </row>
        <row r="809">
          <cell r="I809" t="str">
            <v>EMCU5390450</v>
          </cell>
          <cell r="J809" t="str">
            <v>TÍN</v>
          </cell>
          <cell r="K809">
            <v>0.33333333333333331</v>
          </cell>
          <cell r="L809" t="str">
            <v>GCXU6540143</v>
          </cell>
          <cell r="M809" t="str">
            <v>TRI PHƯƠNG</v>
          </cell>
          <cell r="N809" t="str">
            <v>VIP</v>
          </cell>
          <cell r="Q809">
            <v>0</v>
          </cell>
        </row>
        <row r="810">
          <cell r="I810" t="str">
            <v>TRIU8071997</v>
          </cell>
          <cell r="J810" t="str">
            <v>THÀNH
QUÂN KÉO VỀ</v>
          </cell>
          <cell r="K810" t="str">
            <v>11:00</v>
          </cell>
          <cell r="L810" t="str">
            <v>TCKU7686022</v>
          </cell>
          <cell r="N810" t="str">
            <v>TÂN VŨ</v>
          </cell>
          <cell r="P810" t="str">
            <v>done</v>
          </cell>
          <cell r="Q810">
            <v>308065407220</v>
          </cell>
        </row>
        <row r="811">
          <cell r="I811" t="str">
            <v>CGMU5267203</v>
          </cell>
          <cell r="J811" t="str">
            <v>SÂM
KÉO VỀ</v>
          </cell>
          <cell r="K811" t="str">
            <v>15:00</v>
          </cell>
          <cell r="L811" t="str">
            <v>FFAU7201587</v>
          </cell>
          <cell r="N811" t="str">
            <v>TÂN VŨ</v>
          </cell>
          <cell r="P811" t="str">
            <v>done</v>
          </cell>
          <cell r="Q811">
            <v>308065472100</v>
          </cell>
        </row>
        <row r="812">
          <cell r="I812" t="str">
            <v>TGBU9933980</v>
          </cell>
          <cell r="J812" t="str">
            <v>MẠNH</v>
          </cell>
          <cell r="K812">
            <v>0.57291666666666663</v>
          </cell>
          <cell r="O812" t="str">
            <v>VI-25/58708</v>
          </cell>
          <cell r="Q812">
            <v>0</v>
          </cell>
        </row>
        <row r="813">
          <cell r="I813" t="str">
            <v>CMAU7744858</v>
          </cell>
          <cell r="J813" t="str">
            <v>MẠNH</v>
          </cell>
          <cell r="K813">
            <v>8.3333333333333329E-2</v>
          </cell>
          <cell r="L813" t="str">
            <v>TGBU9754500</v>
          </cell>
          <cell r="O813" t="str">
            <v>VI-25/58714</v>
          </cell>
          <cell r="Q813">
            <v>0</v>
          </cell>
        </row>
        <row r="814">
          <cell r="I814" t="str">
            <v>CMAU7618931</v>
          </cell>
          <cell r="J814" t="str">
            <v>ĐỨC</v>
          </cell>
          <cell r="K814">
            <v>9.375E-2</v>
          </cell>
          <cell r="L814" t="str">
            <v>SELU4051856</v>
          </cell>
          <cell r="O814" t="str">
            <v>VI-25/58693</v>
          </cell>
          <cell r="Q814">
            <v>0</v>
          </cell>
        </row>
        <row r="815">
          <cell r="I815" t="str">
            <v>FFAU4462566</v>
          </cell>
          <cell r="J815" t="str">
            <v>THI</v>
          </cell>
          <cell r="K815">
            <v>0.11458333333333333</v>
          </cell>
          <cell r="L815" t="str">
            <v>FFAU4462566</v>
          </cell>
          <cell r="O815" t="str">
            <v>VI-25/58698</v>
          </cell>
          <cell r="Q815">
            <v>0</v>
          </cell>
        </row>
        <row r="816">
          <cell r="I816" t="str">
            <v>ECMU7547281</v>
          </cell>
          <cell r="J816" t="str">
            <v>ĐĂNG KHOA</v>
          </cell>
          <cell r="K816">
            <v>0.58333333333333337</v>
          </cell>
          <cell r="L816" t="str">
            <v>ECMU7547281</v>
          </cell>
          <cell r="N816" t="str">
            <v>LẠCH HUYỆN</v>
          </cell>
          <cell r="O816" t="str">
            <v>VI-25/58697</v>
          </cell>
          <cell r="P816" t="str">
            <v>done</v>
          </cell>
          <cell r="Q816">
            <v>308069063760</v>
          </cell>
        </row>
        <row r="817">
          <cell r="I817" t="str">
            <v>CMAU9816767</v>
          </cell>
          <cell r="J817" t="str">
            <v>THỊNH
KÉO VỀ</v>
          </cell>
          <cell r="K817">
            <v>0.90625</v>
          </cell>
          <cell r="L817" t="str">
            <v>MRSU8150750</v>
          </cell>
          <cell r="N817" t="str">
            <v>TÂN VŨ</v>
          </cell>
          <cell r="O817" t="str">
            <v>VI-25/58694</v>
          </cell>
          <cell r="P817" t="str">
            <v>done</v>
          </cell>
          <cell r="Q817">
            <v>308069145220</v>
          </cell>
        </row>
        <row r="818">
          <cell r="I818" t="str">
            <v>MSNU5818685</v>
          </cell>
          <cell r="J818" t="str">
            <v>SÂM</v>
          </cell>
          <cell r="K818">
            <v>0.41666666666666669</v>
          </cell>
          <cell r="L818" t="str">
            <v>CGMU5267203</v>
          </cell>
          <cell r="O818" t="str">
            <v>HP</v>
          </cell>
          <cell r="Q818">
            <v>0</v>
          </cell>
        </row>
        <row r="819">
          <cell r="I819" t="str">
            <v>CAAU8221671</v>
          </cell>
          <cell r="J819" t="str">
            <v>THAÀNH</v>
          </cell>
          <cell r="K819">
            <v>0.625</v>
          </cell>
          <cell r="L819" t="str">
            <v>TIIU5782463</v>
          </cell>
          <cell r="O819" t="str">
            <v>HP</v>
          </cell>
          <cell r="Q819">
            <v>0</v>
          </cell>
        </row>
        <row r="820">
          <cell r="I820" t="str">
            <v>CMAU7088045</v>
          </cell>
          <cell r="J820" t="str">
            <v>HƯỜNG</v>
          </cell>
          <cell r="K820">
            <v>0.875</v>
          </cell>
          <cell r="L820" t="str">
            <v>HASU4441269</v>
          </cell>
          <cell r="O820" t="str">
            <v>HP</v>
          </cell>
          <cell r="Q820">
            <v>0</v>
          </cell>
        </row>
        <row r="821">
          <cell r="I821" t="str">
            <v>BSIU8031197</v>
          </cell>
          <cell r="J821" t="str">
            <v>PHƯƠNG
ĐỨC KÉO VỀ</v>
          </cell>
          <cell r="K821">
            <v>0.91666666666666663</v>
          </cell>
          <cell r="L821" t="str">
            <v>MNBU4346649</v>
          </cell>
          <cell r="N821" t="str">
            <v>GIC</v>
          </cell>
          <cell r="O821" t="str">
            <v>VR-25/52856</v>
          </cell>
          <cell r="P821" t="str">
            <v>done</v>
          </cell>
          <cell r="Q821">
            <v>308070016130</v>
          </cell>
        </row>
        <row r="822">
          <cell r="I822" t="str">
            <v>EGSU1828439</v>
          </cell>
          <cell r="J822" t="str">
            <v>THI</v>
          </cell>
          <cell r="K822">
            <v>0.91666666666666663</v>
          </cell>
          <cell r="L822" t="str">
            <v>CAAU8221671</v>
          </cell>
          <cell r="O822" t="str">
            <v>HP</v>
          </cell>
          <cell r="Q822">
            <v>0</v>
          </cell>
        </row>
        <row r="823">
          <cell r="I823" t="str">
            <v>TCNU3517179</v>
          </cell>
          <cell r="J823" t="str">
            <v>SÂM</v>
          </cell>
          <cell r="K823">
            <v>0.91666666666666663</v>
          </cell>
          <cell r="L823" t="str">
            <v>TTNU8880338</v>
          </cell>
          <cell r="O823" t="str">
            <v>HP</v>
          </cell>
          <cell r="Q823">
            <v>0</v>
          </cell>
        </row>
        <row r="824">
          <cell r="I824" t="str">
            <v>GAOU6921235</v>
          </cell>
          <cell r="J824" t="str">
            <v>THAÀNH</v>
          </cell>
          <cell r="K824">
            <v>0</v>
          </cell>
          <cell r="L824" t="str">
            <v>MRSU4411623</v>
          </cell>
          <cell r="O824" t="str">
            <v>RTB-25/0454</v>
          </cell>
          <cell r="Q824">
            <v>0</v>
          </cell>
        </row>
        <row r="825">
          <cell r="I825" t="str">
            <v>TIIU4625916</v>
          </cell>
          <cell r="J825" t="str">
            <v>MẠNH</v>
          </cell>
          <cell r="K825">
            <v>0</v>
          </cell>
          <cell r="L825" t="str">
            <v>EGHU8404531</v>
          </cell>
          <cell r="O825" t="str">
            <v>RTB-25/0455</v>
          </cell>
          <cell r="Q825">
            <v>0</v>
          </cell>
        </row>
        <row r="826">
          <cell r="I826" t="str">
            <v>EGSU9310045</v>
          </cell>
          <cell r="J826" t="str">
            <v>DĐỨC</v>
          </cell>
          <cell r="K826">
            <v>0.875</v>
          </cell>
          <cell r="L826" t="str">
            <v>MRSU4727099</v>
          </cell>
          <cell r="O826" t="str">
            <v>VH-25/50824</v>
          </cell>
          <cell r="Q826">
            <v>0</v>
          </cell>
        </row>
        <row r="827">
          <cell r="I827" t="str">
            <v>MSNU1365976</v>
          </cell>
          <cell r="J827" t="str">
            <v>HỒNG HƯNG
KÉO VỀ</v>
          </cell>
          <cell r="K827">
            <v>0.33333333333333331</v>
          </cell>
          <cell r="L827" t="str">
            <v>MSNU1365976</v>
          </cell>
          <cell r="N827" t="str">
            <v>NAM ĐÌNH VŨ</v>
          </cell>
          <cell r="O827" t="str">
            <v>VH-25/50826</v>
          </cell>
          <cell r="P827" t="str">
            <v>done</v>
          </cell>
          <cell r="Q827">
            <v>308068114230</v>
          </cell>
        </row>
        <row r="828">
          <cell r="I828" t="str">
            <v>CAIU4971855</v>
          </cell>
          <cell r="J828" t="str">
            <v>QUÂN
MẠNH KÉO VỀ</v>
          </cell>
          <cell r="L828" t="str">
            <v>TCKU7601370</v>
          </cell>
          <cell r="O828" t="str">
            <v>VS-25/51735</v>
          </cell>
          <cell r="Q828">
            <v>0</v>
          </cell>
        </row>
        <row r="829">
          <cell r="I829" t="str">
            <v>TGBU4079837</v>
          </cell>
          <cell r="J829" t="str">
            <v>KỶ NGUYÊN</v>
          </cell>
          <cell r="L829" t="str">
            <v>TGBU4079837</v>
          </cell>
          <cell r="N829" t="str">
            <v>NAM ĐÌNH VŨ</v>
          </cell>
          <cell r="O829" t="str">
            <v>VS-25/51733</v>
          </cell>
          <cell r="P829" t="str">
            <v>done</v>
          </cell>
          <cell r="Q829">
            <v>308068811910</v>
          </cell>
        </row>
        <row r="830">
          <cell r="I830" t="str">
            <v>TCLU1896060</v>
          </cell>
          <cell r="J830" t="str">
            <v>SƠN</v>
          </cell>
          <cell r="L830" t="str">
            <v>MRKU7565173</v>
          </cell>
          <cell r="N830">
            <v>0</v>
          </cell>
          <cell r="O830" t="str">
            <v>VH-25/50840</v>
          </cell>
          <cell r="Q830">
            <v>0</v>
          </cell>
        </row>
        <row r="831">
          <cell r="I831" t="str">
            <v>SELU4051856</v>
          </cell>
          <cell r="J831" t="str">
            <v>MẠNH</v>
          </cell>
          <cell r="K831">
            <v>0.35416666666666669</v>
          </cell>
          <cell r="L831" t="str">
            <v>MRSU6966786</v>
          </cell>
          <cell r="M831" t="str">
            <v>TRI PHƯƠNG</v>
          </cell>
          <cell r="N831" t="str">
            <v>HATECO HICT</v>
          </cell>
          <cell r="O831" t="str">
            <v>VI-25/58664</v>
          </cell>
          <cell r="P831" t="str">
            <v>done</v>
          </cell>
          <cell r="Q831">
            <v>308065279230</v>
          </cell>
        </row>
        <row r="832">
          <cell r="I832" t="str">
            <v>MRSU8150750</v>
          </cell>
          <cell r="J832" t="str">
            <v>ĐỨC</v>
          </cell>
          <cell r="K832">
            <v>0.4375</v>
          </cell>
          <cell r="L832" t="str">
            <v>EMCU8783390</v>
          </cell>
          <cell r="M832" t="str">
            <v>TRI PHƯƠNG</v>
          </cell>
          <cell r="N832" t="str">
            <v>HATECO HICT</v>
          </cell>
          <cell r="O832" t="str">
            <v>VI-25/58701</v>
          </cell>
          <cell r="P832" t="str">
            <v>done</v>
          </cell>
          <cell r="Q832">
            <v>308068881430</v>
          </cell>
        </row>
        <row r="833">
          <cell r="I833" t="str">
            <v>MRKU3369866</v>
          </cell>
          <cell r="J833" t="str">
            <v>HƯỜNG</v>
          </cell>
          <cell r="K833">
            <v>0.13541666666666666</v>
          </cell>
          <cell r="L833" t="str">
            <v>MRKU3369866</v>
          </cell>
          <cell r="M833" t="str">
            <v>TRI PHƯƠNG</v>
          </cell>
          <cell r="N833" t="str">
            <v>HATECO HICT</v>
          </cell>
          <cell r="O833" t="str">
            <v>VI-25/58712</v>
          </cell>
          <cell r="P833" t="str">
            <v>done</v>
          </cell>
          <cell r="Q833">
            <v>308069031120</v>
          </cell>
        </row>
        <row r="834">
          <cell r="I834" t="str">
            <v>MRKU7565173</v>
          </cell>
          <cell r="J834" t="str">
            <v>MẠNH</v>
          </cell>
          <cell r="K834">
            <v>0.33333333333333331</v>
          </cell>
          <cell r="L834" t="str">
            <v>MSKU1928761</v>
          </cell>
          <cell r="M834" t="str">
            <v>TRI PHƯƠNG</v>
          </cell>
          <cell r="N834" t="str">
            <v>HATECO HICT</v>
          </cell>
          <cell r="O834" t="str">
            <v>VH-25/50827</v>
          </cell>
          <cell r="P834" t="str">
            <v>done</v>
          </cell>
          <cell r="Q834">
            <v>308068127900</v>
          </cell>
        </row>
        <row r="835">
          <cell r="I835" t="str">
            <v>TCKU7601370</v>
          </cell>
          <cell r="J835" t="str">
            <v>THÀNH</v>
          </cell>
          <cell r="K835">
            <v>0.41666666666666669</v>
          </cell>
          <cell r="L835" t="str">
            <v>EMCU8822177</v>
          </cell>
          <cell r="M835" t="str">
            <v>TRI PHƯƠNG</v>
          </cell>
          <cell r="N835" t="str">
            <v>HATECO HICT</v>
          </cell>
          <cell r="O835" t="str">
            <v>VB-25/52814</v>
          </cell>
          <cell r="P835" t="str">
            <v>done</v>
          </cell>
          <cell r="Q835">
            <v>308068136300</v>
          </cell>
        </row>
        <row r="836">
          <cell r="I836" t="str">
            <v>MRKU5667833</v>
          </cell>
          <cell r="J836" t="str">
            <v>ĐỨC</v>
          </cell>
          <cell r="K836">
            <v>0.875</v>
          </cell>
          <cell r="L836" t="str">
            <v>FFAU5493582</v>
          </cell>
          <cell r="M836" t="str">
            <v>TRI PHƯƠNG</v>
          </cell>
          <cell r="N836" t="str">
            <v>HATECO HICT</v>
          </cell>
          <cell r="O836" t="str">
            <v>VB-25/52815</v>
          </cell>
          <cell r="P836" t="str">
            <v>done</v>
          </cell>
          <cell r="Q836">
            <v>308068838400</v>
          </cell>
        </row>
        <row r="837">
          <cell r="I837" t="str">
            <v>TCNU8442299</v>
          </cell>
          <cell r="J837" t="str">
            <v>THI</v>
          </cell>
          <cell r="K837">
            <v>0.125</v>
          </cell>
          <cell r="L837" t="str">
            <v>TEMU7124415</v>
          </cell>
          <cell r="M837" t="str">
            <v>TRI PHƯƠNG</v>
          </cell>
          <cell r="N837" t="str">
            <v>HATECO HICT</v>
          </cell>
          <cell r="O837" t="str">
            <v>VB-25/52816</v>
          </cell>
          <cell r="P837" t="str">
            <v>done</v>
          </cell>
          <cell r="Q837">
            <v>308068864960</v>
          </cell>
        </row>
        <row r="838">
          <cell r="I838" t="str">
            <v>MRSU7984906</v>
          </cell>
          <cell r="J838" t="str">
            <v>ĐỨC</v>
          </cell>
          <cell r="K838">
            <v>0</v>
          </cell>
          <cell r="L838" t="str">
            <v>EMCU8382041</v>
          </cell>
          <cell r="M838" t="str">
            <v>TRI PHƯƠNG</v>
          </cell>
          <cell r="N838" t="str">
            <v>HATECO HICT</v>
          </cell>
          <cell r="O838" t="str">
            <v>VP-25/54096</v>
          </cell>
          <cell r="P838" t="str">
            <v>done</v>
          </cell>
          <cell r="Q838">
            <v>308070072940</v>
          </cell>
        </row>
        <row r="839">
          <cell r="I839" t="str">
            <v>MRSU4411623</v>
          </cell>
          <cell r="J839" t="str">
            <v>ĐỨC</v>
          </cell>
          <cell r="K839" t="str">
            <v>11:00</v>
          </cell>
          <cell r="L839" t="str">
            <v>MSNU5818685</v>
          </cell>
          <cell r="M839" t="str">
            <v>TRI PHƯƠNG</v>
          </cell>
          <cell r="N839" t="str">
            <v>HATECO HICT</v>
          </cell>
          <cell r="P839" t="str">
            <v>done</v>
          </cell>
          <cell r="Q839">
            <v>308069002050</v>
          </cell>
        </row>
        <row r="840">
          <cell r="I840" t="str">
            <v>CAAU8467834</v>
          </cell>
          <cell r="J840" t="str">
            <v>PHƯƠNG</v>
          </cell>
          <cell r="K840" t="str">
            <v>2:00</v>
          </cell>
          <cell r="L840" t="str">
            <v>CMAU7088045</v>
          </cell>
          <cell r="M840" t="str">
            <v>TRI PHƯƠNG</v>
          </cell>
          <cell r="N840" t="str">
            <v>HATECO HICT</v>
          </cell>
          <cell r="P840" t="str">
            <v>done</v>
          </cell>
          <cell r="Q840">
            <v>308069024120</v>
          </cell>
        </row>
        <row r="841">
          <cell r="I841" t="str">
            <v>MNBU4346649</v>
          </cell>
          <cell r="J841" t="str">
            <v>MẠNH</v>
          </cell>
          <cell r="K841" t="str">
            <v>9:00</v>
          </cell>
          <cell r="L841" t="str">
            <v>TGBU6835738</v>
          </cell>
          <cell r="M841" t="str">
            <v>TRI PHƯƠNG</v>
          </cell>
          <cell r="N841" t="str">
            <v>HATECO HICT</v>
          </cell>
          <cell r="P841" t="str">
            <v>done</v>
          </cell>
          <cell r="Q841">
            <v>308069962560</v>
          </cell>
        </row>
        <row r="842">
          <cell r="I842" t="str">
            <v>TTNU8880338</v>
          </cell>
          <cell r="K842" t="str">
            <v>21:00</v>
          </cell>
          <cell r="M842" t="str">
            <v>TRI PHƯƠNG</v>
          </cell>
          <cell r="N842" t="str">
            <v>HATECO HICT</v>
          </cell>
          <cell r="Q842">
            <v>0</v>
          </cell>
        </row>
        <row r="843">
          <cell r="I843" t="str">
            <v>EGHU8276451</v>
          </cell>
          <cell r="J843" t="str">
            <v>PHƯƠNG</v>
          </cell>
          <cell r="K843">
            <v>0.39583333333333331</v>
          </cell>
          <cell r="L843" t="str">
            <v>CAAU5641330</v>
          </cell>
          <cell r="O843" t="str">
            <v>VI-25/58709</v>
          </cell>
          <cell r="Q843">
            <v>0</v>
          </cell>
        </row>
        <row r="844">
          <cell r="I844" t="str">
            <v>CAAU5150620</v>
          </cell>
          <cell r="J844" t="str">
            <v>QUÂN</v>
          </cell>
          <cell r="K844">
            <v>0.4375</v>
          </cell>
          <cell r="L844" t="str">
            <v>MRSU5821495</v>
          </cell>
          <cell r="O844" t="str">
            <v>VI-25/58710</v>
          </cell>
          <cell r="Q844">
            <v>0</v>
          </cell>
        </row>
        <row r="845">
          <cell r="I845" t="str">
            <v>EITU9097282</v>
          </cell>
          <cell r="J845" t="str">
            <v>SƠN</v>
          </cell>
          <cell r="K845">
            <v>0.45833333333333331</v>
          </cell>
          <cell r="L845" t="str">
            <v>EGHU8276451</v>
          </cell>
          <cell r="O845" t="str">
            <v>VI-25/58747</v>
          </cell>
          <cell r="Q845">
            <v>0</v>
          </cell>
        </row>
        <row r="846">
          <cell r="I846" t="str">
            <v>FFAU7188187</v>
          </cell>
          <cell r="J846" t="str">
            <v>HỒNG HƯNG
KÉO VỀ</v>
          </cell>
          <cell r="L846" t="str">
            <v>FFAU7188187</v>
          </cell>
          <cell r="N846" t="str">
            <v>SITC ĐÌNH VŨ</v>
          </cell>
          <cell r="O846" t="str">
            <v>VI-25/58787</v>
          </cell>
          <cell r="P846" t="str">
            <v>done</v>
          </cell>
          <cell r="Q846">
            <v>308075148160</v>
          </cell>
        </row>
        <row r="847">
          <cell r="I847" t="str">
            <v>TXGU5620825</v>
          </cell>
          <cell r="J847" t="str">
            <v>ĐỨC</v>
          </cell>
          <cell r="K847">
            <v>0.33333333333333331</v>
          </cell>
          <cell r="L847" t="str">
            <v>EGSU9310045</v>
          </cell>
          <cell r="O847" t="str">
            <v>VH-25/50829</v>
          </cell>
          <cell r="Q847">
            <v>0</v>
          </cell>
        </row>
        <row r="848">
          <cell r="I848" t="str">
            <v>EGSU1447263</v>
          </cell>
          <cell r="J848" t="str">
            <v>MẠNH</v>
          </cell>
          <cell r="K848">
            <v>0.33333333333333331</v>
          </cell>
          <cell r="L848" t="str">
            <v>CAIU4971855</v>
          </cell>
          <cell r="O848" t="str">
            <v>VH-25/50831</v>
          </cell>
          <cell r="Q848">
            <v>0</v>
          </cell>
        </row>
        <row r="849">
          <cell r="I849" t="str">
            <v>GAOU7296169</v>
          </cell>
          <cell r="K849">
            <v>0.33333333333333331</v>
          </cell>
          <cell r="O849" t="str">
            <v>VS-25/51742</v>
          </cell>
          <cell r="Q849">
            <v>0</v>
          </cell>
        </row>
        <row r="850">
          <cell r="I850" t="str">
            <v>BEAU5509364</v>
          </cell>
          <cell r="J850" t="str">
            <v>THI</v>
          </cell>
          <cell r="K850">
            <v>0.45833333333333331</v>
          </cell>
          <cell r="L850" t="str">
            <v>MRKU5667833</v>
          </cell>
          <cell r="O850" t="str">
            <v>VH-25/50828</v>
          </cell>
          <cell r="Q850">
            <v>0</v>
          </cell>
        </row>
        <row r="851">
          <cell r="I851" t="str">
            <v>TLLU7689330</v>
          </cell>
          <cell r="K851">
            <v>0.875</v>
          </cell>
          <cell r="O851" t="str">
            <v>VH-25/50830</v>
          </cell>
          <cell r="Q851">
            <v>0</v>
          </cell>
        </row>
        <row r="852">
          <cell r="I852" t="str">
            <v>TIIU4674464</v>
          </cell>
          <cell r="J852" t="str">
            <v>SƠN</v>
          </cell>
          <cell r="K852">
            <v>0.875</v>
          </cell>
          <cell r="L852" t="str">
            <v>TXGU5620825</v>
          </cell>
          <cell r="O852" t="str">
            <v>VS-25/51744</v>
          </cell>
          <cell r="Q852">
            <v>0</v>
          </cell>
        </row>
        <row r="853">
          <cell r="I853" t="str">
            <v>APHU7261701</v>
          </cell>
          <cell r="J853" t="str">
            <v>THAÀNH</v>
          </cell>
          <cell r="K853">
            <v>0.875</v>
          </cell>
          <cell r="L853" t="str">
            <v>EGSU1447263</v>
          </cell>
          <cell r="O853" t="str">
            <v>VS-26/50002</v>
          </cell>
          <cell r="Q853">
            <v>0</v>
          </cell>
        </row>
        <row r="854">
          <cell r="I854" t="str">
            <v>EGSU6113187</v>
          </cell>
          <cell r="J854" t="str">
            <v>SÂM</v>
          </cell>
          <cell r="K854">
            <v>8.3333333333333329E-2</v>
          </cell>
          <cell r="L854" t="str">
            <v>TLLU7689330</v>
          </cell>
          <cell r="O854" t="str">
            <v>VS-25/51741</v>
          </cell>
          <cell r="Q854">
            <v>0</v>
          </cell>
        </row>
        <row r="855">
          <cell r="I855" t="str">
            <v>TGCU5271365</v>
          </cell>
          <cell r="J855" t="str">
            <v>ĐỨC
PHƯƠNG KÉO VỀ</v>
          </cell>
          <cell r="K855">
            <v>0.33333333333333331</v>
          </cell>
          <cell r="L855" t="str">
            <v>BSIU8031197</v>
          </cell>
          <cell r="N855" t="str">
            <v>ĐÌNH VŨ</v>
          </cell>
          <cell r="O855" t="str">
            <v>VZ-26/50002 +VZ-26/50002R +VZ-26/50002R-01</v>
          </cell>
          <cell r="P855" t="str">
            <v>done</v>
          </cell>
          <cell r="Q855" t="str">
            <v>308071943710
308071961060
308071967510
308071981250
308071986960
308071991750
308071997500</v>
          </cell>
        </row>
        <row r="856">
          <cell r="I856" t="str">
            <v>TXGU7453584</v>
          </cell>
          <cell r="J856" t="str">
            <v>HƯỜNG</v>
          </cell>
          <cell r="K856">
            <v>0.54166666666666663</v>
          </cell>
          <cell r="L856" t="str">
            <v>ONEU9293930</v>
          </cell>
          <cell r="O856" t="str">
            <v>RTB-25/0456</v>
          </cell>
          <cell r="Q856">
            <v>0</v>
          </cell>
        </row>
        <row r="857">
          <cell r="I857" t="str">
            <v>SELU4379228</v>
          </cell>
          <cell r="J857" t="str">
            <v>MẠNH
THI KÉO VỀ</v>
          </cell>
          <cell r="K857">
            <v>0.58333333333333337</v>
          </cell>
          <cell r="L857" t="str">
            <v>TLLU1099321</v>
          </cell>
          <cell r="N857" t="str">
            <v>ĐÌNH VŨ</v>
          </cell>
          <cell r="O857" t="str">
            <v>VZ-26/50003 +VZ-26/50003R +VZ-26/50003R-01</v>
          </cell>
          <cell r="P857" t="str">
            <v>done</v>
          </cell>
          <cell r="Q857" t="str">
            <v>308072007960
308072018940
308074971210
308075013910
308075040840
308075065930</v>
          </cell>
        </row>
        <row r="858">
          <cell r="I858" t="str">
            <v>EGSU1268062</v>
          </cell>
          <cell r="J858" t="str">
            <v>HƯỜNG</v>
          </cell>
          <cell r="K858">
            <v>0</v>
          </cell>
          <cell r="L858" t="str">
            <v>ONEU9418702</v>
          </cell>
          <cell r="O858" t="str">
            <v>RTB-25/0457</v>
          </cell>
          <cell r="Q858">
            <v>0</v>
          </cell>
        </row>
        <row r="859">
          <cell r="I859" t="str">
            <v>TRHU5919186</v>
          </cell>
          <cell r="J859" t="str">
            <v>PHƯƠNG</v>
          </cell>
          <cell r="L859" t="str">
            <v>HASU4492179</v>
          </cell>
          <cell r="Q859">
            <v>0</v>
          </cell>
        </row>
        <row r="860">
          <cell r="I860" t="str">
            <v>CAAU5641330</v>
          </cell>
          <cell r="J860" t="str">
            <v>SƠN</v>
          </cell>
          <cell r="K860">
            <v>0.33333333333333331</v>
          </cell>
          <cell r="L860" t="str">
            <v>CMAU7744858</v>
          </cell>
          <cell r="M860" t="str">
            <v>TRI PHƯƠNG</v>
          </cell>
          <cell r="N860" t="str">
            <v>HATECO HICT</v>
          </cell>
          <cell r="O860" t="str">
            <v>VI-25/58733</v>
          </cell>
          <cell r="P860" t="str">
            <v>done</v>
          </cell>
          <cell r="Q860">
            <v>308072759320</v>
          </cell>
        </row>
        <row r="861">
          <cell r="I861" t="str">
            <v>TRHU4052803</v>
          </cell>
          <cell r="J861" t="str">
            <v>QUÂN</v>
          </cell>
          <cell r="K861">
            <v>0.34375</v>
          </cell>
          <cell r="L861" t="str">
            <v>CMAU7618931</v>
          </cell>
          <cell r="M861" t="str">
            <v>TRI PHƯƠNG</v>
          </cell>
          <cell r="N861" t="str">
            <v>HATECO HICT</v>
          </cell>
          <cell r="O861" t="str">
            <v>VI-25/58744</v>
          </cell>
          <cell r="P861" t="str">
            <v>done</v>
          </cell>
          <cell r="Q861">
            <v>308072822430</v>
          </cell>
        </row>
        <row r="862">
          <cell r="I862" t="str">
            <v>MRSU5821495</v>
          </cell>
          <cell r="J862" t="str">
            <v>THỊNH</v>
          </cell>
          <cell r="K862">
            <v>0.35416666666666669</v>
          </cell>
          <cell r="L862" t="str">
            <v>CMAU9816767</v>
          </cell>
          <cell r="M862" t="str">
            <v>TRI PHƯƠNG</v>
          </cell>
          <cell r="N862" t="str">
            <v>HATECO HICT</v>
          </cell>
          <cell r="O862" t="str">
            <v>VI-25/58706</v>
          </cell>
          <cell r="P862" t="str">
            <v>done</v>
          </cell>
          <cell r="Q862">
            <v>308072654430</v>
          </cell>
        </row>
        <row r="863">
          <cell r="I863" t="str">
            <v>MRSU4660544</v>
          </cell>
          <cell r="J863" t="str">
            <v>SÂM</v>
          </cell>
          <cell r="K863">
            <v>0.875</v>
          </cell>
          <cell r="L863" t="str">
            <v>EITU9097282</v>
          </cell>
          <cell r="M863" t="str">
            <v>TRI PHƯƠNG</v>
          </cell>
          <cell r="N863" t="str">
            <v>HATECO HICT</v>
          </cell>
          <cell r="O863" t="str">
            <v>VI-25/58728</v>
          </cell>
          <cell r="P863" t="str">
            <v>done</v>
          </cell>
          <cell r="Q863">
            <v>308072722660</v>
          </cell>
        </row>
        <row r="864">
          <cell r="I864" t="str">
            <v>SEKU4610140</v>
          </cell>
          <cell r="J864" t="str">
            <v>HƯỜNG</v>
          </cell>
          <cell r="K864">
            <v>0.91666666666666663</v>
          </cell>
          <cell r="L864" t="str">
            <v>CAAU5150620</v>
          </cell>
          <cell r="M864" t="str">
            <v>TRI PHƯƠNG</v>
          </cell>
          <cell r="N864" t="str">
            <v>HATECO HICT</v>
          </cell>
          <cell r="O864" t="str">
            <v>VI-25/58729</v>
          </cell>
          <cell r="P864" t="str">
            <v>done</v>
          </cell>
          <cell r="Q864">
            <v>308072738100</v>
          </cell>
        </row>
        <row r="865">
          <cell r="I865" t="str">
            <v>MRKU4090536</v>
          </cell>
          <cell r="J865" t="str">
            <v>PHƯƠNG
HƯỜNG KÉO VỀ</v>
          </cell>
          <cell r="K865">
            <v>7.2916666666666671E-2</v>
          </cell>
          <cell r="L865" t="str">
            <v>MRSU4660544</v>
          </cell>
          <cell r="N865" t="str">
            <v>HATECO HICT</v>
          </cell>
          <cell r="O865" t="str">
            <v>VI-25/58740</v>
          </cell>
          <cell r="P865" t="str">
            <v>done</v>
          </cell>
          <cell r="Q865">
            <v>308072700960</v>
          </cell>
        </row>
        <row r="866">
          <cell r="I866" t="str">
            <v>MRSU6040645</v>
          </cell>
          <cell r="J866" t="str">
            <v>MẠNH</v>
          </cell>
          <cell r="K866">
            <v>8.3333333333333329E-2</v>
          </cell>
          <cell r="L866" t="str">
            <v>TRHU4052803</v>
          </cell>
          <cell r="M866" t="str">
            <v>TRI PHƯƠNG</v>
          </cell>
          <cell r="N866" t="str">
            <v>HATECO HICT</v>
          </cell>
          <cell r="O866" t="str">
            <v>VI-25/58745</v>
          </cell>
          <cell r="P866" t="str">
            <v>done</v>
          </cell>
          <cell r="Q866">
            <v>308072830610</v>
          </cell>
        </row>
        <row r="867">
          <cell r="I867" t="str">
            <v>MRSU4369009</v>
          </cell>
          <cell r="J867" t="str">
            <v>THI</v>
          </cell>
          <cell r="K867">
            <v>9.375E-2</v>
          </cell>
          <cell r="L867" t="str">
            <v>MRSU4369009</v>
          </cell>
          <cell r="M867" t="str">
            <v>TRI PHƯƠNG</v>
          </cell>
          <cell r="N867" t="str">
            <v>HATECO HICT</v>
          </cell>
          <cell r="O867" t="str">
            <v>VI-25/58748</v>
          </cell>
          <cell r="P867" t="str">
            <v>done</v>
          </cell>
          <cell r="Q867">
            <v>308072677900</v>
          </cell>
        </row>
        <row r="868">
          <cell r="I868" t="str">
            <v>MRSU5073686</v>
          </cell>
          <cell r="J868" t="str">
            <v>MẠNH</v>
          </cell>
          <cell r="K868" t="str">
            <v>22:00</v>
          </cell>
          <cell r="L868" t="str">
            <v>MRSU5073686</v>
          </cell>
          <cell r="M868" t="str">
            <v>TRI PHƯƠNG</v>
          </cell>
          <cell r="N868" t="str">
            <v>HATECO HICT</v>
          </cell>
          <cell r="P868" t="str">
            <v>done</v>
          </cell>
          <cell r="Q868">
            <v>308073291430</v>
          </cell>
        </row>
        <row r="869">
          <cell r="I869" t="str">
            <v>HASU4492179</v>
          </cell>
          <cell r="J869" t="str">
            <v>THÀNH</v>
          </cell>
          <cell r="K869">
            <v>0.66666666666666663</v>
          </cell>
          <cell r="L869" t="str">
            <v>TIIU4625916</v>
          </cell>
          <cell r="M869" t="str">
            <v>TRI PHƯƠNG</v>
          </cell>
          <cell r="N869" t="str">
            <v>HATECO HICT</v>
          </cell>
          <cell r="P869" t="str">
            <v>done</v>
          </cell>
          <cell r="Q869">
            <v>308073372410</v>
          </cell>
        </row>
        <row r="870">
          <cell r="I870" t="str">
            <v>ONEU9107444</v>
          </cell>
          <cell r="J870" t="str">
            <v>SÂM</v>
          </cell>
          <cell r="K870">
            <v>0.33333333333333331</v>
          </cell>
          <cell r="L870" t="str">
            <v>ONEU9139312</v>
          </cell>
          <cell r="M870" t="str">
            <v>TRI PHƯƠNG</v>
          </cell>
          <cell r="N870" t="str">
            <v xml:space="preserve">LẠCH HUYỆN </v>
          </cell>
          <cell r="Q870">
            <v>0</v>
          </cell>
        </row>
        <row r="871">
          <cell r="I871" t="str">
            <v>ONEU9293930</v>
          </cell>
          <cell r="J871" t="str">
            <v>SÂM</v>
          </cell>
          <cell r="K871">
            <v>0.375</v>
          </cell>
          <cell r="L871" t="str">
            <v>CAAU8467834</v>
          </cell>
          <cell r="M871" t="str">
            <v>TRI PHƯƠNG</v>
          </cell>
          <cell r="N871" t="str">
            <v>NAM HẢI ĐÌNH VŨ</v>
          </cell>
          <cell r="Q871">
            <v>0</v>
          </cell>
        </row>
        <row r="872">
          <cell r="I872" t="str">
            <v>ONEU9139312</v>
          </cell>
          <cell r="J872" t="str">
            <v>THÀNH</v>
          </cell>
          <cell r="K872">
            <v>0.45833333333333331</v>
          </cell>
          <cell r="L872" t="str">
            <v>MRSU7984906</v>
          </cell>
          <cell r="M872" t="str">
            <v>TRI PHƯƠNG</v>
          </cell>
          <cell r="N872" t="str">
            <v>NAM HẢI ĐÌNH VŨ</v>
          </cell>
          <cell r="Q872">
            <v>0</v>
          </cell>
        </row>
        <row r="873">
          <cell r="I873" t="str">
            <v>APRU6119565</v>
          </cell>
          <cell r="J873" t="str">
            <v>HƯỜNG</v>
          </cell>
          <cell r="K873">
            <v>0.54166666666666663</v>
          </cell>
          <cell r="L873" t="str">
            <v>CMAU3545668</v>
          </cell>
          <cell r="M873" t="str">
            <v>TRI PHƯƠNG</v>
          </cell>
          <cell r="N873" t="str">
            <v>TÂN VŨ</v>
          </cell>
          <cell r="Q873">
            <v>0</v>
          </cell>
        </row>
        <row r="874">
          <cell r="I874" t="str">
            <v>CXRU1308210</v>
          </cell>
          <cell r="J874" t="str">
            <v>THÀNH</v>
          </cell>
          <cell r="K874">
            <v>0.58333333333333337</v>
          </cell>
          <cell r="L874" t="str">
            <v>ONEU9107444</v>
          </cell>
          <cell r="M874" t="str">
            <v>TRI PHƯƠNG</v>
          </cell>
          <cell r="N874" t="str">
            <v>HATECO HICT</v>
          </cell>
          <cell r="Q874">
            <v>0</v>
          </cell>
        </row>
        <row r="875">
          <cell r="I875" t="str">
            <v>FBIU5405062</v>
          </cell>
          <cell r="J875" t="str">
            <v>THI</v>
          </cell>
          <cell r="K875">
            <v>0.625</v>
          </cell>
          <cell r="L875" t="str">
            <v>APRU6119565</v>
          </cell>
          <cell r="M875" t="str">
            <v>TRI PHƯƠNG</v>
          </cell>
          <cell r="N875" t="str">
            <v>NAM HẢI ĐÌNH VŨ</v>
          </cell>
          <cell r="Q875">
            <v>0</v>
          </cell>
        </row>
        <row r="876">
          <cell r="I876" t="str">
            <v>TLLU1099321</v>
          </cell>
          <cell r="J876" t="str">
            <v>PHƯƠNG</v>
          </cell>
          <cell r="K876">
            <v>0.625</v>
          </cell>
          <cell r="L876" t="str">
            <v>EGSU1828439</v>
          </cell>
          <cell r="M876" t="str">
            <v>TRI PHƯƠNG</v>
          </cell>
          <cell r="N876" t="str">
            <v>NAM HẢI ĐÌNH VŨ</v>
          </cell>
          <cell r="Q876">
            <v>0</v>
          </cell>
        </row>
        <row r="877">
          <cell r="I877" t="str">
            <v>ONEU9418702</v>
          </cell>
          <cell r="J877" t="str">
            <v>THI</v>
          </cell>
          <cell r="K877">
            <v>0.875</v>
          </cell>
          <cell r="L877" t="str">
            <v>CXRU1308210</v>
          </cell>
          <cell r="M877" t="str">
            <v>TRI PHƯƠNG</v>
          </cell>
          <cell r="N877" t="str">
            <v>NAM HẢI ĐÌNH VŨ</v>
          </cell>
          <cell r="Q877">
            <v>0</v>
          </cell>
        </row>
        <row r="878">
          <cell r="I878" t="str">
            <v>FSCU5722941</v>
          </cell>
          <cell r="J878" t="str">
            <v>QUÂN</v>
          </cell>
          <cell r="K878">
            <v>0.91666666666666663</v>
          </cell>
          <cell r="L878" t="str">
            <v>FSCU5722941</v>
          </cell>
          <cell r="M878" t="str">
            <v>TRI PHƯƠNG</v>
          </cell>
          <cell r="N878" t="str">
            <v>NAM HẢI ĐÌNH VŨ</v>
          </cell>
          <cell r="Q878">
            <v>0</v>
          </cell>
        </row>
        <row r="879">
          <cell r="I879" t="str">
            <v>ONEU9259093</v>
          </cell>
          <cell r="J879" t="str">
            <v>THỊNH</v>
          </cell>
          <cell r="K879">
            <v>0.91666666666666663</v>
          </cell>
          <cell r="L879" t="str">
            <v>FBIU5405062</v>
          </cell>
          <cell r="M879" t="str">
            <v>TRI PHƯƠNG</v>
          </cell>
          <cell r="N879" t="str">
            <v>NAM HẢI ĐÌNH VŨ</v>
          </cell>
          <cell r="Q879">
            <v>0</v>
          </cell>
        </row>
        <row r="880">
          <cell r="I880" t="str">
            <v>FBIU5355254</v>
          </cell>
          <cell r="J880" t="str">
            <v>ĐỨC</v>
          </cell>
          <cell r="K880">
            <v>0.95833333333333337</v>
          </cell>
          <cell r="M880" t="str">
            <v>TRI PHƯƠNG</v>
          </cell>
          <cell r="N880" t="str">
            <v>NAM HẢI ĐÌNH VŨ</v>
          </cell>
          <cell r="Q880">
            <v>0</v>
          </cell>
        </row>
        <row r="881">
          <cell r="I881" t="str">
            <v>TTNU8844367</v>
          </cell>
          <cell r="J881" t="str">
            <v>HƯỜNG</v>
          </cell>
          <cell r="K881">
            <v>0.95833333333333337</v>
          </cell>
          <cell r="L881" t="str">
            <v>GAOU6921235</v>
          </cell>
          <cell r="M881" t="str">
            <v>TRI PHƯƠNG</v>
          </cell>
          <cell r="N881" t="str">
            <v>TÂN VŨ</v>
          </cell>
          <cell r="Q881">
            <v>0</v>
          </cell>
        </row>
        <row r="882">
          <cell r="I882" t="str">
            <v>CGMU5700890</v>
          </cell>
          <cell r="J882" t="str">
            <v>ĐỨC</v>
          </cell>
          <cell r="K882">
            <v>0</v>
          </cell>
          <cell r="M882" t="str">
            <v>TRI PHƯƠNG</v>
          </cell>
          <cell r="N882" t="str">
            <v>HATECO HICT</v>
          </cell>
          <cell r="Q882">
            <v>0</v>
          </cell>
        </row>
        <row r="883">
          <cell r="I883" t="str">
            <v>SITU9197069</v>
          </cell>
          <cell r="K883">
            <v>0.33333333333333331</v>
          </cell>
          <cell r="Q883">
            <v>0</v>
          </cell>
        </row>
        <row r="884">
          <cell r="I884" t="str">
            <v>SELU4287625</v>
          </cell>
          <cell r="K884">
            <v>0.375</v>
          </cell>
          <cell r="Q884">
            <v>0</v>
          </cell>
        </row>
        <row r="885">
          <cell r="I885" t="str">
            <v>TIIU6443090</v>
          </cell>
          <cell r="K885">
            <v>0.41666666666666669</v>
          </cell>
          <cell r="Q885">
            <v>0</v>
          </cell>
        </row>
        <row r="886">
          <cell r="I886" t="str">
            <v>CAAU9876204</v>
          </cell>
          <cell r="K886">
            <v>0.45833333333333331</v>
          </cell>
          <cell r="Q886">
            <v>0</v>
          </cell>
        </row>
        <row r="887">
          <cell r="I887" t="str">
            <v>SELU4285387</v>
          </cell>
          <cell r="K887">
            <v>0.5</v>
          </cell>
          <cell r="Q887">
            <v>0</v>
          </cell>
        </row>
        <row r="888">
          <cell r="I888" t="str">
            <v>SITU9157467</v>
          </cell>
          <cell r="K888">
            <v>0.54166666666666663</v>
          </cell>
          <cell r="Q888">
            <v>0</v>
          </cell>
        </row>
        <row r="889">
          <cell r="I889" t="str">
            <v>TIIU6076163</v>
          </cell>
          <cell r="K889">
            <v>0.54166666666666663</v>
          </cell>
          <cell r="Q889">
            <v>0</v>
          </cell>
        </row>
        <row r="890">
          <cell r="I890" t="str">
            <v>SEGU6622926</v>
          </cell>
          <cell r="K890">
            <v>0.54166666666666663</v>
          </cell>
          <cell r="Q890">
            <v>0</v>
          </cell>
        </row>
        <row r="891">
          <cell r="I891" t="str">
            <v>FFAU5363655</v>
          </cell>
          <cell r="K891">
            <v>0.95833333333333337</v>
          </cell>
          <cell r="Q891">
            <v>0</v>
          </cell>
        </row>
        <row r="892">
          <cell r="I892" t="str">
            <v>EGSU9335280</v>
          </cell>
          <cell r="K892">
            <v>0.91666666666666663</v>
          </cell>
          <cell r="Q892">
            <v>0</v>
          </cell>
        </row>
        <row r="893">
          <cell r="I893" t="str">
            <v>TTNU8766897</v>
          </cell>
          <cell r="J893" t="str">
            <v>QUÂN</v>
          </cell>
          <cell r="K893" t="str">
            <v>9:00</v>
          </cell>
          <cell r="L893" t="str">
            <v>TTNU8844367</v>
          </cell>
          <cell r="M893" t="str">
            <v>TRI PHƯƠNG</v>
          </cell>
          <cell r="N893" t="str">
            <v xml:space="preserve">LẠCH HUYỆN </v>
          </cell>
          <cell r="Q893">
            <v>0</v>
          </cell>
        </row>
        <row r="894">
          <cell r="I894" t="str">
            <v>HAMU3934037</v>
          </cell>
          <cell r="J894" t="str">
            <v>THÀNH
MẠNH KÉO VỀ</v>
          </cell>
          <cell r="K894">
            <v>0.41666666666666669</v>
          </cell>
          <cell r="L894" t="str">
            <v>TRHU5919186</v>
          </cell>
          <cell r="N894" t="str">
            <v>HATECO HICT</v>
          </cell>
          <cell r="P894" t="str">
            <v>done</v>
          </cell>
          <cell r="Q894">
            <v>308077956340</v>
          </cell>
        </row>
        <row r="895">
          <cell r="I895" t="str">
            <v>FSCU5950725</v>
          </cell>
          <cell r="J895" t="str">
            <v>THI</v>
          </cell>
          <cell r="K895" t="str">
            <v>13:00</v>
          </cell>
          <cell r="L895" t="str">
            <v>EGSU9879366</v>
          </cell>
          <cell r="M895" t="str">
            <v>TRI PHƯƠNG</v>
          </cell>
          <cell r="N895" t="str">
            <v xml:space="preserve">LẠCH HUYỆN </v>
          </cell>
          <cell r="Q895">
            <v>0</v>
          </cell>
        </row>
        <row r="896">
          <cell r="I896" t="str">
            <v xml:space="preserve">TTNU8664344 </v>
          </cell>
          <cell r="J896" t="str">
            <v>QUÂN</v>
          </cell>
          <cell r="K896" t="str">
            <v>14:00</v>
          </cell>
          <cell r="M896" t="str">
            <v>TRI PHƯƠNG</v>
          </cell>
          <cell r="N896" t="str">
            <v>HATECO HICT</v>
          </cell>
          <cell r="Q896">
            <v>0</v>
          </cell>
        </row>
        <row r="897">
          <cell r="I897" t="str">
            <v>MRSU6381180</v>
          </cell>
          <cell r="J897" t="str">
            <v>RU VIETLINK</v>
          </cell>
          <cell r="K897">
            <v>0.625</v>
          </cell>
          <cell r="L897" t="str">
            <v>MRSU6381180</v>
          </cell>
          <cell r="N897" t="str">
            <v>HATECO HICT</v>
          </cell>
          <cell r="O897" t="str">
            <v>VR-25/52874</v>
          </cell>
          <cell r="P897" t="str">
            <v>done</v>
          </cell>
          <cell r="Q897">
            <v>308077070360</v>
          </cell>
        </row>
        <row r="898">
          <cell r="I898" t="str">
            <v>FFAU4232711</v>
          </cell>
          <cell r="J898" t="str">
            <v>THÀNH</v>
          </cell>
          <cell r="K898">
            <v>0.45833333333333331</v>
          </cell>
          <cell r="L898" t="str">
            <v>FFAU4232711</v>
          </cell>
          <cell r="O898" t="str">
            <v>VI-25/58737</v>
          </cell>
          <cell r="Q898">
            <v>0</v>
          </cell>
        </row>
        <row r="899">
          <cell r="I899" t="str">
            <v>SEKU4319854</v>
          </cell>
          <cell r="J899" t="str">
            <v>HƯỜNG</v>
          </cell>
          <cell r="K899">
            <v>0.54166666666666663</v>
          </cell>
          <cell r="L899" t="str">
            <v>SEKU4319854</v>
          </cell>
          <cell r="O899" t="str">
            <v>VI-25/58767</v>
          </cell>
          <cell r="Q899">
            <v>0</v>
          </cell>
        </row>
        <row r="900">
          <cell r="I900" t="str">
            <v>TCKU7985609</v>
          </cell>
          <cell r="J900" t="str">
            <v>QUÂN</v>
          </cell>
          <cell r="K900">
            <v>0.55208333333333337</v>
          </cell>
          <cell r="L900" t="str">
            <v>CAIU9668836</v>
          </cell>
          <cell r="O900" t="str">
            <v>VI-25/58771</v>
          </cell>
          <cell r="Q900">
            <v>0</v>
          </cell>
        </row>
        <row r="901">
          <cell r="I901" t="str">
            <v>SEKU6223392</v>
          </cell>
          <cell r="J901" t="str">
            <v>THÀNH</v>
          </cell>
          <cell r="K901">
            <v>0.57291666666666663</v>
          </cell>
          <cell r="L901" t="str">
            <v>MIEU3070520</v>
          </cell>
          <cell r="O901" t="str">
            <v>VI-25/58772</v>
          </cell>
          <cell r="Q901">
            <v>0</v>
          </cell>
        </row>
        <row r="902">
          <cell r="I902" t="str">
            <v>CAIU9760808</v>
          </cell>
          <cell r="J902" t="str">
            <v>THỊNH</v>
          </cell>
          <cell r="K902">
            <v>0.58333333333333337</v>
          </cell>
          <cell r="L902" t="str">
            <v>CAAU6628550</v>
          </cell>
          <cell r="O902" t="str">
            <v>VI-25/58766</v>
          </cell>
          <cell r="Q902">
            <v>0</v>
          </cell>
        </row>
        <row r="903">
          <cell r="I903" t="str">
            <v>CAIU9668836</v>
          </cell>
          <cell r="J903" t="str">
            <v>HƯỜNG</v>
          </cell>
          <cell r="K903">
            <v>0.89583333333333337</v>
          </cell>
          <cell r="L903" t="str">
            <v>MRKU4090536</v>
          </cell>
          <cell r="O903" t="str">
            <v>VI-25/58773</v>
          </cell>
          <cell r="Q903">
            <v>0</v>
          </cell>
        </row>
        <row r="904">
          <cell r="K904">
            <v>0.96875</v>
          </cell>
          <cell r="O904" t="str">
            <v>VI-25/58770</v>
          </cell>
          <cell r="Q904">
            <v>0</v>
          </cell>
        </row>
        <row r="905">
          <cell r="I905" t="str">
            <v>CAIU4700196</v>
          </cell>
          <cell r="J905" t="str">
            <v>RU TTV</v>
          </cell>
          <cell r="K905">
            <v>0.97916666666666663</v>
          </cell>
          <cell r="L905" t="str">
            <v>CAIU4700196</v>
          </cell>
          <cell r="N905" t="str">
            <v>TÂN VŨ</v>
          </cell>
          <cell r="O905" t="str">
            <v>VI-25/58774</v>
          </cell>
          <cell r="P905" t="str">
            <v>done</v>
          </cell>
          <cell r="Q905">
            <v>308075416850</v>
          </cell>
        </row>
        <row r="906">
          <cell r="K906">
            <v>0.10416666666666667</v>
          </cell>
          <cell r="O906" t="str">
            <v>VI-25/58775</v>
          </cell>
          <cell r="Q906">
            <v>0</v>
          </cell>
        </row>
        <row r="907">
          <cell r="I907" t="str">
            <v>MIEU3070520</v>
          </cell>
          <cell r="J907" t="str">
            <v>QUÂN
THÀNH KÉO VỀ</v>
          </cell>
          <cell r="K907">
            <v>0.33333333333333331</v>
          </cell>
          <cell r="L907" t="str">
            <v>SEKU4610140</v>
          </cell>
          <cell r="N907" t="str">
            <v>HATECO HICT</v>
          </cell>
          <cell r="O907" t="str">
            <v>VI-25/58779</v>
          </cell>
          <cell r="P907" t="str">
            <v>done</v>
          </cell>
          <cell r="Q907">
            <v>308074996300</v>
          </cell>
        </row>
        <row r="908">
          <cell r="I908" t="str">
            <v>CAAU6628550</v>
          </cell>
          <cell r="J908" t="str">
            <v>THỊNH
THỊNH KÉO VỀ</v>
          </cell>
          <cell r="K908">
            <v>0.34375</v>
          </cell>
          <cell r="L908" t="str">
            <v>TCKU7985609</v>
          </cell>
          <cell r="N908" t="str">
            <v>HATECO HICT</v>
          </cell>
          <cell r="O908" t="str">
            <v>VI-25/58780</v>
          </cell>
          <cell r="P908" t="str">
            <v>done</v>
          </cell>
          <cell r="Q908">
            <v>308075012950</v>
          </cell>
        </row>
        <row r="909">
          <cell r="I909" t="str">
            <v>MRSU4678327</v>
          </cell>
          <cell r="J909" t="str">
            <v xml:space="preserve">RU DIỆP LÂM ANH </v>
          </cell>
          <cell r="K909">
            <v>0.35416666666666669</v>
          </cell>
          <cell r="L909" t="str">
            <v>MRSU4678327</v>
          </cell>
          <cell r="N909" t="str">
            <v>HATECO HICT</v>
          </cell>
          <cell r="O909" t="str">
            <v>VI-25/58781</v>
          </cell>
          <cell r="P909" t="str">
            <v>done</v>
          </cell>
          <cell r="Q909">
            <v>308074925600</v>
          </cell>
        </row>
        <row r="910">
          <cell r="I910" t="str">
            <v>FFAU7436489</v>
          </cell>
          <cell r="J910" t="str">
            <v>SƠN</v>
          </cell>
          <cell r="K910">
            <v>0.41666666666666669</v>
          </cell>
          <cell r="L910" t="str">
            <v>FFAU7177367</v>
          </cell>
          <cell r="O910" t="str">
            <v>HP</v>
          </cell>
          <cell r="Q910">
            <v>0</v>
          </cell>
        </row>
        <row r="911">
          <cell r="I911" t="str">
            <v>TXGU7722195</v>
          </cell>
          <cell r="K911">
            <v>0.54166666666666663</v>
          </cell>
          <cell r="O911" t="str">
            <v>RTB-25/0458+SCN-25/48</v>
          </cell>
          <cell r="Q911">
            <v>0</v>
          </cell>
        </row>
        <row r="912">
          <cell r="I912" t="str">
            <v>EGHU9782027</v>
          </cell>
          <cell r="J912" t="str">
            <v>PHƯƠNG</v>
          </cell>
          <cell r="K912">
            <v>0.54166666666666663</v>
          </cell>
          <cell r="L912" t="str">
            <v>CGMU5667133</v>
          </cell>
          <cell r="O912" t="str">
            <v>SERVICE</v>
          </cell>
          <cell r="Q912">
            <v>0</v>
          </cell>
        </row>
        <row r="913">
          <cell r="I913" t="str">
            <v>SEKU5982603</v>
          </cell>
          <cell r="J913" t="str">
            <v>THỊNH</v>
          </cell>
          <cell r="K913">
            <v>0.875</v>
          </cell>
          <cell r="L913" t="str">
            <v>TLLU8678599</v>
          </cell>
          <cell r="Q913">
            <v>0</v>
          </cell>
        </row>
        <row r="914">
          <cell r="I914" t="str">
            <v>TLLU8678599</v>
          </cell>
          <cell r="J914" t="str">
            <v>PHƯƠNG</v>
          </cell>
          <cell r="K914">
            <v>0.91666666666666663</v>
          </cell>
          <cell r="L914" t="str">
            <v>ONEU9177776</v>
          </cell>
          <cell r="O914" t="str">
            <v>HP</v>
          </cell>
          <cell r="Q914">
            <v>0</v>
          </cell>
        </row>
        <row r="915">
          <cell r="I915" t="str">
            <v>TXGU7379023</v>
          </cell>
          <cell r="J915" t="str">
            <v>SÂM</v>
          </cell>
          <cell r="K915">
            <v>0</v>
          </cell>
          <cell r="L915" t="str">
            <v>AMCU9308764</v>
          </cell>
          <cell r="O915" t="str">
            <v>RTB-25/0459</v>
          </cell>
          <cell r="Q915">
            <v>0</v>
          </cell>
        </row>
        <row r="916">
          <cell r="I916" t="str">
            <v>EMCU1529064</v>
          </cell>
          <cell r="J916" t="str">
            <v>TÍN
KÉO VỀ</v>
          </cell>
          <cell r="K916">
            <v>0.375</v>
          </cell>
          <cell r="L916" t="str">
            <v>EMCU1529064</v>
          </cell>
          <cell r="N916" t="str">
            <v>GIC</v>
          </cell>
          <cell r="P916" t="str">
            <v>done</v>
          </cell>
          <cell r="Q916">
            <v>308080570400</v>
          </cell>
        </row>
        <row r="917">
          <cell r="I917" t="str">
            <v>EGSU6477430</v>
          </cell>
          <cell r="J917" t="str">
            <v>TRỌNG
THÀNH KÉO VỀ</v>
          </cell>
          <cell r="K917">
            <v>0.91666666666666663</v>
          </cell>
          <cell r="L917" t="str">
            <v>TTNU8857343</v>
          </cell>
          <cell r="N917" t="str">
            <v>GIC</v>
          </cell>
          <cell r="P917" t="str">
            <v>done</v>
          </cell>
          <cell r="Q917">
            <v>308080541810</v>
          </cell>
        </row>
        <row r="918">
          <cell r="I918" t="str">
            <v>HPCU4940694</v>
          </cell>
          <cell r="J918" t="str">
            <v>SƠN</v>
          </cell>
          <cell r="L918" t="str">
            <v>TTNU8839545</v>
          </cell>
          <cell r="Q918">
            <v>0</v>
          </cell>
        </row>
        <row r="919">
          <cell r="I919" t="str">
            <v>SELU4362009</v>
          </cell>
          <cell r="J919" t="str">
            <v>HƯỜNG
PHƯƠNG KÉO VỀ</v>
          </cell>
          <cell r="L919" t="str">
            <v>SEKU5982603</v>
          </cell>
          <cell r="N919" t="str">
            <v>ĐÌNH VŨ</v>
          </cell>
          <cell r="P919" t="str">
            <v>done</v>
          </cell>
          <cell r="Q919" t="str">
            <v>308082919340
308082900110
308082879000</v>
          </cell>
        </row>
        <row r="920">
          <cell r="I920" t="str">
            <v>HPCU4976824</v>
          </cell>
          <cell r="J920" t="str">
            <v>THỊNH
HƯỜNG KÉO VỀ</v>
          </cell>
          <cell r="L920" t="str">
            <v>TXGU7722195</v>
          </cell>
          <cell r="N920" t="str">
            <v>ĐÌNH VŨ</v>
          </cell>
          <cell r="P920" t="str">
            <v>done</v>
          </cell>
          <cell r="Q920" t="str">
            <v>308082837700
308082791020
308082749830</v>
          </cell>
        </row>
        <row r="921">
          <cell r="I921" t="str">
            <v>SEKU5712892</v>
          </cell>
          <cell r="J921" t="str">
            <v>THÀNH</v>
          </cell>
          <cell r="K921">
            <v>0.875</v>
          </cell>
          <cell r="L921" t="str">
            <v>EGSU6113187</v>
          </cell>
          <cell r="O921" t="str">
            <v>VH-25/50843</v>
          </cell>
          <cell r="Q921">
            <v>0</v>
          </cell>
        </row>
        <row r="922">
          <cell r="I922" t="str">
            <v>CSNU8526440</v>
          </cell>
          <cell r="J922" t="str">
            <v>HƯNG 
KÉO VỀ</v>
          </cell>
          <cell r="K922">
            <v>0.58333333333333337</v>
          </cell>
          <cell r="L922" t="str">
            <v>CSNU8526440</v>
          </cell>
          <cell r="N922" t="str">
            <v>TÂN VŨ</v>
          </cell>
          <cell r="O922" t="str">
            <v>VB-25/52819</v>
          </cell>
          <cell r="P922" t="str">
            <v>done</v>
          </cell>
          <cell r="Q922">
            <v>308080065220</v>
          </cell>
        </row>
        <row r="923">
          <cell r="I923" t="str">
            <v>CSNU6699512</v>
          </cell>
          <cell r="J923" t="str">
            <v>RU DĐĂNG KHOA</v>
          </cell>
          <cell r="K923">
            <v>0.54166666666666663</v>
          </cell>
          <cell r="L923" t="str">
            <v>CSNU6699512</v>
          </cell>
          <cell r="N923" t="str">
            <v>TÂN VŨ</v>
          </cell>
          <cell r="O923" t="str">
            <v>VS-25/51753</v>
          </cell>
          <cell r="P923" t="str">
            <v>done</v>
          </cell>
          <cell r="Q923">
            <v>308080100660</v>
          </cell>
        </row>
        <row r="924">
          <cell r="I924" t="str">
            <v>OOCU7675990</v>
          </cell>
          <cell r="J924" t="str">
            <v>XUYÊN 
KÉO VỀ</v>
          </cell>
          <cell r="K924">
            <v>4.1666666666666664E-2</v>
          </cell>
          <cell r="L924" t="str">
            <v>OOCU7675990</v>
          </cell>
          <cell r="N924" t="str">
            <v>TÂN VŨ</v>
          </cell>
          <cell r="O924" t="str">
            <v>VB-25/52822</v>
          </cell>
          <cell r="P924" t="str">
            <v>done</v>
          </cell>
          <cell r="Q924">
            <v>308080192250</v>
          </cell>
        </row>
        <row r="925">
          <cell r="I925" t="str">
            <v>AMCU9308764</v>
          </cell>
          <cell r="J925" t="str">
            <v>MẠNH</v>
          </cell>
          <cell r="K925" t="str">
            <v>8:00</v>
          </cell>
          <cell r="M925" t="str">
            <v>TRI PHƯƠNG</v>
          </cell>
          <cell r="N925" t="str">
            <v>TÂN VŨ</v>
          </cell>
          <cell r="Q925">
            <v>0</v>
          </cell>
        </row>
        <row r="926">
          <cell r="I926" t="str">
            <v>CGMU5667133</v>
          </cell>
          <cell r="J926" t="str">
            <v>PHƯƠNG</v>
          </cell>
          <cell r="K926" t="str">
            <v>10:00</v>
          </cell>
          <cell r="M926" t="str">
            <v>TRI PHƯƠNG</v>
          </cell>
          <cell r="N926" t="str">
            <v>TÂN VŨ</v>
          </cell>
          <cell r="Q926">
            <v>0</v>
          </cell>
        </row>
        <row r="927">
          <cell r="I927" t="str">
            <v>TTNU8839545</v>
          </cell>
          <cell r="J927" t="str">
            <v>PHƯƠNG</v>
          </cell>
          <cell r="K927">
            <v>0.45833333333333331</v>
          </cell>
          <cell r="M927" t="str">
            <v>TRI PHƯƠNG</v>
          </cell>
          <cell r="N927" t="str">
            <v>TÂN VŨ</v>
          </cell>
          <cell r="Q927">
            <v>0</v>
          </cell>
        </row>
        <row r="928">
          <cell r="I928" t="str">
            <v>ONEU9177776</v>
          </cell>
          <cell r="J928" t="str">
            <v>THỊNH</v>
          </cell>
          <cell r="K928" t="str">
            <v>15:00</v>
          </cell>
          <cell r="M928" t="str">
            <v>TRI PHƯƠNG</v>
          </cell>
          <cell r="N928" t="str">
            <v>TÂN VŨ</v>
          </cell>
          <cell r="Q928">
            <v>0</v>
          </cell>
        </row>
        <row r="929">
          <cell r="I929" t="str">
            <v>AMCU9356823</v>
          </cell>
          <cell r="J929" t="str">
            <v>MẠNH KÉO VỀ</v>
          </cell>
          <cell r="K929" t="str">
            <v>22:00</v>
          </cell>
          <cell r="N929" t="str">
            <v>TÂN VŨ</v>
          </cell>
          <cell r="O929" t="str">
            <v>VP-25/54139</v>
          </cell>
          <cell r="P929" t="str">
            <v>done</v>
          </cell>
          <cell r="Q929">
            <v>308080296330</v>
          </cell>
        </row>
        <row r="930">
          <cell r="I930" t="str">
            <v>TTNU8857343</v>
          </cell>
          <cell r="J930" t="str">
            <v>THÀNH
TRỌNG KÉO VỀ</v>
          </cell>
          <cell r="K930" t="str">
            <v>23:00</v>
          </cell>
          <cell r="L930" t="str">
            <v>EGSU1268062</v>
          </cell>
          <cell r="N930" t="str">
            <v>TÂN VŨ</v>
          </cell>
          <cell r="O930" t="str">
            <v>VP-25/54140-01</v>
          </cell>
          <cell r="P930" t="str">
            <v>done</v>
          </cell>
          <cell r="Q930">
            <v>308080555220</v>
          </cell>
        </row>
        <row r="931">
          <cell r="I931" t="str">
            <v>TTNU8810897</v>
          </cell>
          <cell r="J931" t="str">
            <v>MẠNH</v>
          </cell>
          <cell r="K931" t="str">
            <v>00:00</v>
          </cell>
          <cell r="M931" t="str">
            <v>TRI PHƯƠNG</v>
          </cell>
          <cell r="N931" t="str">
            <v xml:space="preserve">LẠCH HUYỆN </v>
          </cell>
          <cell r="Q931">
            <v>0</v>
          </cell>
        </row>
        <row r="932">
          <cell r="I932" t="str">
            <v>MRSU3470724</v>
          </cell>
          <cell r="J932" t="str">
            <v>THI</v>
          </cell>
          <cell r="K932" t="str">
            <v>23:00</v>
          </cell>
          <cell r="L932" t="str">
            <v>MRSU3470724</v>
          </cell>
          <cell r="M932" t="str">
            <v>TRI PHƯƠNG</v>
          </cell>
          <cell r="N932" t="str">
            <v>HATECO HICT</v>
          </cell>
          <cell r="P932" t="str">
            <v>done</v>
          </cell>
          <cell r="Q932">
            <v>308080249760</v>
          </cell>
        </row>
        <row r="933">
          <cell r="I933" t="str">
            <v>HASU4044580</v>
          </cell>
          <cell r="J933" t="str">
            <v>THÀNH
THI KÉO VỀ</v>
          </cell>
          <cell r="K933">
            <v>0.4236111111111111</v>
          </cell>
          <cell r="L933" t="str">
            <v>MRSU6040645</v>
          </cell>
          <cell r="N933" t="str">
            <v>HATECO HICT</v>
          </cell>
          <cell r="O933" t="str">
            <v>VI-25/58799</v>
          </cell>
          <cell r="P933" t="str">
            <v>done</v>
          </cell>
          <cell r="Q933">
            <v>308079378740</v>
          </cell>
        </row>
        <row r="934">
          <cell r="I934" t="str">
            <v>MRSU5903802</v>
          </cell>
          <cell r="J934" t="str">
            <v>THI
chưa về</v>
          </cell>
          <cell r="K934">
            <v>0.60416666666666663</v>
          </cell>
          <cell r="L934" t="str">
            <v>HASU4044580</v>
          </cell>
          <cell r="N934" t="str">
            <v>HATECO HICT</v>
          </cell>
          <cell r="O934" t="str">
            <v>VI-25/58832</v>
          </cell>
          <cell r="P934" t="str">
            <v>done</v>
          </cell>
          <cell r="Q934">
            <v>308079404900</v>
          </cell>
        </row>
        <row r="935">
          <cell r="I935" t="str">
            <v>EGHU9678959</v>
          </cell>
          <cell r="K935">
            <v>0.33333333333333331</v>
          </cell>
          <cell r="O935" t="str">
            <v>VH-25/50837</v>
          </cell>
          <cell r="Q935">
            <v>0</v>
          </cell>
        </row>
        <row r="936">
          <cell r="I936" t="str">
            <v>ONEU0027100</v>
          </cell>
          <cell r="J936" t="str">
            <v>THỊNH</v>
          </cell>
          <cell r="K936">
            <v>0.95833333333333337</v>
          </cell>
          <cell r="L936" t="str">
            <v>TIIU4674464</v>
          </cell>
          <cell r="O936" t="str">
            <v>VB-25/52820</v>
          </cell>
          <cell r="Q936">
            <v>0</v>
          </cell>
        </row>
        <row r="937">
          <cell r="I937" t="str">
            <v>EGSU1318857</v>
          </cell>
          <cell r="J937" t="str">
            <v>THỤY
kéo về</v>
          </cell>
          <cell r="K937">
            <v>0.125</v>
          </cell>
          <cell r="L937" t="str">
            <v>EGSU1318857</v>
          </cell>
          <cell r="N937" t="str">
            <v>GIC</v>
          </cell>
          <cell r="O937" t="str">
            <v>VS-25/51761</v>
          </cell>
          <cell r="P937" t="str">
            <v>done</v>
          </cell>
          <cell r="Q937">
            <v>308084146440</v>
          </cell>
        </row>
        <row r="938">
          <cell r="I938" t="str">
            <v>EGSU2143060</v>
          </cell>
          <cell r="J938" t="str">
            <v>HKC</v>
          </cell>
          <cell r="K938">
            <v>0.875</v>
          </cell>
          <cell r="L938" t="str">
            <v>EGSU2143060</v>
          </cell>
          <cell r="N938" t="str">
            <v>GIC</v>
          </cell>
          <cell r="O938" t="str">
            <v>VF-25/50105</v>
          </cell>
          <cell r="P938" t="str">
            <v>done</v>
          </cell>
          <cell r="Q938">
            <v>308084196730</v>
          </cell>
        </row>
        <row r="939">
          <cell r="I939" t="str">
            <v>TRHU7020179</v>
          </cell>
          <cell r="J939" t="str">
            <v>ĐĂNG KHOA</v>
          </cell>
          <cell r="L939" t="str">
            <v>TRHU7020179</v>
          </cell>
          <cell r="N939" t="str">
            <v xml:space="preserve">VINABRIDGE </v>
          </cell>
          <cell r="O939" t="str">
            <v>VH-25/50832</v>
          </cell>
          <cell r="P939" t="str">
            <v>done</v>
          </cell>
          <cell r="Q939">
            <v>308083247900</v>
          </cell>
        </row>
        <row r="940">
          <cell r="I940" t="str">
            <v>FFAU7695535</v>
          </cell>
          <cell r="J940" t="str">
            <v>SÂM
KÉO VỀ</v>
          </cell>
          <cell r="K940">
            <v>0.33333333333333331</v>
          </cell>
          <cell r="L940" t="str">
            <v>ONEU5178244</v>
          </cell>
          <cell r="N940" t="str">
            <v>ĐÌNH VŨ</v>
          </cell>
          <cell r="O940" t="str">
            <v>VZ-26/50004 +VZ-26/50004R +VZ-26/50004R-01</v>
          </cell>
          <cell r="P940" t="str">
            <v>done</v>
          </cell>
          <cell r="Q940" t="str">
            <v>308085384960
308085467450
308086494130
308085588000
308085632430
308085669900</v>
          </cell>
        </row>
        <row r="941">
          <cell r="I941" t="str">
            <v>SITU9160265</v>
          </cell>
          <cell r="J941" t="str">
            <v>THÀNH</v>
          </cell>
          <cell r="K941">
            <v>0.41666666666666669</v>
          </cell>
          <cell r="O941" t="str">
            <v>HP</v>
          </cell>
          <cell r="Q941">
            <v>0</v>
          </cell>
        </row>
        <row r="942">
          <cell r="I942" t="str">
            <v>FFAU7701330</v>
          </cell>
          <cell r="J942" t="str">
            <v>THỊNH</v>
          </cell>
          <cell r="K942">
            <v>0.45833333333333331</v>
          </cell>
          <cell r="L942" t="str">
            <v>MRSU4555739</v>
          </cell>
          <cell r="O942" t="str">
            <v>HP</v>
          </cell>
          <cell r="Q942">
            <v>0</v>
          </cell>
        </row>
        <row r="943">
          <cell r="I943" t="str">
            <v>TIIU6440948</v>
          </cell>
          <cell r="J943" t="str">
            <v>SƠN
KÉO VỀ</v>
          </cell>
          <cell r="K943">
            <v>0.58333333333333337</v>
          </cell>
          <cell r="L943" t="str">
            <v>TXGU7379023</v>
          </cell>
          <cell r="N943" t="str">
            <v>ĐÌNH VŨ</v>
          </cell>
          <cell r="O943" t="str">
            <v>VZ-26/50005 +VZ-26/50005R +VZ-26/50005R-01</v>
          </cell>
          <cell r="P943" t="str">
            <v>không phơi mình chịu done</v>
          </cell>
          <cell r="Q943" t="str">
            <v>308086626060
308086658630
308085814210
308085858310
308086706600</v>
          </cell>
        </row>
        <row r="944">
          <cell r="I944" t="str">
            <v>ONEU5178244</v>
          </cell>
          <cell r="J944" t="str">
            <v>HƯỜNG
SÂM KÉO VỀ</v>
          </cell>
          <cell r="K944">
            <v>0.58333333333333337</v>
          </cell>
          <cell r="L944" t="str">
            <v>TTNU8810897</v>
          </cell>
          <cell r="N944" t="str">
            <v>SAO Á</v>
          </cell>
          <cell r="O944" t="str">
            <v>VR-25/52898</v>
          </cell>
          <cell r="P944" t="str">
            <v>done</v>
          </cell>
          <cell r="Q944">
            <v>308085047010</v>
          </cell>
        </row>
        <row r="945">
          <cell r="I945" t="str">
            <v>TIIU6130916</v>
          </cell>
          <cell r="J945" t="str">
            <v>THAÀNH
THI KÉO VỀ</v>
          </cell>
          <cell r="K945">
            <v>0.875</v>
          </cell>
          <cell r="L945" t="str">
            <v>FFAU7701330</v>
          </cell>
          <cell r="N945" t="str">
            <v>ĐÌNH VŨ</v>
          </cell>
          <cell r="O945" t="str">
            <v>VZ-26/50011 +VZ-26/50011R +VZ-26/50011R-01</v>
          </cell>
          <cell r="P945" t="str">
            <v>không phơi mình chịu done</v>
          </cell>
          <cell r="Q945" t="str">
            <v>308086863840
308086896040</v>
          </cell>
        </row>
        <row r="946">
          <cell r="I946" t="str">
            <v>EGSU9882518</v>
          </cell>
          <cell r="J946" t="str">
            <v>HƯỜNG
THỊNH KÉO VỀ</v>
          </cell>
          <cell r="K946">
            <v>4.1666666666666664E-2</v>
          </cell>
          <cell r="L946" t="str">
            <v>TRIU8627788</v>
          </cell>
          <cell r="N946" t="str">
            <v>GIC</v>
          </cell>
          <cell r="P946" t="str">
            <v>done</v>
          </cell>
          <cell r="Q946">
            <v>308085841950</v>
          </cell>
        </row>
        <row r="947">
          <cell r="I947" t="str">
            <v>FFAU5191561</v>
          </cell>
          <cell r="J947" t="str">
            <v>RU TÙNG DŨNG</v>
          </cell>
          <cell r="K947">
            <v>0.45833333333333331</v>
          </cell>
          <cell r="L947" t="str">
            <v>FFAU5191561</v>
          </cell>
          <cell r="N947" t="str">
            <v>TÂN VŨ</v>
          </cell>
          <cell r="O947" t="str">
            <v>VI-25/58775</v>
          </cell>
          <cell r="P947" t="str">
            <v>done</v>
          </cell>
          <cell r="Q947">
            <v>308075426760</v>
          </cell>
        </row>
        <row r="948">
          <cell r="I948" t="str">
            <v>HASU5182389</v>
          </cell>
          <cell r="J948" t="str">
            <v>SÂM</v>
          </cell>
          <cell r="K948">
            <v>0.33333333333333331</v>
          </cell>
          <cell r="L948" t="str">
            <v>CAIU9760808</v>
          </cell>
          <cell r="M948" t="str">
            <v>TRI PHƯƠNG</v>
          </cell>
          <cell r="N948" t="str">
            <v>HATECO HICT</v>
          </cell>
          <cell r="O948" t="str">
            <v>VI-25/58861</v>
          </cell>
          <cell r="P948" t="str">
            <v>done</v>
          </cell>
          <cell r="Q948">
            <v>308083708720</v>
          </cell>
        </row>
        <row r="949">
          <cell r="I949" t="str">
            <v>TLLU6897366</v>
          </cell>
          <cell r="J949" t="str">
            <v>SƠN</v>
          </cell>
          <cell r="K949">
            <v>0.52083333333333337</v>
          </cell>
          <cell r="L949" t="str">
            <v>SEKU6223392</v>
          </cell>
          <cell r="M949" t="str">
            <v>TRI PHƯƠNG</v>
          </cell>
          <cell r="N949" t="str">
            <v>HATECO HICT</v>
          </cell>
          <cell r="O949" t="str">
            <v>VI-25/58864</v>
          </cell>
          <cell r="P949" t="str">
            <v>done</v>
          </cell>
          <cell r="Q949">
            <v>308084047960</v>
          </cell>
        </row>
        <row r="950">
          <cell r="I950" t="str">
            <v>SUDU6743635</v>
          </cell>
          <cell r="J950" t="str">
            <v>PHƯƠNG</v>
          </cell>
          <cell r="K950">
            <v>0.60416666666666663</v>
          </cell>
          <cell r="L950" t="str">
            <v>MRSU5903802</v>
          </cell>
          <cell r="M950" t="str">
            <v>TRI PHƯƠNG</v>
          </cell>
          <cell r="N950" t="str">
            <v>HATECO HICT</v>
          </cell>
          <cell r="O950" t="str">
            <v>VI-25/58858</v>
          </cell>
          <cell r="P950" t="str">
            <v>done</v>
          </cell>
          <cell r="Q950">
            <v>308083954860</v>
          </cell>
        </row>
        <row r="951">
          <cell r="I951" t="str">
            <v>TCLU7837240</v>
          </cell>
          <cell r="J951" t="str">
            <v>THI</v>
          </cell>
          <cell r="K951">
            <v>0.64583333333333337</v>
          </cell>
          <cell r="L951" t="str">
            <v>HASU5182389</v>
          </cell>
          <cell r="M951" t="str">
            <v>TRI PHƯƠNG</v>
          </cell>
          <cell r="N951" t="str">
            <v>HATECO HICT</v>
          </cell>
          <cell r="O951" t="str">
            <v>VI-25/58862</v>
          </cell>
          <cell r="P951" t="str">
            <v>done</v>
          </cell>
          <cell r="Q951">
            <v>308083731010</v>
          </cell>
        </row>
        <row r="952">
          <cell r="I952" t="str">
            <v>MRSU3898477</v>
          </cell>
          <cell r="J952" t="str">
            <v>HƯỜNG
PHƯƠNG KÉO VỀ</v>
          </cell>
          <cell r="K952">
            <v>0.96875</v>
          </cell>
          <cell r="L952" t="str">
            <v>SUDU6743635</v>
          </cell>
          <cell r="N952" t="str">
            <v>HATECO HICT</v>
          </cell>
          <cell r="O952" t="str">
            <v>VI-25/58859</v>
          </cell>
          <cell r="P952" t="str">
            <v>done</v>
          </cell>
          <cell r="Q952">
            <v>308084012040</v>
          </cell>
        </row>
        <row r="953">
          <cell r="I953" t="str">
            <v>TRHU5626043</v>
          </cell>
          <cell r="J953" t="str">
            <v>THI
SƠN KÉO VỀ</v>
          </cell>
          <cell r="K953">
            <v>8.3333333333333329E-2</v>
          </cell>
          <cell r="L953" t="str">
            <v>TCLU7837240</v>
          </cell>
          <cell r="N953" t="str">
            <v>HATECO HICT</v>
          </cell>
          <cell r="O953" t="str">
            <v>VI-25/58863</v>
          </cell>
          <cell r="P953" t="str">
            <v>done</v>
          </cell>
          <cell r="Q953">
            <v>308084123820</v>
          </cell>
        </row>
        <row r="954">
          <cell r="I954" t="str">
            <v>MRSU4406843</v>
          </cell>
          <cell r="J954" t="str">
            <v>SƠN
TRỌNG KÉO VỀ</v>
          </cell>
          <cell r="K954">
            <v>9.375E-2</v>
          </cell>
          <cell r="L954" t="str">
            <v>TLLU6897366</v>
          </cell>
          <cell r="N954" t="str">
            <v>HATECO HICT</v>
          </cell>
          <cell r="O954" t="str">
            <v>VI-25/58865</v>
          </cell>
          <cell r="P954" t="str">
            <v>done</v>
          </cell>
          <cell r="Q954">
            <v>308084076700</v>
          </cell>
        </row>
        <row r="955">
          <cell r="I955" t="str">
            <v>FSCU5808665</v>
          </cell>
          <cell r="J955" t="str">
            <v>THI</v>
          </cell>
          <cell r="K955" t="str">
            <v>8:00</v>
          </cell>
          <cell r="L955" t="str">
            <v>FSCU5808665</v>
          </cell>
          <cell r="M955" t="str">
            <v>TRI PHƯƠNG</v>
          </cell>
          <cell r="N955" t="str">
            <v>TÂN VŨ</v>
          </cell>
          <cell r="Q955">
            <v>0</v>
          </cell>
        </row>
        <row r="956">
          <cell r="I956" t="str">
            <v>TRIU8627788</v>
          </cell>
          <cell r="J956" t="str">
            <v>PHƯƠNG
HƯỜNG KÉO VỀ</v>
          </cell>
          <cell r="K956" t="str">
            <v>14:00</v>
          </cell>
          <cell r="L956" t="str">
            <v>MOOC KHÔNG</v>
          </cell>
          <cell r="N956" t="str">
            <v>TÂN VŨ</v>
          </cell>
          <cell r="O956" t="str">
            <v>VP-25/54147</v>
          </cell>
          <cell r="P956" t="str">
            <v>done</v>
          </cell>
          <cell r="Q956">
            <v>308085579450</v>
          </cell>
        </row>
        <row r="957">
          <cell r="I957" t="str">
            <v>TEMU9112455</v>
          </cell>
          <cell r="J957" t="str">
            <v>THI
kéo về</v>
          </cell>
          <cell r="K957" t="str">
            <v>14:00</v>
          </cell>
          <cell r="L957" t="str">
            <v>TEMU9112455</v>
          </cell>
          <cell r="N957" t="str">
            <v>TÂN VŨ</v>
          </cell>
          <cell r="O957" t="str">
            <v>VP-25/54145</v>
          </cell>
          <cell r="P957" t="str">
            <v>done</v>
          </cell>
          <cell r="Q957">
            <v>308085499910</v>
          </cell>
        </row>
        <row r="958">
          <cell r="I958" t="str">
            <v>SZLU9742641</v>
          </cell>
          <cell r="K958" t="str">
            <v>14:00</v>
          </cell>
          <cell r="M958" t="str">
            <v>TRI PHƯƠNG</v>
          </cell>
          <cell r="N958" t="str">
            <v>TÂN VŨ</v>
          </cell>
          <cell r="Q958">
            <v>0</v>
          </cell>
        </row>
        <row r="959">
          <cell r="I959" t="str">
            <v>TEMU9883787</v>
          </cell>
          <cell r="K959" t="str">
            <v>21:00</v>
          </cell>
          <cell r="M959" t="str">
            <v>TRI PHƯƠNG</v>
          </cell>
          <cell r="N959" t="str">
            <v>TÂN VŨ</v>
          </cell>
          <cell r="Q959">
            <v>0</v>
          </cell>
        </row>
        <row r="960">
          <cell r="I960" t="str">
            <v>SEGU9359393</v>
          </cell>
          <cell r="K960" t="str">
            <v>21:00</v>
          </cell>
          <cell r="M960" t="str">
            <v>TRI PHƯƠNG</v>
          </cell>
          <cell r="N960" t="str">
            <v>HATECO HICT</v>
          </cell>
          <cell r="Q960">
            <v>0</v>
          </cell>
        </row>
        <row r="961">
          <cell r="I961" t="str">
            <v>HAMU4025017</v>
          </cell>
          <cell r="J961" t="str">
            <v>HƯỜNG</v>
          </cell>
          <cell r="K961" t="str">
            <v>9:00</v>
          </cell>
          <cell r="M961" t="str">
            <v>TRI PHƯƠNG</v>
          </cell>
          <cell r="N961" t="str">
            <v>HATECO HICT</v>
          </cell>
          <cell r="Q961">
            <v>0</v>
          </cell>
        </row>
        <row r="962">
          <cell r="K962" t="str">
            <v>14:00</v>
          </cell>
          <cell r="M962" t="str">
            <v>TRI PHƯƠNG</v>
          </cell>
          <cell r="N962" t="str">
            <v>HATECO HICT</v>
          </cell>
          <cell r="Q962">
            <v>0</v>
          </cell>
        </row>
        <row r="963">
          <cell r="K963" t="str">
            <v>10:00</v>
          </cell>
          <cell r="M963" t="str">
            <v>TRI PHƯƠNG</v>
          </cell>
          <cell r="N963" t="str">
            <v>HATECO HICT</v>
          </cell>
          <cell r="Q963">
            <v>0</v>
          </cell>
        </row>
        <row r="964">
          <cell r="I964" t="str">
            <v>MRSU4555739</v>
          </cell>
          <cell r="J964" t="str">
            <v>HƯỜNG</v>
          </cell>
          <cell r="K964" t="str">
            <v>13:00</v>
          </cell>
          <cell r="L964" t="str">
            <v>MOOC KHÔNG</v>
          </cell>
          <cell r="M964" t="str">
            <v>TRI PHƯƠNG</v>
          </cell>
          <cell r="N964" t="str">
            <v>HATECO HICT</v>
          </cell>
          <cell r="P964" t="str">
            <v>done</v>
          </cell>
          <cell r="Q964">
            <v>308085194230</v>
          </cell>
        </row>
        <row r="965">
          <cell r="I965" t="str">
            <v>TCKU6038215</v>
          </cell>
          <cell r="J965" t="str">
            <v>SƠN</v>
          </cell>
          <cell r="K965" t="str">
            <v>0:00</v>
          </cell>
          <cell r="L965" t="str">
            <v>TCKU6038215</v>
          </cell>
          <cell r="M965" t="str">
            <v>TRI PHƯƠNG</v>
          </cell>
          <cell r="N965" t="str">
            <v>HATECO HICT</v>
          </cell>
          <cell r="P965" t="str">
            <v>done</v>
          </cell>
          <cell r="Q965">
            <v>308085189220</v>
          </cell>
        </row>
        <row r="966">
          <cell r="I966" t="str">
            <v>TIIU5434560</v>
          </cell>
          <cell r="J966" t="str">
            <v xml:space="preserve">TÍN </v>
          </cell>
          <cell r="K966">
            <v>0.54166666666666663</v>
          </cell>
          <cell r="L966" t="str">
            <v>SITU9180451</v>
          </cell>
          <cell r="O966" t="str">
            <v>RTB-25/0462</v>
          </cell>
          <cell r="Q966">
            <v>0</v>
          </cell>
        </row>
        <row r="967">
          <cell r="I967" t="str">
            <v>TCLU9733394</v>
          </cell>
          <cell r="J967" t="str">
            <v>MẠNH 
KÉO VỀ</v>
          </cell>
          <cell r="K967">
            <v>0.54166666666666663</v>
          </cell>
          <cell r="L967" t="str">
            <v>TCLU9733394</v>
          </cell>
          <cell r="N967" t="str">
            <v>LẠCH HUYỆN</v>
          </cell>
          <cell r="O967" t="str">
            <v>HP</v>
          </cell>
          <cell r="P967" t="str">
            <v>done</v>
          </cell>
          <cell r="Q967">
            <v>308088795140</v>
          </cell>
        </row>
        <row r="968">
          <cell r="I968" t="str">
            <v>FFAU3430184</v>
          </cell>
          <cell r="J968" t="str">
            <v>THAÀNH</v>
          </cell>
          <cell r="K968">
            <v>0.58333333333333337</v>
          </cell>
          <cell r="L968" t="str">
            <v>MNBU0391974</v>
          </cell>
          <cell r="N968" t="str">
            <v>LẠCH HUYỆN</v>
          </cell>
          <cell r="O968" t="str">
            <v>HP</v>
          </cell>
          <cell r="P968" t="str">
            <v>không phơi mình chịu, done</v>
          </cell>
          <cell r="Q968">
            <v>308088770750</v>
          </cell>
        </row>
        <row r="969">
          <cell r="I969" t="str">
            <v>FFAU7077178</v>
          </cell>
          <cell r="J969" t="str">
            <v>SƠN
PHƯƠNG KÉO VỀ</v>
          </cell>
          <cell r="K969">
            <v>0.58333333333333337</v>
          </cell>
          <cell r="L969" t="str">
            <v>CAAU7929922</v>
          </cell>
          <cell r="N969" t="str">
            <v>ĐÌNH VŨ</v>
          </cell>
          <cell r="O969" t="str">
            <v>VZ-26/50008 +VZ-26/50008R +VZ-26/50008R-01</v>
          </cell>
          <cell r="P969" t="str">
            <v>done</v>
          </cell>
          <cell r="Q969" t="str">
            <v>308088041240
308088102730
308088223610
308088261150
308088303960</v>
          </cell>
        </row>
        <row r="970">
          <cell r="I970" t="str">
            <v>UETU7250209</v>
          </cell>
          <cell r="J970" t="str">
            <v>HƯỜNG
SƠN KÉO VỀ</v>
          </cell>
          <cell r="K970">
            <v>0.58333333333333337</v>
          </cell>
          <cell r="L970" t="str">
            <v>UETU7500571</v>
          </cell>
          <cell r="N970" t="str">
            <v>ĐÌNH VŨ</v>
          </cell>
          <cell r="O970" t="str">
            <v>VZ-26/50009 +VZ-26/50009R +VZ-26/50009R-01</v>
          </cell>
          <cell r="P970" t="str">
            <v>done</v>
          </cell>
          <cell r="Q970" t="str">
            <v>308088394410
308088452360
308088539640
308088572540
308088601460</v>
          </cell>
        </row>
        <row r="971">
          <cell r="I971" t="str">
            <v>UETU7377744</v>
          </cell>
          <cell r="J971" t="str">
            <v xml:space="preserve">SÂM
chưa về, gửi TP </v>
          </cell>
          <cell r="L971" t="str">
            <v>CAIU5687777</v>
          </cell>
          <cell r="N971" t="str">
            <v>ĐÌNH VŨ</v>
          </cell>
          <cell r="P971" t="str">
            <v>không phơi mình chịu done</v>
          </cell>
          <cell r="Q971" t="str">
            <v>308094712830
308094691240
308093736000
308093681400
308093579200
308093535210</v>
          </cell>
        </row>
        <row r="972">
          <cell r="I972" t="str">
            <v>TIIU5024503</v>
          </cell>
          <cell r="J972" t="str">
            <v>ĐỨC</v>
          </cell>
          <cell r="K972">
            <v>0.625</v>
          </cell>
          <cell r="L972" t="str">
            <v>CAAU9878357</v>
          </cell>
          <cell r="O972" t="str">
            <v>HP</v>
          </cell>
          <cell r="Q972">
            <v>0</v>
          </cell>
        </row>
        <row r="973">
          <cell r="I973" t="str">
            <v>CAIU9240600</v>
          </cell>
          <cell r="J973" t="str">
            <v>THỊNH</v>
          </cell>
          <cell r="K973">
            <v>0.95833333333333337</v>
          </cell>
          <cell r="L973" t="str">
            <v>TIIU6625432</v>
          </cell>
          <cell r="Q973">
            <v>0</v>
          </cell>
        </row>
        <row r="974">
          <cell r="I974" t="str">
            <v>SELU4385220</v>
          </cell>
          <cell r="J974" t="str">
            <v>HƯỜNG</v>
          </cell>
          <cell r="K974">
            <v>0</v>
          </cell>
          <cell r="O974" t="str">
            <v>HP</v>
          </cell>
          <cell r="Q974">
            <v>0</v>
          </cell>
        </row>
        <row r="975">
          <cell r="I975" t="str">
            <v>UETU7262339</v>
          </cell>
          <cell r="J975" t="str">
            <v>THI</v>
          </cell>
          <cell r="K975">
            <v>0</v>
          </cell>
          <cell r="L975" t="str">
            <v>FFAU6190549</v>
          </cell>
          <cell r="O975" t="str">
            <v>RTB-25/0463</v>
          </cell>
          <cell r="Q975">
            <v>0</v>
          </cell>
        </row>
        <row r="976">
          <cell r="I976" t="str">
            <v>FFAU7515947</v>
          </cell>
          <cell r="J976" t="str">
            <v>DŨNG
KÉO VỀ</v>
          </cell>
          <cell r="K976">
            <v>0.33333333333333331</v>
          </cell>
          <cell r="L976" t="str">
            <v>FFAU7515947</v>
          </cell>
          <cell r="N976" t="str">
            <v>SITC ĐÌNH VŨ</v>
          </cell>
          <cell r="O976" t="str">
            <v>VI-25/58877</v>
          </cell>
          <cell r="P976" t="str">
            <v>done</v>
          </cell>
          <cell r="Q976">
            <v>308088136660</v>
          </cell>
        </row>
        <row r="977">
          <cell r="I977" t="str">
            <v>SELU4385600</v>
          </cell>
          <cell r="J977" t="str">
            <v>THANH
KÉO VỀ</v>
          </cell>
          <cell r="L977" t="str">
            <v>SELU4385600</v>
          </cell>
          <cell r="N977" t="str">
            <v>ĐÌNH VŨ</v>
          </cell>
          <cell r="O977" t="str">
            <v>VI-25/58878</v>
          </cell>
          <cell r="P977" t="str">
            <v>done</v>
          </cell>
          <cell r="Q977">
            <v>308087990360</v>
          </cell>
        </row>
        <row r="978">
          <cell r="I978" t="str">
            <v>EITU9576069</v>
          </cell>
          <cell r="J978" t="str">
            <v>TÍN
KÉO VỀ</v>
          </cell>
          <cell r="K978">
            <v>0.33333333333333331</v>
          </cell>
          <cell r="L978" t="str">
            <v>EGHU9678959</v>
          </cell>
          <cell r="N978" t="str">
            <v>GIC</v>
          </cell>
          <cell r="O978" t="str">
            <v>VS-25/51762</v>
          </cell>
          <cell r="P978" t="str">
            <v>done</v>
          </cell>
          <cell r="Q978">
            <v>308087985240</v>
          </cell>
        </row>
        <row r="979">
          <cell r="I979" t="str">
            <v>EITU9440956</v>
          </cell>
          <cell r="J979" t="str">
            <v>TÍN 
HỒNG HƯNG KÉO VỀ</v>
          </cell>
          <cell r="K979">
            <v>0.125</v>
          </cell>
          <cell r="N979" t="str">
            <v>GIC</v>
          </cell>
          <cell r="O979" t="str">
            <v>VS-25/51766</v>
          </cell>
          <cell r="P979" t="str">
            <v>done</v>
          </cell>
          <cell r="Q979">
            <v>308088248920</v>
          </cell>
        </row>
        <row r="980">
          <cell r="I980" t="str">
            <v>EGSU9434832</v>
          </cell>
          <cell r="J980" t="str">
            <v>TRƯỜNG NHÂN PHÁT</v>
          </cell>
          <cell r="K980">
            <v>0.875</v>
          </cell>
          <cell r="L980" t="str">
            <v>EGSU9434832</v>
          </cell>
          <cell r="N980" t="str">
            <v>GIC</v>
          </cell>
          <cell r="O980" t="str">
            <v>VH-25/50853</v>
          </cell>
          <cell r="P980" t="str">
            <v>done</v>
          </cell>
          <cell r="Q980">
            <v>308088177520</v>
          </cell>
        </row>
        <row r="981">
          <cell r="I981" t="str">
            <v>ONEU0068239</v>
          </cell>
          <cell r="J981" t="str">
            <v>KỶ NGUYÊN</v>
          </cell>
          <cell r="K981">
            <v>0.45833333333333331</v>
          </cell>
          <cell r="L981" t="str">
            <v>ONEU0068239</v>
          </cell>
          <cell r="N981" t="str">
            <v>SAO Á</v>
          </cell>
          <cell r="O981" t="str">
            <v>VS-25/51757</v>
          </cell>
          <cell r="P981" t="str">
            <v>done</v>
          </cell>
          <cell r="Q981">
            <v>308084045900</v>
          </cell>
        </row>
        <row r="982">
          <cell r="I982" t="str">
            <v>CAIU7046427</v>
          </cell>
          <cell r="J982" t="str">
            <v>TÙNG DŨNG</v>
          </cell>
          <cell r="K982">
            <v>0.45833333333333331</v>
          </cell>
          <cell r="L982" t="str">
            <v>CAIU7046427</v>
          </cell>
          <cell r="N982" t="str">
            <v>HATECO</v>
          </cell>
          <cell r="O982" t="str">
            <v>VS-26/50004</v>
          </cell>
          <cell r="P982" t="str">
            <v>done</v>
          </cell>
          <cell r="Q982">
            <v>308088055500</v>
          </cell>
        </row>
        <row r="983">
          <cell r="I983" t="str">
            <v>MRSU5288468</v>
          </cell>
          <cell r="J983" t="str">
            <v>PHƯƠNG
HƯNG KÉO VỀ</v>
          </cell>
          <cell r="K983">
            <v>0.33333333333333331</v>
          </cell>
          <cell r="L983" t="str">
            <v>MRSU3898477</v>
          </cell>
          <cell r="N983" t="str">
            <v>HATECO HICT</v>
          </cell>
          <cell r="O983" t="str">
            <v>VI-25/58889</v>
          </cell>
          <cell r="P983" t="str">
            <v>done</v>
          </cell>
          <cell r="Q983">
            <v>308087750260</v>
          </cell>
        </row>
        <row r="984">
          <cell r="I984" t="str">
            <v>FFAU5174245</v>
          </cell>
          <cell r="J984" t="str">
            <v>SƠN
CHƯA VỀ</v>
          </cell>
          <cell r="K984">
            <v>0.34375</v>
          </cell>
          <cell r="L984" t="str">
            <v>TRHU5626043</v>
          </cell>
          <cell r="N984" t="str">
            <v>HATECO HICT</v>
          </cell>
          <cell r="O984" t="str">
            <v>VI-25/58899</v>
          </cell>
          <cell r="P984" t="str">
            <v>không phơi mình chịu, done</v>
          </cell>
          <cell r="Q984">
            <v>308087701260</v>
          </cell>
        </row>
        <row r="985">
          <cell r="I985" t="str">
            <v>TLLU6856372</v>
          </cell>
          <cell r="J985" t="str">
            <v>RU VIETLINK</v>
          </cell>
          <cell r="K985">
            <v>0.36458333333333331</v>
          </cell>
          <cell r="L985" t="str">
            <v>TLLU6856372</v>
          </cell>
          <cell r="N985" t="str">
            <v>HATECO HICT</v>
          </cell>
          <cell r="O985" t="str">
            <v>VI-25/58894</v>
          </cell>
          <cell r="P985" t="str">
            <v>done</v>
          </cell>
          <cell r="Q985">
            <v>308087917560</v>
          </cell>
        </row>
        <row r="986">
          <cell r="I986" t="str">
            <v>TCLU5643965</v>
          </cell>
          <cell r="J986" t="str">
            <v xml:space="preserve">RU DIỆP LÂM ANH </v>
          </cell>
          <cell r="K986">
            <v>0.38541666666666669</v>
          </cell>
          <cell r="L986" t="str">
            <v>TCLU5643965</v>
          </cell>
          <cell r="N986" t="str">
            <v>HATECO HICT</v>
          </cell>
          <cell r="O986" t="str">
            <v>VI-25/58898</v>
          </cell>
          <cell r="P986" t="str">
            <v>done</v>
          </cell>
          <cell r="Q986">
            <v>308087802430</v>
          </cell>
        </row>
        <row r="987">
          <cell r="I987" t="str">
            <v>CAAU6509674</v>
          </cell>
          <cell r="J987" t="str">
            <v>RU VIETLINK</v>
          </cell>
          <cell r="K987">
            <v>0.40625</v>
          </cell>
          <cell r="L987" t="str">
            <v>CAAU6509674</v>
          </cell>
          <cell r="N987" t="str">
            <v>HATECO HICT</v>
          </cell>
          <cell r="O987" t="str">
            <v>VI-25/58904</v>
          </cell>
          <cell r="P987" t="str">
            <v>done</v>
          </cell>
          <cell r="Q987">
            <v>308087684240</v>
          </cell>
        </row>
        <row r="988">
          <cell r="I988" t="str">
            <v>BSIU8153235</v>
          </cell>
          <cell r="J988" t="str">
            <v>RU TNP</v>
          </cell>
          <cell r="K988">
            <v>0.4375</v>
          </cell>
          <cell r="L988" t="str">
            <v>BSIU8153235</v>
          </cell>
          <cell r="N988" t="str">
            <v>HATECO HICT</v>
          </cell>
          <cell r="O988" t="str">
            <v>VI-25/58871</v>
          </cell>
          <cell r="P988" t="str">
            <v>done</v>
          </cell>
          <cell r="Q988">
            <v>308087941620</v>
          </cell>
        </row>
        <row r="989">
          <cell r="I989" t="str">
            <v>MRSU6202448</v>
          </cell>
          <cell r="J989" t="str">
            <v>RU VIETLINK</v>
          </cell>
          <cell r="K989">
            <v>0.52083333333333337</v>
          </cell>
          <cell r="L989" t="str">
            <v>MRSU6202448</v>
          </cell>
          <cell r="N989" t="str">
            <v>HATECO HICT</v>
          </cell>
          <cell r="O989" t="str">
            <v>VI-25/58888</v>
          </cell>
          <cell r="P989" t="str">
            <v>done</v>
          </cell>
          <cell r="Q989">
            <v>308087854230</v>
          </cell>
        </row>
        <row r="990">
          <cell r="I990" t="str">
            <v>MRSU7269209</v>
          </cell>
          <cell r="J990" t="str">
            <v>RU VIETLINK</v>
          </cell>
          <cell r="K990">
            <v>0.53125</v>
          </cell>
          <cell r="L990" t="str">
            <v>MRSU7269209</v>
          </cell>
          <cell r="N990" t="str">
            <v>HATECO HICT</v>
          </cell>
          <cell r="O990" t="str">
            <v>VI-25/58890</v>
          </cell>
          <cell r="P990" t="str">
            <v>done</v>
          </cell>
          <cell r="Q990">
            <v>308087817460</v>
          </cell>
        </row>
        <row r="991">
          <cell r="I991" t="str">
            <v>CAAU8565466</v>
          </cell>
          <cell r="J991" t="str">
            <v>RU DĐĂNG KHOA</v>
          </cell>
          <cell r="K991">
            <v>0.54166666666666663</v>
          </cell>
          <cell r="L991" t="str">
            <v>CAAU8565466</v>
          </cell>
          <cell r="N991" t="str">
            <v>HATECO HICT</v>
          </cell>
          <cell r="O991" t="str">
            <v>VI-25/58902</v>
          </cell>
          <cell r="P991" t="str">
            <v>done</v>
          </cell>
          <cell r="Q991">
            <v>308087665010</v>
          </cell>
        </row>
        <row r="992">
          <cell r="I992" t="str">
            <v>TRHU7942837</v>
          </cell>
          <cell r="J992" t="str">
            <v xml:space="preserve">RU DIỆP LÂM ANH </v>
          </cell>
          <cell r="K992">
            <v>0.55208333333333337</v>
          </cell>
          <cell r="L992" t="str">
            <v>TRHU7942837</v>
          </cell>
          <cell r="N992" t="str">
            <v>HATECO HICT</v>
          </cell>
          <cell r="O992" t="str">
            <v>VI-25/58896</v>
          </cell>
          <cell r="P992" t="str">
            <v>done</v>
          </cell>
          <cell r="Q992">
            <v>308087957610</v>
          </cell>
        </row>
        <row r="993">
          <cell r="I993" t="str">
            <v>CAAU6630367</v>
          </cell>
          <cell r="J993" t="str">
            <v>RU VIETLINK</v>
          </cell>
          <cell r="K993">
            <v>0.60416666666666663</v>
          </cell>
          <cell r="L993">
            <v>261736385</v>
          </cell>
          <cell r="N993" t="str">
            <v>HATECO HICT</v>
          </cell>
          <cell r="O993" t="str">
            <v>VI-25/58895</v>
          </cell>
          <cell r="P993" t="str">
            <v>done</v>
          </cell>
          <cell r="Q993">
            <v>308087926220</v>
          </cell>
        </row>
        <row r="994">
          <cell r="I994" t="str">
            <v>FFAU7311645</v>
          </cell>
          <cell r="J994" t="str">
            <v xml:space="preserve">RU DIỆP LÂM ANH </v>
          </cell>
          <cell r="K994">
            <v>0.61458333333333337</v>
          </cell>
          <cell r="L994" t="str">
            <v>FFAU7311645</v>
          </cell>
          <cell r="N994" t="str">
            <v>HATECO HICT</v>
          </cell>
          <cell r="O994" t="str">
            <v>VI-25/58900</v>
          </cell>
          <cell r="P994" t="str">
            <v>done</v>
          </cell>
          <cell r="Q994">
            <v>308087872650</v>
          </cell>
        </row>
        <row r="995">
          <cell r="I995" t="str">
            <v>MSKU1249992</v>
          </cell>
          <cell r="J995" t="str">
            <v xml:space="preserve">RU DIỆP LÂM ANH </v>
          </cell>
          <cell r="K995">
            <v>0.875</v>
          </cell>
          <cell r="L995" t="str">
            <v>MSKU1249992</v>
          </cell>
          <cell r="N995" t="str">
            <v>HATECO HICT</v>
          </cell>
          <cell r="O995" t="str">
            <v>VI-25/58891</v>
          </cell>
          <cell r="P995" t="str">
            <v>done</v>
          </cell>
          <cell r="Q995">
            <v>308087832200</v>
          </cell>
        </row>
        <row r="996">
          <cell r="I996" t="str">
            <v>MRSU5287029</v>
          </cell>
          <cell r="J996" t="str">
            <v xml:space="preserve">RU DIỆP LÂM ANH </v>
          </cell>
          <cell r="K996">
            <v>0.89583333333333337</v>
          </cell>
          <cell r="L996" t="str">
            <v>MRSU5287029</v>
          </cell>
          <cell r="N996" t="str">
            <v>HATECO HICT</v>
          </cell>
          <cell r="O996" t="str">
            <v>VI-25/58892</v>
          </cell>
          <cell r="P996" t="str">
            <v>done</v>
          </cell>
          <cell r="Q996">
            <v>308087840230</v>
          </cell>
        </row>
        <row r="997">
          <cell r="I997" t="str">
            <v>TCLU8149149</v>
          </cell>
          <cell r="J997" t="str">
            <v xml:space="preserve">RU DIỆP LÂM ANH </v>
          </cell>
          <cell r="K997">
            <v>0.91666666666666663</v>
          </cell>
          <cell r="L997" t="str">
            <v>TCLU8149149</v>
          </cell>
          <cell r="N997" t="str">
            <v>HATECO HICT</v>
          </cell>
          <cell r="O997" t="str">
            <v>VI-25/58893</v>
          </cell>
          <cell r="P997" t="str">
            <v>done</v>
          </cell>
          <cell r="Q997">
            <v>308087791450</v>
          </cell>
        </row>
        <row r="998">
          <cell r="I998" t="str">
            <v>MRSU6657576</v>
          </cell>
          <cell r="J998" t="str">
            <v xml:space="preserve">RU DIỆP LÂM ANH </v>
          </cell>
          <cell r="K998">
            <v>0.92708333333333337</v>
          </cell>
          <cell r="L998" t="str">
            <v>MRSU6657576</v>
          </cell>
          <cell r="N998" t="str">
            <v>HATECO HICT</v>
          </cell>
          <cell r="O998" t="str">
            <v>VI-25/58903</v>
          </cell>
          <cell r="P998" t="str">
            <v>done</v>
          </cell>
          <cell r="Q998">
            <v>308087900800</v>
          </cell>
        </row>
        <row r="999">
          <cell r="I999" t="str">
            <v>FFAU5775816</v>
          </cell>
          <cell r="J999" t="str">
            <v>RU VIETLINK</v>
          </cell>
          <cell r="K999">
            <v>0.97916666666666663</v>
          </cell>
          <cell r="L999" t="str">
            <v>FFAU5775816</v>
          </cell>
          <cell r="N999" t="str">
            <v>HATECO HICT</v>
          </cell>
          <cell r="O999" t="str">
            <v>VI-25/58901</v>
          </cell>
          <cell r="P999" t="str">
            <v>done</v>
          </cell>
          <cell r="Q999">
            <v>308087880500</v>
          </cell>
        </row>
        <row r="1000">
          <cell r="I1000" t="str">
            <v>MRSU7702983</v>
          </cell>
          <cell r="J1000" t="str">
            <v>RU VIETLINK</v>
          </cell>
          <cell r="K1000">
            <v>9.375E-2</v>
          </cell>
          <cell r="L1000" t="str">
            <v>MRSU7702983</v>
          </cell>
          <cell r="N1000" t="str">
            <v>HATECO HICT</v>
          </cell>
          <cell r="O1000" t="str">
            <v>VI-25/58897</v>
          </cell>
          <cell r="P1000" t="str">
            <v>done</v>
          </cell>
          <cell r="Q1000">
            <v>308087893320</v>
          </cell>
        </row>
        <row r="1001">
          <cell r="I1001" t="str">
            <v>MRSU5638669</v>
          </cell>
          <cell r="J1001" t="str">
            <v>RU TNP</v>
          </cell>
          <cell r="K1001" t="str">
            <v>13:00</v>
          </cell>
          <cell r="L1001" t="str">
            <v>MRSU5638669</v>
          </cell>
          <cell r="N1001" t="str">
            <v>HATECO HICT</v>
          </cell>
          <cell r="O1001" t="str">
            <v>VP-25/54164</v>
          </cell>
          <cell r="P1001" t="str">
            <v>done</v>
          </cell>
          <cell r="Q1001">
            <v>308088855450</v>
          </cell>
        </row>
        <row r="1002">
          <cell r="I1002" t="str">
            <v>MNBU0391974</v>
          </cell>
          <cell r="J1002" t="str">
            <v>SÂM
THÀNH KÉO VỀ</v>
          </cell>
          <cell r="K1002" t="str">
            <v>11:00</v>
          </cell>
          <cell r="L1002" t="str">
            <v>ONEU9008020</v>
          </cell>
          <cell r="N1002" t="str">
            <v>HATECO HICT</v>
          </cell>
          <cell r="O1002" t="str">
            <v>VP-25/54165
cb VV-25/50153</v>
          </cell>
          <cell r="P1002" t="str">
            <v>done</v>
          </cell>
          <cell r="Q1002" t="str">
            <v>308088951940
308088929760</v>
          </cell>
        </row>
        <row r="1003">
          <cell r="I1003" t="str">
            <v>MNBU4229468</v>
          </cell>
          <cell r="J1003" t="str">
            <v>VINH
kéo về</v>
          </cell>
          <cell r="K1003" t="str">
            <v>15:00</v>
          </cell>
          <cell r="L1003" t="str">
            <v>MNBU4229468</v>
          </cell>
          <cell r="N1003" t="str">
            <v>HATECO HICT</v>
          </cell>
          <cell r="P1003" t="str">
            <v>done</v>
          </cell>
          <cell r="Q1003">
            <v>308090527860</v>
          </cell>
        </row>
        <row r="1004">
          <cell r="I1004" t="str">
            <v>MNBU4393912</v>
          </cell>
          <cell r="J1004" t="str">
            <v>THỊNH
THÀNH KÉO VỀ</v>
          </cell>
          <cell r="K1004" t="str">
            <v>14:00</v>
          </cell>
          <cell r="L1004" t="str">
            <v>EGSU9882518</v>
          </cell>
          <cell r="N1004" t="str">
            <v>HATECO HICT</v>
          </cell>
          <cell r="O1004" t="str">
            <v>VR-25/52917</v>
          </cell>
          <cell r="P1004" t="str">
            <v>done</v>
          </cell>
          <cell r="Q1004">
            <v>308089236140</v>
          </cell>
        </row>
        <row r="1005">
          <cell r="I1005" t="str">
            <v>MNBU4415056</v>
          </cell>
          <cell r="J1005" t="str">
            <v>SÂM
ĐỨC KÉO VỀ</v>
          </cell>
          <cell r="K1005" t="str">
            <v>16:00</v>
          </cell>
          <cell r="L1005" t="str">
            <v>CAAU9941090</v>
          </cell>
          <cell r="N1005" t="str">
            <v>HATECO HICT</v>
          </cell>
          <cell r="O1005" t="str">
            <v>VR-25/52919</v>
          </cell>
          <cell r="P1005" t="str">
            <v>done</v>
          </cell>
          <cell r="Q1005">
            <v>308090490650</v>
          </cell>
        </row>
        <row r="1006">
          <cell r="I1006" t="str">
            <v>MRSU4686636</v>
          </cell>
          <cell r="J1006" t="str">
            <v>ĐỨC</v>
          </cell>
          <cell r="K1006" t="str">
            <v>10:00</v>
          </cell>
          <cell r="L1006" t="str">
            <v>MRSU4686636</v>
          </cell>
          <cell r="M1006" t="str">
            <v>TRI PHƯƠNG</v>
          </cell>
          <cell r="N1006" t="str">
            <v>HATECO HICT</v>
          </cell>
          <cell r="P1006" t="str">
            <v>done</v>
          </cell>
          <cell r="Q1006">
            <v>308089173360</v>
          </cell>
        </row>
        <row r="1007">
          <cell r="I1007" t="str">
            <v>MRSU4356125</v>
          </cell>
          <cell r="J1007" t="str">
            <v>SƠN</v>
          </cell>
          <cell r="K1007" t="str">
            <v>22:00</v>
          </cell>
          <cell r="L1007" t="str">
            <v>TIIU6101991</v>
          </cell>
          <cell r="M1007" t="str">
            <v>TRI PHƯƠNG</v>
          </cell>
          <cell r="N1007" t="str">
            <v>HATECO HICT</v>
          </cell>
          <cell r="O1007" t="str">
            <v>VR-25/52913</v>
          </cell>
          <cell r="P1007" t="str">
            <v>done</v>
          </cell>
          <cell r="Q1007">
            <v>308089185850</v>
          </cell>
        </row>
        <row r="1008">
          <cell r="I1008" t="str">
            <v>ONEU9008020</v>
          </cell>
          <cell r="J1008" t="str">
            <v>MẠNH</v>
          </cell>
          <cell r="K1008" t="str">
            <v>10:00</v>
          </cell>
          <cell r="L1008" t="str">
            <v>SITU9160265</v>
          </cell>
          <cell r="M1008" t="str">
            <v>TRI PHƯƠNG</v>
          </cell>
          <cell r="N1008" t="str">
            <v>TÂN VŨ</v>
          </cell>
          <cell r="Q1008">
            <v>0</v>
          </cell>
        </row>
        <row r="1009">
          <cell r="I1009" t="str">
            <v>TTNU8749478</v>
          </cell>
          <cell r="K1009" t="str">
            <v>21:00</v>
          </cell>
          <cell r="N1009" t="str">
            <v>TÂN VŨ</v>
          </cell>
          <cell r="Q1009">
            <v>0</v>
          </cell>
        </row>
        <row r="1010">
          <cell r="I1010" t="str">
            <v>GESU6619147</v>
          </cell>
          <cell r="J1010" t="str">
            <v>SƠN</v>
          </cell>
          <cell r="K1010">
            <v>0.33333333333333331</v>
          </cell>
          <cell r="L1010" t="str">
            <v>APHU7261701</v>
          </cell>
          <cell r="O1010" t="str">
            <v>VH-26/50007</v>
          </cell>
          <cell r="Q1010">
            <v>0</v>
          </cell>
        </row>
        <row r="1011">
          <cell r="I1011" t="str">
            <v>NYKU0755860</v>
          </cell>
          <cell r="J1011" t="str">
            <v>DŨNG 
KÉO VỀ</v>
          </cell>
          <cell r="K1011">
            <v>0.91666666666666663</v>
          </cell>
          <cell r="L1011" t="str">
            <v>NYKU0755860</v>
          </cell>
          <cell r="N1011" t="str">
            <v>LẠCH HUYỆN</v>
          </cell>
          <cell r="O1011" t="str">
            <v>VB-25/52829</v>
          </cell>
          <cell r="P1011" t="str">
            <v>done</v>
          </cell>
          <cell r="Q1011">
            <v>308091300810</v>
          </cell>
        </row>
        <row r="1012">
          <cell r="I1012" t="str">
            <v>NYKU5282992</v>
          </cell>
          <cell r="J1012" t="str">
            <v>HƯỜNG
KÉO VỀ</v>
          </cell>
          <cell r="K1012">
            <v>4.1666666666666664E-2</v>
          </cell>
          <cell r="L1012" t="str">
            <v>TTNU1258180</v>
          </cell>
          <cell r="N1012" t="str">
            <v>LẠCH HUYỆN</v>
          </cell>
          <cell r="O1012" t="str">
            <v>VH-25/50855</v>
          </cell>
          <cell r="P1012" t="str">
            <v>done</v>
          </cell>
          <cell r="Q1012">
            <v>308092925400</v>
          </cell>
        </row>
        <row r="1013">
          <cell r="I1013" t="str">
            <v>FDCU0533020</v>
          </cell>
          <cell r="J1013" t="str">
            <v>VINH
kéo về</v>
          </cell>
          <cell r="K1013">
            <v>0.125</v>
          </cell>
          <cell r="L1013" t="str">
            <v>FDCU0533020</v>
          </cell>
          <cell r="N1013" t="str">
            <v>LẠCH HUYỆN</v>
          </cell>
          <cell r="O1013" t="str">
            <v>VB-25/52830</v>
          </cell>
          <cell r="P1013" t="str">
            <v>done</v>
          </cell>
          <cell r="Q1013">
            <v>308091304860</v>
          </cell>
        </row>
        <row r="1014">
          <cell r="I1014" t="str">
            <v>TIIU5201595</v>
          </cell>
          <cell r="J1014" t="str">
            <v>THỤY
KÉO VỀ</v>
          </cell>
          <cell r="L1014" t="str">
            <v>TIIU5201595</v>
          </cell>
          <cell r="N1014" t="str">
            <v>GIC</v>
          </cell>
          <cell r="O1014" t="str">
            <v>VH-25/50857</v>
          </cell>
          <cell r="P1014" t="str">
            <v>done</v>
          </cell>
          <cell r="Q1014">
            <v>308092702430</v>
          </cell>
        </row>
        <row r="1015">
          <cell r="I1015" t="str">
            <v>EMCU8876050</v>
          </cell>
          <cell r="J1015" t="str">
            <v>HỒNG HƯNG
chưa về</v>
          </cell>
          <cell r="N1015" t="str">
            <v>GIC</v>
          </cell>
          <cell r="O1015" t="str">
            <v>VH-26/50008</v>
          </cell>
          <cell r="P1015" t="str">
            <v>done</v>
          </cell>
          <cell r="Q1015">
            <v>308092834840</v>
          </cell>
        </row>
        <row r="1016">
          <cell r="I1016" t="str">
            <v>TGBU8711633</v>
          </cell>
          <cell r="J1016" t="str">
            <v>DĐỨC</v>
          </cell>
          <cell r="Q1016">
            <v>0</v>
          </cell>
        </row>
        <row r="1017">
          <cell r="I1017" t="str">
            <v>FFAU6862556</v>
          </cell>
          <cell r="J1017" t="str">
            <v>PHƯƠNG
SÂM KÉO VỀ</v>
          </cell>
          <cell r="K1017">
            <v>0.45833333333333331</v>
          </cell>
          <cell r="L1017" t="str">
            <v>MRSU8264768</v>
          </cell>
          <cell r="N1017" t="str">
            <v>LẠCH HUYỆN</v>
          </cell>
          <cell r="O1017" t="str">
            <v>VP-25/54183</v>
          </cell>
          <cell r="P1017" t="str">
            <v>done</v>
          </cell>
          <cell r="Q1017">
            <v>308093572310</v>
          </cell>
        </row>
        <row r="1018">
          <cell r="I1018" t="str">
            <v>ECMU7241136</v>
          </cell>
          <cell r="K1018">
            <v>0.95833333333333337</v>
          </cell>
          <cell r="Q1018">
            <v>0</v>
          </cell>
        </row>
        <row r="1019">
          <cell r="I1019" t="str">
            <v>EGSU1308252</v>
          </cell>
          <cell r="J1019" t="str">
            <v>XUYÊN 
KÉO VỀ</v>
          </cell>
          <cell r="L1019" t="str">
            <v>EGSU1308252</v>
          </cell>
          <cell r="N1019" t="str">
            <v>GIC</v>
          </cell>
          <cell r="P1019" t="str">
            <v>done</v>
          </cell>
          <cell r="Q1019">
            <v>308093254400</v>
          </cell>
        </row>
        <row r="1020">
          <cell r="I1020" t="str">
            <v>CAAU9063098</v>
          </cell>
          <cell r="J1020" t="str">
            <v>HƯNG
kéo về</v>
          </cell>
          <cell r="K1020">
            <v>0.33333333333333331</v>
          </cell>
          <cell r="L1020" t="str">
            <v>MRSU5288468</v>
          </cell>
          <cell r="M1020">
            <v>0</v>
          </cell>
          <cell r="N1020" t="str">
            <v>HATECO HICT</v>
          </cell>
          <cell r="O1020" t="str">
            <v>VI-25/58934</v>
          </cell>
          <cell r="P1020" t="str">
            <v>done</v>
          </cell>
          <cell r="Q1020">
            <v>308092141510</v>
          </cell>
        </row>
        <row r="1021">
          <cell r="I1021" t="str">
            <v>MRSU4579068</v>
          </cell>
          <cell r="J1021" t="str">
            <v>TRỌNG
kéo về</v>
          </cell>
          <cell r="K1021">
            <v>0.33333333333333331</v>
          </cell>
          <cell r="L1021" t="str">
            <v>MRSU4406843</v>
          </cell>
          <cell r="N1021" t="str">
            <v>HATECO HICT</v>
          </cell>
          <cell r="O1021" t="str">
            <v>VI-25/58935</v>
          </cell>
          <cell r="P1021" t="str">
            <v>done</v>
          </cell>
          <cell r="Q1021">
            <v>308092089560</v>
          </cell>
        </row>
        <row r="1022">
          <cell r="I1022" t="str">
            <v>MSKU0639173</v>
          </cell>
          <cell r="J1022" t="str">
            <v xml:space="preserve">RU DIỆP LÂM ANH </v>
          </cell>
          <cell r="K1022">
            <v>0.34375</v>
          </cell>
          <cell r="L1022" t="str">
            <v>MSKU0639173</v>
          </cell>
          <cell r="N1022" t="str">
            <v>HATECO HICT</v>
          </cell>
          <cell r="O1022" t="str">
            <v>VI-25/58939</v>
          </cell>
          <cell r="P1022" t="str">
            <v>done</v>
          </cell>
          <cell r="Q1022">
            <v>308092179750</v>
          </cell>
        </row>
        <row r="1023">
          <cell r="I1023" t="str">
            <v>MRSU5562521</v>
          </cell>
          <cell r="J1023" t="str">
            <v>RU ĐĂNG KHOA</v>
          </cell>
          <cell r="K1023">
            <v>0.39583333333333331</v>
          </cell>
          <cell r="L1023" t="str">
            <v>MRSU5562521</v>
          </cell>
          <cell r="N1023" t="str">
            <v>HATECO HICT</v>
          </cell>
          <cell r="O1023" t="str">
            <v>VI-25/58930</v>
          </cell>
          <cell r="P1023" t="str">
            <v>done</v>
          </cell>
          <cell r="Q1023">
            <v>308092162250</v>
          </cell>
        </row>
        <row r="1024">
          <cell r="I1024" t="str">
            <v>MRSU7918530</v>
          </cell>
          <cell r="J1024" t="str">
            <v>RU ĐĂNG KHOA</v>
          </cell>
          <cell r="K1024">
            <v>0.4236111111111111</v>
          </cell>
          <cell r="L1024" t="str">
            <v>MRSU7918530</v>
          </cell>
          <cell r="N1024" t="str">
            <v>HATECO HICT</v>
          </cell>
          <cell r="O1024" t="str">
            <v>VI-25/58927</v>
          </cell>
          <cell r="P1024" t="str">
            <v>done</v>
          </cell>
          <cell r="Q1024">
            <v>308092054450</v>
          </cell>
        </row>
        <row r="1025">
          <cell r="I1025" t="str">
            <v>CAAU7983097</v>
          </cell>
          <cell r="J1025" t="str">
            <v>THỊNH</v>
          </cell>
          <cell r="K1025">
            <v>0.59375</v>
          </cell>
          <cell r="L1025" t="str">
            <v>FFAU5174245</v>
          </cell>
          <cell r="N1025" t="str">
            <v>HATECO HICT</v>
          </cell>
          <cell r="O1025" t="str">
            <v>VI-25/58928</v>
          </cell>
          <cell r="P1025" t="str">
            <v>done</v>
          </cell>
          <cell r="Q1025">
            <v>308092067160</v>
          </cell>
        </row>
        <row r="1026">
          <cell r="I1026" t="str">
            <v>CAAU6037346</v>
          </cell>
          <cell r="J1026" t="str">
            <v xml:space="preserve">RU ANH KIỆT </v>
          </cell>
          <cell r="K1026">
            <v>0.60416666666666663</v>
          </cell>
          <cell r="L1026" t="str">
            <v>CAAU6037346</v>
          </cell>
          <cell r="N1026" t="str">
            <v>HATECO HICT</v>
          </cell>
          <cell r="O1026" t="str">
            <v>VI-25/58931</v>
          </cell>
          <cell r="P1026" t="str">
            <v>done</v>
          </cell>
          <cell r="Q1026">
            <v>308092196920</v>
          </cell>
        </row>
        <row r="1027">
          <cell r="I1027" t="str">
            <v>TGBU9362449</v>
          </cell>
          <cell r="J1027" t="str">
            <v xml:space="preserve">RU ANH KIỆT </v>
          </cell>
          <cell r="K1027">
            <v>0.60416666666666663</v>
          </cell>
          <cell r="L1027" t="str">
            <v>TGBU9362449</v>
          </cell>
          <cell r="N1027" t="str">
            <v>HATECO HICT</v>
          </cell>
          <cell r="O1027" t="str">
            <v>VI-25/58936</v>
          </cell>
          <cell r="P1027" t="str">
            <v>done</v>
          </cell>
          <cell r="Q1027">
            <v>308092098220</v>
          </cell>
        </row>
        <row r="1028">
          <cell r="I1028" t="str">
            <v>MRKU6535045</v>
          </cell>
          <cell r="J1028" t="str">
            <v>TÍN
THI KÉO VỀ</v>
          </cell>
          <cell r="K1028">
            <v>0.89583333333333337</v>
          </cell>
          <cell r="L1028" t="str">
            <v>CAAU7983097</v>
          </cell>
          <cell r="N1028" t="str">
            <v>HATECO HICT</v>
          </cell>
          <cell r="O1028" t="str">
            <v>VI-25/58944</v>
          </cell>
          <cell r="P1028" t="str">
            <v>done</v>
          </cell>
          <cell r="Q1028">
            <v>308092128210</v>
          </cell>
        </row>
        <row r="1029">
          <cell r="I1029" t="str">
            <v>CAAU8142680</v>
          </cell>
          <cell r="J1029" t="str">
            <v xml:space="preserve">RU TÙNG DŨNG </v>
          </cell>
          <cell r="K1029">
            <v>0.91666666666666663</v>
          </cell>
          <cell r="L1029" t="str">
            <v>CAAU8142680</v>
          </cell>
          <cell r="N1029" t="str">
            <v>HATECO HICT</v>
          </cell>
          <cell r="O1029" t="str">
            <v>VI-25/58929</v>
          </cell>
          <cell r="P1029" t="str">
            <v>done</v>
          </cell>
          <cell r="Q1029">
            <v>308092073610</v>
          </cell>
        </row>
        <row r="1030">
          <cell r="I1030" t="str">
            <v>MRSU9070279</v>
          </cell>
          <cell r="J1030" t="str">
            <v xml:space="preserve">RU DIỆP LÂM ANH </v>
          </cell>
          <cell r="K1030">
            <v>0.92708333333333337</v>
          </cell>
          <cell r="L1030" t="str">
            <v>MRSU9070279</v>
          </cell>
          <cell r="N1030" t="str">
            <v>HATECO HICT</v>
          </cell>
          <cell r="O1030" t="str">
            <v>VI-25/58932</v>
          </cell>
          <cell r="P1030" t="str">
            <v>done</v>
          </cell>
          <cell r="Q1030">
            <v>308092207860</v>
          </cell>
        </row>
        <row r="1031">
          <cell r="I1031" t="str">
            <v>BSIU8152347</v>
          </cell>
          <cell r="J1031" t="str">
            <v xml:space="preserve">RU ANH KIỆT </v>
          </cell>
          <cell r="K1031">
            <v>0.94791666666666663</v>
          </cell>
          <cell r="L1031" t="str">
            <v>BSIU8152347</v>
          </cell>
          <cell r="N1031" t="str">
            <v>HATECO HICT</v>
          </cell>
          <cell r="O1031" t="str">
            <v>VI-25/58937</v>
          </cell>
          <cell r="P1031" t="str">
            <v>done</v>
          </cell>
          <cell r="Q1031">
            <v>308092104300</v>
          </cell>
        </row>
        <row r="1032">
          <cell r="I1032" t="str">
            <v>CAAU6933996</v>
          </cell>
          <cell r="J1032" t="str">
            <v>HƯNG
SƠN KÉO VỀ</v>
          </cell>
          <cell r="K1032">
            <v>0.13541666666666666</v>
          </cell>
          <cell r="L1032" t="str">
            <v>CAAU9063098</v>
          </cell>
          <cell r="N1032" t="str">
            <v>HATECO HICT</v>
          </cell>
          <cell r="O1032" t="str">
            <v>VI-25/58933</v>
          </cell>
          <cell r="P1032" t="str">
            <v>done</v>
          </cell>
          <cell r="Q1032">
            <v>308092214200</v>
          </cell>
        </row>
        <row r="1033">
          <cell r="I1033" t="str">
            <v>MRSU7573696</v>
          </cell>
          <cell r="J1033" t="str">
            <v>TRỌNG
ĐỨC KÉO VỀ</v>
          </cell>
          <cell r="K1033">
            <v>0.15625</v>
          </cell>
          <cell r="L1033" t="str">
            <v>MRSU4579068</v>
          </cell>
          <cell r="N1033" t="str">
            <v>HATECO HICT</v>
          </cell>
          <cell r="O1033" t="str">
            <v>VI-25/58938</v>
          </cell>
          <cell r="P1033" t="str">
            <v>done</v>
          </cell>
          <cell r="Q1033">
            <v>308092112920</v>
          </cell>
        </row>
        <row r="1034">
          <cell r="I1034" t="str">
            <v>MRKU4124220</v>
          </cell>
          <cell r="J1034" t="str">
            <v>HƯỜNG</v>
          </cell>
          <cell r="K1034">
            <v>0.33333333333333331</v>
          </cell>
          <cell r="L1034" t="str">
            <v>BEAU5509364</v>
          </cell>
          <cell r="M1034" t="str">
            <v>TRI PHƯƠNG</v>
          </cell>
          <cell r="N1034" t="str">
            <v>HATECO HICT</v>
          </cell>
          <cell r="O1034" t="str">
            <v>VS-25/51770</v>
          </cell>
          <cell r="P1034" t="str">
            <v>done</v>
          </cell>
          <cell r="Q1034">
            <v>308092458720</v>
          </cell>
        </row>
        <row r="1035">
          <cell r="I1035" t="str">
            <v>TTNU1258180</v>
          </cell>
          <cell r="J1035" t="str">
            <v>THI</v>
          </cell>
          <cell r="K1035">
            <v>0.33333333333333331</v>
          </cell>
          <cell r="L1035" t="str">
            <v>ONEU0027100</v>
          </cell>
          <cell r="M1035" t="str">
            <v>TRI PHƯƠNG</v>
          </cell>
          <cell r="N1035" t="str">
            <v>HATECO HICT</v>
          </cell>
          <cell r="O1035" t="str">
            <v>VS-25/51771</v>
          </cell>
          <cell r="P1035" t="str">
            <v>done</v>
          </cell>
          <cell r="Q1035">
            <v>308092492430</v>
          </cell>
        </row>
        <row r="1036">
          <cell r="I1036" t="str">
            <v>TCKU6926828</v>
          </cell>
          <cell r="J1036" t="str">
            <v>PHƯƠNG</v>
          </cell>
          <cell r="K1036">
            <v>0.625</v>
          </cell>
          <cell r="L1036" t="str">
            <v>SEKU5712892</v>
          </cell>
          <cell r="M1036" t="str">
            <v>TRI PHƯƠNG</v>
          </cell>
          <cell r="N1036" t="str">
            <v>HATECO HICT</v>
          </cell>
          <cell r="O1036" t="str">
            <v>VS-25/51769</v>
          </cell>
          <cell r="P1036" t="str">
            <v>done</v>
          </cell>
          <cell r="Q1036">
            <v>308092552740</v>
          </cell>
        </row>
        <row r="1037">
          <cell r="I1037" t="str">
            <v>TGBU5306391</v>
          </cell>
          <cell r="J1037" t="str">
            <v>HƯỜNG</v>
          </cell>
          <cell r="K1037">
            <v>0.875</v>
          </cell>
          <cell r="L1037" t="str">
            <v>GESU6619147</v>
          </cell>
          <cell r="M1037" t="str">
            <v>TRI PHƯƠNG</v>
          </cell>
          <cell r="N1037" t="str">
            <v>HATECO HICT</v>
          </cell>
          <cell r="O1037" t="str">
            <v>VS-25/51768</v>
          </cell>
          <cell r="P1037" t="str">
            <v>done</v>
          </cell>
          <cell r="Q1037">
            <v>308092647020</v>
          </cell>
        </row>
        <row r="1038">
          <cell r="I1038" t="str">
            <v>SELU4059883</v>
          </cell>
          <cell r="J1038" t="str">
            <v>THÀNH</v>
          </cell>
          <cell r="K1038" t="str">
            <v>9:00</v>
          </cell>
          <cell r="L1038" t="str">
            <v>MNBU4393912</v>
          </cell>
          <cell r="M1038" t="str">
            <v>TRI PHƯƠNG</v>
          </cell>
          <cell r="N1038" t="str">
            <v>HATECO HICT</v>
          </cell>
          <cell r="P1038" t="str">
            <v>done</v>
          </cell>
          <cell r="Q1038">
            <v>308093240950</v>
          </cell>
        </row>
        <row r="1039">
          <cell r="I1039" t="str">
            <v>MRSU7020710</v>
          </cell>
          <cell r="J1039" t="str">
            <v>ĐỨC</v>
          </cell>
          <cell r="K1039" t="str">
            <v>10:00</v>
          </cell>
          <cell r="L1039" t="str">
            <v>MNBU4415056</v>
          </cell>
          <cell r="M1039" t="str">
            <v>TRI PHƯƠNG</v>
          </cell>
          <cell r="N1039" t="str">
            <v>HATECO HICT</v>
          </cell>
          <cell r="P1039" t="str">
            <v>done</v>
          </cell>
          <cell r="Q1039">
            <v>308093229530</v>
          </cell>
        </row>
        <row r="1040">
          <cell r="I1040" t="str">
            <v>MRSU8264768</v>
          </cell>
          <cell r="J1040" t="str">
            <v>HƯỜNG</v>
          </cell>
          <cell r="K1040" t="str">
            <v>11:00</v>
          </cell>
          <cell r="L1040" t="str">
            <v>TTNU8749478</v>
          </cell>
          <cell r="M1040" t="str">
            <v>TRI PHƯƠNG</v>
          </cell>
          <cell r="N1040" t="str">
            <v>HATECO HICT</v>
          </cell>
          <cell r="P1040" t="str">
            <v>done</v>
          </cell>
          <cell r="Q1040">
            <v>308093236900</v>
          </cell>
        </row>
        <row r="1041">
          <cell r="I1041" t="str">
            <v>UETU7500571</v>
          </cell>
          <cell r="J1041" t="str">
            <v>MẠNH</v>
          </cell>
          <cell r="K1041" t="str">
            <v>16:00</v>
          </cell>
          <cell r="L1041" t="str">
            <v>MRSU7020710</v>
          </cell>
          <cell r="M1041" t="str">
            <v>TRI PHƯƠNG</v>
          </cell>
          <cell r="N1041" t="str">
            <v>HATECO HICT</v>
          </cell>
          <cell r="P1041" t="str">
            <v>done</v>
          </cell>
          <cell r="Q1041">
            <v>308093223010</v>
          </cell>
        </row>
        <row r="1042">
          <cell r="I1042" t="str">
            <v>CAAU7929922</v>
          </cell>
          <cell r="J1042" t="str">
            <v>SÂM</v>
          </cell>
          <cell r="K1042" t="str">
            <v>9:00</v>
          </cell>
          <cell r="L1042" t="str">
            <v>FFAU3430814</v>
          </cell>
          <cell r="M1042" t="str">
            <v>TRI PHƯƠNG</v>
          </cell>
          <cell r="N1042" t="str">
            <v>HATECO HICT</v>
          </cell>
          <cell r="P1042" t="str">
            <v>done</v>
          </cell>
          <cell r="Q1042">
            <v>308093237340</v>
          </cell>
        </row>
        <row r="1043">
          <cell r="I1043" t="str">
            <v>MRSU4339112</v>
          </cell>
          <cell r="J1043" t="str">
            <v>PHƯƠNG</v>
          </cell>
          <cell r="K1043" t="str">
            <v>23:00</v>
          </cell>
          <cell r="L1043" t="str">
            <v>BEAU5509364</v>
          </cell>
          <cell r="M1043" t="str">
            <v>TRI PHƯƠNG</v>
          </cell>
          <cell r="N1043" t="str">
            <v>HATECO HICT</v>
          </cell>
          <cell r="P1043" t="str">
            <v>done</v>
          </cell>
          <cell r="Q1043">
            <v>308093243860</v>
          </cell>
        </row>
        <row r="1044">
          <cell r="I1044" t="str">
            <v>MNBU4236765</v>
          </cell>
          <cell r="J1044" t="str">
            <v>MẠNH</v>
          </cell>
          <cell r="K1044" t="str">
            <v>21:00</v>
          </cell>
          <cell r="L1044" t="str">
            <v>CGMU5363172</v>
          </cell>
          <cell r="M1044" t="str">
            <v>TRI PHƯƠNG</v>
          </cell>
          <cell r="N1044" t="str">
            <v>HATECO HICT</v>
          </cell>
          <cell r="P1044" t="str">
            <v>done</v>
          </cell>
          <cell r="Q1044">
            <v>308093902450</v>
          </cell>
        </row>
        <row r="1045">
          <cell r="I1045" t="str">
            <v>CAIU5687777</v>
          </cell>
          <cell r="J1045" t="str">
            <v>THI</v>
          </cell>
          <cell r="K1045" t="str">
            <v>09:00</v>
          </cell>
          <cell r="L1045" t="str">
            <v>SELU4059883</v>
          </cell>
          <cell r="M1045" t="str">
            <v>TRI PHƯƠNG</v>
          </cell>
          <cell r="Q1045">
            <v>0</v>
          </cell>
        </row>
        <row r="1046">
          <cell r="I1046" t="str">
            <v>SEGU9251259</v>
          </cell>
          <cell r="J1046" t="str">
            <v>THỊNH</v>
          </cell>
          <cell r="K1046" t="str">
            <v>10:00</v>
          </cell>
          <cell r="L1046" t="str">
            <v>CGMU8013270</v>
          </cell>
          <cell r="M1046" t="str">
            <v>TRI PHƯƠNG</v>
          </cell>
          <cell r="Q1046">
            <v>0</v>
          </cell>
        </row>
        <row r="1047">
          <cell r="I1047" t="str">
            <v>FBIU5281526</v>
          </cell>
          <cell r="J1047" t="str">
            <v>THI
THỊNH KÉO VỀ</v>
          </cell>
          <cell r="K1047" t="str">
            <v>11:00</v>
          </cell>
          <cell r="L1047" t="str">
            <v>MRSU4356125</v>
          </cell>
          <cell r="N1047" t="str">
            <v>TÂN VŨ</v>
          </cell>
          <cell r="P1047" t="str">
            <v>done</v>
          </cell>
          <cell r="Q1047">
            <v>308093104010</v>
          </cell>
        </row>
        <row r="1048">
          <cell r="I1048" t="str">
            <v>CXRU1574586</v>
          </cell>
          <cell r="J1048" t="str">
            <v>HƯỜNG</v>
          </cell>
          <cell r="K1048" t="str">
            <v>13:00</v>
          </cell>
          <cell r="L1048" t="str">
            <v>UETU7262339</v>
          </cell>
          <cell r="M1048" t="str">
            <v>TRI PHƯƠNG</v>
          </cell>
          <cell r="Q1048">
            <v>0</v>
          </cell>
        </row>
        <row r="1049">
          <cell r="I1049" t="str">
            <v>CXRU1634860</v>
          </cell>
          <cell r="J1049" t="str">
            <v>THÀNH</v>
          </cell>
          <cell r="K1049" t="str">
            <v>14:00</v>
          </cell>
          <cell r="L1049" t="str">
            <v>CXRU1634860</v>
          </cell>
          <cell r="M1049" t="str">
            <v>TRI PHƯƠNG</v>
          </cell>
          <cell r="Q1049">
            <v>0</v>
          </cell>
        </row>
        <row r="1050">
          <cell r="I1050" t="str">
            <v>CGMU8013270</v>
          </cell>
          <cell r="J1050" t="str">
            <v>SÂM</v>
          </cell>
          <cell r="K1050" t="str">
            <v>22:00</v>
          </cell>
          <cell r="L1050" t="str">
            <v>TIIU5434560</v>
          </cell>
          <cell r="M1050" t="str">
            <v>TRI PHƯƠNG</v>
          </cell>
          <cell r="Q1050">
            <v>0</v>
          </cell>
        </row>
        <row r="1051">
          <cell r="I1051" t="str">
            <v>CGMU5363172</v>
          </cell>
          <cell r="J1051" t="str">
            <v>THÀNH</v>
          </cell>
          <cell r="K1051" t="str">
            <v>23:00</v>
          </cell>
          <cell r="L1051" t="str">
            <v>CXRU1574586</v>
          </cell>
          <cell r="M1051" t="str">
            <v>TRI PHƯƠNG</v>
          </cell>
          <cell r="Q1051">
            <v>0</v>
          </cell>
        </row>
        <row r="1052">
          <cell r="I1052" t="str">
            <v>TGHU9929621</v>
          </cell>
          <cell r="K1052" t="str">
            <v>00:00</v>
          </cell>
          <cell r="M1052" t="str">
            <v>TRI PHƯƠNG</v>
          </cell>
          <cell r="Q1052">
            <v>0</v>
          </cell>
        </row>
        <row r="1053">
          <cell r="I1053" t="str">
            <v>ONEU9177647</v>
          </cell>
          <cell r="K1053" t="str">
            <v>22:00</v>
          </cell>
          <cell r="M1053" t="str">
            <v>TRI PHƯƠNG</v>
          </cell>
          <cell r="Q1053">
            <v>0</v>
          </cell>
        </row>
        <row r="1054">
          <cell r="I1054" t="str">
            <v>UASU1022620</v>
          </cell>
          <cell r="J1054" t="str">
            <v>PHƯƠNG</v>
          </cell>
          <cell r="K1054" t="str">
            <v>2:00</v>
          </cell>
          <cell r="M1054" t="str">
            <v>TRI PHƯƠNG</v>
          </cell>
          <cell r="Q1054">
            <v>0</v>
          </cell>
        </row>
        <row r="1055">
          <cell r="I1055" t="str">
            <v>TEMU7505540</v>
          </cell>
          <cell r="J1055" t="str">
            <v>PHƯƠNG</v>
          </cell>
          <cell r="K1055">
            <v>0.33333333333333331</v>
          </cell>
          <cell r="L1055" t="str">
            <v>TGBU5306391</v>
          </cell>
          <cell r="O1055" t="str">
            <v>VH-26/50011</v>
          </cell>
          <cell r="Q1055">
            <v>0</v>
          </cell>
        </row>
        <row r="1056">
          <cell r="K1056">
            <v>0.875</v>
          </cell>
          <cell r="O1056" t="str">
            <v>VH-26/50012</v>
          </cell>
          <cell r="Q1056">
            <v>0</v>
          </cell>
        </row>
        <row r="1057">
          <cell r="K1057">
            <v>0.875</v>
          </cell>
          <cell r="N1057" t="str">
            <v>NAM ĐÌNH VŨ</v>
          </cell>
          <cell r="O1057" t="str">
            <v>VH-25/50860</v>
          </cell>
          <cell r="Q1057">
            <v>0</v>
          </cell>
        </row>
        <row r="1058">
          <cell r="K1058">
            <v>0.91666666666666663</v>
          </cell>
          <cell r="O1058" t="str">
            <v>VB-26/50002</v>
          </cell>
          <cell r="Q1058">
            <v>0</v>
          </cell>
        </row>
        <row r="1059">
          <cell r="I1059" t="str">
            <v>EGSU9904469</v>
          </cell>
          <cell r="J1059" t="str">
            <v>HƯỜNG
TÍN KÉO VỀ</v>
          </cell>
          <cell r="L1059" t="str">
            <v>MRSU4578890</v>
          </cell>
          <cell r="N1059" t="str">
            <v>GIC</v>
          </cell>
          <cell r="O1059" t="str">
            <v>VH-26/50009</v>
          </cell>
          <cell r="P1059" t="str">
            <v>done</v>
          </cell>
          <cell r="Q1059">
            <v>308096557920</v>
          </cell>
        </row>
        <row r="1060">
          <cell r="I1060" t="str">
            <v>ONEU1456898</v>
          </cell>
          <cell r="J1060" t="str">
            <v>CIMC5</v>
          </cell>
          <cell r="K1060">
            <v>0.45833333333333331</v>
          </cell>
          <cell r="L1060" t="str">
            <v>ONEU1456898</v>
          </cell>
          <cell r="N1060" t="str">
            <v>LẠCH HUYỆN</v>
          </cell>
          <cell r="O1060" t="str">
            <v>VH-25/50858</v>
          </cell>
          <cell r="P1060" t="str">
            <v>done</v>
          </cell>
          <cell r="Q1060">
            <v>308096146060</v>
          </cell>
        </row>
        <row r="1061">
          <cell r="I1061" t="str">
            <v>ONEU2412533</v>
          </cell>
          <cell r="J1061" t="str">
            <v>THỤY
KÉO VỀ</v>
          </cell>
          <cell r="L1061" t="str">
            <v>ONEU2412533</v>
          </cell>
          <cell r="N1061" t="str">
            <v>TÂN VŨ</v>
          </cell>
          <cell r="O1061" t="str">
            <v>VH-26/50014</v>
          </cell>
          <cell r="P1061" t="str">
            <v>done</v>
          </cell>
          <cell r="Q1061">
            <v>308098451310</v>
          </cell>
        </row>
        <row r="1062">
          <cell r="I1062" t="str">
            <v>CAAU9940345</v>
          </cell>
          <cell r="J1062" t="str">
            <v>THỊNH KÉO VỀ</v>
          </cell>
          <cell r="K1062">
            <v>0.33333333333333331</v>
          </cell>
          <cell r="N1062" t="str">
            <v>ĐÌNH VŨ</v>
          </cell>
          <cell r="O1062" t="str">
            <v>VZ-26/50006 +VZ-26/50006R +VZ-26/50006R-01</v>
          </cell>
          <cell r="P1062" t="str">
            <v>done</v>
          </cell>
          <cell r="Q1062" t="str">
            <v>308096228920
308096287500
308096321430
308104446330
308104469800</v>
          </cell>
        </row>
        <row r="1063">
          <cell r="I1063" t="str">
            <v>SKIU9097964</v>
          </cell>
          <cell r="J1063" t="str">
            <v>THÀNH</v>
          </cell>
          <cell r="K1063">
            <v>0.45833333333333331</v>
          </cell>
          <cell r="L1063" t="str">
            <v>MRSU4339112</v>
          </cell>
          <cell r="Q1063">
            <v>0</v>
          </cell>
        </row>
        <row r="1064">
          <cell r="I1064" t="str">
            <v>TCLU6283396</v>
          </cell>
          <cell r="J1064" t="str">
            <v>PHƯƠNG</v>
          </cell>
          <cell r="K1064">
            <v>0.58333333333333337</v>
          </cell>
          <cell r="L1064" t="str">
            <v>SEKU6985422</v>
          </cell>
          <cell r="O1064" t="str">
            <v>HP</v>
          </cell>
          <cell r="Q1064">
            <v>0</v>
          </cell>
        </row>
        <row r="1065">
          <cell r="I1065" t="str">
            <v>FFAU7701448</v>
          </cell>
          <cell r="J1065" t="str">
            <v>ĐỨC
MẠNH KÉO VỀ</v>
          </cell>
          <cell r="K1065">
            <v>0.58333333333333337</v>
          </cell>
          <cell r="L1065" t="str">
            <v>ONEU9279551</v>
          </cell>
          <cell r="N1065" t="str">
            <v>ĐÌNH VŨ</v>
          </cell>
          <cell r="O1065" t="str">
            <v>VZ-26/50007 +VZ-26/50007R +VZ-26/50007R-01</v>
          </cell>
          <cell r="P1065" t="str">
            <v>không phơi mình chịu done</v>
          </cell>
          <cell r="Q1065" t="str">
            <v>308096566800
308096621840
308096700720
308096980500
308097152110</v>
          </cell>
        </row>
        <row r="1066">
          <cell r="I1066" t="str">
            <v>ECMU5582642 </v>
          </cell>
          <cell r="J1066" t="str">
            <v>XUYÊN 
KÉO VỀ</v>
          </cell>
          <cell r="K1066">
            <v>0.625</v>
          </cell>
          <cell r="L1066" t="str">
            <v>ECMU5582642 </v>
          </cell>
          <cell r="N1066" t="str">
            <v>NAM ĐÌNH VŨ</v>
          </cell>
          <cell r="O1066" t="str">
            <v>HP</v>
          </cell>
          <cell r="P1066" t="str">
            <v>done</v>
          </cell>
          <cell r="Q1066">
            <v>308099421360</v>
          </cell>
        </row>
        <row r="1067">
          <cell r="I1067" t="str">
            <v>TRHU5579825</v>
          </cell>
          <cell r="J1067" t="str">
            <v>SƠN</v>
          </cell>
          <cell r="K1067">
            <v>0.625</v>
          </cell>
          <cell r="O1067" t="str">
            <v>HP</v>
          </cell>
          <cell r="Q1067">
            <v>0</v>
          </cell>
        </row>
        <row r="1068">
          <cell r="I1068" t="str">
            <v>ECMU4911168 </v>
          </cell>
          <cell r="J1068" t="str">
            <v>HƯNG
kéo về</v>
          </cell>
          <cell r="K1068">
            <v>0.875</v>
          </cell>
          <cell r="L1068" t="str">
            <v>ECMU4911168 </v>
          </cell>
          <cell r="N1068" t="str">
            <v>TÂN VŨ</v>
          </cell>
          <cell r="O1068" t="str">
            <v>HP</v>
          </cell>
          <cell r="P1068" t="str">
            <v>done</v>
          </cell>
          <cell r="Q1068">
            <v>308097360600</v>
          </cell>
        </row>
        <row r="1069">
          <cell r="K1069">
            <v>0.875</v>
          </cell>
          <cell r="O1069" t="str">
            <v>HP</v>
          </cell>
          <cell r="Q1069">
            <v>0</v>
          </cell>
        </row>
        <row r="1070">
          <cell r="I1070" t="str">
            <v>EGSU1713445</v>
          </cell>
          <cell r="J1070" t="str">
            <v>SÂM</v>
          </cell>
          <cell r="K1070">
            <v>0.875</v>
          </cell>
          <cell r="L1070" t="str">
            <v>ONEU9177647</v>
          </cell>
          <cell r="Q1070">
            <v>0</v>
          </cell>
        </row>
        <row r="1071">
          <cell r="I1071" t="str">
            <v>MEDU8376532</v>
          </cell>
          <cell r="J1071" t="str">
            <v>THỊNH</v>
          </cell>
          <cell r="K1071">
            <v>0.95833333333333337</v>
          </cell>
          <cell r="L1071" t="str">
            <v>MEDU8376532</v>
          </cell>
          <cell r="O1071" t="str">
            <v>HP</v>
          </cell>
          <cell r="Q1071">
            <v>0</v>
          </cell>
        </row>
        <row r="1072">
          <cell r="K1072">
            <v>0</v>
          </cell>
          <cell r="O1072" t="str">
            <v>HP</v>
          </cell>
          <cell r="Q1072">
            <v>0</v>
          </cell>
        </row>
        <row r="1073">
          <cell r="K1073">
            <v>0.33333333333333331</v>
          </cell>
          <cell r="O1073" t="str">
            <v>VZ-26/50015 +VZ-26/50015R +VZ-26/50015R-01</v>
          </cell>
          <cell r="Q1073">
            <v>0</v>
          </cell>
        </row>
        <row r="1074">
          <cell r="K1074">
            <v>0.58333333333333337</v>
          </cell>
          <cell r="O1074" t="str">
            <v>VZ-26/50016 +VZ-26/50016R +VZ-26/50016R-01</v>
          </cell>
          <cell r="Q1074">
            <v>0</v>
          </cell>
        </row>
        <row r="1075">
          <cell r="I1075" t="str">
            <v>CAIU7196366</v>
          </cell>
          <cell r="J1075" t="str">
            <v>THANH 
KÉO VỀ</v>
          </cell>
          <cell r="L1075" t="str">
            <v>CAIU7196366</v>
          </cell>
          <cell r="N1075" t="str">
            <v>TÂN VŨ</v>
          </cell>
          <cell r="P1075" t="str">
            <v>done</v>
          </cell>
          <cell r="Q1075">
            <v>308097066230</v>
          </cell>
        </row>
        <row r="1076">
          <cell r="I1076" t="str">
            <v>SEKU5487847</v>
          </cell>
          <cell r="J1076" t="str">
            <v>THỊNH
TÍN KÉO VỀ</v>
          </cell>
          <cell r="L1076" t="str">
            <v>SKIU9097964</v>
          </cell>
          <cell r="N1076" t="str">
            <v>TÂN VŨ</v>
          </cell>
          <cell r="P1076" t="str">
            <v>done</v>
          </cell>
          <cell r="Q1076">
            <v>308097144040</v>
          </cell>
        </row>
        <row r="1077">
          <cell r="I1077" t="str">
            <v>MRSU4578890</v>
          </cell>
          <cell r="J1077" t="str">
            <v>HỒNG HƯNG</v>
          </cell>
          <cell r="K1077">
            <v>0.54166666666666663</v>
          </cell>
          <cell r="L1077" t="str">
            <v xml:space="preserve">EITU9440956 </v>
          </cell>
          <cell r="M1077" t="str">
            <v>TRI PHƯƠNG</v>
          </cell>
          <cell r="N1077" t="str">
            <v>HATECO HICT</v>
          </cell>
          <cell r="O1077" t="str">
            <v>VS-25/51775</v>
          </cell>
          <cell r="P1077" t="str">
            <v>done</v>
          </cell>
          <cell r="Q1077">
            <v>308096234300</v>
          </cell>
        </row>
        <row r="1078">
          <cell r="I1078" t="str">
            <v>MRKU2089069</v>
          </cell>
          <cell r="J1078" t="str">
            <v>HƯỜNG</v>
          </cell>
          <cell r="K1078">
            <v>0.875</v>
          </cell>
          <cell r="L1078" t="str">
            <v>NYKU5282992</v>
          </cell>
          <cell r="M1078" t="str">
            <v>TRI PHƯƠNG</v>
          </cell>
          <cell r="N1078" t="str">
            <v>HATECO HICT</v>
          </cell>
          <cell r="O1078" t="str">
            <v>VS-25/51774</v>
          </cell>
          <cell r="P1078" t="str">
            <v>done</v>
          </cell>
          <cell r="Q1078">
            <v>308096310010</v>
          </cell>
        </row>
        <row r="1079">
          <cell r="I1079" t="str">
            <v>MRSU4254484</v>
          </cell>
          <cell r="J1079" t="str">
            <v>THÀNH</v>
          </cell>
          <cell r="K1079">
            <v>0.875</v>
          </cell>
          <cell r="L1079" t="str">
            <v>TGBU8711633</v>
          </cell>
          <cell r="M1079" t="str">
            <v>TRI PHƯƠNG</v>
          </cell>
          <cell r="N1079" t="str">
            <v>HATECO HICT</v>
          </cell>
          <cell r="O1079" t="str">
            <v>VS-25/51776</v>
          </cell>
          <cell r="P1079" t="str">
            <v>done</v>
          </cell>
          <cell r="Q1079">
            <v>308096346850</v>
          </cell>
        </row>
        <row r="1080">
          <cell r="I1080" t="str">
            <v>MRSU4836839</v>
          </cell>
          <cell r="J1080" t="str">
            <v>SƠN</v>
          </cell>
          <cell r="K1080">
            <v>0.33333333333333331</v>
          </cell>
          <cell r="L1080" t="str">
            <v>CAAU6933996</v>
          </cell>
          <cell r="M1080" t="str">
            <v>TRI PHƯƠNG</v>
          </cell>
          <cell r="N1080" t="str">
            <v>HATECO HICT</v>
          </cell>
          <cell r="O1080" t="str">
            <v>VI-26/50007</v>
          </cell>
          <cell r="P1080" t="str">
            <v>done</v>
          </cell>
          <cell r="Q1080">
            <v>308095970840</v>
          </cell>
        </row>
        <row r="1081">
          <cell r="I1081" t="str">
            <v>GCXU6396946</v>
          </cell>
          <cell r="J1081" t="str">
            <v>THI</v>
          </cell>
          <cell r="K1081">
            <v>0.34375</v>
          </cell>
          <cell r="L1081" t="str">
            <v>MRKU6535045</v>
          </cell>
          <cell r="M1081" t="str">
            <v>TRI PHƯƠNG</v>
          </cell>
          <cell r="N1081" t="str">
            <v>HATECO HICT</v>
          </cell>
          <cell r="O1081" t="str">
            <v>VI-26/50008</v>
          </cell>
          <cell r="P1081" t="str">
            <v>done</v>
          </cell>
          <cell r="Q1081">
            <v>308096019950</v>
          </cell>
        </row>
        <row r="1082">
          <cell r="I1082" t="str">
            <v>FFAU5616291</v>
          </cell>
          <cell r="J1082" t="str">
            <v>ĐỨC</v>
          </cell>
          <cell r="K1082">
            <v>0.45833333333333331</v>
          </cell>
          <cell r="L1082" t="str">
            <v>MRSU7573696</v>
          </cell>
          <cell r="M1082" t="str">
            <v>TRI PHƯƠNG</v>
          </cell>
          <cell r="N1082" t="str">
            <v>HATECO HICT</v>
          </cell>
          <cell r="O1082" t="str">
            <v>VI-26/50009</v>
          </cell>
          <cell r="P1082" t="str">
            <v>done</v>
          </cell>
          <cell r="Q1082">
            <v>308096028460</v>
          </cell>
        </row>
        <row r="1083">
          <cell r="I1083" t="str">
            <v>GCXU6257025</v>
          </cell>
          <cell r="J1083" t="str">
            <v>MẠNH</v>
          </cell>
          <cell r="K1083">
            <v>0.92708333333333337</v>
          </cell>
          <cell r="L1083" t="str">
            <v>FFAU5616291</v>
          </cell>
          <cell r="M1083" t="str">
            <v>TRI PHƯƠNG</v>
          </cell>
          <cell r="N1083" t="str">
            <v>HATECO HICT</v>
          </cell>
          <cell r="O1083" t="str">
            <v>VI-25/58965</v>
          </cell>
          <cell r="P1083" t="str">
            <v>done</v>
          </cell>
          <cell r="Q1083">
            <v>308095907250</v>
          </cell>
        </row>
        <row r="1084">
          <cell r="I1084" t="str">
            <v>MRSU6761153</v>
          </cell>
          <cell r="J1084" t="str">
            <v>HƯỜNG</v>
          </cell>
          <cell r="K1084">
            <v>8.3333333333333329E-2</v>
          </cell>
          <cell r="L1084" t="str">
            <v>GCXU6396946</v>
          </cell>
          <cell r="M1084" t="str">
            <v>TRI PHƯƠNG</v>
          </cell>
          <cell r="N1084" t="str">
            <v>HATECO HICT</v>
          </cell>
          <cell r="O1084" t="str">
            <v>VI-26/50010</v>
          </cell>
          <cell r="P1084" t="str">
            <v>done</v>
          </cell>
          <cell r="Q1084">
            <v>308096034910</v>
          </cell>
        </row>
        <row r="1085">
          <cell r="I1085" t="str">
            <v>MRSU6735350</v>
          </cell>
          <cell r="J1085" t="str">
            <v>SÂM</v>
          </cell>
          <cell r="K1085">
            <v>0.13541666666666666</v>
          </cell>
          <cell r="M1085" t="str">
            <v>TRI PHƯƠNG</v>
          </cell>
          <cell r="N1085" t="str">
            <v>HATECO HICT</v>
          </cell>
          <cell r="O1085" t="str">
            <v>VI-26/50011</v>
          </cell>
          <cell r="P1085" t="str">
            <v>done</v>
          </cell>
          <cell r="Q1085">
            <v>308095988930</v>
          </cell>
        </row>
        <row r="1086">
          <cell r="I1086" t="str">
            <v>MRSU4682219</v>
          </cell>
          <cell r="J1086" t="str">
            <v>MẠNH</v>
          </cell>
          <cell r="K1086">
            <v>0.14583333333333334</v>
          </cell>
          <cell r="M1086" t="str">
            <v>TRI PHƯƠNG</v>
          </cell>
          <cell r="N1086" t="str">
            <v>HATECO HICT</v>
          </cell>
          <cell r="O1086" t="str">
            <v>VI-25/58953</v>
          </cell>
          <cell r="P1086" t="str">
            <v>done</v>
          </cell>
          <cell r="Q1086">
            <v>308095867130</v>
          </cell>
        </row>
        <row r="1087">
          <cell r="I1087" t="str">
            <v>IKSU2522418</v>
          </cell>
          <cell r="J1087" t="str">
            <v>THÀNH</v>
          </cell>
          <cell r="K1087" t="str">
            <v>8:00</v>
          </cell>
          <cell r="L1087" t="str">
            <v>SEGU9251259</v>
          </cell>
          <cell r="M1087" t="str">
            <v>TRI PHƯƠNG</v>
          </cell>
          <cell r="N1087" t="str">
            <v>TÂN VŨ</v>
          </cell>
          <cell r="Q1087">
            <v>0</v>
          </cell>
        </row>
        <row r="1088">
          <cell r="I1088" t="str">
            <v>ONEU9279551</v>
          </cell>
          <cell r="J1088" t="str">
            <v>MẠNH</v>
          </cell>
          <cell r="K1088" t="str">
            <v>14:00</v>
          </cell>
          <cell r="L1088" t="str">
            <v>UASU1022620</v>
          </cell>
          <cell r="N1088" t="str">
            <v>LẠCH HUYỆN</v>
          </cell>
          <cell r="P1088" t="str">
            <v>done</v>
          </cell>
          <cell r="Q1088">
            <v>308097335620</v>
          </cell>
        </row>
        <row r="1089">
          <cell r="I1089" t="str">
            <v>TTNU8806897</v>
          </cell>
          <cell r="J1089" t="str">
            <v>THI
KÉO VỀ</v>
          </cell>
          <cell r="K1089" t="str">
            <v>15:00</v>
          </cell>
          <cell r="L1089" t="str">
            <v>TTNU8806897</v>
          </cell>
          <cell r="N1089" t="str">
            <v>TÂN VŨ</v>
          </cell>
          <cell r="P1089" t="str">
            <v>done</v>
          </cell>
          <cell r="Q1089" t="str">
            <v>308096821450
308096751340</v>
          </cell>
        </row>
        <row r="1090">
          <cell r="I1090" t="str">
            <v>CGMU6942163</v>
          </cell>
          <cell r="J1090" t="str">
            <v>SƠN</v>
          </cell>
          <cell r="K1090" t="str">
            <v>15:00</v>
          </cell>
          <cell r="L1090" t="str">
            <v>CGMU6942163</v>
          </cell>
          <cell r="M1090" t="str">
            <v>TRI PHƯƠNG</v>
          </cell>
          <cell r="N1090" t="str">
            <v>HATECO HICT</v>
          </cell>
          <cell r="Q1090">
            <v>0</v>
          </cell>
        </row>
        <row r="1091">
          <cell r="I1091" t="str">
            <v>CAAU6676964</v>
          </cell>
          <cell r="J1091" t="str">
            <v>SÂM</v>
          </cell>
          <cell r="K1091" t="str">
            <v>10:00</v>
          </cell>
          <cell r="L1091" t="str">
            <v>FFAU6862556</v>
          </cell>
          <cell r="M1091" t="str">
            <v>TRI PHƯƠNG</v>
          </cell>
          <cell r="N1091" t="str">
            <v>HATECO HICT</v>
          </cell>
          <cell r="P1091" t="str">
            <v>done</v>
          </cell>
          <cell r="Q1091">
            <v>308097175210</v>
          </cell>
        </row>
        <row r="1092">
          <cell r="I1092" t="str">
            <v>SEKU6985422</v>
          </cell>
          <cell r="J1092" t="str">
            <v>THÀNH</v>
          </cell>
          <cell r="K1092" t="str">
            <v>15:00</v>
          </cell>
          <cell r="L1092" t="str">
            <v>TIIU5024503</v>
          </cell>
          <cell r="M1092" t="str">
            <v>TRI PHƯƠNG</v>
          </cell>
          <cell r="N1092" t="str">
            <v>HATECO HICT</v>
          </cell>
          <cell r="P1092" t="str">
            <v>done</v>
          </cell>
          <cell r="Q1092">
            <v>308096705360</v>
          </cell>
        </row>
        <row r="1093">
          <cell r="I1093" t="str">
            <v>CAAU6275447</v>
          </cell>
          <cell r="J1093" t="str">
            <v>TÍN</v>
          </cell>
          <cell r="K1093" t="str">
            <v>21:00</v>
          </cell>
          <cell r="L1093" t="str">
            <v>SEKU5487847</v>
          </cell>
          <cell r="M1093" t="str">
            <v>TRI PHƯƠNG</v>
          </cell>
          <cell r="N1093" t="str">
            <v>HATECO HICT</v>
          </cell>
          <cell r="P1093" t="str">
            <v>done</v>
          </cell>
          <cell r="Q1093">
            <v>308097118950</v>
          </cell>
        </row>
        <row r="1094">
          <cell r="I1094" t="str">
            <v>MRSU4652317</v>
          </cell>
          <cell r="J1094" t="str">
            <v>SƠN</v>
          </cell>
          <cell r="K1094">
            <v>0.91666666666666663</v>
          </cell>
          <cell r="M1094" t="str">
            <v>TRI PHƯƠNG</v>
          </cell>
          <cell r="N1094" t="str">
            <v>HATECO HICT</v>
          </cell>
          <cell r="O1094" t="str">
            <v>VP-26/50021</v>
          </cell>
          <cell r="P1094" t="str">
            <v>done</v>
          </cell>
          <cell r="Q1094">
            <v>308099106250</v>
          </cell>
        </row>
        <row r="1095">
          <cell r="I1095" t="str">
            <v>CAAU9925295</v>
          </cell>
          <cell r="J1095" t="str">
            <v>PHƯƠNG
SÂM KÉO VỀ</v>
          </cell>
          <cell r="K1095" t="str">
            <v>23:00</v>
          </cell>
          <cell r="L1095" t="str">
            <v>CAAU6275447</v>
          </cell>
          <cell r="N1095" t="str">
            <v>HATECO HICT</v>
          </cell>
          <cell r="P1095" t="str">
            <v>done</v>
          </cell>
          <cell r="Q1095">
            <v>308097193740</v>
          </cell>
        </row>
        <row r="1096">
          <cell r="I1096" t="str">
            <v>EGSU9728170</v>
          </cell>
          <cell r="J1096" t="str">
            <v>THỊNH</v>
          </cell>
          <cell r="K1096">
            <v>0.41666666666666669</v>
          </cell>
          <cell r="L1096" t="str">
            <v>EGSU1713445</v>
          </cell>
          <cell r="Q1096">
            <v>0</v>
          </cell>
        </row>
        <row r="1097">
          <cell r="I1097" t="str">
            <v>MSNU9648205</v>
          </cell>
          <cell r="J1097" t="str">
            <v>SƠN
ĐỨC KÉO VỀ</v>
          </cell>
          <cell r="K1097">
            <v>0.45833333333333331</v>
          </cell>
          <cell r="L1097" t="str">
            <v>MRSU4652317</v>
          </cell>
          <cell r="N1097" t="str">
            <v>NAM ĐÌNH VŨ</v>
          </cell>
          <cell r="P1097" t="str">
            <v>done</v>
          </cell>
          <cell r="Q1097">
            <v>308101700010</v>
          </cell>
        </row>
        <row r="1098">
          <cell r="I1098" t="str">
            <v>FFAU4866830</v>
          </cell>
          <cell r="J1098" t="str">
            <v>THỊNH</v>
          </cell>
          <cell r="K1098">
            <v>0.625</v>
          </cell>
          <cell r="L1098" t="str">
            <v>EGSU9728170</v>
          </cell>
          <cell r="Q1098">
            <v>0</v>
          </cell>
        </row>
        <row r="1099">
          <cell r="K1099">
            <v>0.625</v>
          </cell>
          <cell r="Q1099">
            <v>0</v>
          </cell>
        </row>
        <row r="1100">
          <cell r="K1100">
            <v>0.33333333333333331</v>
          </cell>
          <cell r="Q1100">
            <v>0</v>
          </cell>
        </row>
        <row r="1101">
          <cell r="K1101">
            <v>0.58333333333333337</v>
          </cell>
          <cell r="Q1101">
            <v>0</v>
          </cell>
        </row>
        <row r="1102">
          <cell r="I1102" t="str">
            <v>BEAU5898625</v>
          </cell>
          <cell r="J1102" t="str">
            <v>SÂM</v>
          </cell>
          <cell r="K1102" t="str">
            <v>13:00</v>
          </cell>
          <cell r="L1102" t="str">
            <v>TIIU4821689</v>
          </cell>
          <cell r="M1102" t="str">
            <v>TRI PHƯƠNG</v>
          </cell>
          <cell r="N1102" t="str">
            <v>HATECO HICT</v>
          </cell>
          <cell r="P1102" t="str">
            <v>done</v>
          </cell>
          <cell r="Q1102">
            <v>308101332030</v>
          </cell>
        </row>
        <row r="1103">
          <cell r="I1103" t="str">
            <v>CAAU6579250</v>
          </cell>
          <cell r="J1103" t="str">
            <v>THÀNH</v>
          </cell>
          <cell r="K1103" t="str">
            <v>8:00</v>
          </cell>
          <cell r="L1103" t="str">
            <v>TRHU5579825</v>
          </cell>
          <cell r="M1103" t="str">
            <v>TRI PHƯƠNG</v>
          </cell>
          <cell r="N1103" t="str">
            <v>HATECO HICT</v>
          </cell>
          <cell r="P1103" t="str">
            <v>done</v>
          </cell>
          <cell r="Q1103">
            <v>308101353030</v>
          </cell>
        </row>
        <row r="1104">
          <cell r="I1104" t="str">
            <v>TRHU4005530</v>
          </cell>
          <cell r="J1104" t="str">
            <v>SÂM</v>
          </cell>
          <cell r="K1104" t="str">
            <v>22:00</v>
          </cell>
          <cell r="L1104" t="str">
            <v>TRHU4005530</v>
          </cell>
          <cell r="M1104" t="str">
            <v>TRI PHƯƠNG</v>
          </cell>
          <cell r="N1104" t="str">
            <v>HATECO HICT</v>
          </cell>
          <cell r="P1104" t="str">
            <v>done</v>
          </cell>
          <cell r="Q1104">
            <v>308102009960</v>
          </cell>
        </row>
        <row r="1105">
          <cell r="I1105" t="str">
            <v>TRHU6306912</v>
          </cell>
          <cell r="J1105" t="str">
            <v>PHƯƠNG</v>
          </cell>
          <cell r="K1105" t="str">
            <v>14:00</v>
          </cell>
          <cell r="L1105" t="str">
            <v>HPCU4940694</v>
          </cell>
          <cell r="M1105" t="str">
            <v>TRI PHƯƠNG</v>
          </cell>
          <cell r="N1105" t="str">
            <v>HATECO HICT</v>
          </cell>
          <cell r="P1105" t="str">
            <v>done</v>
          </cell>
          <cell r="Q1105">
            <v>308101372410</v>
          </cell>
        </row>
        <row r="1106">
          <cell r="I1106" t="str">
            <v>CXRU1525642</v>
          </cell>
          <cell r="K1106" t="str">
            <v>8:00</v>
          </cell>
          <cell r="M1106" t="str">
            <v>TRI PHƯƠNG</v>
          </cell>
          <cell r="N1106" t="str">
            <v>TÂN VŨ</v>
          </cell>
          <cell r="Q1106">
            <v>0</v>
          </cell>
        </row>
        <row r="1107">
          <cell r="I1107" t="str">
            <v>ONEU9356180</v>
          </cell>
          <cell r="J1107" t="str">
            <v>SƠN</v>
          </cell>
          <cell r="K1107" t="str">
            <v>14:00</v>
          </cell>
          <cell r="M1107" t="str">
            <v>TRI PHƯƠNG</v>
          </cell>
          <cell r="N1107" t="str">
            <v>TÂN VŨ</v>
          </cell>
          <cell r="Q1107">
            <v>0</v>
          </cell>
        </row>
        <row r="1108">
          <cell r="I1108" t="str">
            <v>ONEU9024078</v>
          </cell>
          <cell r="K1108" t="str">
            <v>22:00</v>
          </cell>
          <cell r="M1108" t="str">
            <v>TRI PHƯƠNG</v>
          </cell>
          <cell r="N1108" t="str">
            <v>TÂN VŨ</v>
          </cell>
          <cell r="Q1108">
            <v>0</v>
          </cell>
        </row>
        <row r="1109">
          <cell r="I1109" t="str">
            <v>ONEU9432444</v>
          </cell>
          <cell r="K1109" t="str">
            <v>23:00</v>
          </cell>
          <cell r="M1109" t="str">
            <v>TRI PHƯƠNG</v>
          </cell>
          <cell r="N1109" t="str">
            <v>TÂN VŨ</v>
          </cell>
          <cell r="Q1109">
            <v>0</v>
          </cell>
        </row>
        <row r="1110">
          <cell r="I1110" t="str">
            <v>CAIU5682944</v>
          </cell>
          <cell r="K1110" t="str">
            <v>0:00</v>
          </cell>
          <cell r="M1110" t="str">
            <v>TRI PHƯƠNG</v>
          </cell>
          <cell r="N1110" t="str">
            <v>TÂN VŨ</v>
          </cell>
          <cell r="Q1110">
            <v>0</v>
          </cell>
        </row>
        <row r="1111">
          <cell r="I1111" t="str">
            <v>TGHU6467622</v>
          </cell>
          <cell r="J1111" t="str">
            <v>THAÀNH</v>
          </cell>
          <cell r="K1111">
            <v>0.33333333333333331</v>
          </cell>
          <cell r="L1111" t="str">
            <v>MRSU6761153</v>
          </cell>
          <cell r="O1111" t="str">
            <v>VI-26/50022</v>
          </cell>
          <cell r="Q1111">
            <v>0</v>
          </cell>
        </row>
        <row r="1112">
          <cell r="I1112" t="str">
            <v>NYKU4973897</v>
          </cell>
          <cell r="J1112" t="str">
            <v>THỊNH</v>
          </cell>
          <cell r="K1112">
            <v>0.39583333333333331</v>
          </cell>
          <cell r="L1112" t="str">
            <v>MRSU4836839</v>
          </cell>
          <cell r="O1112" t="str">
            <v>VI-26/50019</v>
          </cell>
          <cell r="Q1112">
            <v>0</v>
          </cell>
        </row>
        <row r="1113">
          <cell r="I1113" t="str">
            <v>TRHU6742731</v>
          </cell>
          <cell r="K1113">
            <v>0.4375</v>
          </cell>
          <cell r="O1113" t="str">
            <v>VI-26/50025</v>
          </cell>
          <cell r="Q1113">
            <v>0</v>
          </cell>
        </row>
        <row r="1114">
          <cell r="I1114" t="str">
            <v>ONEU5949001</v>
          </cell>
          <cell r="J1114" t="str">
            <v>MẠNH</v>
          </cell>
          <cell r="K1114">
            <v>0.63194444444444442</v>
          </cell>
          <cell r="L1114" t="str">
            <v>TGHU6467622</v>
          </cell>
          <cell r="O1114" t="str">
            <v>VI-26/50020</v>
          </cell>
          <cell r="Q1114">
            <v>0</v>
          </cell>
        </row>
        <row r="1115">
          <cell r="I1115" t="str">
            <v>FDCU0564063</v>
          </cell>
          <cell r="K1115">
            <v>0.96875</v>
          </cell>
          <cell r="O1115" t="str">
            <v>VI-26/50021</v>
          </cell>
          <cell r="Q1115">
            <v>0</v>
          </cell>
        </row>
        <row r="1116">
          <cell r="I1116" t="str">
            <v>ONEU1519065</v>
          </cell>
          <cell r="J1116" t="str">
            <v>MẠNH</v>
          </cell>
          <cell r="K1116">
            <v>0.97916666666666663</v>
          </cell>
          <cell r="L1116" t="str">
            <v>FDCU0564063</v>
          </cell>
          <cell r="O1116" t="str">
            <v>VI-26/50023</v>
          </cell>
          <cell r="Q1116">
            <v>0</v>
          </cell>
        </row>
        <row r="1117">
          <cell r="I1117" t="str">
            <v>SEKU4424253</v>
          </cell>
          <cell r="K1117">
            <v>0.14583333333333334</v>
          </cell>
          <cell r="O1117" t="str">
            <v>VI-26/50026</v>
          </cell>
          <cell r="Q1117">
            <v>0</v>
          </cell>
        </row>
        <row r="1118">
          <cell r="I1118" t="str">
            <v>ONEU5450497</v>
          </cell>
          <cell r="J1118" t="str">
            <v>ĐỨC</v>
          </cell>
          <cell r="K1118">
            <v>0.10416666666666667</v>
          </cell>
          <cell r="L1118" t="str">
            <v>ONEU5450497</v>
          </cell>
          <cell r="O1118" t="str">
            <v>VI-26/50024</v>
          </cell>
          <cell r="Q1118">
            <v>0</v>
          </cell>
        </row>
        <row r="1119">
          <cell r="I1119" t="str">
            <v>EITU0157380</v>
          </cell>
          <cell r="J1119" t="str">
            <v>VINH
kéo về</v>
          </cell>
          <cell r="K1119">
            <v>0.875</v>
          </cell>
          <cell r="L1119" t="str">
            <v>EITU0157380</v>
          </cell>
          <cell r="N1119" t="str">
            <v>GIC</v>
          </cell>
          <cell r="O1119" t="str">
            <v>VE-25/51715</v>
          </cell>
          <cell r="P1119" t="str">
            <v>done</v>
          </cell>
          <cell r="Q1119">
            <v>308103638420</v>
          </cell>
        </row>
        <row r="1120">
          <cell r="K1120">
            <v>0.33333333333333331</v>
          </cell>
          <cell r="O1120" t="str">
            <v>VB-26/50003</v>
          </cell>
          <cell r="Q1120">
            <v>0</v>
          </cell>
        </row>
        <row r="1121">
          <cell r="K1121">
            <v>0.33333333333333331</v>
          </cell>
          <cell r="O1121" t="str">
            <v>VH-26/50013</v>
          </cell>
          <cell r="Q1121">
            <v>0</v>
          </cell>
        </row>
        <row r="1122">
          <cell r="I1122" t="str">
            <v>EGSU1760909</v>
          </cell>
          <cell r="K1122">
            <v>0.33333333333333331</v>
          </cell>
          <cell r="O1122" t="str">
            <v>VS-26/50010</v>
          </cell>
          <cell r="Q1122">
            <v>0</v>
          </cell>
        </row>
        <row r="1123">
          <cell r="K1123">
            <v>0.45833333333333331</v>
          </cell>
          <cell r="O1123" t="str">
            <v>VH-26/50022</v>
          </cell>
          <cell r="Q1123">
            <v>0</v>
          </cell>
        </row>
        <row r="1124">
          <cell r="K1124">
            <v>0.875</v>
          </cell>
          <cell r="O1124" t="str">
            <v>VH-26/50020</v>
          </cell>
          <cell r="Q1124">
            <v>0</v>
          </cell>
        </row>
        <row r="1125">
          <cell r="I1125" t="str">
            <v>DRYU9941216</v>
          </cell>
          <cell r="J1125" t="str">
            <v>SƠN</v>
          </cell>
          <cell r="K1125">
            <v>0.875</v>
          </cell>
          <cell r="L1125" t="str">
            <v>TEMU7505540</v>
          </cell>
          <cell r="O1125" t="str">
            <v>VH-26/50018</v>
          </cell>
          <cell r="Q1125">
            <v>0</v>
          </cell>
        </row>
        <row r="1126">
          <cell r="I1126" t="str">
            <v>ECMU5207169</v>
          </cell>
          <cell r="J1126" t="str">
            <v>TRỌNG
KÉO VỀ</v>
          </cell>
          <cell r="K1126">
            <v>0.33333333333333331</v>
          </cell>
          <cell r="L1126" t="str">
            <v>ECMU5207169</v>
          </cell>
          <cell r="N1126" t="str">
            <v>NAM ĐÌNH VŨ</v>
          </cell>
          <cell r="O1126" t="str">
            <v>VH-25/50860</v>
          </cell>
          <cell r="P1126" t="str">
            <v>done</v>
          </cell>
          <cell r="Q1126">
            <v>308096801630</v>
          </cell>
        </row>
        <row r="1127">
          <cell r="I1127" t="str">
            <v>CMAU6714205</v>
          </cell>
          <cell r="J1127" t="str">
            <v>TÍN</v>
          </cell>
          <cell r="K1127">
            <v>0.54166666666666663</v>
          </cell>
          <cell r="L1127" t="str">
            <v>EGSU9904469</v>
          </cell>
          <cell r="N1127" t="str">
            <v>LẠCH HUYỆN</v>
          </cell>
          <cell r="O1127" t="str">
            <v>VB-26/50003</v>
          </cell>
          <cell r="Q1127">
            <v>308103389920</v>
          </cell>
        </row>
        <row r="1128">
          <cell r="I1128" t="str">
            <v>TRHU7148133</v>
          </cell>
          <cell r="J1128" t="str">
            <v>XUYÊN 
KÉO VỀ</v>
          </cell>
          <cell r="K1128">
            <v>0.54166666666666663</v>
          </cell>
          <cell r="L1128" t="str">
            <v>TRHU7148133</v>
          </cell>
          <cell r="N1128" t="str">
            <v>NAM ĐÌNH VŨ</v>
          </cell>
          <cell r="O1128" t="str">
            <v>VH-26/50013</v>
          </cell>
          <cell r="P1128" t="str">
            <v>done</v>
          </cell>
          <cell r="Q1128">
            <v>308103439140</v>
          </cell>
        </row>
        <row r="1129">
          <cell r="I1129" t="str">
            <v>EGSU3317470</v>
          </cell>
          <cell r="J1129" t="str">
            <v>TÍN 
KÉO VỀ</v>
          </cell>
          <cell r="K1129">
            <v>0.875</v>
          </cell>
          <cell r="L1129" t="str">
            <v>EGSU3317470</v>
          </cell>
          <cell r="N1129" t="str">
            <v>GIC</v>
          </cell>
          <cell r="O1129" t="str">
            <v>VS-26/50008</v>
          </cell>
          <cell r="P1129" t="str">
            <v>done</v>
          </cell>
          <cell r="Q1129">
            <v>308103887840</v>
          </cell>
        </row>
        <row r="1130">
          <cell r="I1130" t="str">
            <v>CAAU2389360</v>
          </cell>
          <cell r="J1130" t="str">
            <v>HỒNG HƯNG
MẠNH KÉO VỀ</v>
          </cell>
          <cell r="K1130">
            <v>0.875</v>
          </cell>
          <cell r="N1130" t="str">
            <v>HATECO</v>
          </cell>
          <cell r="O1130" t="str">
            <v>VS-26/50017</v>
          </cell>
          <cell r="P1130" t="str">
            <v>done</v>
          </cell>
          <cell r="Q1130">
            <v>308103637940</v>
          </cell>
        </row>
        <row r="1131">
          <cell r="I1131" t="str">
            <v>CAJU5074716</v>
          </cell>
          <cell r="J1131" t="str">
            <v>SÂM
ĐỨC KÉO VỀ</v>
          </cell>
          <cell r="K1131">
            <v>0.33333333333333331</v>
          </cell>
          <cell r="L1131" t="str">
            <v>CAAU9925295</v>
          </cell>
          <cell r="N1131" t="str">
            <v>ĐÌNH VŨ</v>
          </cell>
          <cell r="O1131" t="str">
            <v>VZ-26/50015 +VZ-26/50015R +VZ-26/50015R-01</v>
          </cell>
          <cell r="P1131" t="str">
            <v>done</v>
          </cell>
          <cell r="Q1131" t="str">
            <v>308107957200
308106779800
308106765430</v>
          </cell>
        </row>
        <row r="1132">
          <cell r="I1132" t="str">
            <v>TIIU4819505</v>
          </cell>
          <cell r="J1132" t="str">
            <v>ĐỨC
THỊNH KÉO VỀ</v>
          </cell>
          <cell r="K1132">
            <v>0.58333333333333337</v>
          </cell>
          <cell r="L1132" t="str">
            <v>MSNU9648205</v>
          </cell>
          <cell r="N1132" t="str">
            <v>ĐÌNH VŨ</v>
          </cell>
          <cell r="O1132" t="str">
            <v>VZ-26/50016 +VZ-26/50016R +VZ-26/50016R-01</v>
          </cell>
          <cell r="P1132" t="str">
            <v>done</v>
          </cell>
          <cell r="Q1132" t="str">
            <v>308106833920
308113433740
308106821910
308106810710</v>
          </cell>
        </row>
        <row r="1133">
          <cell r="I1133" t="str">
            <v>EGSU1751110</v>
          </cell>
          <cell r="K1133">
            <v>0.54166666666666663</v>
          </cell>
          <cell r="O1133" t="str">
            <v>RTB-25/0467+SCN-25/49</v>
          </cell>
          <cell r="Q1133">
            <v>0</v>
          </cell>
        </row>
        <row r="1134">
          <cell r="I1134" t="str">
            <v>CMAU9382850</v>
          </cell>
          <cell r="J1134" t="str">
            <v>THAÀNH</v>
          </cell>
          <cell r="L1134" t="str">
            <v>TTNU8343468</v>
          </cell>
          <cell r="Q1134">
            <v>0</v>
          </cell>
        </row>
        <row r="1135">
          <cell r="I1135" t="str">
            <v>TLLU4928684</v>
          </cell>
          <cell r="J1135" t="str">
            <v>THỊNH</v>
          </cell>
          <cell r="L1135" t="str">
            <v>EGSU1751110</v>
          </cell>
          <cell r="Q1135">
            <v>0</v>
          </cell>
        </row>
        <row r="1136">
          <cell r="I1136" t="str">
            <v>CAAU4508318</v>
          </cell>
          <cell r="J1136" t="str">
            <v>SÂM</v>
          </cell>
          <cell r="L1136" t="str">
            <v>FFAU4866830</v>
          </cell>
          <cell r="Q1136">
            <v>0</v>
          </cell>
        </row>
        <row r="1137">
          <cell r="I1137" t="str">
            <v>GCXU6307126</v>
          </cell>
          <cell r="J1137" t="str">
            <v>THỊNH</v>
          </cell>
          <cell r="K1137">
            <v>0.875</v>
          </cell>
          <cell r="L1137" t="str">
            <v>ONEU5949001</v>
          </cell>
          <cell r="M1137" t="str">
            <v>TRI PHƯƠNG</v>
          </cell>
          <cell r="N1137" t="str">
            <v>HATECO HICT</v>
          </cell>
          <cell r="O1137" t="str">
            <v>VI-26/50018</v>
          </cell>
          <cell r="P1137" t="str">
            <v>done</v>
          </cell>
          <cell r="Q1137">
            <v>308103609500</v>
          </cell>
        </row>
        <row r="1138">
          <cell r="I1138" t="str">
            <v>FSCU5828050</v>
          </cell>
          <cell r="J1138" t="str">
            <v>THI
SƠN KÉO VỀ</v>
          </cell>
          <cell r="K1138" t="str">
            <v>10:00</v>
          </cell>
          <cell r="L1138" t="str">
            <v>CXRU1525642</v>
          </cell>
          <cell r="N1138" t="str">
            <v>LẠCH HUYỆN</v>
          </cell>
          <cell r="O1138" t="str">
            <v>VP-26/50037</v>
          </cell>
          <cell r="P1138" t="str">
            <v>done</v>
          </cell>
          <cell r="Q1138">
            <v>308104841500</v>
          </cell>
        </row>
        <row r="1139">
          <cell r="I1139" t="str">
            <v>TTNU8343468</v>
          </cell>
          <cell r="J1139" t="str">
            <v>ĐỨC
THÀNH KÉO VỀ</v>
          </cell>
          <cell r="K1139" t="str">
            <v>23:00</v>
          </cell>
          <cell r="L1139" t="str">
            <v>CAIU5682944</v>
          </cell>
          <cell r="N1139" t="str">
            <v>LẠCH HUYỆN</v>
          </cell>
          <cell r="O1139" t="str">
            <v>VP-26/50014</v>
          </cell>
          <cell r="P1139" t="str">
            <v>done</v>
          </cell>
          <cell r="Q1139">
            <v>308104824660</v>
          </cell>
        </row>
        <row r="1140">
          <cell r="I1140" t="str">
            <v>ONEU5136249</v>
          </cell>
          <cell r="K1140">
            <v>0.38541666666666669</v>
          </cell>
          <cell r="O1140" t="str">
            <v>VI-26/50054</v>
          </cell>
          <cell r="Q1140">
            <v>0</v>
          </cell>
        </row>
        <row r="1141">
          <cell r="I1141" t="str">
            <v>FFAU6833882</v>
          </cell>
          <cell r="K1141">
            <v>0.45833333333333331</v>
          </cell>
          <cell r="O1141" t="str">
            <v>VI-26/50055</v>
          </cell>
          <cell r="Q1141">
            <v>0</v>
          </cell>
        </row>
        <row r="1142">
          <cell r="I1142" t="str">
            <v>CMAU7669327</v>
          </cell>
          <cell r="J1142" t="str">
            <v>ĐỨC</v>
          </cell>
          <cell r="K1142">
            <v>0.33333333333333331</v>
          </cell>
          <cell r="L1142" t="str">
            <v>HASU4881885</v>
          </cell>
          <cell r="O1142" t="str">
            <v>HP</v>
          </cell>
          <cell r="Q1142">
            <v>0</v>
          </cell>
        </row>
        <row r="1143">
          <cell r="I1143" t="str">
            <v>ECMU5350800</v>
          </cell>
          <cell r="J1143" t="str">
            <v>THI</v>
          </cell>
          <cell r="K1143">
            <v>0.375</v>
          </cell>
          <cell r="O1143" t="str">
            <v>HP</v>
          </cell>
          <cell r="Q1143">
            <v>0</v>
          </cell>
        </row>
        <row r="1144">
          <cell r="I1144" t="str">
            <v>CAAU4564923</v>
          </cell>
          <cell r="J1144" t="str">
            <v>SƠN
THÀNH KÉO VỀ</v>
          </cell>
          <cell r="K1144">
            <v>0.33333333333333331</v>
          </cell>
          <cell r="N1144" t="str">
            <v>ĐÌNH VŨ</v>
          </cell>
          <cell r="O1144" t="str">
            <v xml:space="preserve"> VZ-26/50020 +VZ-26/50020R +VZ-26/50020R-01</v>
          </cell>
          <cell r="P1144" t="str">
            <v>done</v>
          </cell>
          <cell r="Q1144" t="str">
            <v>308120794500
308120875660
308120900310
308120995840
308121016950</v>
          </cell>
        </row>
        <row r="1145">
          <cell r="I1145" t="str">
            <v>TIIU6220650</v>
          </cell>
          <cell r="J1145" t="str">
            <v>MẠNH
THÀNH KÉO VỀ</v>
          </cell>
          <cell r="K1145">
            <v>0.45833333333333331</v>
          </cell>
          <cell r="L1145" t="str">
            <v>TLLU4928684</v>
          </cell>
          <cell r="N1145" t="str">
            <v>TÂN VŨ</v>
          </cell>
          <cell r="O1145" t="str">
            <v>HP</v>
          </cell>
          <cell r="P1145" t="str">
            <v>done</v>
          </cell>
          <cell r="Q1145">
            <v>308108830210</v>
          </cell>
        </row>
        <row r="1146">
          <cell r="I1146" t="str">
            <v>CAAU8805021</v>
          </cell>
          <cell r="J1146" t="str">
            <v>PHƯƠNG
CHƯA VỀ, GỬI ICD</v>
          </cell>
          <cell r="K1146">
            <v>0.45833333333333331</v>
          </cell>
          <cell r="L1146" t="str">
            <v>SELU4362009</v>
          </cell>
          <cell r="N1146" t="str">
            <v xml:space="preserve">LẠCH HUYỆN </v>
          </cell>
          <cell r="P1146" t="str">
            <v>không phơi, mình chịu</v>
          </cell>
          <cell r="Q1146">
            <v>308108532230</v>
          </cell>
        </row>
        <row r="1147">
          <cell r="I1147" t="str">
            <v>FFAU7245688</v>
          </cell>
          <cell r="J1147" t="str">
            <v>PHƯƠNG KÉO VỀ</v>
          </cell>
          <cell r="K1147">
            <v>0.58333333333333337</v>
          </cell>
          <cell r="N1147" t="str">
            <v>ĐÌNH VŨ</v>
          </cell>
          <cell r="O1147" t="str">
            <v>VZ-26/50022 +VZ-26/50022R +VZ-26/50022R-01</v>
          </cell>
          <cell r="P1147" t="str">
            <v>done</v>
          </cell>
          <cell r="Q1147" t="str">
            <v>308121255210
308121217410
308121181560
308121121030</v>
          </cell>
        </row>
        <row r="1148">
          <cell r="I1148" t="str">
            <v>FFAU5108876</v>
          </cell>
          <cell r="J1148" t="str">
            <v>PHƯƠNG
MẠNH KÉO VỀ</v>
          </cell>
          <cell r="K1148">
            <v>0.875</v>
          </cell>
          <cell r="N1148" t="str">
            <v>ĐÌNH VŨ</v>
          </cell>
          <cell r="O1148" t="str">
            <v xml:space="preserve"> VZ-26/50020 +VZ-26/50020R +VZ-26/50020R-01</v>
          </cell>
          <cell r="P1148" t="str">
            <v>done</v>
          </cell>
          <cell r="Q1148" t="str">
            <v>308121393110
308121360100
308121328010</v>
          </cell>
        </row>
        <row r="1149">
          <cell r="I1149" t="str">
            <v>TRHU4107172</v>
          </cell>
          <cell r="J1149" t="str">
            <v>THÀNH</v>
          </cell>
          <cell r="K1149">
            <v>0</v>
          </cell>
          <cell r="L1149" t="str">
            <v>TIIU6220650</v>
          </cell>
          <cell r="O1149" t="str">
            <v>HP</v>
          </cell>
          <cell r="Q1149">
            <v>0</v>
          </cell>
        </row>
        <row r="1150">
          <cell r="I1150" t="str">
            <v>FFAU7499208</v>
          </cell>
          <cell r="J1150" t="str">
            <v>SÂM</v>
          </cell>
          <cell r="K1150">
            <v>0</v>
          </cell>
          <cell r="O1150" t="str">
            <v>RTB-25/0470</v>
          </cell>
          <cell r="Q1150">
            <v>0</v>
          </cell>
        </row>
        <row r="1151">
          <cell r="I1151" t="str">
            <v>CAAU9608156</v>
          </cell>
          <cell r="J1151" t="str">
            <v>MẠNH</v>
          </cell>
          <cell r="Q1151">
            <v>0</v>
          </cell>
        </row>
        <row r="1152">
          <cell r="I1152" t="str">
            <v>SITU9197069</v>
          </cell>
          <cell r="K1152">
            <v>0.41666666666666669</v>
          </cell>
          <cell r="O1152" t="str">
            <v>HP</v>
          </cell>
          <cell r="Q1152">
            <v>0</v>
          </cell>
        </row>
        <row r="1153">
          <cell r="I1153" t="str">
            <v>SELU4287625</v>
          </cell>
          <cell r="K1153">
            <v>0.625</v>
          </cell>
          <cell r="O1153" t="str">
            <v>HP</v>
          </cell>
          <cell r="Q1153">
            <v>0</v>
          </cell>
        </row>
        <row r="1154">
          <cell r="I1154" t="str">
            <v>TIIU6443090</v>
          </cell>
          <cell r="K1154">
            <v>0.875</v>
          </cell>
          <cell r="O1154" t="str">
            <v>HP</v>
          </cell>
          <cell r="Q1154">
            <v>0</v>
          </cell>
        </row>
        <row r="1155">
          <cell r="I1155" t="str">
            <v>CAAU6335510</v>
          </cell>
          <cell r="J1155" t="str">
            <v>CIMC5</v>
          </cell>
          <cell r="K1155">
            <v>0.41666666666666669</v>
          </cell>
          <cell r="L1155" t="str">
            <v>CAAU6335510</v>
          </cell>
          <cell r="N1155" t="str">
            <v>TÂN VŨ</v>
          </cell>
          <cell r="O1155" t="str">
            <v>VS-26/50011</v>
          </cell>
          <cell r="P1155" t="str">
            <v>done</v>
          </cell>
          <cell r="Q1155">
            <v>308107729920</v>
          </cell>
        </row>
        <row r="1156">
          <cell r="I1156" t="str">
            <v>CMAU7124250</v>
          </cell>
          <cell r="J1156" t="str">
            <v>THANH 
KÉO VỀ</v>
          </cell>
          <cell r="K1156">
            <v>0.625</v>
          </cell>
          <cell r="L1156" t="str">
            <v>CMAU7124250</v>
          </cell>
          <cell r="N1156" t="str">
            <v>TÂN VŨ</v>
          </cell>
          <cell r="O1156" t="str">
            <v>VS-26/50013</v>
          </cell>
          <cell r="P1156" t="str">
            <v>done</v>
          </cell>
          <cell r="Q1156">
            <v>308107889040</v>
          </cell>
        </row>
        <row r="1157">
          <cell r="I1157" t="str">
            <v>CMAU6740518</v>
          </cell>
          <cell r="J1157" t="str">
            <v>TRỌNG
KÉO VỀ</v>
          </cell>
          <cell r="K1157">
            <v>0.54166666666666663</v>
          </cell>
          <cell r="L1157" t="str">
            <v>CMAU6740518</v>
          </cell>
          <cell r="N1157" t="str">
            <v>TÂN VŨ</v>
          </cell>
          <cell r="O1157" t="str">
            <v>VS-26/50012</v>
          </cell>
          <cell r="P1157" t="str">
            <v>done</v>
          </cell>
          <cell r="Q1157">
            <v>308107760830</v>
          </cell>
        </row>
        <row r="1158">
          <cell r="I1158" t="str">
            <v>UETU8154597</v>
          </cell>
          <cell r="J1158" t="str">
            <v xml:space="preserve">RU DIỆP LÂM ANH </v>
          </cell>
          <cell r="K1158">
            <v>0.5625</v>
          </cell>
          <cell r="L1158" t="str">
            <v>UETU8154597</v>
          </cell>
          <cell r="N1158" t="str">
            <v>HATECO HICT</v>
          </cell>
          <cell r="O1158" t="str">
            <v>VI-26/50053</v>
          </cell>
          <cell r="P1158" t="str">
            <v>done</v>
          </cell>
          <cell r="Q1158">
            <v>308108001520</v>
          </cell>
        </row>
        <row r="1159">
          <cell r="I1159" t="str">
            <v>HASU4881885</v>
          </cell>
          <cell r="J1159" t="str">
            <v>THÀNH</v>
          </cell>
          <cell r="K1159" t="str">
            <v>10:00</v>
          </cell>
          <cell r="L1159" t="str">
            <v>CXRU1616660</v>
          </cell>
          <cell r="M1159" t="str">
            <v>TRI PHƯƠNG</v>
          </cell>
          <cell r="N1159" t="str">
            <v>HATECO HICT</v>
          </cell>
          <cell r="P1159" t="str">
            <v>done</v>
          </cell>
          <cell r="Q1159">
            <v>308108629160</v>
          </cell>
        </row>
        <row r="1160">
          <cell r="I1160" t="str">
            <v>CAAU7926610</v>
          </cell>
          <cell r="J1160" t="str">
            <v>THÀNH</v>
          </cell>
          <cell r="K1160" t="str">
            <v>11:00</v>
          </cell>
          <cell r="L1160" t="str">
            <v>UETU7377744</v>
          </cell>
          <cell r="M1160" t="str">
            <v>TRI PHƯƠNG</v>
          </cell>
          <cell r="N1160" t="str">
            <v>HATECO HICT</v>
          </cell>
          <cell r="P1160" t="str">
            <v>done</v>
          </cell>
          <cell r="Q1160">
            <v>308108652300</v>
          </cell>
        </row>
        <row r="1161">
          <cell r="I1161" t="str">
            <v>TCKU7915113</v>
          </cell>
          <cell r="J1161" t="str">
            <v>MẠNH</v>
          </cell>
          <cell r="K1161">
            <v>0</v>
          </cell>
          <cell r="L1161" t="str">
            <v>TIIU6130916</v>
          </cell>
          <cell r="M1161" t="str">
            <v>TRI PHƯƠNG</v>
          </cell>
          <cell r="N1161" t="str">
            <v>HATECO HICT</v>
          </cell>
          <cell r="P1161" t="str">
            <v>done</v>
          </cell>
          <cell r="Q1161">
            <v>308108732210</v>
          </cell>
        </row>
        <row r="1162">
          <cell r="I1162" t="str">
            <v>CXRU1616660</v>
          </cell>
          <cell r="J1162" t="str">
            <v>THI</v>
          </cell>
          <cell r="K1162">
            <v>0.33333333333333331</v>
          </cell>
          <cell r="L1162" t="str">
            <v>ECMU7241136</v>
          </cell>
          <cell r="M1162" t="str">
            <v>TRI PHƯƠNG</v>
          </cell>
          <cell r="N1162" t="str">
            <v>LẠCH HUYỆN</v>
          </cell>
          <cell r="Q1162">
            <v>0</v>
          </cell>
        </row>
        <row r="1163">
          <cell r="I1163" t="str">
            <v>CGMU5441465</v>
          </cell>
          <cell r="J1163" t="str">
            <v>SÂM</v>
          </cell>
          <cell r="K1163" t="str">
            <v>11:00</v>
          </cell>
          <cell r="M1163" t="str">
            <v>TRI PHƯƠNG</v>
          </cell>
          <cell r="N1163" t="str">
            <v>LẠCH HUYỆN</v>
          </cell>
          <cell r="Q1163">
            <v>0</v>
          </cell>
        </row>
        <row r="1164">
          <cell r="I1164" t="str">
            <v>CAIU5675544</v>
          </cell>
          <cell r="J1164" t="str">
            <v>MẠNH
ĐỨC KÉO VỀ</v>
          </cell>
          <cell r="K1164" t="str">
            <v>13:00</v>
          </cell>
          <cell r="L1164" t="str">
            <v>CAIU5675544</v>
          </cell>
          <cell r="N1164" t="str">
            <v>LẠCH HUYỆN</v>
          </cell>
          <cell r="P1164" t="str">
            <v>không phơi, mình chịu</v>
          </cell>
          <cell r="Q1164">
            <v>308108007230</v>
          </cell>
        </row>
        <row r="1165">
          <cell r="I1165" t="str">
            <v>TTNU8762124</v>
          </cell>
          <cell r="J1165" t="str">
            <v>THỊNH
kéo về</v>
          </cell>
          <cell r="K1165" t="str">
            <v>14:00</v>
          </cell>
          <cell r="L1165" t="str">
            <v>TTNU8762124</v>
          </cell>
          <cell r="N1165" t="str">
            <v>LẠCH HUYỆN</v>
          </cell>
          <cell r="P1165" t="str">
            <v>done</v>
          </cell>
          <cell r="Q1165">
            <v>308108023000</v>
          </cell>
        </row>
        <row r="1166">
          <cell r="I1166" t="str">
            <v>TCLU1207789</v>
          </cell>
          <cell r="J1166" t="str">
            <v>ĐỨC</v>
          </cell>
          <cell r="K1166" t="str">
            <v>22:00</v>
          </cell>
          <cell r="M1166" t="str">
            <v>TRI PHƯƠNG</v>
          </cell>
          <cell r="N1166" t="str">
            <v>LẠCH HUYỆN</v>
          </cell>
          <cell r="Q1166">
            <v>0</v>
          </cell>
        </row>
        <row r="1167">
          <cell r="I1167" t="str">
            <v>CGMU5372174</v>
          </cell>
          <cell r="J1167" t="str">
            <v>SƠN</v>
          </cell>
          <cell r="K1167" t="str">
            <v>15:00</v>
          </cell>
          <cell r="M1167" t="str">
            <v>TRI PHƯƠNG</v>
          </cell>
          <cell r="N1167" t="str">
            <v>LẠCH HUYỆN</v>
          </cell>
          <cell r="Q1167">
            <v>0</v>
          </cell>
        </row>
        <row r="1168">
          <cell r="I1168" t="str">
            <v>HAMU1701289</v>
          </cell>
          <cell r="J1168" t="str">
            <v>THỊNH</v>
          </cell>
          <cell r="K1168" t="str">
            <v>8:00</v>
          </cell>
          <cell r="L1168" t="str">
            <v>HAMU1701289</v>
          </cell>
          <cell r="M1168" t="str">
            <v>TRI PHƯƠNG</v>
          </cell>
          <cell r="N1168" t="str">
            <v>HATECO HICT</v>
          </cell>
          <cell r="Q1168">
            <v>0</v>
          </cell>
        </row>
        <row r="1169">
          <cell r="I1169" t="str">
            <v>HAMU1481435</v>
          </cell>
          <cell r="J1169" t="str">
            <v>ĐỨC</v>
          </cell>
          <cell r="K1169" t="str">
            <v>10:00</v>
          </cell>
          <cell r="L1169" t="str">
            <v>CMAU9382850</v>
          </cell>
          <cell r="M1169" t="str">
            <v>TRI PHƯƠNG</v>
          </cell>
          <cell r="N1169" t="str">
            <v>HATECO HICT</v>
          </cell>
          <cell r="Q1169">
            <v>0</v>
          </cell>
        </row>
        <row r="1170">
          <cell r="I1170" t="str">
            <v>ONEU1648268</v>
          </cell>
          <cell r="J1170" t="str">
            <v>HƯỜNG</v>
          </cell>
          <cell r="K1170">
            <v>0.33333333333333331</v>
          </cell>
          <cell r="L1170" t="str">
            <v>TRHU4107172</v>
          </cell>
          <cell r="O1170" t="str">
            <v>HP</v>
          </cell>
          <cell r="Q1170">
            <v>0</v>
          </cell>
        </row>
        <row r="1171">
          <cell r="I1171" t="str">
            <v>EMCU1651370</v>
          </cell>
          <cell r="J1171" t="str">
            <v>HƯỜNG</v>
          </cell>
          <cell r="K1171">
            <v>0.41666666666666669</v>
          </cell>
          <cell r="L1171" t="str">
            <v>SELU4287625</v>
          </cell>
          <cell r="Q1171">
            <v>0</v>
          </cell>
        </row>
        <row r="1172">
          <cell r="I1172" t="str">
            <v>ECMU7438300</v>
          </cell>
          <cell r="J1172" t="str">
            <v>QUÂN</v>
          </cell>
          <cell r="K1172">
            <v>0.45833333333333331</v>
          </cell>
          <cell r="L1172" t="str">
            <v>EMCU1651370</v>
          </cell>
          <cell r="Q1172">
            <v>0</v>
          </cell>
        </row>
        <row r="1173">
          <cell r="I1173" t="str">
            <v>ECMU7450938</v>
          </cell>
          <cell r="J1173" t="str">
            <v>RU AN TRANG</v>
          </cell>
          <cell r="K1173">
            <v>0.625</v>
          </cell>
          <cell r="N1173" t="str">
            <v>TÂN VŨ</v>
          </cell>
          <cell r="P1173" t="str">
            <v>done</v>
          </cell>
          <cell r="Q1173">
            <v>308119090110</v>
          </cell>
        </row>
        <row r="1174">
          <cell r="I1174" t="str">
            <v>SELU4380764</v>
          </cell>
          <cell r="K1174">
            <v>0.91666666666666663</v>
          </cell>
          <cell r="O1174" t="str">
            <v>HP</v>
          </cell>
          <cell r="Q1174">
            <v>0</v>
          </cell>
        </row>
        <row r="1175">
          <cell r="I1175" t="str">
            <v>CMAU8491348</v>
          </cell>
          <cell r="J1175" t="str">
            <v>RU AN TRANG</v>
          </cell>
          <cell r="K1175">
            <v>0.91666666666666663</v>
          </cell>
          <cell r="N1175" t="str">
            <v>TÂN VŨ</v>
          </cell>
          <cell r="P1175" t="str">
            <v>done</v>
          </cell>
          <cell r="Q1175">
            <v>308118971000</v>
          </cell>
        </row>
        <row r="1176">
          <cell r="I1176" t="str">
            <v>SITU9181165</v>
          </cell>
          <cell r="K1176">
            <v>0.95833333333333337</v>
          </cell>
          <cell r="O1176" t="str">
            <v>HP</v>
          </cell>
          <cell r="Q1176">
            <v>0</v>
          </cell>
        </row>
        <row r="1177">
          <cell r="I1177" t="str">
            <v>CMAU8508878</v>
          </cell>
          <cell r="J1177" t="str">
            <v>THI</v>
          </cell>
          <cell r="K1177">
            <v>0.95833333333333337</v>
          </cell>
          <cell r="L1177" t="str">
            <v>ECMU7438300</v>
          </cell>
          <cell r="Q1177">
            <v>0</v>
          </cell>
        </row>
        <row r="1178">
          <cell r="I1178" t="str">
            <v>EGSU9730372</v>
          </cell>
          <cell r="J1178" t="str">
            <v>ĐỨC</v>
          </cell>
          <cell r="K1178">
            <v>0</v>
          </cell>
          <cell r="L1178" t="str">
            <v>SITU9197069</v>
          </cell>
          <cell r="O1178" t="str">
            <v>RTB-25/0472</v>
          </cell>
          <cell r="Q1178">
            <v>0</v>
          </cell>
        </row>
        <row r="1179">
          <cell r="I1179" t="str">
            <v>EMCU1643879</v>
          </cell>
          <cell r="J1179" t="str">
            <v>QUÂN</v>
          </cell>
          <cell r="K1179">
            <v>0</v>
          </cell>
          <cell r="L1179" t="str">
            <v>SELU4380764</v>
          </cell>
          <cell r="O1179" t="str">
            <v>RTB-25/0473</v>
          </cell>
          <cell r="Q1179">
            <v>0</v>
          </cell>
        </row>
        <row r="1180">
          <cell r="I1180" t="str">
            <v>CAAU9876204</v>
          </cell>
          <cell r="K1180">
            <v>0.33333333333333331</v>
          </cell>
          <cell r="O1180" t="str">
            <v>HP</v>
          </cell>
          <cell r="Q1180">
            <v>0</v>
          </cell>
        </row>
        <row r="1181">
          <cell r="I1181" t="str">
            <v>HPCU4943060</v>
          </cell>
          <cell r="J1181" t="str">
            <v>ĐỨC
CHƯA VỀ</v>
          </cell>
          <cell r="L1181" t="str">
            <v>CAAU7926610</v>
          </cell>
          <cell r="N1181" t="str">
            <v>ĐÌNH VŨ</v>
          </cell>
          <cell r="O1181" t="str">
            <v>VZ-26/50024 +VZ-26/50024R +VZ-26/50024R-01</v>
          </cell>
          <cell r="P1181" t="str">
            <v>done</v>
          </cell>
          <cell r="Q1181" t="str">
            <v>308121506510
308121591650
308121650930
308121784410
308121802940
308121836060</v>
          </cell>
        </row>
        <row r="1182">
          <cell r="I1182" t="str">
            <v>UETU6999023</v>
          </cell>
          <cell r="J1182" t="str">
            <v>SÂM
HƯỜNG KÉO VỀ</v>
          </cell>
          <cell r="L1182" t="str">
            <v>TIIU6443090</v>
          </cell>
          <cell r="N1182" t="str">
            <v>ĐÌNH VŨ</v>
          </cell>
          <cell r="O1182" t="str">
            <v>VZ-26/50023 +VZ-26/50023R +VZ-26/50023R-01</v>
          </cell>
          <cell r="P1182" t="str">
            <v>done</v>
          </cell>
          <cell r="Q1182" t="str">
            <v>308121975840
308122009920
308122023810
308122042120
308122054610
308122066950</v>
          </cell>
        </row>
        <row r="1183">
          <cell r="I1183" t="str">
            <v>FFAU7335837</v>
          </cell>
          <cell r="J1183" t="str">
            <v>HƯỜNG
SÂM KÉO VỀ</v>
          </cell>
          <cell r="L1183" t="str">
            <v>ECMU5350800</v>
          </cell>
          <cell r="N1183" t="str">
            <v>ĐÌNH VŨ</v>
          </cell>
          <cell r="P1183" t="str">
            <v>done</v>
          </cell>
          <cell r="Q1183" t="str">
            <v>308122232960
308122223750
308122215020
308122201350
308122179060</v>
          </cell>
        </row>
        <row r="1184">
          <cell r="I1184" t="str">
            <v>FFAU5956136</v>
          </cell>
          <cell r="J1184" t="str">
            <v>TÍN KÉO VỀ</v>
          </cell>
          <cell r="N1184" t="str">
            <v>ĐÌNH VŨ</v>
          </cell>
          <cell r="P1184" t="str">
            <v>done</v>
          </cell>
          <cell r="Q1184" t="str">
            <v>308122385010
308122372520
308122367950
308122376460</v>
          </cell>
        </row>
        <row r="1185">
          <cell r="I1185" t="str">
            <v>CAAU8801807</v>
          </cell>
          <cell r="K1185">
            <v>0.88541666666666663</v>
          </cell>
          <cell r="O1185" t="str">
            <v>VI-26/50065</v>
          </cell>
          <cell r="Q1185">
            <v>0</v>
          </cell>
        </row>
        <row r="1186">
          <cell r="I1186" t="str">
            <v>ONEU6666623</v>
          </cell>
          <cell r="J1186" t="str">
            <v>SÂM</v>
          </cell>
          <cell r="K1186">
            <v>9.375E-2</v>
          </cell>
          <cell r="L1186" t="str">
            <v>MRKU5268031</v>
          </cell>
          <cell r="O1186" t="str">
            <v>VI-26/50067</v>
          </cell>
          <cell r="Q1186">
            <v>0</v>
          </cell>
        </row>
        <row r="1187">
          <cell r="I1187" t="str">
            <v>EGSU1840239</v>
          </cell>
          <cell r="J1187" t="str">
            <v>TÍN
kéo về</v>
          </cell>
          <cell r="K1187">
            <v>0.54166666666666663</v>
          </cell>
          <cell r="L1187" t="str">
            <v>EGSU1840239</v>
          </cell>
          <cell r="N1187" t="str">
            <v>GIC</v>
          </cell>
          <cell r="O1187" t="str">
            <v>VS-26/50018</v>
          </cell>
          <cell r="P1187" t="str">
            <v>done</v>
          </cell>
          <cell r="Q1187">
            <v>308118771500</v>
          </cell>
        </row>
        <row r="1188">
          <cell r="I1188" t="str">
            <v>EGSU6291888</v>
          </cell>
          <cell r="J1188" t="str">
            <v>ĐỨC</v>
          </cell>
          <cell r="K1188">
            <v>0.875</v>
          </cell>
          <cell r="L1188" t="str">
            <v>DRYU9941216</v>
          </cell>
          <cell r="N1188" t="str">
            <v>GIC</v>
          </cell>
          <cell r="O1188" t="str">
            <v>VH-26/50025</v>
          </cell>
          <cell r="Q1188">
            <v>0</v>
          </cell>
        </row>
        <row r="1189">
          <cell r="I1189" t="str">
            <v>OOCU8789977</v>
          </cell>
          <cell r="J1189" t="str">
            <v>THAÀNH</v>
          </cell>
          <cell r="K1189">
            <v>0.41666666666666669</v>
          </cell>
          <cell r="N1189" t="str">
            <v>LẠCH HUYỆN</v>
          </cell>
          <cell r="O1189" t="str">
            <v>VH-26/50020</v>
          </cell>
          <cell r="Q1189">
            <v>0</v>
          </cell>
        </row>
        <row r="1190">
          <cell r="I1190" t="str">
            <v>CSNU8912801</v>
          </cell>
          <cell r="J1190" t="str">
            <v>PHƯƠNG</v>
          </cell>
          <cell r="K1190">
            <v>0.45833333333333331</v>
          </cell>
          <cell r="N1190" t="str">
            <v>LẠCH HUYỆN</v>
          </cell>
          <cell r="O1190" t="str">
            <v>VH-26/50022</v>
          </cell>
          <cell r="Q1190">
            <v>0</v>
          </cell>
        </row>
        <row r="1191">
          <cell r="I1191" t="str">
            <v>CSNU6328070</v>
          </cell>
          <cell r="J1191" t="str">
            <v>MẠNH</v>
          </cell>
          <cell r="L1191" t="str">
            <v>CAAU2389360</v>
          </cell>
          <cell r="O1191" t="str">
            <v>VH-26/50023</v>
          </cell>
          <cell r="Q1191">
            <v>0</v>
          </cell>
        </row>
        <row r="1192">
          <cell r="I1192" t="str">
            <v>OOLU9123493</v>
          </cell>
          <cell r="J1192" t="str">
            <v>QUÂN</v>
          </cell>
          <cell r="L1192" t="str">
            <v>CMAU6714205</v>
          </cell>
          <cell r="O1192" t="str">
            <v>VH-26/50024</v>
          </cell>
          <cell r="Q1192">
            <v>0</v>
          </cell>
        </row>
        <row r="1193">
          <cell r="I1193" t="str">
            <v>MRKU5268031</v>
          </cell>
          <cell r="J1193" t="str">
            <v>THỊNH</v>
          </cell>
          <cell r="K1193">
            <v>0.60416666666666663</v>
          </cell>
          <cell r="L1193" t="str">
            <v>TRHU6742731</v>
          </cell>
          <cell r="M1193" t="str">
            <v>TRI PHƯƠNG</v>
          </cell>
          <cell r="N1193" t="str">
            <v>HATECO HICT</v>
          </cell>
          <cell r="O1193" t="str">
            <v>VI-26/50064</v>
          </cell>
          <cell r="P1193" t="str">
            <v>done</v>
          </cell>
          <cell r="Q1193">
            <v>308118822820</v>
          </cell>
        </row>
        <row r="1194">
          <cell r="I1194" t="str">
            <v>MNBU4327741</v>
          </cell>
          <cell r="J1194" t="str">
            <v>THỊNH</v>
          </cell>
          <cell r="K1194" t="str">
            <v>14:00</v>
          </cell>
          <cell r="L1194" t="str">
            <v>TCLU1207789</v>
          </cell>
          <cell r="M1194" t="str">
            <v>TRI PHƯƠNG</v>
          </cell>
          <cell r="N1194" t="str">
            <v>HATECO HICT</v>
          </cell>
          <cell r="P1194" t="str">
            <v>done</v>
          </cell>
          <cell r="Q1194">
            <v>308119669820</v>
          </cell>
        </row>
        <row r="1195">
          <cell r="I1195" t="str">
            <v>MNBU4380129</v>
          </cell>
          <cell r="J1195" t="str">
            <v>THI</v>
          </cell>
          <cell r="K1195" t="str">
            <v>15:00</v>
          </cell>
          <cell r="L1195" t="str">
            <v>CAAU4508318</v>
          </cell>
          <cell r="M1195" t="str">
            <v>TRI PHƯƠNG</v>
          </cell>
          <cell r="N1195" t="str">
            <v>HATECO HICT</v>
          </cell>
          <cell r="P1195" t="str">
            <v>done</v>
          </cell>
          <cell r="Q1195">
            <v>308119688020</v>
          </cell>
        </row>
        <row r="1196">
          <cell r="I1196" t="str">
            <v>OTPU6300393</v>
          </cell>
          <cell r="J1196" t="str">
            <v>THÀNH</v>
          </cell>
          <cell r="K1196" t="str">
            <v>8:00</v>
          </cell>
          <cell r="L1196" t="str">
            <v>CGMU5441465</v>
          </cell>
          <cell r="M1196" t="str">
            <v>TRI PHƯƠNG</v>
          </cell>
          <cell r="N1196" t="str">
            <v>LẠCH HUYỆN</v>
          </cell>
          <cell r="Q1196">
            <v>0</v>
          </cell>
        </row>
        <row r="1197">
          <cell r="I1197" t="str">
            <v>TRIU8929406</v>
          </cell>
          <cell r="J1197" t="str">
            <v>PHƯƠNG</v>
          </cell>
          <cell r="K1197" t="str">
            <v>13:00</v>
          </cell>
          <cell r="L1197" t="str">
            <v>OTPU6300393</v>
          </cell>
          <cell r="M1197" t="str">
            <v>TRI PHƯƠNG</v>
          </cell>
          <cell r="N1197" t="str">
            <v>LẠCH HUYỆN</v>
          </cell>
          <cell r="Q1197">
            <v>0</v>
          </cell>
        </row>
        <row r="1198">
          <cell r="I1198" t="str">
            <v>FBIU5213007</v>
          </cell>
          <cell r="J1198" t="str">
            <v>THI</v>
          </cell>
          <cell r="K1198" t="str">
            <v>11:00</v>
          </cell>
          <cell r="L1198" t="str">
            <v>MNBU4327741</v>
          </cell>
          <cell r="M1198" t="str">
            <v>TRI PHƯƠNG</v>
          </cell>
          <cell r="N1198" t="str">
            <v>LẠCH HUYỆN</v>
          </cell>
          <cell r="Q1198">
            <v>0</v>
          </cell>
        </row>
        <row r="1199">
          <cell r="I1199" t="str">
            <v>TCLU1144546</v>
          </cell>
          <cell r="J1199" t="str">
            <v>THÀNH</v>
          </cell>
          <cell r="K1199" t="str">
            <v>22:00</v>
          </cell>
          <cell r="M1199" t="str">
            <v>TRI PHƯƠNG</v>
          </cell>
          <cell r="N1199" t="str">
            <v>LẠCH HUYỆN</v>
          </cell>
          <cell r="Q1199">
            <v>0</v>
          </cell>
        </row>
        <row r="1200">
          <cell r="I1200" t="str">
            <v>TLLU1063313</v>
          </cell>
          <cell r="J1200" t="str">
            <v>SƠN</v>
          </cell>
          <cell r="K1200">
            <v>0.625</v>
          </cell>
          <cell r="L1200" t="str">
            <v>FBIU5213007</v>
          </cell>
          <cell r="M1200" t="str">
            <v>TRI PHƯƠNG</v>
          </cell>
          <cell r="N1200" t="str">
            <v>LẠCH HUYỆN</v>
          </cell>
          <cell r="Q1200">
            <v>0</v>
          </cell>
        </row>
        <row r="1201">
          <cell r="I1201" t="str">
            <v>CGMU5448080</v>
          </cell>
          <cell r="J1201" t="str">
            <v>PHƯƠNG</v>
          </cell>
          <cell r="K1201">
            <v>0.95833333333333337</v>
          </cell>
          <cell r="M1201" t="str">
            <v>TRI PHƯƠNG</v>
          </cell>
          <cell r="N1201" t="str">
            <v>LẠCH HUYỆN</v>
          </cell>
          <cell r="Q1201">
            <v>0</v>
          </cell>
        </row>
        <row r="1202">
          <cell r="I1202" t="str">
            <v>FANU3806573</v>
          </cell>
          <cell r="J1202" t="str">
            <v>SƠN</v>
          </cell>
          <cell r="K1202" t="str">
            <v>21:00</v>
          </cell>
          <cell r="M1202" t="str">
            <v>TRI PHƯƠNG</v>
          </cell>
          <cell r="N1202" t="str">
            <v>HATECO HICT</v>
          </cell>
          <cell r="Q1202">
            <v>0</v>
          </cell>
        </row>
        <row r="1203">
          <cell r="I1203" t="str">
            <v>HAMU4135518</v>
          </cell>
          <cell r="J1203" t="str">
            <v>SƠN</v>
          </cell>
          <cell r="K1203" t="str">
            <v>14:00</v>
          </cell>
          <cell r="L1203" t="str">
            <v>CGMU5372174</v>
          </cell>
          <cell r="M1203" t="str">
            <v>TRI PHƯƠNG</v>
          </cell>
          <cell r="N1203" t="str">
            <v>HATECO HICT</v>
          </cell>
          <cell r="Q1203">
            <v>0</v>
          </cell>
        </row>
        <row r="1204">
          <cell r="I1204" t="str">
            <v>ECMU7633271</v>
          </cell>
          <cell r="K1204">
            <v>0.39583333333333331</v>
          </cell>
          <cell r="O1204" t="str">
            <v>VI-26/50085</v>
          </cell>
          <cell r="Q1204">
            <v>0</v>
          </cell>
        </row>
        <row r="1205">
          <cell r="I1205" t="str">
            <v>ECMU5050001</v>
          </cell>
          <cell r="K1205">
            <v>0.4375</v>
          </cell>
          <cell r="O1205" t="str">
            <v>VI-26/50084</v>
          </cell>
          <cell r="Q1205">
            <v>0</v>
          </cell>
        </row>
        <row r="1206">
          <cell r="I1206" t="str">
            <v>DRYU9872352</v>
          </cell>
          <cell r="J1206" t="str">
            <v>THỊNH</v>
          </cell>
          <cell r="K1206">
            <v>0.60416666666666663</v>
          </cell>
          <cell r="L1206" t="str">
            <v>MRKU5834838</v>
          </cell>
          <cell r="O1206" t="str">
            <v>VI-26/50086</v>
          </cell>
          <cell r="Q1206">
            <v>0</v>
          </cell>
        </row>
        <row r="1207">
          <cell r="I1207" t="str">
            <v>CMAU4780086</v>
          </cell>
          <cell r="J1207" t="str">
            <v>ĐỨC</v>
          </cell>
          <cell r="K1207">
            <v>9.375E-2</v>
          </cell>
          <cell r="L1207" t="str">
            <v>MSKU1451940</v>
          </cell>
          <cell r="O1207" t="str">
            <v>VI-26/50087</v>
          </cell>
          <cell r="Q1207">
            <v>0</v>
          </cell>
        </row>
        <row r="1208">
          <cell r="I1208" t="str">
            <v>ONEU1379940</v>
          </cell>
          <cell r="J1208" t="str">
            <v>ĐỨC</v>
          </cell>
          <cell r="K1208">
            <v>0.54166666666666663</v>
          </cell>
          <cell r="L1208" t="str">
            <v>OOCU8789977</v>
          </cell>
          <cell r="O1208" t="str">
            <v>VH-26/50035</v>
          </cell>
          <cell r="Q1208">
            <v>0</v>
          </cell>
        </row>
        <row r="1209">
          <cell r="I1209" t="str">
            <v>OOCU6828800 </v>
          </cell>
          <cell r="J1209" t="str">
            <v>RU KỶ NGUYÊN</v>
          </cell>
          <cell r="K1209">
            <v>0.375</v>
          </cell>
          <cell r="L1209" t="str">
            <v>OOCU6828800 </v>
          </cell>
          <cell r="N1209" t="str">
            <v>TÂN VŨ</v>
          </cell>
          <cell r="O1209" t="str">
            <v>HP</v>
          </cell>
          <cell r="P1209" t="str">
            <v>done</v>
          </cell>
          <cell r="Q1209">
            <v>308123932820</v>
          </cell>
        </row>
        <row r="1210">
          <cell r="I1210" t="str">
            <v>TIIU5677133</v>
          </cell>
          <cell r="J1210" t="str">
            <v>HƯỜNG
THI KÉO VỀ</v>
          </cell>
          <cell r="K1210">
            <v>0.375</v>
          </cell>
          <cell r="L1210" t="str">
            <v>CGMU5448080</v>
          </cell>
          <cell r="N1210" t="str">
            <v>ĐÌNH VŨ</v>
          </cell>
          <cell r="O1210" t="str">
            <v>VZ-26/50029 +VZ-26/50029R +VZ-26/50029R-01</v>
          </cell>
          <cell r="P1210" t="str">
            <v>done</v>
          </cell>
          <cell r="Q1210" t="str">
            <v>308124152620
308124112130
308124048800
308124216430</v>
          </cell>
        </row>
        <row r="1211">
          <cell r="I1211" t="str">
            <v>OOCU9480690</v>
          </cell>
          <cell r="J1211" t="str">
            <v>THAÀNH
SÂM KÉO VỀ</v>
          </cell>
          <cell r="K1211">
            <v>0.45833333333333331</v>
          </cell>
          <cell r="L1211" t="str">
            <v>CAAU9876204</v>
          </cell>
          <cell r="N1211" t="str">
            <v>GRAND FORWARD</v>
          </cell>
          <cell r="O1211" t="str">
            <v>HP</v>
          </cell>
          <cell r="P1211" t="str">
            <v>done</v>
          </cell>
          <cell r="Q1211">
            <v>308123954630</v>
          </cell>
        </row>
        <row r="1212">
          <cell r="I1212" t="str">
            <v>TRHU6973411</v>
          </cell>
          <cell r="J1212" t="str">
            <v>THỊNH
PHƯƠNG KÉO VỀ</v>
          </cell>
          <cell r="K1212">
            <v>0.45833333333333331</v>
          </cell>
          <cell r="L1212" t="str">
            <v>CMAU8508878</v>
          </cell>
          <cell r="N1212" t="str">
            <v>ĐÌNH VŨ</v>
          </cell>
          <cell r="O1212" t="str">
            <v>VZ-26/50031 +VZ-26/50031R +VZ-26/50031R-01</v>
          </cell>
          <cell r="P1212" t="str">
            <v>done</v>
          </cell>
          <cell r="Q1212" t="str">
            <v>308124460730
308124900220
308124951650
308125004260</v>
          </cell>
        </row>
        <row r="1213">
          <cell r="I1213" t="str">
            <v>CAAU6134794</v>
          </cell>
          <cell r="J1213" t="str">
            <v>QUÂN
THI KÉO VỀ</v>
          </cell>
          <cell r="K1213">
            <v>0.54166666666666663</v>
          </cell>
          <cell r="L1213" t="str">
            <v>SUDU6979446</v>
          </cell>
          <cell r="N1213" t="str">
            <v>LẠCH HUYỆN</v>
          </cell>
          <cell r="O1213" t="str">
            <v>HP</v>
          </cell>
          <cell r="P1213" t="str">
            <v>done</v>
          </cell>
          <cell r="Q1213">
            <v>308124957030</v>
          </cell>
        </row>
        <row r="1214">
          <cell r="I1214" t="str">
            <v>SEGU6335058</v>
          </cell>
          <cell r="J1214" t="str">
            <v>ĐỨC</v>
          </cell>
          <cell r="K1214">
            <v>0.54166666666666663</v>
          </cell>
          <cell r="L1214" t="str">
            <v>SEGU6335058</v>
          </cell>
          <cell r="O1214" t="str">
            <v>HP</v>
          </cell>
          <cell r="Q1214">
            <v>0</v>
          </cell>
        </row>
        <row r="1215">
          <cell r="I1215" t="str">
            <v>EMCU8498860</v>
          </cell>
          <cell r="J1215" t="str">
            <v>SƠN</v>
          </cell>
          <cell r="K1215">
            <v>0.58333333333333337</v>
          </cell>
          <cell r="L1215" t="str">
            <v>CGMU5271728</v>
          </cell>
          <cell r="O1215" t="str">
            <v>RTB-25/0474</v>
          </cell>
          <cell r="Q1215">
            <v>0</v>
          </cell>
        </row>
        <row r="1216">
          <cell r="I1216" t="str">
            <v>CSNU8550786</v>
          </cell>
          <cell r="J1216" t="str">
            <v>SÂM</v>
          </cell>
          <cell r="K1216">
            <v>0.58333333333333337</v>
          </cell>
          <cell r="L1216" t="str">
            <v>SITU9181165</v>
          </cell>
          <cell r="O1216" t="str">
            <v>HP</v>
          </cell>
          <cell r="Q1216">
            <v>0</v>
          </cell>
        </row>
        <row r="1217">
          <cell r="I1217" t="str">
            <v>OOCU7290453</v>
          </cell>
          <cell r="J1217" t="str">
            <v>THI</v>
          </cell>
          <cell r="K1217">
            <v>0.625</v>
          </cell>
          <cell r="L1217" t="str">
            <v>FANU3806573</v>
          </cell>
          <cell r="O1217" t="str">
            <v>HP</v>
          </cell>
          <cell r="Q1217">
            <v>0</v>
          </cell>
        </row>
        <row r="1218">
          <cell r="I1218" t="str">
            <v>OOLU9159454</v>
          </cell>
          <cell r="J1218" t="str">
            <v>THAÀNH
MẠNH KÉO VỀ</v>
          </cell>
          <cell r="K1218">
            <v>0.58333333333333337</v>
          </cell>
          <cell r="L1218" t="str">
            <v>NYKU5283690</v>
          </cell>
          <cell r="N1218" t="str">
            <v>LẠCH HUYỆN</v>
          </cell>
          <cell r="O1218" t="str">
            <v>HP</v>
          </cell>
          <cell r="P1218" t="str">
            <v>done</v>
          </cell>
          <cell r="Q1218">
            <v>308124989230</v>
          </cell>
        </row>
        <row r="1219">
          <cell r="I1219" t="str">
            <v>SITU9174320</v>
          </cell>
          <cell r="J1219" t="str">
            <v>MẠNH
SƠN KÉO VỀ</v>
          </cell>
          <cell r="K1219">
            <v>0.875</v>
          </cell>
          <cell r="L1219" t="str">
            <v>OOLU9159454</v>
          </cell>
          <cell r="N1219" t="str">
            <v>ĐÌNH VŨ</v>
          </cell>
          <cell r="O1219" t="str">
            <v>VZ-26/50030 +VZ-26/50030R +VZ-26/50030R-01</v>
          </cell>
          <cell r="P1219" t="str">
            <v>done</v>
          </cell>
          <cell r="Q1219" t="str">
            <v>308126063510
308126042400
308126016240
308125986250</v>
          </cell>
        </row>
        <row r="1220">
          <cell r="I1220" t="str">
            <v>OOLU9752393</v>
          </cell>
          <cell r="J1220" t="str">
            <v>RU ANH KIỆT</v>
          </cell>
          <cell r="K1220">
            <v>0.875</v>
          </cell>
          <cell r="L1220" t="str">
            <v>OOLU9752393</v>
          </cell>
          <cell r="N1220" t="str">
            <v>TÂN VŨ</v>
          </cell>
          <cell r="O1220" t="str">
            <v>HP</v>
          </cell>
          <cell r="P1220" t="str">
            <v>done</v>
          </cell>
          <cell r="Q1220">
            <v>308123989630</v>
          </cell>
        </row>
        <row r="1221">
          <cell r="I1221" t="str">
            <v>OOCU7739605</v>
          </cell>
          <cell r="J1221" t="str">
            <v>RU ANH KIỆT</v>
          </cell>
          <cell r="K1221">
            <v>0.91666666666666663</v>
          </cell>
          <cell r="L1221" t="str">
            <v>OOCU7739605</v>
          </cell>
          <cell r="N1221" t="str">
            <v>TÂN VŨ</v>
          </cell>
          <cell r="O1221" t="str">
            <v>HP</v>
          </cell>
          <cell r="P1221" t="str">
            <v>done</v>
          </cell>
          <cell r="Q1221">
            <v>308124016710</v>
          </cell>
        </row>
        <row r="1222">
          <cell r="I1222" t="str">
            <v>FFAU7372358</v>
          </cell>
          <cell r="J1222" t="str">
            <v>SƠN</v>
          </cell>
          <cell r="K1222">
            <v>0.91666666666666663</v>
          </cell>
          <cell r="L1222" t="str">
            <v>MNBU0607934</v>
          </cell>
          <cell r="Q1222">
            <v>0</v>
          </cell>
        </row>
        <row r="1223">
          <cell r="I1223" t="str">
            <v>FFAU7422021</v>
          </cell>
          <cell r="J1223" t="str">
            <v>QUÂN</v>
          </cell>
          <cell r="K1223">
            <v>0.95833333333333337</v>
          </cell>
          <cell r="L1223" t="str">
            <v>FFAU7422021</v>
          </cell>
          <cell r="O1223" t="str">
            <v>HP</v>
          </cell>
          <cell r="Q1223">
            <v>0</v>
          </cell>
        </row>
        <row r="1224">
          <cell r="I1224" t="str">
            <v>CSNU7625134</v>
          </cell>
          <cell r="J1224" t="str">
            <v>PHƯƠNG</v>
          </cell>
          <cell r="K1224">
            <v>0</v>
          </cell>
          <cell r="L1224" t="str">
            <v>ONEU9398571</v>
          </cell>
          <cell r="O1224" t="str">
            <v>HP</v>
          </cell>
          <cell r="Q1224">
            <v>0</v>
          </cell>
        </row>
        <row r="1225">
          <cell r="I1225" t="str">
            <v>EMCU8879104</v>
          </cell>
          <cell r="J1225" t="str">
            <v>HƯỜNG</v>
          </cell>
          <cell r="K1225">
            <v>0</v>
          </cell>
          <cell r="L1225" t="str">
            <v>EMCU8498860</v>
          </cell>
          <cell r="O1225" t="str">
            <v>RTB-25/0475</v>
          </cell>
          <cell r="Q1225">
            <v>0</v>
          </cell>
        </row>
        <row r="1226">
          <cell r="I1226" t="str">
            <v>SELU4285387</v>
          </cell>
          <cell r="K1226">
            <v>0.33333333333333331</v>
          </cell>
          <cell r="O1226" t="str">
            <v>HP</v>
          </cell>
          <cell r="Q1226">
            <v>0</v>
          </cell>
        </row>
        <row r="1227">
          <cell r="I1227" t="str">
            <v>NYKU5283690</v>
          </cell>
          <cell r="J1227" t="str">
            <v>SÂM
THÀNH KÉO VỀ</v>
          </cell>
          <cell r="N1227" t="str">
            <v>LẠCH HUYỆN</v>
          </cell>
          <cell r="P1227" t="str">
            <v>done</v>
          </cell>
          <cell r="Q1227">
            <v>308125386830</v>
          </cell>
        </row>
        <row r="1228">
          <cell r="I1228" t="str">
            <v>MSKU5814200</v>
          </cell>
          <cell r="J1228" t="str">
            <v>SƠN</v>
          </cell>
          <cell r="K1228">
            <v>0.33333333333333331</v>
          </cell>
          <cell r="L1228" t="str">
            <v>CSNU8912801</v>
          </cell>
          <cell r="M1228" t="str">
            <v>TRI PHƯƠNG</v>
          </cell>
          <cell r="N1228" t="str">
            <v>HATECO HICT</v>
          </cell>
          <cell r="O1228" t="str">
            <v>VS-26/50024</v>
          </cell>
          <cell r="P1228" t="str">
            <v>done</v>
          </cell>
          <cell r="Q1228">
            <v>308122923900</v>
          </cell>
        </row>
        <row r="1229">
          <cell r="I1229" t="str">
            <v>MRKU5834838</v>
          </cell>
          <cell r="J1229" t="str">
            <v>THÀNH</v>
          </cell>
          <cell r="K1229">
            <v>0.35416666666666669</v>
          </cell>
          <cell r="L1229" t="str">
            <v>ONEU6666623</v>
          </cell>
          <cell r="M1229" t="str">
            <v>TRI PHƯƠNG</v>
          </cell>
          <cell r="N1229" t="str">
            <v>HATECO HICT</v>
          </cell>
          <cell r="O1229" t="str">
            <v>VI-26/50083</v>
          </cell>
          <cell r="P1229" t="str">
            <v>done</v>
          </cell>
          <cell r="Q1229">
            <v>308123193250</v>
          </cell>
        </row>
        <row r="1230">
          <cell r="I1230" t="str">
            <v>SUDU8508620</v>
          </cell>
          <cell r="J1230" t="str">
            <v>PHƯƠNG</v>
          </cell>
          <cell r="K1230">
            <v>0.45833333333333331</v>
          </cell>
          <cell r="L1230" t="str">
            <v>DRYU9872352</v>
          </cell>
          <cell r="M1230" t="str">
            <v>TRI PHƯƠNG</v>
          </cell>
          <cell r="N1230" t="str">
            <v>HATECO HICT</v>
          </cell>
          <cell r="O1230" t="str">
            <v>VI-26/50093</v>
          </cell>
          <cell r="P1230" t="str">
            <v>done</v>
          </cell>
          <cell r="Q1230">
            <v>308123218010</v>
          </cell>
        </row>
        <row r="1231">
          <cell r="I1231" t="str">
            <v>MSKU1451940</v>
          </cell>
          <cell r="J1231" t="str">
            <v>MẠNH</v>
          </cell>
          <cell r="K1231">
            <v>0.625</v>
          </cell>
          <cell r="L1231" t="str">
            <v>ECMU7633271</v>
          </cell>
          <cell r="M1231" t="str">
            <v>TRI PHƯƠNG</v>
          </cell>
          <cell r="N1231" t="str">
            <v>HATECO HICT</v>
          </cell>
          <cell r="O1231" t="str">
            <v>VI-26/50082</v>
          </cell>
          <cell r="P1231" t="str">
            <v>done</v>
          </cell>
          <cell r="Q1231">
            <v>308123175160</v>
          </cell>
        </row>
        <row r="1232">
          <cell r="I1232" t="str">
            <v>CAAU7022865</v>
          </cell>
          <cell r="J1232" t="str">
            <v>HƯỜNG</v>
          </cell>
          <cell r="K1232">
            <v>0.95833333333333337</v>
          </cell>
          <cell r="L1232" t="str">
            <v>SUDU8508620</v>
          </cell>
          <cell r="M1232" t="str">
            <v>TRI PHƯƠNG</v>
          </cell>
          <cell r="N1232" t="str">
            <v>HATECO HICT</v>
          </cell>
          <cell r="P1232" t="str">
            <v>done</v>
          </cell>
          <cell r="Q1232">
            <v>308123231160</v>
          </cell>
        </row>
        <row r="1233">
          <cell r="I1233" t="str">
            <v>CAAU4758467</v>
          </cell>
          <cell r="J1233" t="str">
            <v xml:space="preserve">RU DIỆP LÂM ANH </v>
          </cell>
          <cell r="K1233">
            <v>8.3333333333333329E-2</v>
          </cell>
          <cell r="L1233" t="str">
            <v>CAAU4758467</v>
          </cell>
          <cell r="N1233" t="str">
            <v>HATECO HICT</v>
          </cell>
          <cell r="O1233" t="str">
            <v>VI-26/50088</v>
          </cell>
          <cell r="P1233" t="str">
            <v>done</v>
          </cell>
          <cell r="Q1233">
            <v>308123271430</v>
          </cell>
        </row>
        <row r="1234">
          <cell r="I1234" t="str">
            <v>MSKU0914228</v>
          </cell>
          <cell r="J1234" t="str">
            <v>QUÂN</v>
          </cell>
          <cell r="K1234">
            <v>0.125</v>
          </cell>
          <cell r="L1234" t="str">
            <v>CAAU7022865</v>
          </cell>
          <cell r="M1234" t="str">
            <v>TRI PHƯƠNG</v>
          </cell>
          <cell r="N1234" t="str">
            <v>HATECO HICT</v>
          </cell>
          <cell r="P1234" t="str">
            <v>done</v>
          </cell>
          <cell r="Q1234">
            <v>308123243060</v>
          </cell>
        </row>
        <row r="1235">
          <cell r="I1235" t="str">
            <v>SUDU6979446</v>
          </cell>
          <cell r="J1235" t="str">
            <v>PHƯƠNG</v>
          </cell>
          <cell r="K1235" t="str">
            <v>9:00</v>
          </cell>
          <cell r="L1235" t="str">
            <v>TRIU8929406</v>
          </cell>
          <cell r="M1235" t="str">
            <v>TRI PHƯƠNG</v>
          </cell>
          <cell r="N1235" t="str">
            <v>HATECO HICT</v>
          </cell>
          <cell r="P1235" t="str">
            <v>done</v>
          </cell>
          <cell r="Q1235">
            <v>308123424030</v>
          </cell>
        </row>
        <row r="1236">
          <cell r="I1236" t="str">
            <v>MRSU6201441</v>
          </cell>
          <cell r="J1236" t="str">
            <v>HƯỜNG</v>
          </cell>
          <cell r="K1236" t="str">
            <v>11:00</v>
          </cell>
          <cell r="L1236" t="str">
            <v>MRSU6201441</v>
          </cell>
          <cell r="M1236" t="str">
            <v>TRI PHƯƠNG</v>
          </cell>
          <cell r="N1236" t="str">
            <v>HATECO HICT</v>
          </cell>
          <cell r="P1236" t="str">
            <v>done</v>
          </cell>
          <cell r="Q1236">
            <v>308123445510</v>
          </cell>
        </row>
        <row r="1237">
          <cell r="I1237" t="str">
            <v>MNBU0607934</v>
          </cell>
          <cell r="J1237" t="str">
            <v>SƠN</v>
          </cell>
          <cell r="K1237" t="str">
            <v>13:00</v>
          </cell>
          <cell r="L1237" t="str">
            <v>OOCU7290453</v>
          </cell>
          <cell r="M1237" t="str">
            <v>TRI PHƯƠNG</v>
          </cell>
          <cell r="N1237" t="str">
            <v>HATECO HICT</v>
          </cell>
          <cell r="P1237" t="str">
            <v>done</v>
          </cell>
          <cell r="Q1237">
            <v>308123486550</v>
          </cell>
        </row>
        <row r="1238">
          <cell r="I1238" t="str">
            <v>MRKU5444399</v>
          </cell>
          <cell r="J1238" t="str">
            <v>THỊNH</v>
          </cell>
          <cell r="K1238" t="str">
            <v>23:00</v>
          </cell>
          <cell r="L1238" t="str">
            <v>MRKU5444399</v>
          </cell>
          <cell r="M1238" t="str">
            <v>TRI PHƯƠNG</v>
          </cell>
          <cell r="N1238" t="str">
            <v>HATECO HICT</v>
          </cell>
          <cell r="P1238" t="str">
            <v>done</v>
          </cell>
          <cell r="Q1238">
            <v>308123397760</v>
          </cell>
        </row>
        <row r="1239">
          <cell r="I1239" t="str">
            <v>CGMU5271728</v>
          </cell>
          <cell r="J1239" t="str">
            <v>MẠNH</v>
          </cell>
          <cell r="K1239" t="str">
            <v>8:00</v>
          </cell>
          <cell r="L1239" t="str">
            <v>TCLU1144546</v>
          </cell>
          <cell r="M1239" t="str">
            <v>TRI PHƯƠNG</v>
          </cell>
          <cell r="N1239" t="str">
            <v>TÂN VŨ</v>
          </cell>
          <cell r="Q1239">
            <v>0</v>
          </cell>
        </row>
        <row r="1240">
          <cell r="I1240" t="str">
            <v>CGMU5189142</v>
          </cell>
          <cell r="J1240" t="str">
            <v>QUÂN</v>
          </cell>
          <cell r="K1240" t="str">
            <v>13:00</v>
          </cell>
          <cell r="L1240" t="str">
            <v>CGMU5189142</v>
          </cell>
          <cell r="M1240" t="str">
            <v>TRI PHƯƠNG</v>
          </cell>
          <cell r="N1240" t="str">
            <v>TÂN VŨ</v>
          </cell>
          <cell r="Q1240">
            <v>0</v>
          </cell>
        </row>
        <row r="1241">
          <cell r="I1241" t="str">
            <v>ONEU9398571</v>
          </cell>
          <cell r="J1241" t="str">
            <v>THI
PHƯƠNG KÉO VỀ</v>
          </cell>
          <cell r="K1241" t="str">
            <v>15:00</v>
          </cell>
          <cell r="L1241" t="str">
            <v>CAAU6134794</v>
          </cell>
          <cell r="N1241" t="str">
            <v>TÂN VŨ</v>
          </cell>
          <cell r="P1241" t="str">
            <v>done</v>
          </cell>
          <cell r="Q1241">
            <v>308125102520</v>
          </cell>
        </row>
        <row r="1242">
          <cell r="I1242" t="str">
            <v>CGMU5344995</v>
          </cell>
          <cell r="J1242" t="str">
            <v>THỊNH</v>
          </cell>
          <cell r="K1242" t="str">
            <v>21:00</v>
          </cell>
          <cell r="L1242" t="str">
            <v>CGMU5344995</v>
          </cell>
          <cell r="M1242" t="str">
            <v>TRI PHƯƠNG</v>
          </cell>
          <cell r="N1242" t="str">
            <v>TÂN VŨ</v>
          </cell>
          <cell r="Q1242">
            <v>0</v>
          </cell>
        </row>
        <row r="1243">
          <cell r="I1243" t="str">
            <v>FSCU5741448</v>
          </cell>
          <cell r="J1243" t="str">
            <v>ĐỨC</v>
          </cell>
          <cell r="K1243" t="str">
            <v>21:00</v>
          </cell>
          <cell r="L1243" t="str">
            <v>FSCU5741448</v>
          </cell>
          <cell r="N1243" t="str">
            <v>LẠCH HUYỆN</v>
          </cell>
          <cell r="Q1243" t="str">
            <v xml:space="preserve">chưa có tk </v>
          </cell>
        </row>
        <row r="1244">
          <cell r="I1244" t="str">
            <v>SZLU9527720</v>
          </cell>
          <cell r="J1244" t="str">
            <v>HƯỜNG
ĐỨC KÉO VỀ</v>
          </cell>
          <cell r="K1244" t="str">
            <v>22:00</v>
          </cell>
          <cell r="L1244" t="str">
            <v>SELU4285387</v>
          </cell>
          <cell r="N1244" t="str">
            <v>LẠCH HUYỆN</v>
          </cell>
          <cell r="P1244" t="str">
            <v>done</v>
          </cell>
          <cell r="Q1244">
            <v>308125187700</v>
          </cell>
        </row>
        <row r="1245">
          <cell r="I1245" t="str">
            <v>CMAU9685836</v>
          </cell>
          <cell r="J1245" t="str">
            <v>HƯỜNG</v>
          </cell>
          <cell r="K1245">
            <v>0.4375</v>
          </cell>
          <cell r="L1245" t="str">
            <v>MRSU5490822</v>
          </cell>
          <cell r="O1245" t="str">
            <v>VI-26/50128</v>
          </cell>
          <cell r="Q1245">
            <v>0</v>
          </cell>
        </row>
        <row r="1246">
          <cell r="I1246" t="str">
            <v>EITU9368070</v>
          </cell>
          <cell r="J1246" t="str">
            <v>THI</v>
          </cell>
          <cell r="K1246">
            <v>0.33333333333333331</v>
          </cell>
          <cell r="L1246" t="str">
            <v>MSKU5814200</v>
          </cell>
          <cell r="O1246" t="str">
            <v>VH-26/50027</v>
          </cell>
          <cell r="Q1246">
            <v>0</v>
          </cell>
        </row>
        <row r="1247">
          <cell r="I1247" t="str">
            <v>EGSU6263309</v>
          </cell>
          <cell r="J1247" t="str">
            <v>SƠN</v>
          </cell>
          <cell r="K1247">
            <v>0.33333333333333331</v>
          </cell>
          <cell r="L1247" t="str">
            <v>EGSU6291888</v>
          </cell>
          <cell r="O1247" t="str">
            <v>VH-26/50040</v>
          </cell>
          <cell r="Q1247">
            <v>0</v>
          </cell>
        </row>
        <row r="1248">
          <cell r="I1248" t="str">
            <v>TLLU5645605</v>
          </cell>
          <cell r="J1248" t="str">
            <v>SƠN</v>
          </cell>
          <cell r="K1248">
            <v>0.625</v>
          </cell>
          <cell r="L1248" t="str">
            <v>CSNU6328070</v>
          </cell>
          <cell r="O1248" t="str">
            <v>VH-26/50038</v>
          </cell>
          <cell r="Q1248">
            <v>0</v>
          </cell>
        </row>
        <row r="1249">
          <cell r="I1249" t="str">
            <v>FDCU0239398</v>
          </cell>
          <cell r="J1249" t="str">
            <v>SƠN</v>
          </cell>
          <cell r="K1249">
            <v>0.875</v>
          </cell>
          <cell r="L1249" t="str">
            <v>EITU9368070</v>
          </cell>
          <cell r="O1249" t="str">
            <v>VF-26/50004</v>
          </cell>
          <cell r="Q1249">
            <v>0</v>
          </cell>
        </row>
        <row r="1250">
          <cell r="I1250" t="str">
            <v>EGSU9282806</v>
          </cell>
          <cell r="J1250" t="str">
            <v>DĐỨC
THI KÉO VỀ</v>
          </cell>
          <cell r="K1250">
            <v>0.875</v>
          </cell>
          <cell r="L1250" t="str">
            <v>EGSU6263309</v>
          </cell>
          <cell r="N1250" t="str">
            <v>GIC</v>
          </cell>
          <cell r="O1250" t="str">
            <v>VS-26/50027</v>
          </cell>
          <cell r="P1250" t="str">
            <v>done</v>
          </cell>
          <cell r="Q1250">
            <v>308126247460</v>
          </cell>
        </row>
        <row r="1251">
          <cell r="I1251" t="str">
            <v>EGSU6126672</v>
          </cell>
          <cell r="J1251" t="str">
            <v>THI</v>
          </cell>
          <cell r="K1251">
            <v>0.125</v>
          </cell>
          <cell r="L1251" t="str">
            <v>ONEU1379940</v>
          </cell>
          <cell r="O1251" t="str">
            <v>VS-26/50029</v>
          </cell>
          <cell r="Q1251">
            <v>0</v>
          </cell>
        </row>
        <row r="1252">
          <cell r="I1252" t="str">
            <v>EGSU2409268</v>
          </cell>
          <cell r="J1252" t="str">
            <v>XUYÊN 
KÉO VỀ</v>
          </cell>
          <cell r="K1252">
            <v>0.33333333333333331</v>
          </cell>
          <cell r="L1252" t="str">
            <v>EGSU2409268</v>
          </cell>
          <cell r="N1252" t="str">
            <v>GIC</v>
          </cell>
          <cell r="O1252" t="str">
            <v>VH-26/50034</v>
          </cell>
          <cell r="P1252" t="str">
            <v>done</v>
          </cell>
          <cell r="Q1252">
            <v>308126218760</v>
          </cell>
        </row>
        <row r="1253">
          <cell r="I1253" t="str">
            <v>TLLU5575792</v>
          </cell>
          <cell r="J1253" t="str">
            <v>DŨNG 
KÉO VỀ</v>
          </cell>
          <cell r="K1253">
            <v>0.875</v>
          </cell>
          <cell r="N1253" t="str">
            <v>HÀ HƯNG HẢI</v>
          </cell>
          <cell r="O1253" t="str">
            <v>VH-26/50041</v>
          </cell>
          <cell r="P1253" t="str">
            <v>done</v>
          </cell>
          <cell r="Q1253">
            <v>308126239430</v>
          </cell>
        </row>
        <row r="1254">
          <cell r="I1254" t="str">
            <v>TIIU6562571</v>
          </cell>
          <cell r="J1254" t="str">
            <v>QUÂN</v>
          </cell>
          <cell r="K1254">
            <v>0.33333333333333331</v>
          </cell>
          <cell r="Q1254">
            <v>0</v>
          </cell>
        </row>
        <row r="1255">
          <cell r="I1255" t="str">
            <v>TCLU9141040</v>
          </cell>
          <cell r="J1255" t="str">
            <v>SƠN</v>
          </cell>
          <cell r="K1255">
            <v>0.375</v>
          </cell>
          <cell r="L1255" t="str">
            <v>CSNU8550786</v>
          </cell>
          <cell r="Q1255">
            <v>0</v>
          </cell>
        </row>
        <row r="1256">
          <cell r="I1256" t="str">
            <v>TIIU7572419</v>
          </cell>
          <cell r="J1256" t="str">
            <v>THI</v>
          </cell>
          <cell r="K1256">
            <v>0.54166666666666663</v>
          </cell>
          <cell r="L1256" t="str">
            <v>CSNU7625134</v>
          </cell>
          <cell r="Q1256">
            <v>0</v>
          </cell>
        </row>
        <row r="1257">
          <cell r="I1257" t="str">
            <v>ONEU1867142</v>
          </cell>
          <cell r="J1257" t="str">
            <v>THI
QUÂN KÉO VỀ</v>
          </cell>
          <cell r="K1257">
            <v>0.58333333333333337</v>
          </cell>
          <cell r="L1257" t="str">
            <v>TCLU9141040</v>
          </cell>
          <cell r="N1257" t="str">
            <v>LẠCH HUYỆN</v>
          </cell>
          <cell r="P1257" t="str">
            <v>done</v>
          </cell>
          <cell r="Q1257">
            <v>308128316220</v>
          </cell>
        </row>
        <row r="1258">
          <cell r="I1258" t="str">
            <v>FFAU1448883</v>
          </cell>
          <cell r="J1258" t="str">
            <v>PHƯƠNG
MẠNH KÉO VỀ</v>
          </cell>
          <cell r="K1258">
            <v>0.91666666666666663</v>
          </cell>
          <cell r="L1258" t="str">
            <v>MRKU6146146</v>
          </cell>
          <cell r="N1258" t="str">
            <v>LẠCH HUYỆN</v>
          </cell>
          <cell r="P1258" t="str">
            <v>done</v>
          </cell>
          <cell r="Q1258">
            <v>308128332100</v>
          </cell>
        </row>
        <row r="1259">
          <cell r="I1259" t="str">
            <v>ECMU5133744</v>
          </cell>
          <cell r="J1259" t="str">
            <v>SƠN</v>
          </cell>
          <cell r="K1259">
            <v>0.91666666666666663</v>
          </cell>
          <cell r="L1259" t="str">
            <v>TIIU7572419</v>
          </cell>
          <cell r="N1259" t="str">
            <v>LẠCH HUYỆN</v>
          </cell>
          <cell r="Q1259" t="str">
            <v xml:space="preserve">chưa có tk </v>
          </cell>
        </row>
        <row r="1260">
          <cell r="I1260" t="str">
            <v>TLLU4148543</v>
          </cell>
          <cell r="J1260" t="str">
            <v>ĐỨC</v>
          </cell>
          <cell r="K1260">
            <v>0.95833333333333337</v>
          </cell>
          <cell r="L1260" t="str">
            <v>MRSU3298343</v>
          </cell>
          <cell r="Q1260">
            <v>0</v>
          </cell>
        </row>
        <row r="1261">
          <cell r="I1261" t="str">
            <v>SITU9157467</v>
          </cell>
          <cell r="K1261">
            <v>0.45833333333333331</v>
          </cell>
          <cell r="Q1261">
            <v>0</v>
          </cell>
        </row>
        <row r="1262">
          <cell r="I1262" t="str">
            <v>TIIU6076163</v>
          </cell>
          <cell r="K1262">
            <v>0.41666666666666669</v>
          </cell>
          <cell r="Q1262">
            <v>0</v>
          </cell>
        </row>
        <row r="1263">
          <cell r="I1263" t="str">
            <v>EGSU9743364</v>
          </cell>
          <cell r="J1263" t="str">
            <v>HƯỜNG</v>
          </cell>
          <cell r="L1263" t="str">
            <v>MNBU4492432</v>
          </cell>
          <cell r="Q1263">
            <v>0</v>
          </cell>
        </row>
        <row r="1264">
          <cell r="I1264" t="str">
            <v>MRSU4354863</v>
          </cell>
          <cell r="J1264" t="str">
            <v>SƠN</v>
          </cell>
          <cell r="K1264">
            <v>0.33333333333333331</v>
          </cell>
          <cell r="L1264" t="str">
            <v>ECMU5050001</v>
          </cell>
          <cell r="M1264" t="str">
            <v>TRI PHƯƠNG</v>
          </cell>
          <cell r="N1264" t="str">
            <v>HATECO HICT</v>
          </cell>
          <cell r="O1264" t="str">
            <v>VI-26/50120</v>
          </cell>
          <cell r="P1264" t="str">
            <v>done</v>
          </cell>
          <cell r="Q1264">
            <v>308127015030</v>
          </cell>
        </row>
        <row r="1265">
          <cell r="I1265" t="str">
            <v>MRSU5490822</v>
          </cell>
          <cell r="J1265" t="str">
            <v>QUÂN</v>
          </cell>
          <cell r="K1265">
            <v>0.33333333333333331</v>
          </cell>
          <cell r="L1265" t="str">
            <v>CMAU4780086</v>
          </cell>
          <cell r="M1265" t="str">
            <v>TRI PHƯƠNG</v>
          </cell>
          <cell r="N1265" t="str">
            <v>HATECO HICT</v>
          </cell>
          <cell r="O1265" t="str">
            <v>VI-26/50121</v>
          </cell>
          <cell r="P1265" t="str">
            <v>done</v>
          </cell>
          <cell r="Q1265">
            <v>308126928710</v>
          </cell>
        </row>
        <row r="1266">
          <cell r="I1266" t="str">
            <v>HASU4493745</v>
          </cell>
          <cell r="J1266" t="str">
            <v>THỊNH</v>
          </cell>
          <cell r="K1266">
            <v>0.375</v>
          </cell>
          <cell r="L1266" t="str">
            <v>MSKU0914228</v>
          </cell>
          <cell r="M1266" t="str">
            <v>TRI PHƯƠNG</v>
          </cell>
          <cell r="N1266" t="str">
            <v>HATECO HICT</v>
          </cell>
          <cell r="O1266" t="str">
            <v>VI-26/50134</v>
          </cell>
          <cell r="P1266" t="str">
            <v>done</v>
          </cell>
          <cell r="Q1266">
            <v>308127022840</v>
          </cell>
        </row>
        <row r="1267">
          <cell r="I1267" t="str">
            <v>MRSU5883687</v>
          </cell>
          <cell r="J1267" t="str">
            <v>THÀNH</v>
          </cell>
          <cell r="K1267">
            <v>9.375E-2</v>
          </cell>
          <cell r="L1267" t="str">
            <v>SUDU6725518</v>
          </cell>
          <cell r="M1267" t="str">
            <v>TRI PHƯƠNG</v>
          </cell>
          <cell r="N1267" t="str">
            <v>HATECO HICT</v>
          </cell>
          <cell r="O1267" t="str">
            <v>VI-26/50148</v>
          </cell>
          <cell r="P1267" t="str">
            <v>done</v>
          </cell>
          <cell r="Q1267">
            <v>308127032900</v>
          </cell>
        </row>
        <row r="1268">
          <cell r="I1268" t="str">
            <v>SEKU6945800</v>
          </cell>
          <cell r="J1268" t="str">
            <v>RU 4GS</v>
          </cell>
          <cell r="K1268">
            <v>0.40625</v>
          </cell>
          <cell r="L1268" t="str">
            <v>SEKU6945800</v>
          </cell>
          <cell r="N1268" t="str">
            <v>HATECO HICT</v>
          </cell>
          <cell r="O1268" t="str">
            <v>VI-26/50125</v>
          </cell>
          <cell r="P1268" t="str">
            <v>done</v>
          </cell>
          <cell r="Q1268">
            <v>308126998930</v>
          </cell>
        </row>
        <row r="1269">
          <cell r="I1269" t="str">
            <v>MRSU6307449</v>
          </cell>
          <cell r="J1269" t="str">
            <v xml:space="preserve">RU DIỆP LÂM ANH </v>
          </cell>
          <cell r="K1269">
            <v>0.4236111111111111</v>
          </cell>
          <cell r="L1269" t="str">
            <v>MRSU6307449</v>
          </cell>
          <cell r="N1269" t="str">
            <v>HATECO HICT</v>
          </cell>
          <cell r="O1269" t="str">
            <v>VI-26/50127</v>
          </cell>
          <cell r="P1269" t="str">
            <v>done</v>
          </cell>
          <cell r="Q1269">
            <v>308127050620</v>
          </cell>
        </row>
        <row r="1270">
          <cell r="I1270" t="str">
            <v>SUDU6725518</v>
          </cell>
          <cell r="J1270" t="str">
            <v>QUÂN
THÀNH KÉO VỀ</v>
          </cell>
          <cell r="K1270">
            <v>6.25E-2</v>
          </cell>
          <cell r="L1270" t="str">
            <v>MRSU4354863</v>
          </cell>
          <cell r="N1270" t="str">
            <v>HATECO HICT</v>
          </cell>
          <cell r="O1270" t="str">
            <v>VI-26/50151</v>
          </cell>
          <cell r="P1270" t="str">
            <v>done</v>
          </cell>
          <cell r="Q1270">
            <v>308126980360</v>
          </cell>
        </row>
        <row r="1271">
          <cell r="I1271" t="str">
            <v>TRHU4857984</v>
          </cell>
          <cell r="J1271" t="str">
            <v>ĐỨC</v>
          </cell>
          <cell r="K1271" t="str">
            <v>9:00</v>
          </cell>
          <cell r="L1271" t="str">
            <v>SZLU9527720</v>
          </cell>
          <cell r="M1271" t="str">
            <v>TRI PHƯƠNG</v>
          </cell>
          <cell r="N1271" t="str">
            <v>HATECO HICT</v>
          </cell>
          <cell r="P1271" t="str">
            <v>done</v>
          </cell>
          <cell r="Q1271">
            <v>308127355930</v>
          </cell>
        </row>
        <row r="1272">
          <cell r="I1272" t="str">
            <v>MRKU5785219</v>
          </cell>
          <cell r="J1272" t="str">
            <v>PHƯƠNG</v>
          </cell>
          <cell r="K1272" t="str">
            <v>9:00</v>
          </cell>
          <cell r="L1272" t="str">
            <v>TEMU9197663</v>
          </cell>
          <cell r="M1272" t="str">
            <v>TRI PHƯƠNG</v>
          </cell>
          <cell r="N1272" t="str">
            <v>HATECO HICT</v>
          </cell>
          <cell r="P1272" t="str">
            <v>done</v>
          </cell>
          <cell r="Q1272">
            <v>308127416020</v>
          </cell>
        </row>
        <row r="1273">
          <cell r="I1273" t="str">
            <v>MRSU3298343</v>
          </cell>
          <cell r="J1273" t="str">
            <v>SÂM</v>
          </cell>
          <cell r="K1273" t="str">
            <v>10:00</v>
          </cell>
          <cell r="L1273" t="str">
            <v>TIIU6076163</v>
          </cell>
          <cell r="M1273" t="str">
            <v>TRI PHƯƠNG</v>
          </cell>
          <cell r="N1273" t="str">
            <v>HATECO HICT</v>
          </cell>
          <cell r="P1273" t="str">
            <v>done</v>
          </cell>
          <cell r="Q1273">
            <v>308127451240</v>
          </cell>
        </row>
        <row r="1274">
          <cell r="I1274" t="str">
            <v>MRKU6146146</v>
          </cell>
          <cell r="J1274" t="str">
            <v>HƯỜNG</v>
          </cell>
          <cell r="K1274" t="str">
            <v>13:00</v>
          </cell>
          <cell r="L1274" t="str">
            <v>EGSU9730372</v>
          </cell>
          <cell r="M1274" t="str">
            <v>TRI PHƯƠNG</v>
          </cell>
          <cell r="N1274" t="str">
            <v>HATECO HICT</v>
          </cell>
          <cell r="P1274" t="str">
            <v>done</v>
          </cell>
          <cell r="Q1274">
            <v>308127389310</v>
          </cell>
        </row>
        <row r="1275">
          <cell r="I1275" t="str">
            <v>MRSU8739652</v>
          </cell>
          <cell r="J1275" t="str">
            <v>RU TRƯỜNG NHÂN PHÁT</v>
          </cell>
          <cell r="K1275" t="str">
            <v>15:00</v>
          </cell>
          <cell r="L1275" t="str">
            <v>MRSU8739652</v>
          </cell>
          <cell r="N1275" t="str">
            <v>HATECO HICT</v>
          </cell>
          <cell r="O1275" t="str">
            <v>VP-26/50124</v>
          </cell>
          <cell r="P1275" t="str">
            <v>done</v>
          </cell>
          <cell r="Q1275">
            <v>308128173420</v>
          </cell>
        </row>
        <row r="1276">
          <cell r="I1276" t="str">
            <v>CAAU8638027</v>
          </cell>
          <cell r="J1276" t="str">
            <v xml:space="preserve">RU DIỆP LÂM ANH </v>
          </cell>
          <cell r="K1276" t="str">
            <v>10:00</v>
          </cell>
          <cell r="L1276" t="str">
            <v>CAAU8638027</v>
          </cell>
          <cell r="N1276" t="str">
            <v>HATECO HICT</v>
          </cell>
          <cell r="O1276" t="str">
            <v>VP-26/50126</v>
          </cell>
          <cell r="P1276" t="str">
            <v>done</v>
          </cell>
          <cell r="Q1276">
            <v>308128189740</v>
          </cell>
        </row>
        <row r="1277">
          <cell r="I1277" t="str">
            <v>MRSU8997240</v>
          </cell>
          <cell r="J1277" t="str">
            <v xml:space="preserve">RU DIỆP LÂM ANH </v>
          </cell>
          <cell r="K1277" t="str">
            <v>21:00</v>
          </cell>
          <cell r="L1277" t="str">
            <v>MRSU8997240</v>
          </cell>
          <cell r="N1277" t="str">
            <v>HATECO HICT</v>
          </cell>
          <cell r="O1277" t="str">
            <v>VP-26/50127
cb VV-26/50006</v>
          </cell>
          <cell r="P1277" t="str">
            <v>done</v>
          </cell>
          <cell r="Q1277" t="str">
            <v>308128209560
308128228720</v>
          </cell>
        </row>
        <row r="1278">
          <cell r="I1278" t="str">
            <v>MNBU4576298</v>
          </cell>
          <cell r="J1278" t="str">
            <v>MẠNH
THỊNH KÉO VỀ</v>
          </cell>
          <cell r="K1278" t="str">
            <v>10:00</v>
          </cell>
          <cell r="L1278" t="str">
            <v>FFAU5108876</v>
          </cell>
          <cell r="N1278" t="str">
            <v>HATECO HICT</v>
          </cell>
          <cell r="O1278" t="str">
            <v>VP-26/50122</v>
          </cell>
          <cell r="P1278" t="str">
            <v>done</v>
          </cell>
          <cell r="Q1278">
            <v>308127925510</v>
          </cell>
        </row>
        <row r="1279">
          <cell r="I1279" t="str">
            <v>MNBU9150200</v>
          </cell>
          <cell r="J1279" t="str">
            <v>THỊNH
SƠN KÉO VỀ</v>
          </cell>
          <cell r="K1279" t="str">
            <v>11:00</v>
          </cell>
          <cell r="L1279" t="str">
            <v>MNBU4576298</v>
          </cell>
          <cell r="N1279" t="str">
            <v>HATECO HICT</v>
          </cell>
          <cell r="O1279" t="str">
            <v>VP-26/50123</v>
          </cell>
          <cell r="P1279" t="str">
            <v>done</v>
          </cell>
          <cell r="Q1279">
            <v>308127937960</v>
          </cell>
        </row>
        <row r="1280">
          <cell r="I1280" t="str">
            <v>MNBU4492432</v>
          </cell>
          <cell r="J1280" t="str">
            <v>THÀNH
HƯỜNG KÉO VỀ</v>
          </cell>
          <cell r="K1280" t="str">
            <v>11:00</v>
          </cell>
          <cell r="L1280" t="str">
            <v>MRKU5785219</v>
          </cell>
          <cell r="N1280" t="str">
            <v>HATECO HICT</v>
          </cell>
          <cell r="O1280" t="str">
            <v>VP-26/50125</v>
          </cell>
          <cell r="P1280" t="str">
            <v>done</v>
          </cell>
          <cell r="Q1280">
            <v>308127972630</v>
          </cell>
        </row>
        <row r="1281">
          <cell r="I1281" t="str">
            <v>ONEU9186762</v>
          </cell>
          <cell r="J1281" t="str">
            <v>THI</v>
          </cell>
          <cell r="K1281" t="str">
            <v>8:00</v>
          </cell>
          <cell r="L1281" t="str">
            <v>FFAU7372358</v>
          </cell>
          <cell r="M1281" t="str">
            <v>TRI PHƯƠNG</v>
          </cell>
          <cell r="N1281" t="str">
            <v>LẠCH HUYỆN</v>
          </cell>
          <cell r="Q1281">
            <v>0</v>
          </cell>
        </row>
        <row r="1282">
          <cell r="I1282" t="str">
            <v>FSCU5750645</v>
          </cell>
          <cell r="J1282" t="str">
            <v>THỊNH</v>
          </cell>
          <cell r="K1282" t="str">
            <v>9:00</v>
          </cell>
          <cell r="M1282" t="str">
            <v>TRI PHƯƠNG</v>
          </cell>
          <cell r="N1282" t="str">
            <v>LẠCH HUYỆN</v>
          </cell>
          <cell r="Q1282">
            <v>0</v>
          </cell>
        </row>
        <row r="1283">
          <cell r="I1283" t="str">
            <v>TEMU9197663</v>
          </cell>
          <cell r="J1283" t="str">
            <v>SÂM</v>
          </cell>
          <cell r="K1283" t="str">
            <v>13:00</v>
          </cell>
          <cell r="L1283" t="str">
            <v>ONEU9186762</v>
          </cell>
          <cell r="M1283" t="str">
            <v>TRI PHƯƠNG</v>
          </cell>
          <cell r="N1283" t="str">
            <v>LẠCH HUYỆN</v>
          </cell>
          <cell r="Q1283">
            <v>0</v>
          </cell>
        </row>
        <row r="1284">
          <cell r="I1284" t="str">
            <v>SZLU9694923</v>
          </cell>
          <cell r="J1284" t="str">
            <v>THÀNH</v>
          </cell>
          <cell r="K1284" t="str">
            <v>14:00</v>
          </cell>
          <cell r="M1284" t="str">
            <v>TRI PHƯƠNG</v>
          </cell>
          <cell r="N1284" t="str">
            <v>LẠCH HUYỆN</v>
          </cell>
          <cell r="Q1284">
            <v>0</v>
          </cell>
        </row>
        <row r="1285">
          <cell r="I1285" t="str">
            <v>ONEU9120739</v>
          </cell>
          <cell r="J1285" t="str">
            <v xml:space="preserve">PHƯƠNG
CHƯA VỀ </v>
          </cell>
          <cell r="K1285" t="str">
            <v>21:00</v>
          </cell>
          <cell r="L1285" t="str">
            <v>EMCU8879104</v>
          </cell>
          <cell r="N1285" t="str">
            <v>LẠCH HUYỆN</v>
          </cell>
          <cell r="P1285" t="str">
            <v>done</v>
          </cell>
          <cell r="Q1285">
            <v>308127753160</v>
          </cell>
        </row>
        <row r="1286">
          <cell r="I1286" t="str">
            <v>TLLU8867972</v>
          </cell>
          <cell r="K1286">
            <v>0.375</v>
          </cell>
          <cell r="O1286" t="str">
            <v>VI-26/50161</v>
          </cell>
          <cell r="Q1286">
            <v>0</v>
          </cell>
        </row>
        <row r="1287">
          <cell r="I1287" t="str">
            <v>CMAU6765990</v>
          </cell>
          <cell r="J1287" t="str">
            <v>MẠNH</v>
          </cell>
          <cell r="K1287">
            <v>0.39583333333333331</v>
          </cell>
          <cell r="L1287" t="str">
            <v>CAAU5701070</v>
          </cell>
          <cell r="O1287" t="str">
            <v>VI-26/50163</v>
          </cell>
          <cell r="Q1287">
            <v>0</v>
          </cell>
        </row>
        <row r="1288">
          <cell r="I1288" t="str">
            <v>FDCU0611611</v>
          </cell>
          <cell r="J1288" t="str">
            <v>THI</v>
          </cell>
          <cell r="K1288">
            <v>0.58333333333333337</v>
          </cell>
          <cell r="L1288" t="str">
            <v>EGSU9282806</v>
          </cell>
          <cell r="O1288" t="str">
            <v>VH-26/50043</v>
          </cell>
          <cell r="Q1288">
            <v>0</v>
          </cell>
        </row>
        <row r="1289">
          <cell r="I1289" t="str">
            <v>TXGU5392474</v>
          </cell>
          <cell r="J1289" t="str">
            <v>QUÂN</v>
          </cell>
          <cell r="K1289">
            <v>0.875</v>
          </cell>
          <cell r="L1289" t="str">
            <v>TXGU8319862</v>
          </cell>
          <cell r="O1289" t="str">
            <v>VH-26/50044</v>
          </cell>
          <cell r="Q1289">
            <v>0</v>
          </cell>
        </row>
        <row r="1290">
          <cell r="I1290" t="str">
            <v>EITU9218825</v>
          </cell>
          <cell r="J1290" t="str">
            <v>SÂM</v>
          </cell>
          <cell r="K1290">
            <v>0.875</v>
          </cell>
          <cell r="L1290" t="str">
            <v>EGSU6126672</v>
          </cell>
          <cell r="O1290" t="str">
            <v>VS-26/50031</v>
          </cell>
          <cell r="Q1290">
            <v>0</v>
          </cell>
        </row>
        <row r="1291">
          <cell r="I1291" t="str">
            <v>EITU3004277</v>
          </cell>
          <cell r="J1291" t="str">
            <v>VINH
KÉO VỀ</v>
          </cell>
          <cell r="K1291">
            <v>4.1666666666666664E-2</v>
          </cell>
          <cell r="L1291" t="str">
            <v>EITU3004277</v>
          </cell>
          <cell r="N1291" t="str">
            <v>GIC</v>
          </cell>
          <cell r="O1291" t="str">
            <v>VS-26/50032</v>
          </cell>
          <cell r="P1291" t="str">
            <v>done</v>
          </cell>
          <cell r="Q1291">
            <v>308129915610</v>
          </cell>
        </row>
        <row r="1292">
          <cell r="I1292" t="str">
            <v>TXGU8319862</v>
          </cell>
          <cell r="J1292" t="str">
            <v>QUÂN</v>
          </cell>
          <cell r="K1292">
            <v>0.875</v>
          </cell>
          <cell r="L1292" t="str">
            <v>FDCU0611611</v>
          </cell>
          <cell r="O1292" t="str">
            <v>VH-26/50039</v>
          </cell>
          <cell r="Q1292">
            <v>0</v>
          </cell>
        </row>
        <row r="1293">
          <cell r="I1293" t="str">
            <v>MSDU8235228</v>
          </cell>
          <cell r="J1293" t="str">
            <v>THỊNH</v>
          </cell>
          <cell r="K1293">
            <v>0.33333333333333331</v>
          </cell>
          <cell r="L1293" t="str">
            <v>TIIU4819505</v>
          </cell>
          <cell r="O1293" t="str">
            <v>HP</v>
          </cell>
          <cell r="Q1293">
            <v>0</v>
          </cell>
        </row>
        <row r="1294">
          <cell r="I1294" t="str">
            <v>SITU9171700</v>
          </cell>
          <cell r="J1294" t="str">
            <v>THÀNH</v>
          </cell>
          <cell r="K1294">
            <v>0.33333333333333331</v>
          </cell>
          <cell r="L1294" t="str">
            <v>TRHU6307890</v>
          </cell>
          <cell r="O1294" t="str">
            <v>HP</v>
          </cell>
          <cell r="Q1294">
            <v>0</v>
          </cell>
        </row>
        <row r="1295">
          <cell r="I1295" t="str">
            <v>CAAU8452557</v>
          </cell>
          <cell r="J1295" t="str">
            <v>SƠN</v>
          </cell>
          <cell r="K1295">
            <v>0.41666666666666669</v>
          </cell>
          <cell r="L1295" t="str">
            <v>MNBU9150200</v>
          </cell>
          <cell r="O1295" t="str">
            <v>HP</v>
          </cell>
          <cell r="Q1295">
            <v>0</v>
          </cell>
        </row>
        <row r="1296">
          <cell r="I1296" t="str">
            <v>MSBU8210372</v>
          </cell>
          <cell r="J1296" t="str">
            <v>THỊNH</v>
          </cell>
          <cell r="K1296">
            <v>0.54166666666666663</v>
          </cell>
          <cell r="L1296" t="str">
            <v>TLLU4148543</v>
          </cell>
          <cell r="O1296" t="str">
            <v>HP</v>
          </cell>
          <cell r="Q1296">
            <v>0</v>
          </cell>
        </row>
        <row r="1297">
          <cell r="I1297" t="str">
            <v>TIIU5677468</v>
          </cell>
          <cell r="J1297" t="str">
            <v>TÍN</v>
          </cell>
          <cell r="K1297">
            <v>0.54166666666666663</v>
          </cell>
          <cell r="L1297" t="str">
            <v>FFAU5956136</v>
          </cell>
          <cell r="O1297" t="str">
            <v>RTB-25/0477</v>
          </cell>
          <cell r="Q1297">
            <v>0</v>
          </cell>
        </row>
        <row r="1298">
          <cell r="I1298" t="str">
            <v>SELU4370426</v>
          </cell>
          <cell r="J1298" t="str">
            <v>THỊNH</v>
          </cell>
          <cell r="K1298">
            <v>0.58333333333333337</v>
          </cell>
          <cell r="L1298" t="str">
            <v>SITU9157467</v>
          </cell>
          <cell r="O1298" t="str">
            <v>RTB-25/0478</v>
          </cell>
          <cell r="Q1298">
            <v>0</v>
          </cell>
        </row>
        <row r="1299">
          <cell r="I1299" t="str">
            <v>EGSU1542717</v>
          </cell>
          <cell r="J1299" t="str">
            <v>PHƯƠNG</v>
          </cell>
          <cell r="K1299">
            <v>0.58333333333333337</v>
          </cell>
          <cell r="L1299" t="str">
            <v>FFAU7245688</v>
          </cell>
          <cell r="Q1299">
            <v>0</v>
          </cell>
        </row>
        <row r="1300">
          <cell r="I1300" t="str">
            <v>SELU4219087</v>
          </cell>
          <cell r="J1300" t="str">
            <v>ĐỨC</v>
          </cell>
          <cell r="K1300">
            <v>0.625</v>
          </cell>
          <cell r="L1300" t="str">
            <v>CAJU5074716</v>
          </cell>
          <cell r="O1300" t="str">
            <v>HP</v>
          </cell>
          <cell r="Q1300">
            <v>0</v>
          </cell>
        </row>
        <row r="1301">
          <cell r="I1301" t="str">
            <v>FFAU6775960</v>
          </cell>
          <cell r="J1301" t="str">
            <v>HƯỜNG</v>
          </cell>
          <cell r="K1301">
            <v>0.91666666666666663</v>
          </cell>
          <cell r="L1301" t="str">
            <v>HAMU2400269</v>
          </cell>
          <cell r="O1301" t="str">
            <v>HP</v>
          </cell>
          <cell r="Q1301">
            <v>0</v>
          </cell>
        </row>
        <row r="1302">
          <cell r="I1302" t="str">
            <v>UETU7379198</v>
          </cell>
          <cell r="J1302" t="str">
            <v>SÂM</v>
          </cell>
          <cell r="K1302">
            <v>0</v>
          </cell>
          <cell r="L1302" t="str">
            <v>FFAU7335837</v>
          </cell>
          <cell r="O1302" t="str">
            <v>RTB-25/0479</v>
          </cell>
          <cell r="Q1302">
            <v>0</v>
          </cell>
        </row>
        <row r="1303">
          <cell r="I1303" t="str">
            <v>MRSU4353152</v>
          </cell>
          <cell r="J1303" t="str">
            <v>QUÂN</v>
          </cell>
          <cell r="K1303">
            <v>0.33333333333333331</v>
          </cell>
          <cell r="L1303" t="str">
            <v>MRSU5883687</v>
          </cell>
          <cell r="M1303" t="str">
            <v>TRI PHƯƠNG</v>
          </cell>
          <cell r="N1303" t="str">
            <v>HATECO HICT</v>
          </cell>
          <cell r="O1303" t="str">
            <v>VI-26/50157</v>
          </cell>
          <cell r="P1303" t="str">
            <v>done</v>
          </cell>
          <cell r="Q1303">
            <v>308130806450</v>
          </cell>
        </row>
        <row r="1304">
          <cell r="I1304" t="str">
            <v>CAAU5701070</v>
          </cell>
          <cell r="J1304" t="str">
            <v>PHƯƠNG</v>
          </cell>
          <cell r="K1304">
            <v>0.34375</v>
          </cell>
          <cell r="L1304" t="str">
            <v>TLLU8867972</v>
          </cell>
          <cell r="M1304" t="str">
            <v>TRI PHƯƠNG</v>
          </cell>
          <cell r="N1304" t="str">
            <v>HATECO HICT</v>
          </cell>
          <cell r="O1304" t="str">
            <v>VI-26/50168</v>
          </cell>
          <cell r="P1304" t="str">
            <v>done</v>
          </cell>
          <cell r="Q1304">
            <v>308130737040</v>
          </cell>
        </row>
        <row r="1305">
          <cell r="I1305" t="str">
            <v>TRHU4759036</v>
          </cell>
          <cell r="J1305" t="str">
            <v>ĐỨC</v>
          </cell>
          <cell r="K1305">
            <v>0.54166666666666663</v>
          </cell>
          <cell r="L1305" t="str">
            <v>CMAU9685836</v>
          </cell>
          <cell r="M1305" t="str">
            <v>TRI PHƯƠNG</v>
          </cell>
          <cell r="N1305" t="str">
            <v>HATECO HICT</v>
          </cell>
          <cell r="O1305" t="str">
            <v>VI-26/50158</v>
          </cell>
          <cell r="P1305" t="str">
            <v>done</v>
          </cell>
          <cell r="Q1305">
            <v>308130815810</v>
          </cell>
        </row>
        <row r="1306">
          <cell r="I1306" t="str">
            <v>TCKU7681571</v>
          </cell>
          <cell r="J1306" t="str">
            <v>SÂM</v>
          </cell>
          <cell r="K1306">
            <v>0.55208333333333337</v>
          </cell>
          <cell r="L1306" t="str">
            <v>CMAU6765990</v>
          </cell>
          <cell r="M1306" t="str">
            <v>TRI PHƯƠNG</v>
          </cell>
          <cell r="N1306" t="str">
            <v>HATECO HICT</v>
          </cell>
          <cell r="O1306" t="str">
            <v>VI-26/50185</v>
          </cell>
          <cell r="P1306" t="str">
            <v>done</v>
          </cell>
          <cell r="Q1306">
            <v>308130900840</v>
          </cell>
        </row>
        <row r="1307">
          <cell r="I1307" t="str">
            <v>MRSU3887256</v>
          </cell>
          <cell r="J1307" t="str">
            <v>MẠNH</v>
          </cell>
          <cell r="K1307">
            <v>0.88541666666666663</v>
          </cell>
          <cell r="L1307" t="str">
            <v>TRHU4759036</v>
          </cell>
          <cell r="M1307" t="str">
            <v>TRI PHƯƠNG</v>
          </cell>
          <cell r="N1307" t="str">
            <v>HATECO HICT</v>
          </cell>
          <cell r="O1307" t="str">
            <v>VI-26/50184</v>
          </cell>
          <cell r="P1307" t="str">
            <v>done</v>
          </cell>
          <cell r="Q1307">
            <v>308130877300</v>
          </cell>
        </row>
        <row r="1308">
          <cell r="I1308" t="str">
            <v>BSIU9847523</v>
          </cell>
          <cell r="J1308" t="str">
            <v>SƠN</v>
          </cell>
          <cell r="K1308">
            <v>0.89583333333333337</v>
          </cell>
          <cell r="L1308" t="str">
            <v>TCKU7681571</v>
          </cell>
          <cell r="M1308" t="str">
            <v>TRI PHƯƠNG</v>
          </cell>
          <cell r="N1308" t="str">
            <v>HATECO HICT</v>
          </cell>
          <cell r="O1308" t="str">
            <v>VI-26/50164</v>
          </cell>
          <cell r="P1308" t="str">
            <v>done</v>
          </cell>
          <cell r="Q1308">
            <v>308130772740</v>
          </cell>
        </row>
        <row r="1309">
          <cell r="I1309" t="str">
            <v>HASU4527803</v>
          </cell>
          <cell r="J1309" t="str">
            <v>THI</v>
          </cell>
          <cell r="K1309">
            <v>0.90625</v>
          </cell>
          <cell r="L1309" t="str">
            <v>MRSU3887256</v>
          </cell>
          <cell r="M1309" t="str">
            <v>TRI PHƯƠNG</v>
          </cell>
          <cell r="N1309" t="str">
            <v>HATECO HICT</v>
          </cell>
          <cell r="O1309" t="str">
            <v>VI-26/50167</v>
          </cell>
          <cell r="P1309" t="str">
            <v>done</v>
          </cell>
          <cell r="Q1309">
            <v>308130712210</v>
          </cell>
        </row>
        <row r="1310">
          <cell r="I1310" t="str">
            <v>MRSU4746381</v>
          </cell>
          <cell r="J1310" t="str">
            <v>MẠNH</v>
          </cell>
          <cell r="K1310">
            <v>0.97916666666666663</v>
          </cell>
          <cell r="L1310" t="str">
            <v>MRSU4353152</v>
          </cell>
          <cell r="M1310" t="str">
            <v>TRI PHƯƠNG</v>
          </cell>
          <cell r="N1310" t="str">
            <v>HATECO HICT</v>
          </cell>
          <cell r="O1310" t="str">
            <v>VI-26/50189</v>
          </cell>
          <cell r="P1310" t="str">
            <v>done</v>
          </cell>
          <cell r="Q1310">
            <v>308130855560</v>
          </cell>
        </row>
        <row r="1311">
          <cell r="I1311" t="str">
            <v>MRSU4499018</v>
          </cell>
          <cell r="J1311" t="str">
            <v>THI</v>
          </cell>
          <cell r="K1311">
            <v>0.14583333333333334</v>
          </cell>
          <cell r="L1311" t="str">
            <v>MRSU4499018</v>
          </cell>
          <cell r="M1311" t="str">
            <v>TRI PHƯƠNG</v>
          </cell>
          <cell r="N1311" t="str">
            <v>HATECO HICT</v>
          </cell>
          <cell r="O1311" t="str">
            <v>VI-26/50159</v>
          </cell>
          <cell r="P1311" t="str">
            <v>done</v>
          </cell>
          <cell r="Q1311">
            <v>308130828410</v>
          </cell>
        </row>
        <row r="1312">
          <cell r="I1312" t="str">
            <v>TRHU6307890</v>
          </cell>
          <cell r="J1312" t="str">
            <v>QUÂN</v>
          </cell>
          <cell r="K1312">
            <v>0.45833333333333331</v>
          </cell>
          <cell r="L1312" t="str">
            <v>TIIU6562571</v>
          </cell>
          <cell r="M1312" t="str">
            <v>TRI PHƯƠNG</v>
          </cell>
          <cell r="N1312" t="str">
            <v>HATECO HICT</v>
          </cell>
          <cell r="P1312" t="str">
            <v>done</v>
          </cell>
          <cell r="Q1312">
            <v>308131015640</v>
          </cell>
        </row>
        <row r="1313">
          <cell r="I1313" t="str">
            <v>MRSU6281977</v>
          </cell>
          <cell r="J1313" t="str">
            <v>MẠNH</v>
          </cell>
          <cell r="K1313">
            <v>0.54166666666666663</v>
          </cell>
          <cell r="L1313" t="str">
            <v>MRSU6281977</v>
          </cell>
          <cell r="M1313" t="str">
            <v>TRI PHƯƠNG</v>
          </cell>
          <cell r="N1313" t="str">
            <v>HATECO HICT</v>
          </cell>
          <cell r="P1313" t="str">
            <v>done</v>
          </cell>
          <cell r="Q1313">
            <v>308130968410</v>
          </cell>
        </row>
        <row r="1314">
          <cell r="I1314" t="str">
            <v>HASU4116211</v>
          </cell>
          <cell r="J1314" t="str">
            <v>THÀNH</v>
          </cell>
          <cell r="K1314" t="str">
            <v>22:00</v>
          </cell>
          <cell r="L1314" t="str">
            <v>CAAU4564923</v>
          </cell>
          <cell r="M1314" t="str">
            <v>TRI PHƯƠNG</v>
          </cell>
          <cell r="N1314" t="str">
            <v>HATECO HICT</v>
          </cell>
          <cell r="P1314" t="str">
            <v>done</v>
          </cell>
          <cell r="Q1314">
            <v>308132196540</v>
          </cell>
        </row>
        <row r="1315">
          <cell r="I1315" t="str">
            <v>CXRU1113990</v>
          </cell>
          <cell r="K1315" t="str">
            <v>21:00</v>
          </cell>
          <cell r="M1315" t="str">
            <v>TRI PHƯƠNG</v>
          </cell>
          <cell r="N1315" t="str">
            <v>LẠCH HUYỆN</v>
          </cell>
          <cell r="Q1315">
            <v>0</v>
          </cell>
        </row>
        <row r="1316">
          <cell r="I1316" t="str">
            <v>TXGU6933418</v>
          </cell>
          <cell r="J1316" t="str">
            <v>THÀNH</v>
          </cell>
          <cell r="K1316" t="str">
            <v>13:00</v>
          </cell>
          <cell r="L1316" t="str">
            <v>CAAU8452557</v>
          </cell>
          <cell r="M1316" t="str">
            <v>TRI PHƯƠNG</v>
          </cell>
          <cell r="N1316" t="str">
            <v>HATECO HICT</v>
          </cell>
          <cell r="Q1316">
            <v>0</v>
          </cell>
        </row>
        <row r="1317">
          <cell r="I1317" t="str">
            <v>HAMU2400269</v>
          </cell>
          <cell r="J1317" t="str">
            <v>HƯỜNG</v>
          </cell>
          <cell r="K1317" t="str">
            <v>22:00</v>
          </cell>
          <cell r="L1317" t="str">
            <v>SELU4219087</v>
          </cell>
          <cell r="M1317" t="str">
            <v>TRI PHƯƠNG</v>
          </cell>
          <cell r="N1317" t="str">
            <v>HATECO HICT</v>
          </cell>
          <cell r="Q1317">
            <v>0</v>
          </cell>
        </row>
        <row r="1318">
          <cell r="I1318" t="str">
            <v>CGMU5395288</v>
          </cell>
          <cell r="K1318" t="str">
            <v>21:00</v>
          </cell>
          <cell r="M1318" t="str">
            <v>TRI PHƯƠNG</v>
          </cell>
          <cell r="N1318" t="str">
            <v>TÂN VŨ</v>
          </cell>
          <cell r="Q1318">
            <v>0</v>
          </cell>
        </row>
        <row r="1319">
          <cell r="I1319" t="str">
            <v>TGBU8035360</v>
          </cell>
          <cell r="K1319">
            <v>0.33333333333333331</v>
          </cell>
          <cell r="O1319" t="str">
            <v>VH-26/50053</v>
          </cell>
          <cell r="Q1319">
            <v>0</v>
          </cell>
        </row>
        <row r="1320">
          <cell r="I1320" t="str">
            <v>TGBU9714107</v>
          </cell>
          <cell r="J1320" t="str">
            <v>QUÂN</v>
          </cell>
          <cell r="K1320">
            <v>0.33333333333333331</v>
          </cell>
          <cell r="L1320" t="str">
            <v>OOLU9123493</v>
          </cell>
          <cell r="O1320" t="str">
            <v>VH-26/50050</v>
          </cell>
          <cell r="Q1320">
            <v>0</v>
          </cell>
        </row>
        <row r="1321">
          <cell r="I1321" t="str">
            <v>TRHU8006344</v>
          </cell>
          <cell r="J1321" t="str">
            <v>HƯỜNG
QUÂN KÉO VỀ</v>
          </cell>
          <cell r="K1321">
            <v>0.875</v>
          </cell>
          <cell r="L1321" t="str">
            <v>FDCU0239398</v>
          </cell>
          <cell r="N1321" t="str">
            <v>HTIT</v>
          </cell>
          <cell r="O1321" t="str">
            <v>VH-26/50051</v>
          </cell>
          <cell r="P1321" t="str">
            <v>done</v>
          </cell>
          <cell r="Q1321">
            <v>308134655310</v>
          </cell>
        </row>
        <row r="1322">
          <cell r="I1322" t="str">
            <v>GAOU7291439</v>
          </cell>
          <cell r="J1322" t="str">
            <v>THÀNH</v>
          </cell>
          <cell r="K1322">
            <v>0.875</v>
          </cell>
          <cell r="L1322" t="str">
            <v>MRKU2494230</v>
          </cell>
          <cell r="O1322" t="str">
            <v>VS-26/50035</v>
          </cell>
          <cell r="Q1322">
            <v>0</v>
          </cell>
        </row>
        <row r="1323">
          <cell r="I1323" t="str">
            <v>SELU4329295</v>
          </cell>
          <cell r="J1323" t="str">
            <v>TRỌNG 
KÉO VỀ</v>
          </cell>
          <cell r="N1323" t="str">
            <v>ĐÌNH VŨ</v>
          </cell>
          <cell r="O1323" t="str">
            <v>VS-26/50039</v>
          </cell>
          <cell r="P1323" t="str">
            <v>done</v>
          </cell>
          <cell r="Q1323" t="str">
            <v>308134858860
308137337340
308137367000</v>
          </cell>
        </row>
        <row r="1324">
          <cell r="I1324" t="str">
            <v>TRHU6354968</v>
          </cell>
          <cell r="J1324" t="str">
            <v>DŨNG 
KÉO VỀ</v>
          </cell>
          <cell r="N1324" t="str">
            <v>ĐÌNH VŨ</v>
          </cell>
          <cell r="O1324" t="str">
            <v>VH-26/50052</v>
          </cell>
          <cell r="P1324" t="str">
            <v>done</v>
          </cell>
          <cell r="Q1324">
            <v>308134895150</v>
          </cell>
        </row>
        <row r="1325">
          <cell r="I1325" t="str">
            <v>EGSU6268466</v>
          </cell>
          <cell r="J1325" t="str">
            <v>HƯỜNG</v>
          </cell>
          <cell r="K1325">
            <v>6.25E-2</v>
          </cell>
          <cell r="L1325" t="str">
            <v>HASU4607133</v>
          </cell>
          <cell r="O1325" t="str">
            <v>VI-26/50214</v>
          </cell>
          <cell r="Q1325">
            <v>0</v>
          </cell>
        </row>
        <row r="1326">
          <cell r="I1326" t="str">
            <v>EITU9398347</v>
          </cell>
          <cell r="J1326" t="str">
            <v>THỊNH</v>
          </cell>
          <cell r="K1326">
            <v>0.10416666666666667</v>
          </cell>
          <cell r="L1326" t="str">
            <v>EITU9398347</v>
          </cell>
          <cell r="O1326" t="str">
            <v>VI-26/50215</v>
          </cell>
          <cell r="Q1326">
            <v>0</v>
          </cell>
        </row>
        <row r="1327">
          <cell r="I1327" t="str">
            <v>TGBU4471426</v>
          </cell>
          <cell r="J1327" t="str">
            <v>THÀNH</v>
          </cell>
          <cell r="K1327">
            <v>0.45833333333333331</v>
          </cell>
          <cell r="L1327" t="str">
            <v>EGSU9743364</v>
          </cell>
          <cell r="O1327" t="str">
            <v>HP</v>
          </cell>
          <cell r="Q1327">
            <v>0</v>
          </cell>
        </row>
        <row r="1328">
          <cell r="I1328" t="str">
            <v>EGSU1212377</v>
          </cell>
          <cell r="J1328" t="str">
            <v>THI</v>
          </cell>
          <cell r="K1328">
            <v>0.45833333333333331</v>
          </cell>
          <cell r="L1328" t="str">
            <v>TIIU5677133</v>
          </cell>
          <cell r="O1328" t="str">
            <v>HP</v>
          </cell>
          <cell r="Q1328">
            <v>0</v>
          </cell>
        </row>
        <row r="1329">
          <cell r="I1329" t="str">
            <v>CAJU5075245</v>
          </cell>
          <cell r="J1329" t="str">
            <v>HƯỜNG</v>
          </cell>
          <cell r="K1329">
            <v>0.54166666666666663</v>
          </cell>
          <cell r="L1329" t="str">
            <v>FFAU6775960</v>
          </cell>
          <cell r="O1329" t="str">
            <v>RTB-26/0003</v>
          </cell>
          <cell r="Q1329">
            <v>0</v>
          </cell>
        </row>
        <row r="1330">
          <cell r="I1330" t="str">
            <v>CAAU7482599</v>
          </cell>
          <cell r="J1330" t="str">
            <v>QUÂN</v>
          </cell>
          <cell r="K1330">
            <v>0.625</v>
          </cell>
          <cell r="L1330" t="str">
            <v>ONEU1867142</v>
          </cell>
          <cell r="Q1330">
            <v>0</v>
          </cell>
        </row>
        <row r="1331">
          <cell r="I1331" t="str">
            <v>EGSU9366548</v>
          </cell>
          <cell r="J1331" t="str">
            <v>THỊNH</v>
          </cell>
          <cell r="K1331">
            <v>0.91666666666666663</v>
          </cell>
          <cell r="L1331" t="str">
            <v>EGSU1212377</v>
          </cell>
          <cell r="Q1331">
            <v>0</v>
          </cell>
        </row>
        <row r="1332">
          <cell r="I1332" t="str">
            <v>SELU4363140</v>
          </cell>
          <cell r="J1332" t="str">
            <v>SƠN
THI KÉO VỀ</v>
          </cell>
          <cell r="L1332" t="str">
            <v>TXGU6933418</v>
          </cell>
          <cell r="N1332" t="str">
            <v>ĐÌNH VŨ</v>
          </cell>
          <cell r="O1332" t="str">
            <v>VZ-26/50042 +VZ-26/50042R +VZ-26/50042R-01</v>
          </cell>
          <cell r="P1332" t="str">
            <v>done</v>
          </cell>
          <cell r="Q1332" t="str">
            <v>308139163640
308139218460
308139260830</v>
          </cell>
        </row>
        <row r="1333">
          <cell r="I1333" t="str">
            <v>SITU9198450</v>
          </cell>
          <cell r="J1333" t="str">
            <v>THÀNH
QUÂN KÉO VỀ</v>
          </cell>
          <cell r="L1333" t="str">
            <v>MSBU8210372</v>
          </cell>
          <cell r="N1333" t="str">
            <v>ĐÌNH VŨ</v>
          </cell>
          <cell r="O1333" t="str">
            <v>VZ-26/50043 +VZ-26/50043R +VZ-26/50043R-01</v>
          </cell>
          <cell r="P1333" t="str">
            <v>done</v>
          </cell>
          <cell r="Q1333" t="str">
            <v>308156821400
308139343100
308139361630</v>
          </cell>
        </row>
        <row r="1334">
          <cell r="I1334" t="str">
            <v>SITU9198867</v>
          </cell>
          <cell r="J1334" t="str">
            <v>SƠN
SÂM KÉO VỀ</v>
          </cell>
          <cell r="L1334" t="str">
            <v>CXRU1113990</v>
          </cell>
          <cell r="N1334" t="str">
            <v>ĐÌNH VŨ</v>
          </cell>
          <cell r="O1334" t="str">
            <v>VZ-26/50044 +VZ-26/50044R +VZ-26/50044R-01</v>
          </cell>
          <cell r="P1334" t="str">
            <v>done</v>
          </cell>
          <cell r="Q1334" t="str">
            <v>308139382630
308139635110
308139659500</v>
          </cell>
        </row>
        <row r="1335">
          <cell r="I1335" t="str">
            <v>FFAU7440750</v>
          </cell>
          <cell r="J1335" t="str">
            <v>THI
ĐỨC KÉO VỀ</v>
          </cell>
          <cell r="L1335" t="str">
            <v>TEMU9867467</v>
          </cell>
          <cell r="N1335" t="str">
            <v>ĐÌNH VŨ</v>
          </cell>
          <cell r="O1335" t="str">
            <v>VZ-26/50045 +VZ-26/50045R +VZ-26/50045R-01</v>
          </cell>
          <cell r="P1335" t="str">
            <v>done</v>
          </cell>
          <cell r="Q1335" t="str">
            <v>308156734120
308139737310
308139793640</v>
          </cell>
        </row>
        <row r="1336">
          <cell r="I1336" t="str">
            <v>MRKU2494230</v>
          </cell>
          <cell r="J1336" t="str">
            <v>THI</v>
          </cell>
          <cell r="K1336">
            <v>0.33333333333333331</v>
          </cell>
          <cell r="L1336" t="str">
            <v>EITU9218825</v>
          </cell>
          <cell r="M1336" t="str">
            <v>TRI PHƯƠNG</v>
          </cell>
          <cell r="N1336" t="str">
            <v>HATECO HICT</v>
          </cell>
          <cell r="O1336" t="str">
            <v>VS-26/50037</v>
          </cell>
          <cell r="P1336" t="str">
            <v>done</v>
          </cell>
          <cell r="Q1336">
            <v>308133814610</v>
          </cell>
        </row>
        <row r="1337">
          <cell r="I1337" t="str">
            <v>SEKU4478347</v>
          </cell>
          <cell r="J1337" t="str">
            <v>MẠNH</v>
          </cell>
          <cell r="K1337">
            <v>0.875</v>
          </cell>
          <cell r="L1337" t="str">
            <v>SEKU4478347</v>
          </cell>
          <cell r="M1337" t="str">
            <v>TRI PHƯƠNG</v>
          </cell>
          <cell r="N1337" t="str">
            <v>HATECO HICT</v>
          </cell>
          <cell r="O1337" t="str">
            <v>VS-26/50038</v>
          </cell>
          <cell r="P1337" t="str">
            <v>done</v>
          </cell>
          <cell r="Q1337">
            <v>308134765060</v>
          </cell>
        </row>
        <row r="1338">
          <cell r="I1338" t="str">
            <v>MSKU1451977</v>
          </cell>
          <cell r="J1338" t="str">
            <v>SƠN</v>
          </cell>
          <cell r="K1338">
            <v>0.125</v>
          </cell>
          <cell r="L1338" t="str">
            <v>TLLU5645605</v>
          </cell>
          <cell r="M1338" t="str">
            <v>TRI PHƯƠNG</v>
          </cell>
          <cell r="N1338" t="str">
            <v>HATECO HICT</v>
          </cell>
          <cell r="O1338" t="str">
            <v>VS-26/50040</v>
          </cell>
          <cell r="P1338" t="str">
            <v>done</v>
          </cell>
          <cell r="Q1338">
            <v>308134820840</v>
          </cell>
        </row>
        <row r="1339">
          <cell r="I1339" t="str">
            <v>HASU4278146</v>
          </cell>
          <cell r="J1339" t="str">
            <v>PHƯƠNG</v>
          </cell>
          <cell r="K1339">
            <v>0.33333333333333331</v>
          </cell>
          <cell r="L1339" t="str">
            <v>MRSU4746381</v>
          </cell>
          <cell r="M1339" t="str">
            <v>TRI PHƯƠNG</v>
          </cell>
          <cell r="N1339" t="str">
            <v>HATECO HICT</v>
          </cell>
          <cell r="O1339" t="str">
            <v>VI-26/50199</v>
          </cell>
          <cell r="P1339" t="str">
            <v>done</v>
          </cell>
          <cell r="Q1339">
            <v>308134458350</v>
          </cell>
        </row>
        <row r="1340">
          <cell r="I1340" t="str">
            <v>CAAU6423971</v>
          </cell>
          <cell r="J1340" t="str">
            <v>ĐỨC</v>
          </cell>
          <cell r="K1340">
            <v>0.35416666666666669</v>
          </cell>
          <cell r="L1340" t="str">
            <v>CAAU6493942</v>
          </cell>
          <cell r="M1340" t="str">
            <v>TRI PHƯƠNG</v>
          </cell>
          <cell r="N1340" t="str">
            <v>HATECO HICT</v>
          </cell>
          <cell r="O1340" t="str">
            <v>VI-26/50222</v>
          </cell>
          <cell r="P1340" t="str">
            <v>done</v>
          </cell>
          <cell r="Q1340">
            <v>308134502120</v>
          </cell>
        </row>
        <row r="1341">
          <cell r="I1341" t="str">
            <v>CAAU6493942</v>
          </cell>
          <cell r="J1341" t="str">
            <v>MẠNH</v>
          </cell>
          <cell r="K1341">
            <v>0.38541666666666669</v>
          </cell>
          <cell r="L1341" t="str">
            <v>BSIU9847523</v>
          </cell>
          <cell r="M1341" t="str">
            <v>TRI PHƯƠNG</v>
          </cell>
          <cell r="N1341" t="str">
            <v>HATECO HICT</v>
          </cell>
          <cell r="O1341" t="str">
            <v>VI-26/50195</v>
          </cell>
          <cell r="P1341" t="str">
            <v>done</v>
          </cell>
          <cell r="Q1341">
            <v>308134438750</v>
          </cell>
        </row>
        <row r="1342">
          <cell r="I1342" t="str">
            <v>TCKU7680636</v>
          </cell>
          <cell r="J1342" t="str">
            <v>SÂM</v>
          </cell>
          <cell r="K1342">
            <v>0.4375</v>
          </cell>
          <cell r="L1342" t="str">
            <v>HASU4278146</v>
          </cell>
          <cell r="M1342" t="str">
            <v>TRI PHƯƠNG</v>
          </cell>
          <cell r="N1342" t="str">
            <v>HATECO HICT</v>
          </cell>
          <cell r="O1342" t="str">
            <v>VI-26/50200</v>
          </cell>
          <cell r="P1342" t="str">
            <v>done</v>
          </cell>
          <cell r="Q1342">
            <v>308134471060</v>
          </cell>
        </row>
        <row r="1343">
          <cell r="I1343" t="str">
            <v>MRSU3428534</v>
          </cell>
          <cell r="J1343" t="str">
            <v>ĐỨC</v>
          </cell>
          <cell r="K1343">
            <v>0.60416666666666663</v>
          </cell>
          <cell r="L1343" t="str">
            <v>TCKU7680636</v>
          </cell>
          <cell r="M1343" t="str">
            <v>TRI PHƯƠNG</v>
          </cell>
          <cell r="N1343" t="str">
            <v>HATECO HICT</v>
          </cell>
          <cell r="O1343" t="str">
            <v>VI-26/50208</v>
          </cell>
          <cell r="P1343" t="str">
            <v>done</v>
          </cell>
          <cell r="Q1343">
            <v>308134381130</v>
          </cell>
        </row>
        <row r="1344">
          <cell r="I1344" t="str">
            <v>HASU4607133</v>
          </cell>
          <cell r="J1344" t="str">
            <v>SÂM</v>
          </cell>
          <cell r="K1344">
            <v>0.89583333333333337</v>
          </cell>
          <cell r="L1344" t="str">
            <v>HASU4527803</v>
          </cell>
          <cell r="M1344" t="str">
            <v>TRI PHƯƠNG</v>
          </cell>
          <cell r="N1344" t="str">
            <v>HATECO HICT</v>
          </cell>
          <cell r="O1344" t="str">
            <v>VI-26/50196</v>
          </cell>
          <cell r="P1344" t="str">
            <v>done</v>
          </cell>
          <cell r="Q1344">
            <v>308134448550</v>
          </cell>
        </row>
        <row r="1345">
          <cell r="I1345" t="str">
            <v>CAAU5943881</v>
          </cell>
          <cell r="J1345" t="str">
            <v>ĐỨC</v>
          </cell>
          <cell r="K1345">
            <v>0.92708333333333337</v>
          </cell>
          <cell r="L1345" t="str">
            <v>CAAU6423971</v>
          </cell>
          <cell r="M1345" t="str">
            <v>TRI PHƯƠNG</v>
          </cell>
          <cell r="N1345" t="str">
            <v>HATECO HICT</v>
          </cell>
          <cell r="O1345" t="str">
            <v>VI-26/50201</v>
          </cell>
          <cell r="P1345" t="str">
            <v>done</v>
          </cell>
          <cell r="Q1345">
            <v>308134477730</v>
          </cell>
        </row>
        <row r="1346">
          <cell r="I1346" t="str">
            <v>MRSU4758356</v>
          </cell>
          <cell r="J1346" t="str">
            <v>ĐỨC</v>
          </cell>
          <cell r="K1346">
            <v>0.125</v>
          </cell>
          <cell r="L1346" t="str">
            <v>MRSU3428534</v>
          </cell>
          <cell r="M1346" t="str">
            <v>TRI PHƯƠNG</v>
          </cell>
          <cell r="N1346" t="str">
            <v>HATECO HICT</v>
          </cell>
          <cell r="O1346" t="str">
            <v>VI-26/50202</v>
          </cell>
          <cell r="P1346" t="str">
            <v>done</v>
          </cell>
          <cell r="Q1346">
            <v>308134490110</v>
          </cell>
        </row>
        <row r="1347">
          <cell r="I1347" t="str">
            <v>GCXU5686724</v>
          </cell>
          <cell r="J1347" t="str">
            <v>SÂM</v>
          </cell>
          <cell r="K1347">
            <v>0.125</v>
          </cell>
          <cell r="L1347" t="str">
            <v>GCXU5686724</v>
          </cell>
          <cell r="M1347" t="str">
            <v>TRI PHƯƠNG</v>
          </cell>
          <cell r="N1347" t="str">
            <v>HATECO HICT</v>
          </cell>
          <cell r="O1347" t="str">
            <v>VI-26/50230</v>
          </cell>
          <cell r="P1347" t="str">
            <v>done</v>
          </cell>
          <cell r="Q1347">
            <v>308134527800</v>
          </cell>
        </row>
        <row r="1348">
          <cell r="I1348" t="str">
            <v>MNBU0631801</v>
          </cell>
          <cell r="J1348" t="str">
            <v>SÂM</v>
          </cell>
          <cell r="K1348">
            <v>0.875</v>
          </cell>
          <cell r="L1348" t="str">
            <v>CGMU5395288</v>
          </cell>
          <cell r="M1348" t="str">
            <v>TRI PHƯƠNG</v>
          </cell>
          <cell r="N1348" t="str">
            <v>HATECO HICT</v>
          </cell>
          <cell r="P1348" t="str">
            <v>done</v>
          </cell>
          <cell r="Q1348">
            <v>308135523640</v>
          </cell>
        </row>
        <row r="1349">
          <cell r="I1349" t="str">
            <v>MRSU5364151</v>
          </cell>
          <cell r="J1349" t="str">
            <v>MẠNH</v>
          </cell>
          <cell r="K1349" t="str">
            <v>22:00</v>
          </cell>
          <cell r="M1349" t="str">
            <v>TRI PHƯƠNG</v>
          </cell>
          <cell r="N1349" t="str">
            <v>HATECO HICT</v>
          </cell>
          <cell r="P1349" t="str">
            <v>done</v>
          </cell>
          <cell r="Q1349">
            <v>308135197110</v>
          </cell>
        </row>
        <row r="1350">
          <cell r="I1350" t="str">
            <v>TEMU9867467</v>
          </cell>
          <cell r="J1350" t="str">
            <v>THỊNH</v>
          </cell>
          <cell r="K1350" t="str">
            <v>11:00</v>
          </cell>
          <cell r="L1350" t="str">
            <v>HPCU4943060</v>
          </cell>
          <cell r="M1350" t="str">
            <v>TRI PHƯƠNG</v>
          </cell>
          <cell r="N1350" t="str">
            <v>TÂN VŨ</v>
          </cell>
          <cell r="Q1350">
            <v>0</v>
          </cell>
        </row>
        <row r="1351">
          <cell r="I1351" t="str">
            <v>CGMU9401624</v>
          </cell>
          <cell r="J1351" t="str">
            <v>PHƯƠNG</v>
          </cell>
          <cell r="K1351" t="str">
            <v>13:00</v>
          </cell>
          <cell r="L1351" t="str">
            <v>TRHU6973411</v>
          </cell>
          <cell r="M1351" t="str">
            <v>TRI PHƯƠNG</v>
          </cell>
          <cell r="N1351" t="str">
            <v>TÂN VŨ</v>
          </cell>
          <cell r="Q1351">
            <v>0</v>
          </cell>
        </row>
        <row r="1352">
          <cell r="I1352" t="str">
            <v>FBIU5223704</v>
          </cell>
          <cell r="J1352" t="str">
            <v>MẠNH</v>
          </cell>
          <cell r="K1352" t="str">
            <v>14:00</v>
          </cell>
          <cell r="L1352" t="str">
            <v>FFAU1448883</v>
          </cell>
          <cell r="M1352" t="str">
            <v>TRI PHƯƠNG</v>
          </cell>
          <cell r="N1352" t="str">
            <v>TÂN VŨ</v>
          </cell>
          <cell r="Q1352">
            <v>0</v>
          </cell>
        </row>
        <row r="1353">
          <cell r="I1353" t="str">
            <v>SEGU9498017</v>
          </cell>
          <cell r="J1353" t="str">
            <v>SƠN</v>
          </cell>
          <cell r="K1353" t="str">
            <v>21:00</v>
          </cell>
          <cell r="L1353" t="str">
            <v>ONEU9120739</v>
          </cell>
          <cell r="M1353" t="str">
            <v>TRI PHƯƠNG</v>
          </cell>
          <cell r="N1353" t="str">
            <v>TÂN VŨ</v>
          </cell>
          <cell r="Q1353">
            <v>0</v>
          </cell>
        </row>
        <row r="1354">
          <cell r="I1354" t="str">
            <v>CGMU5361631</v>
          </cell>
          <cell r="J1354" t="str">
            <v>THI</v>
          </cell>
          <cell r="K1354" t="str">
            <v>23:00</v>
          </cell>
          <cell r="M1354" t="str">
            <v>TRI PHƯƠNG</v>
          </cell>
          <cell r="N1354" t="str">
            <v>TÂN VŨ</v>
          </cell>
          <cell r="Q1354">
            <v>0</v>
          </cell>
        </row>
        <row r="1355">
          <cell r="I1355" t="str">
            <v>MNBU0538793</v>
          </cell>
          <cell r="J1355" t="str">
            <v>PHƯƠNG</v>
          </cell>
          <cell r="K1355" t="str">
            <v>11:00</v>
          </cell>
          <cell r="M1355" t="str">
            <v>TRI PHƯƠNG</v>
          </cell>
          <cell r="N1355" t="str">
            <v>HATECO HICT</v>
          </cell>
          <cell r="P1355" t="str">
            <v>done</v>
          </cell>
          <cell r="Q1355">
            <v>308138603160</v>
          </cell>
        </row>
        <row r="1356">
          <cell r="I1356" t="str">
            <v>CIPU5026140</v>
          </cell>
          <cell r="J1356" t="str">
            <v>THỊNH</v>
          </cell>
          <cell r="K1356" t="str">
            <v>21:00</v>
          </cell>
          <cell r="M1356" t="str">
            <v>TRI PHƯƠNG</v>
          </cell>
          <cell r="N1356" t="str">
            <v>HATECO HICT</v>
          </cell>
          <cell r="P1356" t="str">
            <v>done</v>
          </cell>
          <cell r="Q1356">
            <v>308138639010</v>
          </cell>
        </row>
        <row r="1357">
          <cell r="I1357" t="str">
            <v>TTNU8009039</v>
          </cell>
          <cell r="J1357" t="str">
            <v>ĐỨC</v>
          </cell>
          <cell r="K1357" t="str">
            <v>13:00</v>
          </cell>
          <cell r="M1357" t="str">
            <v>TRI PHƯƠNG</v>
          </cell>
          <cell r="N1357" t="str">
            <v>TÂN VŨ</v>
          </cell>
          <cell r="Q1357">
            <v>0</v>
          </cell>
        </row>
        <row r="1358">
          <cell r="I1358" t="str">
            <v>CGMU5574534</v>
          </cell>
          <cell r="K1358" t="str">
            <v>15:00</v>
          </cell>
          <cell r="M1358" t="str">
            <v>TRI PHƯƠNG</v>
          </cell>
          <cell r="N1358" t="str">
            <v>TÂN VŨ</v>
          </cell>
          <cell r="Q1358">
            <v>0</v>
          </cell>
        </row>
        <row r="1359">
          <cell r="I1359" t="str">
            <v>SZLU9930145</v>
          </cell>
          <cell r="K1359" t="str">
            <v>21:00</v>
          </cell>
          <cell r="M1359" t="str">
            <v>TRI PHƯƠNG</v>
          </cell>
          <cell r="N1359" t="str">
            <v>TÂN VŨ</v>
          </cell>
          <cell r="Q1359">
            <v>0</v>
          </cell>
        </row>
        <row r="1360">
          <cell r="I1360" t="str">
            <v>EMCU1550122</v>
          </cell>
          <cell r="K1360">
            <v>0.33333333333333331</v>
          </cell>
          <cell r="Q1360">
            <v>0</v>
          </cell>
        </row>
        <row r="1361">
          <cell r="I1361" t="str">
            <v>FFAU7497606</v>
          </cell>
          <cell r="J1361" t="str">
            <v>THỊNH</v>
          </cell>
          <cell r="K1361">
            <v>0.33333333333333331</v>
          </cell>
          <cell r="L1361" t="str">
            <v>EGSU1542717</v>
          </cell>
          <cell r="Q1361">
            <v>0</v>
          </cell>
        </row>
        <row r="1362">
          <cell r="I1362" t="str">
            <v>FFAU7243849</v>
          </cell>
          <cell r="J1362" t="str">
            <v>HƯỜNG</v>
          </cell>
          <cell r="K1362">
            <v>0.41666666666666669</v>
          </cell>
          <cell r="L1362" t="str">
            <v>MSDU8235228</v>
          </cell>
          <cell r="Q1362">
            <v>0</v>
          </cell>
        </row>
        <row r="1363">
          <cell r="I1363" t="str">
            <v>FFAU5947319</v>
          </cell>
          <cell r="J1363" t="str">
            <v>MẠNH</v>
          </cell>
          <cell r="K1363">
            <v>0.45833333333333331</v>
          </cell>
          <cell r="L1363" t="str">
            <v>MRSU5364151</v>
          </cell>
          <cell r="Q1363">
            <v>0</v>
          </cell>
        </row>
        <row r="1364">
          <cell r="I1364" t="str">
            <v>FFAU1116024</v>
          </cell>
          <cell r="J1364" t="str">
            <v>QUÂN</v>
          </cell>
          <cell r="K1364">
            <v>0.54166666666666663</v>
          </cell>
          <cell r="L1364" t="str">
            <v>EMCU1643879</v>
          </cell>
          <cell r="Q1364">
            <v>0</v>
          </cell>
        </row>
        <row r="1365">
          <cell r="I1365" t="str">
            <v>EMCU8677058</v>
          </cell>
          <cell r="J1365" t="str">
            <v>DĐỨC</v>
          </cell>
          <cell r="K1365">
            <v>0.58333333333333337</v>
          </cell>
          <cell r="Q1365">
            <v>0</v>
          </cell>
        </row>
        <row r="1366">
          <cell r="K1366">
            <v>0.58333333333333337</v>
          </cell>
          <cell r="Q1366">
            <v>0</v>
          </cell>
        </row>
        <row r="1367">
          <cell r="I1367" t="str">
            <v>FFAU7525040</v>
          </cell>
          <cell r="J1367" t="str">
            <v>QUÂN</v>
          </cell>
          <cell r="K1367">
            <v>0.875</v>
          </cell>
          <cell r="L1367" t="str">
            <v>FFAU7525040</v>
          </cell>
          <cell r="Q1367">
            <v>0</v>
          </cell>
        </row>
        <row r="1368">
          <cell r="I1368" t="str">
            <v>SITU9208604</v>
          </cell>
          <cell r="J1368" t="str">
            <v>THI
PHƯƠNG KÉO VỀ</v>
          </cell>
          <cell r="L1368" t="str">
            <v>EGSU9366548</v>
          </cell>
          <cell r="N1368" t="str">
            <v>ĐÌNH VŨ</v>
          </cell>
          <cell r="O1368" t="str">
            <v>VZ-26/50050 +VZ-26/50050R+ VZ-26/50050R-01</v>
          </cell>
          <cell r="P1368" t="str">
            <v>done</v>
          </cell>
          <cell r="Q1368" t="str">
            <v>308144703810
308144603340
308144587240
308144517130</v>
          </cell>
        </row>
        <row r="1369">
          <cell r="I1369" t="str">
            <v>CAAU9601974</v>
          </cell>
          <cell r="J1369" t="str">
            <v>THỊNH
THÀNH KÉO VỀ</v>
          </cell>
          <cell r="L1369" t="str">
            <v>ONEU1648268</v>
          </cell>
          <cell r="N1369" t="str">
            <v>ĐÌNH VŨ</v>
          </cell>
          <cell r="O1369" t="str">
            <v>VZ-26/50053 +VZ-26/50053R +VZ-26/50053R-01</v>
          </cell>
          <cell r="P1369" t="str">
            <v>done</v>
          </cell>
          <cell r="Q1369" t="str">
            <v>308144809510
308144831430
308144826310
308144816510</v>
          </cell>
        </row>
        <row r="1370">
          <cell r="I1370" t="str">
            <v>CAAU9865494</v>
          </cell>
          <cell r="J1370" t="str">
            <v>THI
KÉO VỀ</v>
          </cell>
          <cell r="L1370" t="str">
            <v>EMCU1550122</v>
          </cell>
          <cell r="N1370" t="str">
            <v>ĐÌNH VŨ</v>
          </cell>
          <cell r="O1370" t="str">
            <v>VZ-26/50056 +VZ-26/50056R +VZ-26/50056R-01</v>
          </cell>
          <cell r="P1370" t="str">
            <v>done</v>
          </cell>
          <cell r="Q1370" t="str">
            <v>308144843440
308144856260
308144849300</v>
          </cell>
        </row>
        <row r="1371">
          <cell r="I1371" t="str">
            <v>HPCU5023724</v>
          </cell>
          <cell r="J1371" t="str">
            <v>PHƯƠNG
MẠNH KÉO VỀ</v>
          </cell>
          <cell r="L1371" t="str">
            <v>FFAU1116024</v>
          </cell>
          <cell r="N1371" t="str">
            <v>ĐÌNH VŨ</v>
          </cell>
          <cell r="O1371" t="str">
            <v>VZ-26/50057 +VZ-26/50057R +VZ-26/50057R-01</v>
          </cell>
          <cell r="P1371" t="str">
            <v>done</v>
          </cell>
          <cell r="Q1371" t="str">
            <v>308144869710
308144876120
308144872950</v>
          </cell>
        </row>
        <row r="1372">
          <cell r="I1372" t="str">
            <v>UETU7257944</v>
          </cell>
          <cell r="J1372" t="str">
            <v>THỊNH
QUÂN KÉO VỀ</v>
          </cell>
          <cell r="L1372" t="str">
            <v>HASU4116211</v>
          </cell>
          <cell r="N1372" t="str">
            <v>ĐÌNH VŨ</v>
          </cell>
          <cell r="O1372" t="str">
            <v>VZ-26/50049 +VZ-26/50049R +VZ-26/50049R-01</v>
          </cell>
          <cell r="P1372" t="str">
            <v>done</v>
          </cell>
          <cell r="Q1372" t="str">
            <v>308144384350
308144362100
308144327800
308144247520</v>
          </cell>
        </row>
        <row r="1373">
          <cell r="I1373" t="str">
            <v>SELU4437495</v>
          </cell>
          <cell r="J1373" t="str">
            <v>HƯỜNG
PHƯƠNG KÉO VỀ</v>
          </cell>
          <cell r="L1373" t="str">
            <v>UETU7379198</v>
          </cell>
          <cell r="N1373" t="str">
            <v>ĐÌNH VŨ</v>
          </cell>
          <cell r="O1373" t="str">
            <v>VZ-26/50051 +VZ-26/50051R +VZ-26/50051R-01</v>
          </cell>
          <cell r="P1373" t="str">
            <v>done</v>
          </cell>
          <cell r="Q1373" t="str">
            <v>308144727830
308144787220
308144762830
308144741130</v>
          </cell>
        </row>
        <row r="1374">
          <cell r="I1374" t="str">
            <v>SELU4346271</v>
          </cell>
          <cell r="J1374" t="str">
            <v>PHƯƠNG
HƯỜNG KÉO VỀ</v>
          </cell>
          <cell r="L1374" t="str">
            <v>CAAU7482599</v>
          </cell>
          <cell r="N1374" t="str">
            <v>ĐÌNH VŨ</v>
          </cell>
          <cell r="O1374" t="str">
            <v>VZ-26/50048 +VZ-26/50048R+ VZ-26/50048R-01</v>
          </cell>
          <cell r="P1374" t="str">
            <v>done</v>
          </cell>
          <cell r="Q1374" t="str">
            <v>308143956100
308143900100
308143863110
308143701960
308143586350</v>
          </cell>
        </row>
        <row r="1375">
          <cell r="I1375" t="str">
            <v>EGSU9876496</v>
          </cell>
          <cell r="K1375">
            <v>0.33333333333333331</v>
          </cell>
          <cell r="O1375" t="str">
            <v>VS-26/50043</v>
          </cell>
          <cell r="Q1375">
            <v>0</v>
          </cell>
        </row>
        <row r="1376">
          <cell r="I1376" t="str">
            <v>TCLU6629196</v>
          </cell>
          <cell r="J1376" t="str">
            <v>THÀNH</v>
          </cell>
          <cell r="K1376">
            <v>0.33333333333333331</v>
          </cell>
          <cell r="L1376" t="str">
            <v>GAOU7291439</v>
          </cell>
          <cell r="O1376" t="str">
            <v>VH-26/50056</v>
          </cell>
          <cell r="Q1376">
            <v>0</v>
          </cell>
        </row>
        <row r="1377">
          <cell r="I1377" t="str">
            <v>ONEU0521643</v>
          </cell>
          <cell r="J1377" t="str">
            <v>ĐỨC</v>
          </cell>
          <cell r="K1377">
            <v>0.375</v>
          </cell>
          <cell r="L1377" t="str">
            <v>EGSU9876496</v>
          </cell>
          <cell r="O1377" t="str">
            <v>VH-26/50057</v>
          </cell>
          <cell r="Q1377">
            <v>0</v>
          </cell>
        </row>
        <row r="1378">
          <cell r="I1378" t="str">
            <v>TCNU6960200</v>
          </cell>
          <cell r="J1378" t="str">
            <v>SƠN</v>
          </cell>
          <cell r="K1378">
            <v>0.41666666666666669</v>
          </cell>
          <cell r="L1378" t="str">
            <v>TCLU6629196</v>
          </cell>
          <cell r="O1378" t="str">
            <v>VH-26/50058</v>
          </cell>
          <cell r="Q1378">
            <v>0</v>
          </cell>
        </row>
        <row r="1379">
          <cell r="I1379" t="str">
            <v>FFAU5107226</v>
          </cell>
          <cell r="K1379">
            <v>0.54166666666666663</v>
          </cell>
          <cell r="O1379" t="str">
            <v>VF-26/50007</v>
          </cell>
          <cell r="Q1379">
            <v>0</v>
          </cell>
        </row>
        <row r="1380">
          <cell r="I1380" t="str">
            <v>KKFU7836840</v>
          </cell>
          <cell r="K1380">
            <v>0.54166666666666663</v>
          </cell>
          <cell r="O1380" t="str">
            <v>VH-26/50060</v>
          </cell>
          <cell r="Q1380">
            <v>0</v>
          </cell>
        </row>
        <row r="1381">
          <cell r="I1381" t="str">
            <v>TRHU6198356</v>
          </cell>
          <cell r="J1381" t="str">
            <v>QUÂN</v>
          </cell>
          <cell r="K1381">
            <v>0.875</v>
          </cell>
          <cell r="L1381" t="str">
            <v>TRHU8006344</v>
          </cell>
          <cell r="O1381" t="str">
            <v>VH-26/50059</v>
          </cell>
          <cell r="Q1381">
            <v>0</v>
          </cell>
        </row>
        <row r="1382">
          <cell r="I1382" t="str">
            <v>FFAU7178255</v>
          </cell>
          <cell r="J1382" t="str">
            <v>HƯỜNG
THỊNH KÉO VỀ</v>
          </cell>
          <cell r="K1382">
            <v>0.33333333333333331</v>
          </cell>
          <cell r="L1382" t="str">
            <v>MNBU0631801</v>
          </cell>
          <cell r="N1382" t="str">
            <v>ĐÌNH VŨ</v>
          </cell>
          <cell r="O1382" t="str">
            <v>VZ-26/50058+VZ-26/50058R +VZ-26/50058R-01</v>
          </cell>
          <cell r="P1382" t="str">
            <v>done</v>
          </cell>
          <cell r="Q1382" t="str">
            <v>308148125300
308148148250
308148057840
308147996720
308148088050</v>
          </cell>
        </row>
        <row r="1383">
          <cell r="I1383" t="str">
            <v>CAAU9613358</v>
          </cell>
          <cell r="J1383" t="str">
            <v>THI</v>
          </cell>
          <cell r="K1383">
            <v>0.41666666666666669</v>
          </cell>
          <cell r="L1383" t="str">
            <v>MNBU0538793</v>
          </cell>
          <cell r="O1383" t="str">
            <v>HP</v>
          </cell>
          <cell r="Q1383">
            <v>0</v>
          </cell>
        </row>
        <row r="1384">
          <cell r="I1384" t="str">
            <v>EGSU1503834</v>
          </cell>
          <cell r="J1384" t="str">
            <v>QUÂN</v>
          </cell>
          <cell r="K1384">
            <v>0.41666666666666669</v>
          </cell>
          <cell r="L1384" t="str">
            <v>FFAU7243849</v>
          </cell>
          <cell r="Q1384">
            <v>0</v>
          </cell>
        </row>
        <row r="1385">
          <cell r="I1385" t="str">
            <v>TIIU6091316</v>
          </cell>
          <cell r="J1385" t="str">
            <v>PHƯƠNG
LÂM TÙNG KÉO VỀ</v>
          </cell>
          <cell r="K1385">
            <v>0.41666666666666669</v>
          </cell>
          <cell r="N1385" t="str">
            <v>NAM ĐÌNH VŨ</v>
          </cell>
          <cell r="O1385" t="str">
            <v>HP</v>
          </cell>
          <cell r="P1385" t="str">
            <v>done</v>
          </cell>
          <cell r="Q1385">
            <v>308139108340</v>
          </cell>
        </row>
        <row r="1386">
          <cell r="I1386" t="str">
            <v>TXGU7734468</v>
          </cell>
          <cell r="J1386" t="str">
            <v>THÀNH</v>
          </cell>
          <cell r="K1386">
            <v>0.45833333333333331</v>
          </cell>
          <cell r="L1386" t="str">
            <v>SITU9171700</v>
          </cell>
          <cell r="Q1386">
            <v>0</v>
          </cell>
        </row>
        <row r="1387">
          <cell r="K1387">
            <v>0.54166666666666663</v>
          </cell>
          <cell r="Q1387">
            <v>0</v>
          </cell>
        </row>
        <row r="1388">
          <cell r="I1388" t="str">
            <v>TIIU6441707</v>
          </cell>
          <cell r="J1388" t="str">
            <v>SƠN</v>
          </cell>
          <cell r="K1388">
            <v>0.54166666666666663</v>
          </cell>
          <cell r="L1388" t="str">
            <v>TXGU7734468</v>
          </cell>
          <cell r="O1388" t="str">
            <v>RTB-26/0005+SCN-26/01</v>
          </cell>
          <cell r="Q1388">
            <v>0</v>
          </cell>
        </row>
        <row r="1389">
          <cell r="I1389" t="str">
            <v>CAAU4559043</v>
          </cell>
          <cell r="J1389" t="str">
            <v>ĐỨC</v>
          </cell>
          <cell r="K1389">
            <v>0.54166666666666663</v>
          </cell>
          <cell r="L1389" t="str">
            <v>CGMU5361631</v>
          </cell>
          <cell r="O1389" t="str">
            <v>HP</v>
          </cell>
          <cell r="Q1389">
            <v>0</v>
          </cell>
        </row>
        <row r="1390">
          <cell r="I1390" t="str">
            <v>FFAU7262216</v>
          </cell>
          <cell r="J1390" t="str">
            <v>PHƯƠNG
THỊNH KÉO VỀ</v>
          </cell>
          <cell r="K1390">
            <v>0.58333333333333337</v>
          </cell>
          <cell r="L1390" t="str">
            <v>TLLU1066550</v>
          </cell>
          <cell r="N1390" t="str">
            <v>ĐÌNH VŨ</v>
          </cell>
          <cell r="O1390" t="str">
            <v>VZ-26/50059+VZ-26/50059R +VZ-26/50059R-01</v>
          </cell>
          <cell r="P1390" t="str">
            <v>done</v>
          </cell>
          <cell r="Q1390" t="str">
            <v>308148189440
308148308000
308148264010
308148224220</v>
          </cell>
        </row>
        <row r="1391">
          <cell r="I1391" t="str">
            <v>EITU9038398</v>
          </cell>
          <cell r="J1391" t="str">
            <v>HƯỜNG</v>
          </cell>
          <cell r="K1391">
            <v>0.58333333333333337</v>
          </cell>
          <cell r="L1391" t="str">
            <v>FBIU5223704</v>
          </cell>
          <cell r="O1391" t="str">
            <v>RTB-26/0006</v>
          </cell>
          <cell r="Q1391">
            <v>0</v>
          </cell>
        </row>
        <row r="1392">
          <cell r="I1392" t="str">
            <v>EGSU1051098</v>
          </cell>
          <cell r="J1392" t="str">
            <v>THÀNH</v>
          </cell>
          <cell r="K1392">
            <v>0.625</v>
          </cell>
          <cell r="L1392" t="str">
            <v>CGMU5574534</v>
          </cell>
          <cell r="O1392" t="str">
            <v>RTB-26/0008</v>
          </cell>
          <cell r="Q1392">
            <v>0</v>
          </cell>
        </row>
        <row r="1393">
          <cell r="I1393" t="str">
            <v>EGSU6126923</v>
          </cell>
          <cell r="J1393" t="str">
            <v>SƠN</v>
          </cell>
          <cell r="L1393" t="str">
            <v>CAAU4559043</v>
          </cell>
          <cell r="Q1393">
            <v>0</v>
          </cell>
        </row>
        <row r="1394">
          <cell r="I1394" t="str">
            <v>TIIU6553564</v>
          </cell>
          <cell r="J1394" t="str">
            <v>THỊNH</v>
          </cell>
          <cell r="K1394">
            <v>0.625</v>
          </cell>
          <cell r="L1394" t="str">
            <v>CIPU5026140</v>
          </cell>
          <cell r="O1394" t="str">
            <v>HP</v>
          </cell>
          <cell r="Q1394">
            <v>0</v>
          </cell>
        </row>
        <row r="1395">
          <cell r="I1395" t="str">
            <v>FFAU7416395</v>
          </cell>
          <cell r="J1395" t="str">
            <v>THI</v>
          </cell>
          <cell r="K1395">
            <v>0.625</v>
          </cell>
          <cell r="L1395" t="str">
            <v>EITU9038398</v>
          </cell>
          <cell r="O1395" t="str">
            <v>HP</v>
          </cell>
          <cell r="Q1395">
            <v>0</v>
          </cell>
        </row>
        <row r="1396">
          <cell r="I1396" t="str">
            <v>SELU4412898</v>
          </cell>
          <cell r="J1396" t="str">
            <v>PHƯƠNG</v>
          </cell>
          <cell r="K1396">
            <v>0.875</v>
          </cell>
          <cell r="L1396" t="str">
            <v>SELU4412898</v>
          </cell>
          <cell r="O1396" t="str">
            <v>HP</v>
          </cell>
          <cell r="Q1396">
            <v>0</v>
          </cell>
        </row>
        <row r="1397">
          <cell r="I1397" t="str">
            <v>CMAU6711021</v>
          </cell>
          <cell r="J1397" t="str">
            <v>HƯỜNG</v>
          </cell>
          <cell r="K1397">
            <v>0.875</v>
          </cell>
          <cell r="L1397" t="str">
            <v>ONEU9413300</v>
          </cell>
          <cell r="O1397" t="str">
            <v>HP</v>
          </cell>
          <cell r="Q1397">
            <v>0</v>
          </cell>
        </row>
        <row r="1398">
          <cell r="I1398" t="str">
            <v>UETU7488666</v>
          </cell>
          <cell r="J1398" t="str">
            <v>THI
SƠN KÉO VỀ</v>
          </cell>
          <cell r="K1398">
            <v>0.875</v>
          </cell>
          <cell r="L1398" t="str">
            <v>SZLU9930145</v>
          </cell>
          <cell r="N1398" t="str">
            <v>ĐÌNH VŨ</v>
          </cell>
          <cell r="O1398" t="str">
            <v>VZ-26/50052 +VZ-26/50052R +VZ-26/50052R-01</v>
          </cell>
          <cell r="P1398" t="str">
            <v>done</v>
          </cell>
          <cell r="Q1398" t="str">
            <v>308156985310
308147548940
308147616360
308147649520</v>
          </cell>
        </row>
        <row r="1399">
          <cell r="I1399" t="str">
            <v>CAJU5072694</v>
          </cell>
          <cell r="J1399" t="str">
            <v>SƠN</v>
          </cell>
          <cell r="K1399">
            <v>0.91666666666666663</v>
          </cell>
          <cell r="L1399" t="str">
            <v>CAJU5072694</v>
          </cell>
          <cell r="O1399" t="str">
            <v>HP</v>
          </cell>
          <cell r="Q1399">
            <v>0</v>
          </cell>
        </row>
        <row r="1400">
          <cell r="I1400" t="str">
            <v>TIIU7553682</v>
          </cell>
          <cell r="J1400" t="str">
            <v>THÀNH</v>
          </cell>
          <cell r="K1400">
            <v>0.95833333333333337</v>
          </cell>
          <cell r="L1400" t="str">
            <v>SEGU9257540</v>
          </cell>
          <cell r="O1400" t="str">
            <v>HP</v>
          </cell>
          <cell r="Q1400">
            <v>0</v>
          </cell>
        </row>
        <row r="1401">
          <cell r="I1401" t="str">
            <v>EGSU6147016</v>
          </cell>
          <cell r="J1401" t="str">
            <v>QUÂN</v>
          </cell>
          <cell r="K1401">
            <v>0</v>
          </cell>
          <cell r="L1401" t="str">
            <v>EGSU1051098</v>
          </cell>
          <cell r="O1401" t="str">
            <v>RTB-26/0007</v>
          </cell>
          <cell r="Q1401">
            <v>0</v>
          </cell>
        </row>
        <row r="1402">
          <cell r="I1402" t="str">
            <v>FFAU3578377</v>
          </cell>
          <cell r="J1402" t="str">
            <v>XUYÊN 
KÉO VỀ</v>
          </cell>
          <cell r="K1402">
            <v>0.54166666666666663</v>
          </cell>
          <cell r="N1402" t="str">
            <v>Grand Forward</v>
          </cell>
          <cell r="P1402" t="str">
            <v>done</v>
          </cell>
          <cell r="Q1402">
            <v>308142906060</v>
          </cell>
        </row>
        <row r="1403">
          <cell r="I1403" t="str">
            <v>TCLU6615084</v>
          </cell>
          <cell r="J1403" t="str">
            <v>LÂM TÙNG
THÀNH KÉO VỀ</v>
          </cell>
          <cell r="K1403">
            <v>0.625</v>
          </cell>
          <cell r="N1403" t="str">
            <v>TÂN VŨ</v>
          </cell>
          <cell r="P1403" t="str">
            <v>done</v>
          </cell>
          <cell r="Q1403">
            <v>308146250330</v>
          </cell>
        </row>
        <row r="1404">
          <cell r="I1404" t="str">
            <v>SEKU6992360</v>
          </cell>
          <cell r="J1404" t="str">
            <v>THI</v>
          </cell>
          <cell r="K1404">
            <v>0.33333333333333331</v>
          </cell>
          <cell r="L1404" t="str">
            <v>CAAU5943881</v>
          </cell>
          <cell r="M1404" t="str">
            <v>TRI PHƯƠNG</v>
          </cell>
          <cell r="N1404" t="str">
            <v>HATECO HICT</v>
          </cell>
          <cell r="O1404" t="str">
            <v>VI-26/50231</v>
          </cell>
          <cell r="P1404" t="str">
            <v>done</v>
          </cell>
          <cell r="Q1404">
            <v>308141488340</v>
          </cell>
        </row>
        <row r="1405">
          <cell r="I1405" t="str">
            <v>TCKU7601283</v>
          </cell>
          <cell r="J1405" t="str">
            <v>THÀNH</v>
          </cell>
          <cell r="K1405">
            <v>0.36458333333333331</v>
          </cell>
          <cell r="L1405" t="str">
            <v>MRSU4758356</v>
          </cell>
          <cell r="M1405" t="str">
            <v>TRI PHƯƠNG</v>
          </cell>
          <cell r="N1405" t="str">
            <v>HATECO HICT</v>
          </cell>
          <cell r="O1405" t="str">
            <v>VI-26/50236</v>
          </cell>
          <cell r="P1405" t="str">
            <v>done</v>
          </cell>
          <cell r="Q1405">
            <v>308141274400</v>
          </cell>
        </row>
        <row r="1406">
          <cell r="I1406" t="str">
            <v>CIPU5119643</v>
          </cell>
          <cell r="J1406" t="str">
            <v>HƯỜNG</v>
          </cell>
          <cell r="K1406">
            <v>0.88541666666666663</v>
          </cell>
          <cell r="L1406" t="str">
            <v>EGSU6268466</v>
          </cell>
          <cell r="M1406" t="str">
            <v>TRI PHƯƠNG</v>
          </cell>
          <cell r="N1406" t="str">
            <v>HATECO HICT</v>
          </cell>
          <cell r="O1406" t="str">
            <v>VI-26/50246</v>
          </cell>
          <cell r="P1406" t="str">
            <v>done</v>
          </cell>
          <cell r="Q1406">
            <v>308141296540</v>
          </cell>
        </row>
        <row r="1407">
          <cell r="I1407" t="str">
            <v>CAAU5273990</v>
          </cell>
          <cell r="J1407" t="str">
            <v xml:space="preserve">MẠNH </v>
          </cell>
          <cell r="K1407">
            <v>0.89583333333333337</v>
          </cell>
          <cell r="L1407" t="str">
            <v>TCKU7601283</v>
          </cell>
          <cell r="M1407" t="str">
            <v>TRI PHƯƠNG</v>
          </cell>
          <cell r="N1407" t="str">
            <v>HATECO HICT</v>
          </cell>
          <cell r="O1407" t="str">
            <v>VI-26/50247</v>
          </cell>
          <cell r="P1407" t="str">
            <v>done</v>
          </cell>
          <cell r="Q1407">
            <v>308141333530</v>
          </cell>
        </row>
        <row r="1408">
          <cell r="I1408" t="str">
            <v>CAAU6638331</v>
          </cell>
          <cell r="J1408" t="str">
            <v>THỊNH</v>
          </cell>
          <cell r="K1408">
            <v>0.96875</v>
          </cell>
          <cell r="L1408" t="str">
            <v>SEKU6992360</v>
          </cell>
          <cell r="M1408" t="str">
            <v>TRI PHƯƠNG</v>
          </cell>
          <cell r="N1408" t="str">
            <v>HATECO HICT</v>
          </cell>
          <cell r="O1408" t="str">
            <v>VI-26/50251</v>
          </cell>
          <cell r="P1408" t="str">
            <v>done</v>
          </cell>
          <cell r="Q1408">
            <v>308141519510</v>
          </cell>
        </row>
        <row r="1409">
          <cell r="I1409" t="str">
            <v>MRSU5621964</v>
          </cell>
          <cell r="J1409" t="str">
            <v>VINH
KÉO VỀ</v>
          </cell>
          <cell r="K1409">
            <v>6.25E-2</v>
          </cell>
          <cell r="L1409" t="str">
            <v>MRSU5621964</v>
          </cell>
          <cell r="M1409">
            <v>0</v>
          </cell>
          <cell r="N1409" t="str">
            <v>HATECO HICT</v>
          </cell>
          <cell r="O1409" t="str">
            <v>VI-26/50259</v>
          </cell>
          <cell r="P1409" t="str">
            <v>done</v>
          </cell>
          <cell r="Q1409">
            <v>308141355930</v>
          </cell>
        </row>
        <row r="1410">
          <cell r="I1410" t="str">
            <v>MRSU5757816</v>
          </cell>
          <cell r="J1410" t="str">
            <v>MẠNH</v>
          </cell>
          <cell r="K1410">
            <v>0.10416666666666667</v>
          </cell>
          <cell r="M1410" t="str">
            <v>TRI PHƯƠNG</v>
          </cell>
          <cell r="N1410" t="str">
            <v>HATECO HICT</v>
          </cell>
          <cell r="O1410" t="str">
            <v>VI-26/50255</v>
          </cell>
          <cell r="P1410" t="str">
            <v>done</v>
          </cell>
          <cell r="Q1410">
            <v>308141500130</v>
          </cell>
        </row>
        <row r="1411">
          <cell r="I1411" t="str">
            <v>MRSU8635690</v>
          </cell>
          <cell r="J1411" t="str">
            <v>THỤY
KÉO VỀ</v>
          </cell>
          <cell r="K1411">
            <v>0.14583333333333334</v>
          </cell>
          <cell r="L1411" t="str">
            <v>MRSU8635690</v>
          </cell>
          <cell r="M1411">
            <v>0</v>
          </cell>
          <cell r="N1411" t="str">
            <v>HATECO HICT</v>
          </cell>
          <cell r="O1411" t="str">
            <v>VI-26/50256</v>
          </cell>
          <cell r="P1411" t="str">
            <v>done</v>
          </cell>
          <cell r="Q1411">
            <v>308141550050</v>
          </cell>
        </row>
        <row r="1412">
          <cell r="I1412" t="str">
            <v>TTNU8800944</v>
          </cell>
          <cell r="K1412">
            <v>0.91666666666666663</v>
          </cell>
          <cell r="M1412" t="str">
            <v>TRI PHƯƠNG</v>
          </cell>
          <cell r="N1412" t="str">
            <v>TÂN VŨ</v>
          </cell>
          <cell r="Q1412">
            <v>0</v>
          </cell>
        </row>
        <row r="1413">
          <cell r="I1413" t="str">
            <v>TLLU1066550</v>
          </cell>
          <cell r="J1413" t="str">
            <v>THI</v>
          </cell>
          <cell r="K1413" t="str">
            <v>8:00</v>
          </cell>
          <cell r="L1413" t="str">
            <v>FFAU5947319</v>
          </cell>
          <cell r="M1413" t="str">
            <v>TRI PHƯƠNG</v>
          </cell>
          <cell r="N1413" t="str">
            <v>TÂN VŨ</v>
          </cell>
          <cell r="Q1413">
            <v>0</v>
          </cell>
        </row>
        <row r="1414">
          <cell r="I1414" t="str">
            <v>SZLU9930145</v>
          </cell>
          <cell r="J1414" t="str">
            <v>HƯỜNG</v>
          </cell>
          <cell r="K1414">
            <v>0.625</v>
          </cell>
          <cell r="L1414" t="str">
            <v>CAAU9613358</v>
          </cell>
          <cell r="M1414" t="str">
            <v>TRI PHƯƠNG</v>
          </cell>
          <cell r="N1414" t="str">
            <v>TÂN VŨ</v>
          </cell>
          <cell r="Q1414">
            <v>0</v>
          </cell>
        </row>
        <row r="1415">
          <cell r="I1415" t="str">
            <v>ONEU9413300</v>
          </cell>
          <cell r="J1415" t="str">
            <v>THỊNH</v>
          </cell>
          <cell r="K1415" t="str">
            <v>0:00</v>
          </cell>
          <cell r="M1415" t="str">
            <v>TRI PHƯƠNG</v>
          </cell>
          <cell r="N1415" t="str">
            <v>TÂN VŨ</v>
          </cell>
          <cell r="Q1415">
            <v>0</v>
          </cell>
        </row>
        <row r="1416">
          <cell r="I1416" t="str">
            <v>NYKU4435783</v>
          </cell>
          <cell r="K1416">
            <v>0.33333333333333331</v>
          </cell>
          <cell r="O1416" t="str">
            <v>VH-26/50070</v>
          </cell>
          <cell r="Q1416">
            <v>0</v>
          </cell>
        </row>
        <row r="1417">
          <cell r="I1417" t="str">
            <v>TGBU9712505</v>
          </cell>
          <cell r="J1417" t="str">
            <v>PHƯƠNG</v>
          </cell>
          <cell r="K1417">
            <v>0.54166666666666663</v>
          </cell>
          <cell r="L1417" t="str">
            <v>TGBU9714107</v>
          </cell>
          <cell r="O1417" t="str">
            <v>VH-26/50071</v>
          </cell>
          <cell r="Q1417">
            <v>0</v>
          </cell>
        </row>
        <row r="1418">
          <cell r="I1418" t="str">
            <v>TGBU6921332</v>
          </cell>
          <cell r="J1418" t="str">
            <v>THỊNH</v>
          </cell>
          <cell r="K1418">
            <v>0.54166666666666663</v>
          </cell>
          <cell r="L1418" t="str">
            <v>TCNU6960200</v>
          </cell>
          <cell r="O1418" t="str">
            <v>VS-26/50049</v>
          </cell>
          <cell r="Q1418">
            <v>0</v>
          </cell>
        </row>
        <row r="1419">
          <cell r="I1419" t="str">
            <v>EGSU1397286</v>
          </cell>
          <cell r="J1419" t="str">
            <v>TRƯỜNG NHÂN PHÁT</v>
          </cell>
          <cell r="K1419">
            <v>0.875</v>
          </cell>
          <cell r="L1419" t="str">
            <v>EGSU1397286</v>
          </cell>
          <cell r="N1419" t="str">
            <v>GIC</v>
          </cell>
          <cell r="O1419" t="str">
            <v>VH-26/50067</v>
          </cell>
          <cell r="P1419" t="str">
            <v>done</v>
          </cell>
          <cell r="Q1419">
            <v>308144815660</v>
          </cell>
        </row>
        <row r="1420">
          <cell r="I1420" t="str">
            <v>OOCU7530404</v>
          </cell>
          <cell r="J1420" t="str">
            <v>DŨNG 
KÉO VỀ</v>
          </cell>
          <cell r="K1420">
            <v>0.54166666666666663</v>
          </cell>
          <cell r="L1420" t="str">
            <v>OOCU7530404</v>
          </cell>
          <cell r="N1420" t="str">
            <v xml:space="preserve">Grand Forward </v>
          </cell>
          <cell r="O1420" t="str">
            <v>VH-26/50064</v>
          </cell>
          <cell r="P1420" t="str">
            <v>done</v>
          </cell>
          <cell r="Q1420">
            <v>308144702630</v>
          </cell>
        </row>
        <row r="1421">
          <cell r="I1421" t="str">
            <v>CSNU8203832</v>
          </cell>
          <cell r="J1421" t="str">
            <v>RU KỶ NGUYÊN</v>
          </cell>
          <cell r="K1421">
            <v>0.58333333333333337</v>
          </cell>
          <cell r="L1421" t="str">
            <v>CSNU8203832</v>
          </cell>
          <cell r="N1421" t="str">
            <v xml:space="preserve">Grand Forward </v>
          </cell>
          <cell r="O1421" t="str">
            <v>VH-26/50065</v>
          </cell>
          <cell r="P1421" t="str">
            <v>done</v>
          </cell>
          <cell r="Q1421">
            <v>308144798160</v>
          </cell>
        </row>
        <row r="1422">
          <cell r="I1422" t="str">
            <v>CMAU6195624</v>
          </cell>
          <cell r="J1422" t="str">
            <v>RU MH</v>
          </cell>
          <cell r="K1422">
            <v>0.54166666666666663</v>
          </cell>
          <cell r="L1422" t="str">
            <v>CMAU6195624</v>
          </cell>
          <cell r="N1422" t="str">
            <v>TÂN VŨ</v>
          </cell>
          <cell r="O1422" t="str">
            <v>VS-26/50046</v>
          </cell>
          <cell r="P1422" t="str">
            <v>done</v>
          </cell>
          <cell r="Q1422">
            <v>308144804610</v>
          </cell>
        </row>
        <row r="1423">
          <cell r="I1423" t="str">
            <v>ECMU4860179</v>
          </cell>
          <cell r="J1423" t="str">
            <v>SƠN</v>
          </cell>
          <cell r="K1423">
            <v>0.91666666666666663</v>
          </cell>
          <cell r="L1423" t="str">
            <v>CIPU5119643</v>
          </cell>
          <cell r="O1423" t="str">
            <v>VI-26/50274</v>
          </cell>
          <cell r="Q1423">
            <v>0</v>
          </cell>
        </row>
        <row r="1424">
          <cell r="I1424" t="str">
            <v>MSBU7188485</v>
          </cell>
          <cell r="K1424">
            <v>0.41666666666666669</v>
          </cell>
          <cell r="O1424" t="str">
            <v>HP</v>
          </cell>
          <cell r="Q1424">
            <v>0</v>
          </cell>
        </row>
        <row r="1425">
          <cell r="I1425" t="str">
            <v>TXGU7378500</v>
          </cell>
          <cell r="J1425" t="str">
            <v>PHƯƠNG</v>
          </cell>
          <cell r="K1425">
            <v>0.54166666666666663</v>
          </cell>
          <cell r="L1425" t="str">
            <v>CAIU5425680</v>
          </cell>
          <cell r="O1425" t="str">
            <v>RTB-26/0010</v>
          </cell>
          <cell r="Q1425">
            <v>0</v>
          </cell>
        </row>
        <row r="1426">
          <cell r="I1426" t="str">
            <v>ECMU4943740</v>
          </cell>
          <cell r="J1426" t="str">
            <v>THỊNH
HƯNG KÉO VỀ</v>
          </cell>
          <cell r="K1426" t="str">
            <v>21:00</v>
          </cell>
          <cell r="L1426" t="str">
            <v>OTPU6044840</v>
          </cell>
          <cell r="N1426" t="str">
            <v>TÂN VŨ</v>
          </cell>
          <cell r="O1426" t="str">
            <v>HP</v>
          </cell>
          <cell r="P1426" t="str">
            <v>done</v>
          </cell>
          <cell r="Q1426">
            <v>308146216400</v>
          </cell>
        </row>
        <row r="1427">
          <cell r="I1427" t="str">
            <v>MSMU5273895</v>
          </cell>
          <cell r="J1427" t="str">
            <v>THÀNH</v>
          </cell>
          <cell r="K1427">
            <v>0.91666666666666663</v>
          </cell>
          <cell r="L1427" t="str">
            <v>MSMU5273895</v>
          </cell>
          <cell r="O1427" t="str">
            <v>HP</v>
          </cell>
          <cell r="Q1427">
            <v>0</v>
          </cell>
        </row>
        <row r="1428">
          <cell r="I1428" t="str">
            <v>CAAU4502351</v>
          </cell>
          <cell r="J1428" t="str">
            <v>QUÂN</v>
          </cell>
          <cell r="K1428">
            <v>0</v>
          </cell>
          <cell r="L1428" t="str">
            <v>CAAU5233196</v>
          </cell>
          <cell r="O1428" t="str">
            <v>RTB-26/0011</v>
          </cell>
          <cell r="Q1428">
            <v>0</v>
          </cell>
        </row>
        <row r="1429">
          <cell r="I1429" t="str">
            <v xml:space="preserve">BMOU5844578 </v>
          </cell>
          <cell r="J1429" t="str">
            <v>RU RUBY</v>
          </cell>
          <cell r="K1429">
            <v>0.375</v>
          </cell>
          <cell r="L1429" t="str">
            <v xml:space="preserve">BMOU5844578 </v>
          </cell>
          <cell r="N1429" t="str">
            <v>Grand Forward</v>
          </cell>
          <cell r="P1429" t="str">
            <v>done</v>
          </cell>
          <cell r="Q1429">
            <v>308142889520</v>
          </cell>
        </row>
        <row r="1430">
          <cell r="I1430" t="str">
            <v>TIIU4701955</v>
          </cell>
          <cell r="J1430" t="str">
            <v>RU TRỊNH VŨ</v>
          </cell>
          <cell r="K1430">
            <v>0</v>
          </cell>
          <cell r="L1430" t="str">
            <v>TIIU4701955</v>
          </cell>
          <cell r="N1430" t="str">
            <v>Grand Forward</v>
          </cell>
          <cell r="P1430" t="str">
            <v>done</v>
          </cell>
          <cell r="Q1430">
            <v>308146340410</v>
          </cell>
        </row>
        <row r="1431">
          <cell r="I1431" t="str">
            <v>TCNU4366781</v>
          </cell>
          <cell r="J1431" t="str">
            <v>ĐỨC</v>
          </cell>
          <cell r="K1431">
            <v>0.36458333333333331</v>
          </cell>
          <cell r="L1431" t="str">
            <v>MRSU5757816</v>
          </cell>
          <cell r="M1431" t="str">
            <v>TRI PHƯƠNG</v>
          </cell>
          <cell r="N1431" t="str">
            <v>HATECO HICT</v>
          </cell>
          <cell r="O1431" t="str">
            <v>VI-26/50265</v>
          </cell>
          <cell r="P1431" t="str">
            <v>done</v>
          </cell>
          <cell r="Q1431">
            <v>308145189830</v>
          </cell>
        </row>
        <row r="1432">
          <cell r="I1432" t="str">
            <v>MRKU2579826</v>
          </cell>
          <cell r="J1432" t="str">
            <v>THỊNH</v>
          </cell>
          <cell r="K1432">
            <v>0.40625</v>
          </cell>
          <cell r="L1432" t="str">
            <v>CAAU5273990</v>
          </cell>
          <cell r="M1432" t="str">
            <v>TRI PHƯƠNG</v>
          </cell>
          <cell r="N1432" t="str">
            <v>HATECO HICT</v>
          </cell>
          <cell r="O1432" t="str">
            <v>VI-26/50287</v>
          </cell>
          <cell r="P1432" t="str">
            <v>done</v>
          </cell>
          <cell r="Q1432">
            <v>308145304300</v>
          </cell>
        </row>
        <row r="1433">
          <cell r="I1433" t="str">
            <v>MRKU4134697</v>
          </cell>
          <cell r="J1433" t="str">
            <v>MẠNH</v>
          </cell>
          <cell r="K1433">
            <v>0.42708333333333331</v>
          </cell>
          <cell r="L1433" t="str">
            <v>MRKU4134697</v>
          </cell>
          <cell r="M1433" t="str">
            <v>TRI PHƯƠNG</v>
          </cell>
          <cell r="N1433" t="str">
            <v>HATECO HICT</v>
          </cell>
          <cell r="O1433" t="str">
            <v>VI-26/50266</v>
          </cell>
          <cell r="P1433" t="str">
            <v>done</v>
          </cell>
          <cell r="Q1433">
            <v>308145246900</v>
          </cell>
        </row>
        <row r="1434">
          <cell r="I1434" t="str">
            <v>MRSU4089672</v>
          </cell>
          <cell r="J1434" t="str">
            <v>THI</v>
          </cell>
          <cell r="K1434">
            <v>0.44791666666666669</v>
          </cell>
          <cell r="L1434" t="str">
            <v>MRKU2579826</v>
          </cell>
          <cell r="M1434" t="str">
            <v>TRI PHƯƠNG</v>
          </cell>
          <cell r="N1434" t="str">
            <v>HATECO HICT</v>
          </cell>
          <cell r="O1434" t="str">
            <v>VI-26/50267</v>
          </cell>
          <cell r="P1434" t="str">
            <v>done</v>
          </cell>
          <cell r="Q1434">
            <v>308145226560</v>
          </cell>
        </row>
        <row r="1435">
          <cell r="I1435" t="str">
            <v>MRSU6449280</v>
          </cell>
          <cell r="J1435" t="str">
            <v>HƯỜNG</v>
          </cell>
          <cell r="K1435">
            <v>0.52083333333333337</v>
          </cell>
          <cell r="L1435" t="str">
            <v>MRSU6449280</v>
          </cell>
          <cell r="M1435" t="str">
            <v>TRI PHƯƠNG</v>
          </cell>
          <cell r="N1435" t="str">
            <v>HATECO HICT</v>
          </cell>
          <cell r="O1435" t="str">
            <v>VI-26/50273</v>
          </cell>
          <cell r="P1435" t="str">
            <v>done</v>
          </cell>
          <cell r="Q1435">
            <v>308145206520</v>
          </cell>
        </row>
        <row r="1436">
          <cell r="I1436" t="str">
            <v>MRKU2744659</v>
          </cell>
          <cell r="J1436" t="str">
            <v>ĐỨC</v>
          </cell>
          <cell r="K1436">
            <v>0.92708333333333337</v>
          </cell>
          <cell r="L1436" t="str">
            <v>TCNU4366781</v>
          </cell>
          <cell r="M1436" t="str">
            <v>TRI PHƯƠNG</v>
          </cell>
          <cell r="N1436" t="str">
            <v>HATECO HICT</v>
          </cell>
          <cell r="O1436" t="str">
            <v>VI-26/50275</v>
          </cell>
          <cell r="P1436" t="str">
            <v>done</v>
          </cell>
          <cell r="Q1436">
            <v>308145289820</v>
          </cell>
        </row>
        <row r="1437">
          <cell r="I1437" t="str">
            <v>MSKU0804513</v>
          </cell>
          <cell r="J1437" t="str">
            <v>ĐỨC</v>
          </cell>
          <cell r="K1437">
            <v>0.14583333333333334</v>
          </cell>
          <cell r="L1437" t="str">
            <v>MRKU2744659</v>
          </cell>
          <cell r="M1437" t="str">
            <v>TRI PHƯƠNG</v>
          </cell>
          <cell r="N1437" t="str">
            <v>HATECO HICT</v>
          </cell>
          <cell r="O1437" t="str">
            <v>VI-26/50288</v>
          </cell>
          <cell r="P1437" t="str">
            <v>done</v>
          </cell>
          <cell r="Q1437">
            <v>308145317450</v>
          </cell>
        </row>
        <row r="1438">
          <cell r="I1438" t="str">
            <v>CAAU5233196</v>
          </cell>
          <cell r="J1438" t="str">
            <v>THÀNH</v>
          </cell>
          <cell r="K1438" t="str">
            <v>15:00</v>
          </cell>
          <cell r="L1438" t="str">
            <v>EGSU6126923</v>
          </cell>
          <cell r="M1438" t="str">
            <v>TRI PHƯƠNG</v>
          </cell>
          <cell r="N1438" t="str">
            <v>HATECO HICT</v>
          </cell>
          <cell r="P1438" t="str">
            <v>done</v>
          </cell>
          <cell r="Q1438">
            <v>308146176940</v>
          </cell>
        </row>
        <row r="1439">
          <cell r="I1439" t="str">
            <v>CGMU6576280</v>
          </cell>
          <cell r="J1439" t="str">
            <v>THỊNH</v>
          </cell>
          <cell r="K1439" t="str">
            <v>09:00</v>
          </cell>
          <cell r="L1439" t="str">
            <v>CMAU6711021</v>
          </cell>
          <cell r="M1439" t="str">
            <v>TRI PHƯƠNG</v>
          </cell>
          <cell r="N1439" t="str">
            <v>HATECO HICT</v>
          </cell>
          <cell r="Q1439">
            <v>0</v>
          </cell>
        </row>
        <row r="1440">
          <cell r="I1440" t="str">
            <v>SEGU9257540</v>
          </cell>
          <cell r="J1440" t="str">
            <v>ĐỨC</v>
          </cell>
          <cell r="K1440" t="str">
            <v>11:00</v>
          </cell>
          <cell r="L1440" t="str">
            <v>CGMU6576280</v>
          </cell>
          <cell r="M1440" t="str">
            <v>TRI PHƯƠNG</v>
          </cell>
          <cell r="N1440" t="str">
            <v>NAM HẢI ĐÌNH VŨ</v>
          </cell>
          <cell r="Q1440">
            <v>0</v>
          </cell>
        </row>
        <row r="1441">
          <cell r="I1441" t="str">
            <v>CAIU5425680</v>
          </cell>
          <cell r="J1441" t="str">
            <v>HƯỜNG</v>
          </cell>
          <cell r="K1441" t="str">
            <v>13:00</v>
          </cell>
          <cell r="L1441" t="str">
            <v>TTNU8800944</v>
          </cell>
          <cell r="M1441" t="str">
            <v>TRI PHƯƠNG</v>
          </cell>
          <cell r="N1441" t="str">
            <v>TÂN VŨ</v>
          </cell>
          <cell r="Q1441">
            <v>0</v>
          </cell>
        </row>
        <row r="1442">
          <cell r="I1442" t="str">
            <v>TLLU1123290</v>
          </cell>
          <cell r="J1442" t="str">
            <v>ĐỨC</v>
          </cell>
          <cell r="K1442" t="str">
            <v>14:00</v>
          </cell>
          <cell r="L1442" t="str">
            <v>TLLU1123290</v>
          </cell>
          <cell r="M1442" t="str">
            <v>TRI PHƯƠNG</v>
          </cell>
          <cell r="N1442" t="str">
            <v>TÂN VŨ</v>
          </cell>
          <cell r="Q1442">
            <v>0</v>
          </cell>
        </row>
        <row r="1443">
          <cell r="I1443" t="str">
            <v>BMOU9829930</v>
          </cell>
          <cell r="J1443" t="str">
            <v>MẠNH</v>
          </cell>
          <cell r="K1443">
            <v>0.625</v>
          </cell>
          <cell r="L1443" t="str">
            <v>TIIU6441707</v>
          </cell>
          <cell r="M1443" t="str">
            <v>TRI PHƯƠNG</v>
          </cell>
          <cell r="N1443" t="str">
            <v>NAM HẢI ĐÌNH VŨ</v>
          </cell>
          <cell r="Q1443">
            <v>0</v>
          </cell>
        </row>
        <row r="1444">
          <cell r="I1444" t="str">
            <v>MORU6702634</v>
          </cell>
          <cell r="J1444" t="str">
            <v>THI
KÉO VỀ</v>
          </cell>
          <cell r="K1444" t="str">
            <v>21:00</v>
          </cell>
          <cell r="L1444" t="str">
            <v>MORU6702634</v>
          </cell>
          <cell r="N1444" t="str">
            <v>TÂN VŨ</v>
          </cell>
          <cell r="P1444" t="str">
            <v>done</v>
          </cell>
          <cell r="Q1444">
            <v>308146713510</v>
          </cell>
        </row>
        <row r="1445">
          <cell r="I1445" t="str">
            <v>OTPU6044840</v>
          </cell>
          <cell r="J1445" t="str">
            <v>PHƯƠNG
THỊNH KÉO VỀ</v>
          </cell>
          <cell r="K1445">
            <v>0.91666666666666663</v>
          </cell>
          <cell r="L1445" t="str">
            <v>TLLU1075572</v>
          </cell>
          <cell r="N1445" t="str">
            <v>TÂN VŨ</v>
          </cell>
          <cell r="P1445" t="str">
            <v>done</v>
          </cell>
          <cell r="Q1445">
            <v>308147218800</v>
          </cell>
        </row>
        <row r="1446">
          <cell r="I1446" t="str">
            <v>TLLU1075572</v>
          </cell>
          <cell r="J1446" t="str">
            <v>HƯỜNG</v>
          </cell>
          <cell r="K1446" t="str">
            <v>23:00</v>
          </cell>
          <cell r="L1446" t="str">
            <v>BMOU9829930</v>
          </cell>
          <cell r="M1446" t="str">
            <v>TRI PHƯƠNG</v>
          </cell>
          <cell r="N1446" t="str">
            <v>NAM HẢI ĐÌNH VŨ</v>
          </cell>
          <cell r="Q1446">
            <v>0</v>
          </cell>
        </row>
        <row r="1447">
          <cell r="I1447" t="str">
            <v>TRHU5586763</v>
          </cell>
          <cell r="K1447">
            <v>0.33333333333333331</v>
          </cell>
          <cell r="O1447" t="str">
            <v>VH-26/50073</v>
          </cell>
          <cell r="Q1447">
            <v>0</v>
          </cell>
        </row>
        <row r="1448">
          <cell r="I1448" t="str">
            <v>ONEU5708391</v>
          </cell>
          <cell r="K1448">
            <v>0.33333333333333331</v>
          </cell>
          <cell r="O1448" t="str">
            <v>VH-26/50085</v>
          </cell>
          <cell r="Q1448">
            <v>0</v>
          </cell>
        </row>
        <row r="1449">
          <cell r="I1449" t="str">
            <v>FFAU1804990</v>
          </cell>
          <cell r="K1449">
            <v>0.33333333333333331</v>
          </cell>
          <cell r="O1449" t="str">
            <v>VH-26/50074</v>
          </cell>
          <cell r="Q1449">
            <v>0</v>
          </cell>
        </row>
        <row r="1450">
          <cell r="I1450" t="str">
            <v>UETU7137960</v>
          </cell>
          <cell r="J1450" t="str">
            <v>PHƯƠNG</v>
          </cell>
          <cell r="K1450">
            <v>0.58333333333333337</v>
          </cell>
          <cell r="L1450" t="str">
            <v>TRHU5586763</v>
          </cell>
          <cell r="O1450" t="str">
            <v>VH-26/50075</v>
          </cell>
          <cell r="Q1450">
            <v>0</v>
          </cell>
        </row>
        <row r="1451">
          <cell r="I1451" t="str">
            <v>EGHU9610882</v>
          </cell>
          <cell r="J1451" t="str">
            <v>TRƯỜNG NHÂN PHÁT</v>
          </cell>
          <cell r="K1451">
            <v>0.875</v>
          </cell>
          <cell r="L1451" t="str">
            <v>EGHU9610882</v>
          </cell>
          <cell r="N1451" t="str">
            <v>GIC</v>
          </cell>
          <cell r="O1451" t="str">
            <v>VH-26/50076</v>
          </cell>
          <cell r="P1451" t="str">
            <v>done</v>
          </cell>
          <cell r="Q1451">
            <v>308148840920</v>
          </cell>
        </row>
        <row r="1452">
          <cell r="I1452" t="str">
            <v>TCNU6730296</v>
          </cell>
          <cell r="J1452" t="str">
            <v>RU KỶ NGUYÊN</v>
          </cell>
          <cell r="K1452">
            <v>0.375</v>
          </cell>
          <cell r="N1452" t="str">
            <v>TÂN VŨ</v>
          </cell>
          <cell r="O1452" t="str">
            <v>VS-26/50048</v>
          </cell>
          <cell r="P1452" t="str">
            <v>done</v>
          </cell>
          <cell r="Q1452">
            <v>308144863850</v>
          </cell>
        </row>
        <row r="1453">
          <cell r="I1453" t="str">
            <v>ECMU5335067</v>
          </cell>
          <cell r="J1453" t="str">
            <v>QUÂN</v>
          </cell>
          <cell r="K1453">
            <v>0.64583333333333337</v>
          </cell>
          <cell r="L1453" t="str">
            <v>SELU4089996</v>
          </cell>
          <cell r="O1453" t="str">
            <v>VI-26/50312</v>
          </cell>
          <cell r="Q1453">
            <v>0</v>
          </cell>
        </row>
        <row r="1454">
          <cell r="I1454" t="str">
            <v>TKCU7824245</v>
          </cell>
          <cell r="J1454" t="str">
            <v>THỊNH</v>
          </cell>
          <cell r="K1454">
            <v>0.125</v>
          </cell>
          <cell r="L1454" t="str">
            <v>MRKU5740507</v>
          </cell>
          <cell r="O1454" t="str">
            <v>VI-26/50316</v>
          </cell>
          <cell r="Q1454">
            <v>0</v>
          </cell>
        </row>
        <row r="1455">
          <cell r="I1455" t="str">
            <v>TIIU6426364</v>
          </cell>
          <cell r="J1455" t="str">
            <v>MẠNH</v>
          </cell>
          <cell r="K1455" t="str">
            <v>8:00</v>
          </cell>
          <cell r="L1455" t="str">
            <v>TIIU6426364</v>
          </cell>
          <cell r="Q1455">
            <v>0</v>
          </cell>
        </row>
        <row r="1456">
          <cell r="I1456" t="str">
            <v>TXGU7467422</v>
          </cell>
          <cell r="J1456" t="str">
            <v>SÂM</v>
          </cell>
          <cell r="K1456">
            <v>0.375</v>
          </cell>
          <cell r="L1456" t="str">
            <v>CAAU4017058</v>
          </cell>
          <cell r="Q1456">
            <v>0</v>
          </cell>
        </row>
        <row r="1457">
          <cell r="I1457" t="str">
            <v>FDCU0590967</v>
          </cell>
          <cell r="K1457">
            <v>0.375</v>
          </cell>
          <cell r="Q1457">
            <v>0</v>
          </cell>
        </row>
        <row r="1458">
          <cell r="I1458" t="str">
            <v>TIIU5194095</v>
          </cell>
          <cell r="J1458" t="str">
            <v>THÀNH</v>
          </cell>
          <cell r="K1458">
            <v>0.375</v>
          </cell>
          <cell r="L1458" t="str">
            <v>FFAU7416395</v>
          </cell>
          <cell r="Q1458">
            <v>0</v>
          </cell>
        </row>
        <row r="1459">
          <cell r="I1459" t="str">
            <v>FFAU7513625</v>
          </cell>
          <cell r="J1459" t="str">
            <v>QUÂN</v>
          </cell>
          <cell r="K1459">
            <v>0.45833333333333331</v>
          </cell>
          <cell r="L1459" t="str">
            <v>FDCU0590967</v>
          </cell>
          <cell r="Q1459">
            <v>0</v>
          </cell>
        </row>
        <row r="1460">
          <cell r="I1460" t="str">
            <v>UETU7488563</v>
          </cell>
          <cell r="J1460" t="str">
            <v xml:space="preserve">MẠNH </v>
          </cell>
          <cell r="K1460">
            <v>0.54166666666666663</v>
          </cell>
          <cell r="Q1460">
            <v>0</v>
          </cell>
        </row>
        <row r="1461">
          <cell r="I1461" t="str">
            <v>FFAU7249019</v>
          </cell>
          <cell r="J1461" t="str">
            <v>PHƯƠNG</v>
          </cell>
          <cell r="Q1461">
            <v>0</v>
          </cell>
        </row>
        <row r="1462">
          <cell r="I1462" t="str">
            <v>CAAU9860039</v>
          </cell>
          <cell r="J1462" t="str">
            <v>QUÂN</v>
          </cell>
          <cell r="L1462" t="str">
            <v>TIIU4590872</v>
          </cell>
          <cell r="Q1462">
            <v>0</v>
          </cell>
        </row>
        <row r="1463">
          <cell r="I1463" t="str">
            <v>CAAU4839213</v>
          </cell>
          <cell r="J1463" t="str">
            <v>THÀNH</v>
          </cell>
          <cell r="K1463">
            <v>0.58333333333333337</v>
          </cell>
          <cell r="L1463" t="str">
            <v>GCXU5698181</v>
          </cell>
          <cell r="Q1463">
            <v>0</v>
          </cell>
        </row>
        <row r="1464">
          <cell r="I1464" t="str">
            <v>TIIU6279047</v>
          </cell>
          <cell r="J1464" t="str">
            <v>QUÂN</v>
          </cell>
          <cell r="Q1464">
            <v>0</v>
          </cell>
        </row>
        <row r="1465">
          <cell r="I1465" t="str">
            <v>CAAU9858767</v>
          </cell>
          <cell r="J1465" t="str">
            <v>THI</v>
          </cell>
          <cell r="Q1465">
            <v>0</v>
          </cell>
        </row>
        <row r="1466">
          <cell r="I1466" t="str">
            <v>UETU7484640</v>
          </cell>
          <cell r="J1466" t="str">
            <v>HƯỜNG</v>
          </cell>
          <cell r="Q1466">
            <v>0</v>
          </cell>
        </row>
        <row r="1467">
          <cell r="I1467" t="str">
            <v>FFAU7703292</v>
          </cell>
          <cell r="J1467" t="str">
            <v>SÂM</v>
          </cell>
          <cell r="Q1467">
            <v>0</v>
          </cell>
        </row>
        <row r="1468">
          <cell r="I1468" t="str">
            <v>SELU4208400</v>
          </cell>
          <cell r="J1468" t="str">
            <v>HƯỜNG</v>
          </cell>
          <cell r="K1468">
            <v>0.58333333333333337</v>
          </cell>
          <cell r="L1468" t="str">
            <v>TIIU7553682</v>
          </cell>
          <cell r="Q1468">
            <v>0</v>
          </cell>
        </row>
        <row r="1469">
          <cell r="I1469" t="str">
            <v>TIIU5776795</v>
          </cell>
          <cell r="J1469" t="str">
            <v>MẠNH</v>
          </cell>
          <cell r="K1469">
            <v>0.625</v>
          </cell>
          <cell r="L1469" t="str">
            <v>TIIU5776795</v>
          </cell>
          <cell r="Q1469">
            <v>0</v>
          </cell>
        </row>
        <row r="1470">
          <cell r="I1470" t="str">
            <v>TIIU4590872</v>
          </cell>
          <cell r="J1470" t="str">
            <v>THI</v>
          </cell>
          <cell r="K1470" t="str">
            <v>21:00</v>
          </cell>
          <cell r="L1470" t="str">
            <v>CAAU4502351</v>
          </cell>
          <cell r="Q1470">
            <v>0</v>
          </cell>
        </row>
        <row r="1471">
          <cell r="I1471" t="str">
            <v>HPCU4946012</v>
          </cell>
          <cell r="J1471" t="str">
            <v>HƯỜNG</v>
          </cell>
          <cell r="K1471">
            <v>0.91666666666666663</v>
          </cell>
          <cell r="L1471" t="str">
            <v>HPCU4946012</v>
          </cell>
          <cell r="Q1471">
            <v>0</v>
          </cell>
        </row>
        <row r="1472">
          <cell r="I1472" t="str">
            <v>UETU7562742</v>
          </cell>
          <cell r="J1472" t="str">
            <v>SÂM</v>
          </cell>
          <cell r="K1472">
            <v>0.95833333333333337</v>
          </cell>
          <cell r="Q1472">
            <v>0</v>
          </cell>
        </row>
        <row r="1473">
          <cell r="I1473" t="str">
            <v>FFAU5944670</v>
          </cell>
          <cell r="J1473" t="str">
            <v>PHƯƠNG</v>
          </cell>
          <cell r="K1473">
            <v>0</v>
          </cell>
          <cell r="L1473" t="str">
            <v>FFAU5944670</v>
          </cell>
          <cell r="Q1473">
            <v>0</v>
          </cell>
        </row>
        <row r="1474">
          <cell r="I1474" t="str">
            <v>TIIU6079630</v>
          </cell>
          <cell r="J1474" t="str">
            <v>THI</v>
          </cell>
          <cell r="K1474">
            <v>0</v>
          </cell>
          <cell r="Q1474">
            <v>0</v>
          </cell>
        </row>
        <row r="1475">
          <cell r="I1475" t="str">
            <v>EGSU9743092</v>
          </cell>
          <cell r="J1475" t="str">
            <v>HƯNG
THÀNH KÉO VỀ</v>
          </cell>
          <cell r="K1475">
            <v>0.91666666666666663</v>
          </cell>
          <cell r="L1475" t="str">
            <v>ECMU4943740</v>
          </cell>
          <cell r="N1475" t="str">
            <v>SAO Á</v>
          </cell>
          <cell r="P1475" t="str">
            <v>done</v>
          </cell>
          <cell r="Q1475">
            <v>308152028350</v>
          </cell>
        </row>
        <row r="1476">
          <cell r="I1476" t="str">
            <v>TEMU6283979</v>
          </cell>
          <cell r="J1476" t="str">
            <v>HƯỜNG</v>
          </cell>
          <cell r="K1476">
            <v>0.375</v>
          </cell>
          <cell r="L1476" t="str">
            <v>TEMU6283979</v>
          </cell>
          <cell r="M1476" t="str">
            <v>TRI PHƯƠNG</v>
          </cell>
          <cell r="N1476" t="str">
            <v>HATECO HICT</v>
          </cell>
          <cell r="O1476" t="str">
            <v>VI-26/50309</v>
          </cell>
          <cell r="P1476" t="str">
            <v>done</v>
          </cell>
          <cell r="Q1476">
            <v>308149450510</v>
          </cell>
        </row>
        <row r="1477">
          <cell r="I1477" t="str">
            <v>MRSU4885601</v>
          </cell>
          <cell r="J1477" t="str">
            <v>RU MH</v>
          </cell>
          <cell r="K1477">
            <v>6.25E-2</v>
          </cell>
          <cell r="L1477" t="str">
            <v>MRSU4885601</v>
          </cell>
          <cell r="N1477" t="str">
            <v>HATECO HICT</v>
          </cell>
          <cell r="O1477" t="str">
            <v>VI-26/50336</v>
          </cell>
          <cell r="P1477" t="str">
            <v>done</v>
          </cell>
          <cell r="Q1477">
            <v>308149529610</v>
          </cell>
        </row>
        <row r="1478">
          <cell r="I1478" t="str">
            <v>SELU4089996</v>
          </cell>
          <cell r="J1478" t="str">
            <v>SƠN</v>
          </cell>
          <cell r="K1478">
            <v>0.34375</v>
          </cell>
          <cell r="L1478" t="str">
            <v>MSKU0804513</v>
          </cell>
          <cell r="M1478" t="str">
            <v>TRI PHƯƠNG</v>
          </cell>
          <cell r="N1478" t="str">
            <v>HATECO HICT</v>
          </cell>
          <cell r="O1478" t="str">
            <v>VI-26/50328</v>
          </cell>
          <cell r="P1478" t="str">
            <v>done</v>
          </cell>
          <cell r="Q1478">
            <v>308149471840</v>
          </cell>
        </row>
        <row r="1479">
          <cell r="I1479" t="str">
            <v>MRKU5740507</v>
          </cell>
          <cell r="J1479" t="str">
            <v>PHƯƠNG</v>
          </cell>
          <cell r="K1479">
            <v>0.34375</v>
          </cell>
          <cell r="L1479" t="str">
            <v>ECMU4860179</v>
          </cell>
          <cell r="M1479" t="str">
            <v>TRI PHƯƠNG</v>
          </cell>
          <cell r="N1479" t="str">
            <v>HATECO HICT</v>
          </cell>
          <cell r="O1479" t="str">
            <v>VI-26/50330</v>
          </cell>
          <cell r="P1479" t="str">
            <v>done</v>
          </cell>
          <cell r="Q1479">
            <v>308149511300</v>
          </cell>
        </row>
        <row r="1480">
          <cell r="I1480" t="str">
            <v>MRKU6100741</v>
          </cell>
          <cell r="J1480" t="str">
            <v>ĐỨC</v>
          </cell>
          <cell r="K1480">
            <v>0.45833333333333331</v>
          </cell>
          <cell r="L1480" t="str">
            <v>MRSU4089672</v>
          </cell>
          <cell r="M1480" t="str">
            <v>TRI PHƯƠNG</v>
          </cell>
          <cell r="N1480" t="str">
            <v>HATECO HICT</v>
          </cell>
          <cell r="O1480" t="str">
            <v>VI-26/50329</v>
          </cell>
          <cell r="P1480" t="str">
            <v>done</v>
          </cell>
          <cell r="Q1480">
            <v>308149493100</v>
          </cell>
        </row>
        <row r="1481">
          <cell r="I1481" t="str">
            <v>TCKU7674382</v>
          </cell>
          <cell r="J1481" t="str">
            <v>SƠN</v>
          </cell>
          <cell r="K1481">
            <v>0.41666666666666669</v>
          </cell>
          <cell r="L1481" t="str">
            <v>TCKU7674382</v>
          </cell>
          <cell r="M1481" t="str">
            <v>TRI PHƯƠNG</v>
          </cell>
          <cell r="N1481" t="str">
            <v>HATECO HICT</v>
          </cell>
          <cell r="P1481" t="str">
            <v>done</v>
          </cell>
          <cell r="Q1481">
            <v>308152691400</v>
          </cell>
        </row>
        <row r="1482">
          <cell r="I1482" t="str">
            <v>MRSU4506539</v>
          </cell>
          <cell r="J1482" t="str">
            <v>SƠN</v>
          </cell>
          <cell r="K1482" t="str">
            <v>11:00</v>
          </cell>
          <cell r="L1482" t="str">
            <v>MRSU4506539</v>
          </cell>
          <cell r="M1482" t="str">
            <v>TRI PHƯƠNG</v>
          </cell>
          <cell r="N1482" t="str">
            <v>HATECO HICT</v>
          </cell>
          <cell r="P1482" t="str">
            <v>done</v>
          </cell>
          <cell r="Q1482">
            <v>308151144840</v>
          </cell>
        </row>
        <row r="1483">
          <cell r="I1483" t="str">
            <v>GCXU5698181</v>
          </cell>
          <cell r="J1483" t="str">
            <v>SÂM</v>
          </cell>
          <cell r="K1483" t="str">
            <v>14:00</v>
          </cell>
          <cell r="L1483" t="str">
            <v>TXGU7467422</v>
          </cell>
          <cell r="M1483" t="str">
            <v>TRI PHƯƠNG</v>
          </cell>
          <cell r="N1483" t="str">
            <v>HATECO HICT</v>
          </cell>
          <cell r="P1483" t="str">
            <v>done</v>
          </cell>
          <cell r="Q1483">
            <v>308151239340</v>
          </cell>
        </row>
        <row r="1484">
          <cell r="I1484" t="str">
            <v>SUDU6922749</v>
          </cell>
          <cell r="J1484" t="str">
            <v>HƯỜNG</v>
          </cell>
          <cell r="K1484" t="str">
            <v>13:00</v>
          </cell>
          <cell r="L1484" t="str">
            <v>TXGU7378500</v>
          </cell>
          <cell r="M1484" t="str">
            <v>TRI PHƯƠNG</v>
          </cell>
          <cell r="N1484" t="str">
            <v>HATECO HICT</v>
          </cell>
          <cell r="P1484" t="str">
            <v>done</v>
          </cell>
          <cell r="Q1484">
            <v>308151348210</v>
          </cell>
        </row>
        <row r="1485">
          <cell r="I1485" t="str">
            <v>MRSU7926617</v>
          </cell>
          <cell r="J1485" t="str">
            <v>RU KỶ NGUYÊN</v>
          </cell>
          <cell r="K1485">
            <v>0.875</v>
          </cell>
          <cell r="L1485" t="str">
            <v>MRSU7926617</v>
          </cell>
          <cell r="N1485" t="str">
            <v>HATECO HICT</v>
          </cell>
          <cell r="O1485" t="str">
            <v>VP-26/50206</v>
          </cell>
          <cell r="P1485" t="str">
            <v>done</v>
          </cell>
          <cell r="Q1485">
            <v>308151180060</v>
          </cell>
        </row>
        <row r="1486">
          <cell r="I1486" t="str">
            <v>HLBU2244504</v>
          </cell>
          <cell r="J1486" t="str">
            <v>THÀNH</v>
          </cell>
          <cell r="K1486" t="str">
            <v>15:00</v>
          </cell>
          <cell r="L1486" t="str">
            <v>TCLU6615084</v>
          </cell>
          <cell r="M1486" t="str">
            <v>TRI PHƯƠNG</v>
          </cell>
          <cell r="N1486" t="str">
            <v>HATECO HICT</v>
          </cell>
          <cell r="Q1486">
            <v>0</v>
          </cell>
        </row>
        <row r="1487">
          <cell r="I1487" t="str">
            <v>CAAU4017058</v>
          </cell>
          <cell r="J1487" t="str">
            <v>QUÂN</v>
          </cell>
          <cell r="K1487">
            <v>0.33333333333333331</v>
          </cell>
          <cell r="L1487" t="str">
            <v>EGSU1503834</v>
          </cell>
          <cell r="M1487" t="str">
            <v>TRI PHƯƠNG</v>
          </cell>
          <cell r="N1487" t="str">
            <v>LẠCH HUYỆN</v>
          </cell>
          <cell r="Q1487">
            <v>0</v>
          </cell>
        </row>
        <row r="1488">
          <cell r="I1488" t="str">
            <v>CGMU5514577</v>
          </cell>
          <cell r="J1488" t="str">
            <v>ĐỨC</v>
          </cell>
          <cell r="K1488">
            <v>0.58333333333333337</v>
          </cell>
          <cell r="L1488" t="str">
            <v>CGMU5514577</v>
          </cell>
          <cell r="M1488" t="str">
            <v>TRI PHƯƠNG</v>
          </cell>
          <cell r="N1488" t="str">
            <v>HATECO HICT</v>
          </cell>
          <cell r="Q1488">
            <v>0</v>
          </cell>
        </row>
        <row r="1489">
          <cell r="I1489" t="str">
            <v>SZLU9557978</v>
          </cell>
          <cell r="J1489" t="str">
            <v>SƠN
KÉO VỀ</v>
          </cell>
          <cell r="K1489">
            <v>0.91666666666666663</v>
          </cell>
          <cell r="L1489" t="str">
            <v>SZLU9557978</v>
          </cell>
          <cell r="N1489" t="str">
            <v>NAM HẢI ĐÌNH VŨ</v>
          </cell>
          <cell r="P1489" t="str">
            <v>done</v>
          </cell>
          <cell r="Q1489">
            <v>308150661730</v>
          </cell>
        </row>
        <row r="1490">
          <cell r="I1490" t="str">
            <v>TCNU4899076</v>
          </cell>
          <cell r="K1490">
            <v>0.33333333333333331</v>
          </cell>
          <cell r="O1490" t="str">
            <v>VH-26/50081</v>
          </cell>
          <cell r="Q1490">
            <v>0</v>
          </cell>
        </row>
        <row r="1491">
          <cell r="I1491" t="str">
            <v>TCNU1134550</v>
          </cell>
          <cell r="J1491" t="str">
            <v>RU ANH KIỆT</v>
          </cell>
          <cell r="K1491">
            <v>0.625</v>
          </cell>
          <cell r="L1491" t="str">
            <v>TCNU1134550</v>
          </cell>
          <cell r="N1491" t="str">
            <v>TÂN VŨ</v>
          </cell>
          <cell r="O1491" t="str">
            <v>VH-26/50084</v>
          </cell>
          <cell r="P1491" t="str">
            <v>done</v>
          </cell>
          <cell r="Q1491">
            <v>308152929360</v>
          </cell>
        </row>
        <row r="1492">
          <cell r="I1492" t="str">
            <v>EITU9236623</v>
          </cell>
          <cell r="J1492" t="str">
            <v>DŨNG 
KÉO VỀ</v>
          </cell>
          <cell r="K1492">
            <v>0.875</v>
          </cell>
          <cell r="L1492" t="str">
            <v>EITU9236623</v>
          </cell>
          <cell r="N1492" t="str">
            <v>GIC</v>
          </cell>
          <cell r="O1492" t="str">
            <v>VH-26/50086</v>
          </cell>
          <cell r="P1492" t="str">
            <v>done</v>
          </cell>
          <cell r="Q1492">
            <v>308153769620</v>
          </cell>
        </row>
        <row r="1493">
          <cell r="I1493" t="str">
            <v>EGHU9573290</v>
          </cell>
          <cell r="J1493" t="str">
            <v>THỤY
KÉO VỀ</v>
          </cell>
          <cell r="K1493">
            <v>0.875</v>
          </cell>
          <cell r="L1493" t="str">
            <v>EGHU9573290</v>
          </cell>
          <cell r="N1493" t="str">
            <v>GIC</v>
          </cell>
          <cell r="O1493" t="str">
            <v>VS-26/50063</v>
          </cell>
          <cell r="P1493" t="str">
            <v>done</v>
          </cell>
          <cell r="Q1493">
            <v>308153812650</v>
          </cell>
        </row>
        <row r="1494">
          <cell r="I1494" t="str">
            <v>EGSU3937491</v>
          </cell>
          <cell r="J1494" t="str">
            <v>HKC</v>
          </cell>
          <cell r="K1494">
            <v>0.875</v>
          </cell>
          <cell r="L1494" t="str">
            <v>EGSU3937491</v>
          </cell>
          <cell r="N1494" t="str">
            <v>GIC</v>
          </cell>
          <cell r="O1494" t="str">
            <v>VS-26/50064</v>
          </cell>
          <cell r="P1494" t="str">
            <v>done</v>
          </cell>
          <cell r="Q1494">
            <v>308153848500</v>
          </cell>
        </row>
        <row r="1495">
          <cell r="I1495" t="str">
            <v>CMAU8878390</v>
          </cell>
          <cell r="J1495" t="str">
            <v>MẠNH</v>
          </cell>
          <cell r="K1495">
            <v>0.33333333333333331</v>
          </cell>
          <cell r="L1495" t="str">
            <v>TKCU7824245</v>
          </cell>
          <cell r="O1495" t="str">
            <v>VI-26/50374</v>
          </cell>
          <cell r="Q1495">
            <v>0</v>
          </cell>
        </row>
        <row r="1496">
          <cell r="I1496" t="str">
            <v>CMAU6846109</v>
          </cell>
          <cell r="J1496" t="str">
            <v>SÂM</v>
          </cell>
          <cell r="K1496">
            <v>0.35416666666666669</v>
          </cell>
          <cell r="L1496" t="str">
            <v>CMAU6846109</v>
          </cell>
          <cell r="O1496" t="str">
            <v>VI-26/50375</v>
          </cell>
          <cell r="Q1496">
            <v>0</v>
          </cell>
        </row>
        <row r="1497">
          <cell r="I1497" t="str">
            <v>CMAU9787720</v>
          </cell>
          <cell r="J1497" t="str">
            <v>PHƯƠNG</v>
          </cell>
          <cell r="K1497">
            <v>0.4236111111111111</v>
          </cell>
          <cell r="L1497" t="str">
            <v>CMAU9787720</v>
          </cell>
          <cell r="O1497" t="str">
            <v>VI-26/50380</v>
          </cell>
          <cell r="Q1497">
            <v>0</v>
          </cell>
        </row>
        <row r="1498">
          <cell r="I1498" t="str">
            <v>TCNU1168859</v>
          </cell>
          <cell r="J1498" t="str">
            <v>MẠNH</v>
          </cell>
          <cell r="K1498">
            <v>0.45833333333333331</v>
          </cell>
          <cell r="L1498" t="str">
            <v>TCNU1168859</v>
          </cell>
          <cell r="O1498" t="str">
            <v>VI-26/50378</v>
          </cell>
          <cell r="Q1498">
            <v>0</v>
          </cell>
        </row>
        <row r="1499">
          <cell r="I1499" t="str">
            <v>TRHU5694897</v>
          </cell>
          <cell r="J1499" t="str">
            <v>RU MH</v>
          </cell>
          <cell r="K1499">
            <v>8.3333333333333329E-2</v>
          </cell>
          <cell r="L1499" t="str">
            <v>TRHU5694897</v>
          </cell>
          <cell r="N1499" t="str">
            <v>HATECO HICT</v>
          </cell>
          <cell r="O1499" t="str">
            <v>VI-26/50376</v>
          </cell>
          <cell r="P1499" t="str">
            <v>done</v>
          </cell>
          <cell r="Q1499">
            <v>308154086500</v>
          </cell>
        </row>
        <row r="1500">
          <cell r="I1500" t="str">
            <v>TRHU7769830</v>
          </cell>
          <cell r="J1500" t="str">
            <v>MẠNH</v>
          </cell>
          <cell r="K1500">
            <v>0.10416666666666667</v>
          </cell>
          <cell r="L1500" t="str">
            <v>TRHU7769830</v>
          </cell>
          <cell r="O1500" t="str">
            <v>VI-26/50381</v>
          </cell>
          <cell r="Q1500">
            <v>0</v>
          </cell>
        </row>
        <row r="1501">
          <cell r="I1501" t="str">
            <v>TIIU7437450</v>
          </cell>
          <cell r="J1501" t="str">
            <v>HỒNG HƯNG
KÉO VỀ</v>
          </cell>
          <cell r="L1501" t="str">
            <v>TIIU7437450</v>
          </cell>
          <cell r="N1501" t="str">
            <v>TÂN CẢNG 189</v>
          </cell>
          <cell r="O1501" t="str">
            <v xml:space="preserve">VI-26/50346     
VI-26/50192       </v>
          </cell>
          <cell r="P1501" t="str">
            <v>done</v>
          </cell>
          <cell r="Q1501" t="str">
            <v>308154203950
308154482110</v>
          </cell>
        </row>
        <row r="1502">
          <cell r="I1502" t="str">
            <v>TIIU5755112</v>
          </cell>
          <cell r="J1502" t="str">
            <v>HƯNG 
KÉO VỀ</v>
          </cell>
          <cell r="L1502" t="str">
            <v>TIIU5755112</v>
          </cell>
          <cell r="N1502" t="str">
            <v>TÂN CẢNG 189</v>
          </cell>
          <cell r="O1502" t="str">
            <v>VI-26/50365</v>
          </cell>
          <cell r="P1502" t="str">
            <v>done</v>
          </cell>
          <cell r="Q1502">
            <v>308153673940</v>
          </cell>
        </row>
        <row r="1503">
          <cell r="I1503" t="str">
            <v>EMCU8717314</v>
          </cell>
          <cell r="J1503" t="str">
            <v>THI
SÂM KÉO VỀ</v>
          </cell>
          <cell r="K1503">
            <v>0.33333333333333331</v>
          </cell>
          <cell r="L1503" t="str">
            <v>SELU4363140</v>
          </cell>
          <cell r="N1503" t="str">
            <v>GIC</v>
          </cell>
          <cell r="P1503" t="str">
            <v>done</v>
          </cell>
          <cell r="Q1503">
            <v>308154044130</v>
          </cell>
        </row>
        <row r="1504">
          <cell r="I1504" t="str">
            <v>TGBU6929117</v>
          </cell>
          <cell r="J1504" t="str">
            <v>QUÂN
KÉO VỀ</v>
          </cell>
          <cell r="K1504">
            <v>0.54166666666666663</v>
          </cell>
          <cell r="L1504" t="str">
            <v>HASU5015437</v>
          </cell>
          <cell r="N1504" t="str">
            <v>GIC</v>
          </cell>
          <cell r="P1504" t="str">
            <v>done</v>
          </cell>
          <cell r="Q1504">
            <v>308154122860</v>
          </cell>
        </row>
        <row r="1505">
          <cell r="I1505" t="str">
            <v>EGSU6005367</v>
          </cell>
          <cell r="J1505" t="str">
            <v>SÂM
THÀNH KÉO VỀ</v>
          </cell>
          <cell r="K1505">
            <v>0.625</v>
          </cell>
          <cell r="L1505" t="str">
            <v>SITU9198867</v>
          </cell>
          <cell r="N1505" t="str">
            <v>GIC</v>
          </cell>
          <cell r="P1505" t="str">
            <v>done</v>
          </cell>
          <cell r="Q1505">
            <v>308154070620</v>
          </cell>
        </row>
        <row r="1506">
          <cell r="I1506" t="str">
            <v>TIIU6627013</v>
          </cell>
          <cell r="J1506" t="str">
            <v>PHƯƠNG</v>
          </cell>
          <cell r="K1506">
            <v>0.95833333333333337</v>
          </cell>
          <cell r="L1506" t="str">
            <v>SELU4437495</v>
          </cell>
          <cell r="Q1506">
            <v>0</v>
          </cell>
        </row>
        <row r="1507">
          <cell r="I1507" t="str">
            <v>CAAU6523965</v>
          </cell>
          <cell r="J1507" t="str">
            <v>ĐỨC</v>
          </cell>
          <cell r="K1507">
            <v>0.625</v>
          </cell>
          <cell r="L1507" t="str">
            <v>MRKU6100741</v>
          </cell>
          <cell r="M1507" t="str">
            <v>TRI PHƯƠNG</v>
          </cell>
          <cell r="N1507" t="str">
            <v>HATECO HICT</v>
          </cell>
          <cell r="O1507" t="str">
            <v>VI-26/50364</v>
          </cell>
          <cell r="P1507" t="str">
            <v>done</v>
          </cell>
          <cell r="Q1507">
            <v>308153613040</v>
          </cell>
        </row>
        <row r="1508">
          <cell r="I1508" t="str">
            <v>MRKU6347840</v>
          </cell>
          <cell r="J1508" t="str">
            <v>SƠN</v>
          </cell>
          <cell r="K1508">
            <v>0.97916666666666663</v>
          </cell>
          <cell r="L1508" t="str">
            <v>MRKU6347840</v>
          </cell>
          <cell r="M1508" t="str">
            <v>TRI PHƯƠNG</v>
          </cell>
          <cell r="N1508" t="str">
            <v>HATECO HICT</v>
          </cell>
          <cell r="O1508" t="str">
            <v>VI-26/50358</v>
          </cell>
          <cell r="P1508" t="str">
            <v>done</v>
          </cell>
          <cell r="Q1508">
            <v>308153637320</v>
          </cell>
        </row>
        <row r="1509">
          <cell r="I1509" t="str">
            <v>HASU5015437</v>
          </cell>
          <cell r="J1509" t="str">
            <v>ĐỨC</v>
          </cell>
          <cell r="K1509" t="str">
            <v>9:00</v>
          </cell>
          <cell r="L1509" t="str">
            <v>MRKU5073744</v>
          </cell>
          <cell r="M1509" t="str">
            <v>TRI PHƯƠNG</v>
          </cell>
          <cell r="N1509" t="str">
            <v>HATECO HICT</v>
          </cell>
          <cell r="P1509" t="str">
            <v>done</v>
          </cell>
          <cell r="Q1509">
            <v>308155204360</v>
          </cell>
        </row>
        <row r="1510">
          <cell r="I1510" t="str">
            <v>MRKU5073744</v>
          </cell>
          <cell r="J1510" t="str">
            <v>THỊNH</v>
          </cell>
          <cell r="K1510" t="str">
            <v>9:00</v>
          </cell>
          <cell r="L1510" t="str">
            <v>FFAU7178255</v>
          </cell>
          <cell r="M1510" t="str">
            <v>TRI PHƯƠNG</v>
          </cell>
          <cell r="N1510" t="str">
            <v>HATECO HICT</v>
          </cell>
          <cell r="P1510" t="str">
            <v>done</v>
          </cell>
          <cell r="Q1510">
            <v>308154550560</v>
          </cell>
        </row>
        <row r="1511">
          <cell r="I1511" t="str">
            <v>MRSU4142530</v>
          </cell>
          <cell r="J1511" t="str">
            <v>THÀNH</v>
          </cell>
          <cell r="K1511" t="str">
            <v>10:00</v>
          </cell>
          <cell r="L1511" t="str">
            <v>HLBU2244504</v>
          </cell>
          <cell r="M1511" t="str">
            <v>TRI PHƯƠNG</v>
          </cell>
          <cell r="N1511" t="str">
            <v>HATECO HICT</v>
          </cell>
          <cell r="P1511" t="str">
            <v>done</v>
          </cell>
          <cell r="Q1511">
            <v>308154706700</v>
          </cell>
        </row>
        <row r="1512">
          <cell r="I1512" t="str">
            <v>CAAU6530162</v>
          </cell>
          <cell r="J1512" t="str">
            <v>QUÂN</v>
          </cell>
          <cell r="K1512" t="str">
            <v>13:00</v>
          </cell>
          <cell r="L1512" t="str">
            <v>SITU9198450</v>
          </cell>
          <cell r="M1512" t="str">
            <v>TRI PHƯƠNG</v>
          </cell>
          <cell r="N1512" t="str">
            <v>HATECO HICT</v>
          </cell>
          <cell r="P1512" t="str">
            <v>done</v>
          </cell>
          <cell r="Q1512">
            <v>308154589650</v>
          </cell>
        </row>
        <row r="1513">
          <cell r="I1513" t="str">
            <v>TRHU4320341</v>
          </cell>
          <cell r="J1513" t="str">
            <v>SƠN</v>
          </cell>
          <cell r="K1513" t="str">
            <v>13:00</v>
          </cell>
          <cell r="L1513" t="str">
            <v>MRKU4589000</v>
          </cell>
          <cell r="M1513" t="str">
            <v>TRI PHƯƠNG</v>
          </cell>
          <cell r="N1513" t="str">
            <v>HATECO HICT</v>
          </cell>
          <cell r="P1513" t="str">
            <v>done</v>
          </cell>
          <cell r="Q1513">
            <v>308155339240</v>
          </cell>
        </row>
        <row r="1514">
          <cell r="I1514" t="str">
            <v>HASU4397510</v>
          </cell>
          <cell r="J1514" t="str">
            <v>THÀNH</v>
          </cell>
          <cell r="K1514" t="str">
            <v>14:00</v>
          </cell>
          <cell r="L1514" t="str">
            <v>SELU4208400</v>
          </cell>
          <cell r="M1514" t="str">
            <v>TRI PHƯƠNG</v>
          </cell>
          <cell r="N1514" t="str">
            <v>HATECO HICT</v>
          </cell>
          <cell r="P1514" t="str">
            <v>done</v>
          </cell>
          <cell r="Q1514">
            <v>308155186860</v>
          </cell>
        </row>
        <row r="1515">
          <cell r="I1515" t="str">
            <v>TCKU6419103</v>
          </cell>
          <cell r="J1515" t="str">
            <v>THỊNH</v>
          </cell>
          <cell r="K1515">
            <v>0.875</v>
          </cell>
          <cell r="L1515" t="str">
            <v>FFAU7262216</v>
          </cell>
          <cell r="M1515" t="str">
            <v>TRI PHƯƠNG</v>
          </cell>
          <cell r="N1515" t="str">
            <v>HATECO HICT</v>
          </cell>
          <cell r="P1515" t="str">
            <v>done</v>
          </cell>
          <cell r="Q1515">
            <v>308154012850</v>
          </cell>
        </row>
        <row r="1516">
          <cell r="I1516" t="str">
            <v>MRKU4589000</v>
          </cell>
          <cell r="J1516" t="str">
            <v>THÀNH</v>
          </cell>
          <cell r="K1516" t="str">
            <v>14:00</v>
          </cell>
          <cell r="L1516" t="str">
            <v>MRSU4142530</v>
          </cell>
          <cell r="M1516" t="str">
            <v>TRI PHƯƠNG</v>
          </cell>
          <cell r="N1516" t="str">
            <v>HATECO HICT</v>
          </cell>
          <cell r="P1516" t="str">
            <v>done</v>
          </cell>
          <cell r="Q1516">
            <v>308154310720</v>
          </cell>
        </row>
        <row r="1517">
          <cell r="I1517" t="str">
            <v>MRSU4953028</v>
          </cell>
          <cell r="J1517" t="str">
            <v>ĐỨC</v>
          </cell>
          <cell r="K1517" t="str">
            <v>15:00</v>
          </cell>
          <cell r="L1517" t="str">
            <v>FFAU7440750</v>
          </cell>
          <cell r="M1517" t="str">
            <v>TRI PHƯƠNG</v>
          </cell>
          <cell r="N1517" t="str">
            <v>HATECO HICT</v>
          </cell>
          <cell r="P1517" t="str">
            <v>done</v>
          </cell>
          <cell r="Q1517">
            <v>308154337210</v>
          </cell>
        </row>
        <row r="1518">
          <cell r="I1518" t="str">
            <v>TCNU3791092</v>
          </cell>
          <cell r="J1518" t="str">
            <v>THI</v>
          </cell>
          <cell r="K1518" t="str">
            <v>21:00</v>
          </cell>
          <cell r="L1518" t="str">
            <v>CAAU9865494</v>
          </cell>
          <cell r="M1518" t="str">
            <v>TRI PHƯƠNG</v>
          </cell>
          <cell r="N1518" t="str">
            <v>HATECO HICT</v>
          </cell>
          <cell r="P1518" t="str">
            <v>done</v>
          </cell>
          <cell r="Q1518">
            <v>308154365650</v>
          </cell>
        </row>
        <row r="1519">
          <cell r="I1519" t="str">
            <v>CGMU5272848</v>
          </cell>
          <cell r="J1519" t="str">
            <v>HƯỜNG</v>
          </cell>
          <cell r="K1519" t="str">
            <v>13:00</v>
          </cell>
          <cell r="L1519" t="str">
            <v>SELU4346271</v>
          </cell>
          <cell r="M1519" t="str">
            <v>TRI PHƯƠNG</v>
          </cell>
          <cell r="N1519" t="str">
            <v>HATECO HICT</v>
          </cell>
          <cell r="Q1519">
            <v>0</v>
          </cell>
        </row>
        <row r="1520">
          <cell r="I1520" t="str">
            <v>CGMU5325850</v>
          </cell>
          <cell r="K1520" t="str">
            <v>14:00</v>
          </cell>
          <cell r="M1520" t="str">
            <v>TRI PHƯƠNG</v>
          </cell>
          <cell r="N1520" t="str">
            <v>HATECO HICT</v>
          </cell>
          <cell r="Q1520">
            <v>0</v>
          </cell>
        </row>
        <row r="1521">
          <cell r="I1521" t="str">
            <v>CGMU5452135</v>
          </cell>
          <cell r="K1521" t="str">
            <v>15:00</v>
          </cell>
          <cell r="M1521" t="str">
            <v>TRI PHƯƠNG</v>
          </cell>
          <cell r="N1521" t="str">
            <v>HATECO HICT</v>
          </cell>
          <cell r="Q1521">
            <v>0</v>
          </cell>
        </row>
        <row r="1522">
          <cell r="I1522" t="str">
            <v>SEKU9246684</v>
          </cell>
          <cell r="K1522" t="str">
            <v>21:00</v>
          </cell>
          <cell r="M1522" t="str">
            <v>TRI PHƯƠNG</v>
          </cell>
          <cell r="N1522" t="str">
            <v>HATECO HICT</v>
          </cell>
          <cell r="Q1522">
            <v>0</v>
          </cell>
        </row>
        <row r="1523">
          <cell r="I1523" t="str">
            <v>ECMU7064880</v>
          </cell>
          <cell r="J1523" t="str">
            <v>SÂM</v>
          </cell>
          <cell r="K1523">
            <v>0.35416666666666669</v>
          </cell>
          <cell r="L1523" t="str">
            <v>ECMU5335067</v>
          </cell>
          <cell r="O1523" t="str">
            <v>VI-26/50408</v>
          </cell>
          <cell r="Q1523">
            <v>0</v>
          </cell>
        </row>
        <row r="1524">
          <cell r="I1524" t="str">
            <v>CMAU7646574 </v>
          </cell>
          <cell r="J1524" t="str">
            <v>RU MH</v>
          </cell>
          <cell r="K1524">
            <v>0.63541666666666663</v>
          </cell>
          <cell r="L1524" t="str">
            <v>CMAU7646574 </v>
          </cell>
          <cell r="N1524" t="str">
            <v>HATECO HICT</v>
          </cell>
          <cell r="O1524" t="str">
            <v>VI-26/50409</v>
          </cell>
          <cell r="P1524" t="str">
            <v>done</v>
          </cell>
          <cell r="Q1524">
            <v>308158205150</v>
          </cell>
        </row>
        <row r="1525">
          <cell r="I1525" t="str">
            <v>TXGU7513507 </v>
          </cell>
          <cell r="J1525" t="str">
            <v>RU MH</v>
          </cell>
          <cell r="K1525">
            <v>0.64583333333333337</v>
          </cell>
          <cell r="L1525" t="str">
            <v>TXGU7513507 </v>
          </cell>
          <cell r="N1525" t="str">
            <v>HATECO HICT</v>
          </cell>
          <cell r="O1525" t="str">
            <v>VI-26/50410</v>
          </cell>
          <cell r="P1525" t="str">
            <v>done</v>
          </cell>
          <cell r="Q1525">
            <v>308158219410</v>
          </cell>
        </row>
        <row r="1526">
          <cell r="I1526" t="str">
            <v>TCNU7535165</v>
          </cell>
          <cell r="J1526" t="str">
            <v>RU ANH KIỆT</v>
          </cell>
          <cell r="K1526">
            <v>0.875</v>
          </cell>
          <cell r="L1526" t="str">
            <v>TCNU7535165</v>
          </cell>
          <cell r="N1526" t="str">
            <v>TÂN VŨ</v>
          </cell>
          <cell r="O1526" t="str">
            <v>VH-26/50089</v>
          </cell>
          <cell r="P1526" t="str">
            <v>done</v>
          </cell>
          <cell r="Q1526">
            <v>308158391130</v>
          </cell>
        </row>
        <row r="1527">
          <cell r="I1527" t="str">
            <v>EMCU8313605</v>
          </cell>
          <cell r="J1527" t="str">
            <v>THỤY
KÉO VỀ</v>
          </cell>
          <cell r="N1527" t="str">
            <v>GIC</v>
          </cell>
          <cell r="O1527" t="str">
            <v>VS-26/50066</v>
          </cell>
          <cell r="P1527" t="str">
            <v>done</v>
          </cell>
          <cell r="Q1527">
            <v>308158278210</v>
          </cell>
        </row>
        <row r="1528">
          <cell r="I1528" t="str">
            <v>NSSU7171637</v>
          </cell>
          <cell r="J1528" t="str">
            <v>DŨNG 
KÉO VỀ</v>
          </cell>
          <cell r="K1528">
            <v>0.875</v>
          </cell>
          <cell r="N1528" t="str">
            <v>VIP GREEN PORT</v>
          </cell>
          <cell r="O1528" t="str">
            <v>VF-26/50009</v>
          </cell>
          <cell r="P1528" t="str">
            <v>done</v>
          </cell>
          <cell r="Q1528">
            <v>308158323820</v>
          </cell>
        </row>
        <row r="1529">
          <cell r="I1529" t="str">
            <v>BMOU6012145</v>
          </cell>
          <cell r="J1529" t="str">
            <v>THANH
KÉO VỀ</v>
          </cell>
          <cell r="K1529">
            <v>0.875</v>
          </cell>
          <cell r="N1529" t="str">
            <v>GIC</v>
          </cell>
          <cell r="O1529" t="str">
            <v>VS-26/50065</v>
          </cell>
          <cell r="P1529" t="str">
            <v>done</v>
          </cell>
          <cell r="Q1529">
            <v>308158430550</v>
          </cell>
        </row>
        <row r="1530">
          <cell r="I1530" t="str">
            <v>EGSU9553960</v>
          </cell>
          <cell r="J1530" t="str">
            <v>TRỌNG
KÉO VỀ</v>
          </cell>
          <cell r="K1530">
            <v>4.1666666666666664E-2</v>
          </cell>
          <cell r="N1530" t="str">
            <v>GIC</v>
          </cell>
          <cell r="O1530" t="str">
            <v>VS-26/50067</v>
          </cell>
          <cell r="P1530" t="str">
            <v>không phơi mình chịu, done</v>
          </cell>
          <cell r="Q1530">
            <v>308158509650</v>
          </cell>
        </row>
        <row r="1531">
          <cell r="I1531" t="str">
            <v>TRHU5424799</v>
          </cell>
          <cell r="J1531" t="str">
            <v>RU CÍMC5</v>
          </cell>
          <cell r="K1531">
            <v>0.875</v>
          </cell>
          <cell r="L1531" t="str">
            <v>TRHU5424799</v>
          </cell>
          <cell r="N1531" t="str">
            <v>TÂN VŨ</v>
          </cell>
          <cell r="O1531" t="str">
            <v>VH-26/50087</v>
          </cell>
          <cell r="P1531" t="str">
            <v>done</v>
          </cell>
          <cell r="Q1531">
            <v>308158360000</v>
          </cell>
        </row>
        <row r="1532">
          <cell r="I1532" t="str">
            <v>EGHU8518540</v>
          </cell>
          <cell r="J1532" t="str">
            <v>QUÂN</v>
          </cell>
          <cell r="K1532">
            <v>0.375</v>
          </cell>
          <cell r="Q1532">
            <v>0</v>
          </cell>
        </row>
        <row r="1533">
          <cell r="I1533" t="str">
            <v>GAOU6398799</v>
          </cell>
          <cell r="J1533" t="str">
            <v>HƯỜNG</v>
          </cell>
          <cell r="K1533">
            <v>0.58333333333333337</v>
          </cell>
          <cell r="L1533" t="str">
            <v>TIIU6627013</v>
          </cell>
          <cell r="Q1533">
            <v>0</v>
          </cell>
        </row>
        <row r="1534">
          <cell r="I1534" t="str">
            <v>EISU8210359</v>
          </cell>
          <cell r="J1534" t="str">
            <v>MẠNH</v>
          </cell>
          <cell r="K1534">
            <v>0.625</v>
          </cell>
          <cell r="L1534" t="str">
            <v>HPCU5023724</v>
          </cell>
          <cell r="O1534" t="str">
            <v>RTB-26/0016</v>
          </cell>
          <cell r="Q1534">
            <v>0</v>
          </cell>
        </row>
        <row r="1535">
          <cell r="I1535" t="str">
            <v>EGSU6329366</v>
          </cell>
          <cell r="J1535" t="str">
            <v>SÂM</v>
          </cell>
          <cell r="K1535">
            <v>0.625</v>
          </cell>
          <cell r="L1535" t="str">
            <v>EMCU8717314</v>
          </cell>
          <cell r="Q1535">
            <v>0</v>
          </cell>
        </row>
        <row r="1536">
          <cell r="I1536" t="str">
            <v>CAAU8450282</v>
          </cell>
          <cell r="J1536" t="str">
            <v>SƠN</v>
          </cell>
          <cell r="K1536">
            <v>0.875</v>
          </cell>
          <cell r="L1536" t="str">
            <v>TCNU3791092</v>
          </cell>
          <cell r="Q1536">
            <v>0</v>
          </cell>
        </row>
        <row r="1537">
          <cell r="I1537" t="str">
            <v>TXGU5696461</v>
          </cell>
          <cell r="J1537" t="str">
            <v>HƯỜNG</v>
          </cell>
          <cell r="K1537">
            <v>0.875</v>
          </cell>
          <cell r="L1537" t="str">
            <v>ECMU5133744</v>
          </cell>
          <cell r="Q1537">
            <v>0</v>
          </cell>
        </row>
        <row r="1538">
          <cell r="I1538" t="str">
            <v>EGSU9558617</v>
          </cell>
          <cell r="J1538" t="str">
            <v>DĐỨC</v>
          </cell>
          <cell r="K1538">
            <v>0.95833333333333337</v>
          </cell>
          <cell r="L1538" t="str">
            <v>TTNU8685666</v>
          </cell>
          <cell r="Q1538">
            <v>0</v>
          </cell>
        </row>
        <row r="1539">
          <cell r="I1539" t="str">
            <v>SELU4368028</v>
          </cell>
          <cell r="J1539" t="str">
            <v>THI</v>
          </cell>
          <cell r="K1539">
            <v>0</v>
          </cell>
          <cell r="L1539" t="str">
            <v>TRHU4320341</v>
          </cell>
          <cell r="Q1539">
            <v>0</v>
          </cell>
        </row>
        <row r="1540">
          <cell r="I1540" t="str">
            <v>TRHU7368647</v>
          </cell>
          <cell r="J1540" t="str">
            <v>THI</v>
          </cell>
          <cell r="L1540" t="str">
            <v>EGHU8518540</v>
          </cell>
          <cell r="Q1540">
            <v>0</v>
          </cell>
        </row>
        <row r="1541">
          <cell r="I1541" t="str">
            <v>TCKU7548548</v>
          </cell>
          <cell r="J1541" t="str">
            <v>ĐỨC</v>
          </cell>
          <cell r="K1541">
            <v>0.4236111111111111</v>
          </cell>
          <cell r="L1541" t="str">
            <v>CAAU6523965</v>
          </cell>
          <cell r="M1541" t="str">
            <v>TRI PHƯƠNG</v>
          </cell>
          <cell r="N1541" t="str">
            <v>HATECO HICT</v>
          </cell>
          <cell r="O1541" t="str">
            <v>VI-26/50388</v>
          </cell>
          <cell r="P1541" t="str">
            <v>done</v>
          </cell>
          <cell r="Q1541">
            <v>308157864730</v>
          </cell>
        </row>
        <row r="1542">
          <cell r="I1542" t="str">
            <v>MSKU1988760</v>
          </cell>
          <cell r="J1542" t="str">
            <v>ĐỨC</v>
          </cell>
          <cell r="K1542">
            <v>0.4375</v>
          </cell>
          <cell r="L1542" t="str">
            <v>TCKU7548548</v>
          </cell>
          <cell r="M1542" t="str">
            <v>TRI PHƯƠNG</v>
          </cell>
          <cell r="N1542" t="str">
            <v>HATECO HICT</v>
          </cell>
          <cell r="O1542" t="str">
            <v>VI-26/50390</v>
          </cell>
          <cell r="P1542" t="str">
            <v>done</v>
          </cell>
          <cell r="Q1542">
            <v>308157902050</v>
          </cell>
        </row>
        <row r="1543">
          <cell r="I1543" t="str">
            <v>TGHU6503740</v>
          </cell>
          <cell r="J1543" t="str">
            <v>ĐỨC</v>
          </cell>
          <cell r="K1543">
            <v>0.52083333333333337</v>
          </cell>
          <cell r="L1543" t="str">
            <v>CMAU8878390</v>
          </cell>
          <cell r="M1543" t="str">
            <v>TRI PHƯƠNG</v>
          </cell>
          <cell r="N1543" t="str">
            <v>HATECO HICT</v>
          </cell>
          <cell r="O1543" t="str">
            <v>VI-26/50395</v>
          </cell>
          <cell r="P1543" t="str">
            <v>done</v>
          </cell>
          <cell r="Q1543">
            <v>308157811200</v>
          </cell>
        </row>
        <row r="1544">
          <cell r="I1544" t="str">
            <v>MRKU2020490</v>
          </cell>
          <cell r="J1544" t="str">
            <v>THỊNH</v>
          </cell>
          <cell r="K1544">
            <v>0.95833333333333337</v>
          </cell>
          <cell r="L1544" t="str">
            <v>MSKU1988760</v>
          </cell>
          <cell r="M1544" t="str">
            <v>TRI PHƯƠNG</v>
          </cell>
          <cell r="N1544" t="str">
            <v>HATECO HICT</v>
          </cell>
          <cell r="O1544" t="str">
            <v>VI-26/50389</v>
          </cell>
          <cell r="P1544" t="str">
            <v>done</v>
          </cell>
          <cell r="Q1544">
            <v>308157884110</v>
          </cell>
        </row>
        <row r="1545">
          <cell r="I1545" t="str">
            <v>HASU4292864</v>
          </cell>
          <cell r="J1545" t="str">
            <v>MẠNH</v>
          </cell>
          <cell r="K1545">
            <v>0.125</v>
          </cell>
          <cell r="L1545" t="str">
            <v>ECMU7064880</v>
          </cell>
          <cell r="M1545" t="str">
            <v>TRI PHƯƠNG</v>
          </cell>
          <cell r="N1545" t="str">
            <v>HATECO HICT</v>
          </cell>
          <cell r="O1545" t="str">
            <v>VI-26/50396</v>
          </cell>
          <cell r="P1545" t="str">
            <v>done</v>
          </cell>
          <cell r="Q1545">
            <v>308157837800</v>
          </cell>
        </row>
        <row r="1546">
          <cell r="I1546" t="str">
            <v>TGHU6623941</v>
          </cell>
          <cell r="J1546" t="str">
            <v>SƠN</v>
          </cell>
          <cell r="K1546" t="str">
            <v>10:00</v>
          </cell>
          <cell r="L1546" t="str">
            <v>UETU7488666</v>
          </cell>
          <cell r="M1546" t="str">
            <v>TRI PHƯƠNG</v>
          </cell>
          <cell r="N1546" t="str">
            <v>HATECO HICT</v>
          </cell>
          <cell r="O1546">
            <v>3</v>
          </cell>
          <cell r="P1546" t="str">
            <v>done</v>
          </cell>
          <cell r="Q1546">
            <v>308159270000</v>
          </cell>
        </row>
        <row r="1547">
          <cell r="I1547" t="str">
            <v>BEAU6389448</v>
          </cell>
          <cell r="J1547" t="str">
            <v>QUÂN</v>
          </cell>
          <cell r="K1547" t="str">
            <v>15:00</v>
          </cell>
          <cell r="L1547" t="str">
            <v>TGBU6929117</v>
          </cell>
          <cell r="M1547" t="str">
            <v>TRI PHƯƠNG</v>
          </cell>
          <cell r="N1547" t="str">
            <v>HATECO HICT</v>
          </cell>
          <cell r="O1547">
            <v>1</v>
          </cell>
          <cell r="P1547" t="str">
            <v>done</v>
          </cell>
          <cell r="Q1547">
            <v>308159909910</v>
          </cell>
        </row>
        <row r="1548">
          <cell r="I1548" t="str">
            <v>FANU1463270</v>
          </cell>
          <cell r="J1548" t="str">
            <v>THÀNH</v>
          </cell>
          <cell r="K1548" t="str">
            <v>10:00</v>
          </cell>
          <cell r="L1548" t="str">
            <v>CGMU5325850</v>
          </cell>
          <cell r="M1548" t="str">
            <v>TRI PHƯƠNG</v>
          </cell>
          <cell r="N1548" t="str">
            <v>HATECO HICT</v>
          </cell>
          <cell r="O1548">
            <v>1</v>
          </cell>
          <cell r="Q1548">
            <v>0</v>
          </cell>
        </row>
        <row r="1549">
          <cell r="I1549" t="str">
            <v>CGMU9391125</v>
          </cell>
          <cell r="J1549" t="str">
            <v>THÀNH</v>
          </cell>
          <cell r="K1549" t="str">
            <v>13:00</v>
          </cell>
          <cell r="L1549" t="str">
            <v>EGSU6005367</v>
          </cell>
          <cell r="M1549" t="str">
            <v>TRI PHƯƠNG</v>
          </cell>
          <cell r="N1549" t="str">
            <v>HATECO HICT</v>
          </cell>
          <cell r="O1549">
            <v>1</v>
          </cell>
          <cell r="Q1549">
            <v>0</v>
          </cell>
        </row>
        <row r="1550">
          <cell r="I1550" t="str">
            <v>TTNU8685666</v>
          </cell>
          <cell r="J1550" t="str">
            <v>PHƯƠNG</v>
          </cell>
          <cell r="K1550" t="str">
            <v>13:00</v>
          </cell>
          <cell r="L1550" t="str">
            <v>SITU9208604</v>
          </cell>
          <cell r="N1550" t="str">
            <v>TÂN VŨ</v>
          </cell>
          <cell r="O1550" t="str">
            <v>VR-26/50144</v>
          </cell>
          <cell r="P1550" t="str">
            <v>done</v>
          </cell>
          <cell r="Q1550">
            <v>308159804760</v>
          </cell>
        </row>
        <row r="1551">
          <cell r="K1551">
            <v>8.3333333333333329E-2</v>
          </cell>
          <cell r="M1551" t="str">
            <v>TRI PHƯƠNG</v>
          </cell>
          <cell r="N1551" t="str">
            <v>TÂN VŨ</v>
          </cell>
          <cell r="O1551" t="str">
            <v>VH-26/50088</v>
          </cell>
          <cell r="Q1551">
            <v>0</v>
          </cell>
        </row>
        <row r="1552">
          <cell r="I1552" t="str">
            <v>TCNU8079500</v>
          </cell>
          <cell r="J1552" t="str">
            <v>THỊNH</v>
          </cell>
          <cell r="K1552">
            <v>0.875</v>
          </cell>
          <cell r="L1552" t="str">
            <v>UETU7137960</v>
          </cell>
          <cell r="M1552" t="str">
            <v>TRI PHƯƠNG</v>
          </cell>
          <cell r="N1552" t="str">
            <v>HATECO HICT</v>
          </cell>
          <cell r="O1552" t="str">
            <v>VS-26/50072</v>
          </cell>
          <cell r="P1552" t="str">
            <v>done</v>
          </cell>
          <cell r="Q1552">
            <v>308161200230</v>
          </cell>
        </row>
        <row r="1553">
          <cell r="I1553" t="str">
            <v>FFAU7514766</v>
          </cell>
          <cell r="J1553" t="str">
            <v>MẠNH</v>
          </cell>
          <cell r="K1553">
            <v>0.41666666666666669</v>
          </cell>
          <cell r="L1553" t="str">
            <v>CAAU8450282</v>
          </cell>
          <cell r="O1553" t="str">
            <v>RTB-26/0014</v>
          </cell>
          <cell r="Q1553">
            <v>0</v>
          </cell>
        </row>
        <row r="1554">
          <cell r="I1554" t="str">
            <v>EITU9256300</v>
          </cell>
          <cell r="J1554" t="str">
            <v>THAÀNH</v>
          </cell>
          <cell r="K1554" t="str">
            <v>13:00</v>
          </cell>
          <cell r="L1554" t="str">
            <v>TRHU7368647</v>
          </cell>
          <cell r="Q1554">
            <v>0</v>
          </cell>
        </row>
        <row r="1555">
          <cell r="I1555" t="str">
            <v>FFAU7251567</v>
          </cell>
          <cell r="J1555" t="str">
            <v>THỊNH</v>
          </cell>
          <cell r="K1555" t="str">
            <v>14:00</v>
          </cell>
          <cell r="L1555" t="str">
            <v>EGSU6329366</v>
          </cell>
          <cell r="Q1555">
            <v>0</v>
          </cell>
        </row>
        <row r="1556">
          <cell r="I1556" t="str">
            <v>SELU4362673</v>
          </cell>
          <cell r="K1556" t="str">
            <v>15:00</v>
          </cell>
          <cell r="Q1556">
            <v>0</v>
          </cell>
        </row>
        <row r="1557">
          <cell r="I1557" t="str">
            <v>TCNU1134062</v>
          </cell>
          <cell r="J1557" t="str">
            <v>SÂM KÉO VỀ</v>
          </cell>
          <cell r="K1557">
            <v>0.66666666666666663</v>
          </cell>
          <cell r="N1557" t="str">
            <v>LẠCH HUYỆN</v>
          </cell>
          <cell r="P1557" t="str">
            <v>done</v>
          </cell>
          <cell r="Q1557">
            <v>308163538120</v>
          </cell>
        </row>
        <row r="1558">
          <cell r="I1558" t="str">
            <v>CMAU3387048</v>
          </cell>
          <cell r="J1558" t="str">
            <v>SƠN KÉO VỀ</v>
          </cell>
          <cell r="K1558">
            <v>0.875</v>
          </cell>
          <cell r="N1558" t="str">
            <v>LẠCH HUYỆN</v>
          </cell>
          <cell r="P1558" t="str">
            <v>done</v>
          </cell>
          <cell r="Q1558">
            <v>308163569360</v>
          </cell>
        </row>
        <row r="1559">
          <cell r="I1559" t="str">
            <v>SITU9158695</v>
          </cell>
          <cell r="J1559" t="str">
            <v>HƯỜNG KÉO VỀ</v>
          </cell>
          <cell r="N1559" t="str">
            <v>ĐÌNH VŨ</v>
          </cell>
          <cell r="O1559" t="str">
            <v>VZ-26/50062 +VZ-26/50062R+ VZ-26/50062R-01</v>
          </cell>
          <cell r="P1559" t="str">
            <v>done</v>
          </cell>
          <cell r="Q1559" t="str">
            <v>308168306150
308168297050
308168287730
308168277340
308168267910
308168255420
308168239760</v>
          </cell>
        </row>
        <row r="1560">
          <cell r="I1560" t="str">
            <v>CAJU5094121</v>
          </cell>
          <cell r="J1560" t="str">
            <v>SƠN KÉO VỀ</v>
          </cell>
          <cell r="N1560" t="str">
            <v>ĐÌNH VŨ</v>
          </cell>
          <cell r="O1560" t="str">
            <v>VZ-26/50063 +VZ-26/50063R +VZ-26/50063R-01</v>
          </cell>
          <cell r="P1560" t="str">
            <v>done</v>
          </cell>
          <cell r="Q1560" t="str">
            <v>308168322840
308168353160
308168344540
308168337800
308168330210</v>
          </cell>
        </row>
        <row r="1561">
          <cell r="I1561" t="str">
            <v>UETU7262914</v>
          </cell>
          <cell r="J1561" t="str">
            <v>THỊNH</v>
          </cell>
          <cell r="L1561" t="str">
            <v>HASU4397510</v>
          </cell>
          <cell r="O1561" t="str">
            <v>VZ-26/50075 +VZ-26/50075R +VZ-26/50075R-01</v>
          </cell>
          <cell r="Q1561">
            <v>0</v>
          </cell>
        </row>
        <row r="1562">
          <cell r="I1562" t="str">
            <v>SELU4334476</v>
          </cell>
          <cell r="J1562" t="str">
            <v>THI</v>
          </cell>
          <cell r="L1562" t="str">
            <v>FANU1463270</v>
          </cell>
          <cell r="O1562" t="str">
            <v>VZ-26/50072 + VZ-26/50072R+ VZ-26/50072R-01</v>
          </cell>
          <cell r="Q1562">
            <v>0</v>
          </cell>
        </row>
        <row r="1563">
          <cell r="I1563" t="str">
            <v>CAJU5211742</v>
          </cell>
          <cell r="J1563" t="str">
            <v>THAÀNH KÉO VỀ</v>
          </cell>
          <cell r="N1563" t="str">
            <v>ĐÌNH VŨ</v>
          </cell>
          <cell r="O1563" t="str">
            <v>VZ-26/50071 +VZ-26/50071R +VZ-26/50071R-01</v>
          </cell>
          <cell r="P1563" t="str">
            <v>done</v>
          </cell>
          <cell r="Q1563" t="str">
            <v>308168391110
308168384440
308168371730</v>
          </cell>
        </row>
        <row r="1564">
          <cell r="I1564" t="str">
            <v>HASU4792005</v>
          </cell>
          <cell r="J1564" t="str">
            <v>PHƯƠNG</v>
          </cell>
          <cell r="K1564">
            <v>0.33333333333333331</v>
          </cell>
          <cell r="L1564" t="str">
            <v>FFAU1804990</v>
          </cell>
          <cell r="M1564" t="str">
            <v>TRI PHƯƠNG</v>
          </cell>
          <cell r="N1564" t="str">
            <v>HATECO HICT</v>
          </cell>
          <cell r="P1564" t="str">
            <v>done</v>
          </cell>
          <cell r="Q1564">
            <v>308161249010</v>
          </cell>
        </row>
        <row r="1565">
          <cell r="I1565" t="str">
            <v>MRSU5945177</v>
          </cell>
          <cell r="J1565" t="str">
            <v>HƯỜNG</v>
          </cell>
          <cell r="K1565" t="str">
            <v>10:00</v>
          </cell>
          <cell r="L1565" t="str">
            <v>FFAU7251567</v>
          </cell>
          <cell r="M1565" t="str">
            <v>TRI PHƯƠNG</v>
          </cell>
          <cell r="N1565" t="str">
            <v>HATECO HICT</v>
          </cell>
          <cell r="P1565" t="str">
            <v>done</v>
          </cell>
          <cell r="Q1565">
            <v>308163059100</v>
          </cell>
        </row>
        <row r="1566">
          <cell r="I1566" t="str">
            <v>MRKU2640660</v>
          </cell>
          <cell r="J1566" t="str">
            <v>QUÂN</v>
          </cell>
          <cell r="K1566" t="str">
            <v>13:00</v>
          </cell>
          <cell r="L1566" t="str">
            <v>CGMU9391125</v>
          </cell>
          <cell r="M1566" t="str">
            <v>TRI PHƯƠNG</v>
          </cell>
          <cell r="N1566" t="str">
            <v>HATECO HICT</v>
          </cell>
          <cell r="P1566" t="str">
            <v>done</v>
          </cell>
          <cell r="Q1566">
            <v>308162988400</v>
          </cell>
        </row>
        <row r="1567">
          <cell r="I1567" t="str">
            <v>CAAU5191824</v>
          </cell>
          <cell r="J1567" t="str">
            <v>SÂM</v>
          </cell>
          <cell r="K1567" t="str">
            <v>14:00</v>
          </cell>
          <cell r="L1567" t="str">
            <v>EGSU9558617</v>
          </cell>
          <cell r="M1567" t="str">
            <v>TRI PHƯƠNG</v>
          </cell>
          <cell r="N1567" t="str">
            <v>HATECO HICT</v>
          </cell>
          <cell r="P1567" t="str">
            <v>done</v>
          </cell>
          <cell r="Q1567">
            <v>308163017210</v>
          </cell>
        </row>
        <row r="1568">
          <cell r="I1568" t="str">
            <v>GESU6234464</v>
          </cell>
          <cell r="J1568" t="str">
            <v>SƠN</v>
          </cell>
          <cell r="K1568" t="str">
            <v>14:00</v>
          </cell>
          <cell r="L1568" t="str">
            <v>TXGU5696461</v>
          </cell>
          <cell r="M1568" t="str">
            <v>TRI PHƯƠNG</v>
          </cell>
          <cell r="N1568" t="str">
            <v>HATECO HICT</v>
          </cell>
          <cell r="P1568" t="str">
            <v>done</v>
          </cell>
          <cell r="Q1568">
            <v>308163410720</v>
          </cell>
        </row>
        <row r="1569">
          <cell r="I1569" t="str">
            <v>SUDU6921444</v>
          </cell>
          <cell r="J1569" t="str">
            <v>THÀNH</v>
          </cell>
          <cell r="K1569" t="str">
            <v>22:00</v>
          </cell>
          <cell r="L1569" t="str">
            <v>EGSU9743092</v>
          </cell>
          <cell r="M1569" t="str">
            <v>TRI PHƯƠNG</v>
          </cell>
          <cell r="N1569" t="str">
            <v>HATECO HICT</v>
          </cell>
          <cell r="P1569" t="str">
            <v>done</v>
          </cell>
          <cell r="Q1569">
            <v>308163071220</v>
          </cell>
        </row>
        <row r="1570">
          <cell r="I1570" t="str">
            <v>MRKU4276048</v>
          </cell>
          <cell r="J1570" t="str">
            <v>SÂM</v>
          </cell>
          <cell r="K1570" t="str">
            <v>0:00</v>
          </cell>
          <cell r="L1570" t="str">
            <v>TCNU1134062</v>
          </cell>
          <cell r="M1570" t="str">
            <v>TRI PHƯƠNG</v>
          </cell>
          <cell r="N1570" t="str">
            <v>HATECO HICT</v>
          </cell>
          <cell r="P1570" t="str">
            <v>done</v>
          </cell>
          <cell r="Q1570">
            <v>308163447820</v>
          </cell>
        </row>
        <row r="1571">
          <cell r="I1571" t="str">
            <v>GCXU6202167</v>
          </cell>
          <cell r="J1571" t="str">
            <v>THỊNH</v>
          </cell>
          <cell r="K1571" t="str">
            <v>10:00</v>
          </cell>
          <cell r="L1571" t="str">
            <v>GCXU6202167</v>
          </cell>
          <cell r="M1571" t="str">
            <v>TRI PHƯƠNG</v>
          </cell>
          <cell r="N1571" t="str">
            <v>HATECO HICT</v>
          </cell>
          <cell r="O1571" t="str">
            <v>VP-26/50280</v>
          </cell>
          <cell r="P1571" t="str">
            <v>done</v>
          </cell>
          <cell r="Q1571">
            <v>30816257514</v>
          </cell>
        </row>
        <row r="1572">
          <cell r="I1572" t="str">
            <v>CAJU5046123</v>
          </cell>
          <cell r="J1572" t="str">
            <v>RU KỶ NGUYÊN</v>
          </cell>
          <cell r="K1572" t="str">
            <v>14:00</v>
          </cell>
          <cell r="L1572" t="str">
            <v>CAJU5046123</v>
          </cell>
          <cell r="N1572" t="str">
            <v>HATECO HICT</v>
          </cell>
          <cell r="O1572" t="str">
            <v>VP-26/50279</v>
          </cell>
          <cell r="P1572" t="str">
            <v>done</v>
          </cell>
          <cell r="Q1572">
            <v>308162550640</v>
          </cell>
        </row>
        <row r="1573">
          <cell r="I1573" t="str">
            <v>ONEU9304438</v>
          </cell>
          <cell r="J1573" t="str">
            <v>SƠN</v>
          </cell>
          <cell r="K1573" t="str">
            <v>8:00</v>
          </cell>
          <cell r="Q1573">
            <v>0</v>
          </cell>
        </row>
        <row r="1574">
          <cell r="I1574" t="str">
            <v>CGMU7027808</v>
          </cell>
          <cell r="J1574" t="str">
            <v>THI</v>
          </cell>
          <cell r="K1574" t="str">
            <v>13:00</v>
          </cell>
          <cell r="Q1574">
            <v>0</v>
          </cell>
        </row>
        <row r="1575">
          <cell r="I1575" t="str">
            <v>SEGU9542758</v>
          </cell>
          <cell r="K1575" t="str">
            <v>15:00</v>
          </cell>
          <cell r="Q1575">
            <v>0</v>
          </cell>
        </row>
        <row r="1576">
          <cell r="I1576" t="str">
            <v>TCNU2929891</v>
          </cell>
          <cell r="J1576" t="str">
            <v>ĐỨC</v>
          </cell>
          <cell r="K1576">
            <v>0.375</v>
          </cell>
          <cell r="L1576" t="str">
            <v>TIIU6079630</v>
          </cell>
          <cell r="O1576" t="str">
            <v>HP</v>
          </cell>
          <cell r="Q1576">
            <v>0</v>
          </cell>
        </row>
        <row r="1577">
          <cell r="I1577" t="str">
            <v>TIIU5190818</v>
          </cell>
          <cell r="J1577" t="str">
            <v>QUÂN</v>
          </cell>
          <cell r="K1577">
            <v>0.41666666666666669</v>
          </cell>
          <cell r="L1577" t="str">
            <v>MRSU5945177</v>
          </cell>
          <cell r="O1577" t="str">
            <v>HP</v>
          </cell>
          <cell r="Q1577">
            <v>0</v>
          </cell>
        </row>
        <row r="1578">
          <cell r="I1578" t="str">
            <v>FFAU4997763</v>
          </cell>
          <cell r="J1578" t="str">
            <v>SÂM</v>
          </cell>
          <cell r="K1578">
            <v>0.54166666666666663</v>
          </cell>
          <cell r="L1578" t="str">
            <v>ONEU9304438</v>
          </cell>
          <cell r="O1578" t="str">
            <v>RTB-26/0017+SCN-26/02</v>
          </cell>
          <cell r="Q1578">
            <v>0</v>
          </cell>
        </row>
        <row r="1579">
          <cell r="I1579" t="str">
            <v>FFAU5099542</v>
          </cell>
          <cell r="J1579" t="str">
            <v>ĐỨC</v>
          </cell>
          <cell r="K1579">
            <v>0.58333333333333337</v>
          </cell>
          <cell r="L1579" t="str">
            <v>SELU4362673</v>
          </cell>
          <cell r="O1579" t="str">
            <v>RTB-26/0018</v>
          </cell>
          <cell r="Q1579">
            <v>0</v>
          </cell>
        </row>
        <row r="1580">
          <cell r="I1580" t="str">
            <v>CAAU4895860</v>
          </cell>
          <cell r="J1580" t="str">
            <v>MẠNH</v>
          </cell>
          <cell r="K1580">
            <v>0.54166666666666663</v>
          </cell>
          <cell r="L1580" t="str">
            <v>SUDU6921444</v>
          </cell>
          <cell r="O1580" t="str">
            <v>HP</v>
          </cell>
          <cell r="Q1580">
            <v>0</v>
          </cell>
        </row>
        <row r="1581">
          <cell r="I1581" t="str">
            <v>EGHU8213900</v>
          </cell>
          <cell r="J1581" t="str">
            <v>THỊNH</v>
          </cell>
          <cell r="K1581">
            <v>0.54166666666666663</v>
          </cell>
          <cell r="L1581" t="str">
            <v>CGMU5272848</v>
          </cell>
          <cell r="Q1581">
            <v>0</v>
          </cell>
        </row>
        <row r="1582">
          <cell r="I1582" t="str">
            <v>MSDU8839188</v>
          </cell>
          <cell r="J1582" t="str">
            <v>SƠN</v>
          </cell>
          <cell r="K1582">
            <v>0.58333333333333337</v>
          </cell>
          <cell r="L1582" t="str">
            <v>CMAU3387048</v>
          </cell>
          <cell r="O1582" t="str">
            <v>HP</v>
          </cell>
          <cell r="Q1582">
            <v>0</v>
          </cell>
        </row>
        <row r="1583">
          <cell r="I1583" t="str">
            <v>FFAU2410096</v>
          </cell>
          <cell r="J1583" t="str">
            <v>ĐỨC</v>
          </cell>
          <cell r="K1583">
            <v>0.58333333333333337</v>
          </cell>
          <cell r="L1583" t="str">
            <v>TRIU8752922</v>
          </cell>
          <cell r="O1583" t="str">
            <v>HP</v>
          </cell>
          <cell r="Q1583">
            <v>0</v>
          </cell>
        </row>
        <row r="1584">
          <cell r="I1584" t="str">
            <v>FFAU7178337</v>
          </cell>
          <cell r="J1584" t="str">
            <v>PHƯƠNG</v>
          </cell>
          <cell r="K1584">
            <v>0.875</v>
          </cell>
          <cell r="L1584" t="str">
            <v>FFAU2410096</v>
          </cell>
          <cell r="O1584" t="str">
            <v>HP</v>
          </cell>
          <cell r="Q1584">
            <v>0</v>
          </cell>
        </row>
        <row r="1585">
          <cell r="I1585" t="str">
            <v>SELU4385555</v>
          </cell>
          <cell r="J1585" t="str">
            <v>HƯỜNG</v>
          </cell>
          <cell r="K1585">
            <v>0.91666666666666663</v>
          </cell>
          <cell r="L1585" t="str">
            <v>CAAU4895860</v>
          </cell>
          <cell r="O1585" t="str">
            <v>HP</v>
          </cell>
          <cell r="Q1585">
            <v>0</v>
          </cell>
        </row>
        <row r="1586">
          <cell r="I1586" t="str">
            <v>EGSU1324438</v>
          </cell>
          <cell r="J1586" t="str">
            <v>THAÀNH</v>
          </cell>
          <cell r="K1586">
            <v>0.91666666666666663</v>
          </cell>
          <cell r="L1586" t="str">
            <v>SELU4334476</v>
          </cell>
          <cell r="Q1586">
            <v>0</v>
          </cell>
        </row>
        <row r="1587">
          <cell r="I1587" t="str">
            <v>EMCU8731225</v>
          </cell>
          <cell r="J1587" t="str">
            <v>THAÀNH</v>
          </cell>
          <cell r="K1587">
            <v>0</v>
          </cell>
          <cell r="L1587" t="str">
            <v>EGSU1324438</v>
          </cell>
          <cell r="O1587" t="str">
            <v>RTB-26/0019</v>
          </cell>
          <cell r="Q1587">
            <v>0</v>
          </cell>
        </row>
        <row r="1588">
          <cell r="I1588" t="str">
            <v>TIIU4668841</v>
          </cell>
          <cell r="J1588" t="str">
            <v>THAÀNH
THI KÉO VỀ</v>
          </cell>
          <cell r="L1588" t="str">
            <v>UETU7262914</v>
          </cell>
          <cell r="N1588" t="str">
            <v>ĐÌNH VŨ</v>
          </cell>
          <cell r="O1588" t="str">
            <v>VZ-26/50067 +VZ-26/50067R +VZ-26/50067R-01</v>
          </cell>
          <cell r="P1588" t="str">
            <v>done</v>
          </cell>
          <cell r="Q1588" t="str">
            <v>308170301300
308170244230
308170197220
308170153340
308170101650</v>
          </cell>
        </row>
        <row r="1589">
          <cell r="I1589" t="str">
            <v>HPCU5030533</v>
          </cell>
          <cell r="J1589" t="str">
            <v>SƠN
MẠNH KÉO VỀ</v>
          </cell>
          <cell r="L1589" t="str">
            <v>TIIU5190818</v>
          </cell>
          <cell r="N1589" t="str">
            <v>ĐÌNH VŨ</v>
          </cell>
          <cell r="O1589" t="str">
            <v>VZ-26/50066 +VZ-26/50066R+ VZ-26/50066R-01</v>
          </cell>
          <cell r="P1589" t="str">
            <v>done</v>
          </cell>
          <cell r="Q1589" t="str">
            <v>308169846260
308169892460
308169946140
308169974030</v>
          </cell>
        </row>
        <row r="1590">
          <cell r="I1590" t="str">
            <v>SELU4343457</v>
          </cell>
          <cell r="J1590" t="str">
            <v>HƯỜNG
THÀNH KÉO VỀ</v>
          </cell>
          <cell r="L1590" t="str">
            <v>SELU4385555</v>
          </cell>
          <cell r="N1590" t="str">
            <v>ĐÌNH VŨ</v>
          </cell>
          <cell r="O1590" t="str">
            <v>VZ-26/50070 +VZ-26/50070R +VZ-26/50070R-01</v>
          </cell>
          <cell r="P1590" t="str">
            <v>done</v>
          </cell>
          <cell r="Q1590" t="str">
            <v>308170542910
308170561920
308174639750
308174648850
308174658210
308174664620</v>
          </cell>
        </row>
        <row r="1591">
          <cell r="I1591" t="str">
            <v>CAJU5218860</v>
          </cell>
          <cell r="J1591" t="str">
            <v>QUÂN KÉO VỀ</v>
          </cell>
          <cell r="N1591" t="str">
            <v>ĐÌNH VŨ</v>
          </cell>
          <cell r="O1591" t="str">
            <v>VZ-26/50069 +VZ-26/50069R +VZ-26/50069R-01</v>
          </cell>
          <cell r="P1591" t="str">
            <v>done</v>
          </cell>
          <cell r="Q1591" t="str">
            <v>308170369200
308170899540
308170505110
308170467310
308170414660</v>
          </cell>
        </row>
        <row r="1592">
          <cell r="I1592" t="str">
            <v>FFAU7406519</v>
          </cell>
          <cell r="J1592" t="str">
            <v>THAÀNH
SƠN KÉO VỀ</v>
          </cell>
          <cell r="L1592" t="str">
            <v>MORU0302266</v>
          </cell>
          <cell r="N1592" t="str">
            <v>ĐÌNH VŨ</v>
          </cell>
          <cell r="O1592" t="str">
            <v>VZ-26/50073 +VZ-26/50073R +VZ-26/50073R-01</v>
          </cell>
          <cell r="P1592" t="str">
            <v>done</v>
          </cell>
          <cell r="Q1592" t="str">
            <v>308171676430
308171743520
308171732430
308171706900
308171691720</v>
          </cell>
        </row>
        <row r="1593">
          <cell r="I1593" t="str">
            <v>FCIU9854973</v>
          </cell>
          <cell r="J1593" t="str">
            <v>THỤY
KÉO VỀ</v>
          </cell>
          <cell r="L1593" t="str">
            <v>FCIU9854973</v>
          </cell>
          <cell r="N1593" t="str">
            <v>grand forward</v>
          </cell>
          <cell r="P1593" t="str">
            <v>done</v>
          </cell>
          <cell r="Q1593">
            <v>308166053110</v>
          </cell>
        </row>
        <row r="1594">
          <cell r="I1594" t="str">
            <v>TRHU4344240</v>
          </cell>
          <cell r="J1594" t="str">
            <v>ĐỨC KÉO VỀ</v>
          </cell>
          <cell r="K1594">
            <v>0.875</v>
          </cell>
          <cell r="N1594" t="str">
            <v xml:space="preserve">LẠCH HUYỆN </v>
          </cell>
          <cell r="O1594" t="str">
            <v>VI-26/50440</v>
          </cell>
          <cell r="P1594" t="str">
            <v>done</v>
          </cell>
          <cell r="Q1594">
            <v>308165499740</v>
          </cell>
        </row>
        <row r="1595">
          <cell r="I1595" t="str">
            <v>ECMU5048806</v>
          </cell>
          <cell r="K1595">
            <v>4.1666666666666664E-2</v>
          </cell>
          <cell r="O1595" t="str">
            <v>VS-26/50075</v>
          </cell>
          <cell r="Q1595">
            <v>0</v>
          </cell>
        </row>
        <row r="1596">
          <cell r="I1596" t="str">
            <v>REGU5201120</v>
          </cell>
          <cell r="J1596" t="str">
            <v>VINH
kéo về</v>
          </cell>
          <cell r="K1596">
            <v>0.33333333333333331</v>
          </cell>
          <cell r="L1596" t="str">
            <v>REGU5201120</v>
          </cell>
          <cell r="N1596" t="str">
            <v>NAM HẢI ICD</v>
          </cell>
          <cell r="O1596" t="str">
            <v>VS-26/50079</v>
          </cell>
          <cell r="P1596" t="str">
            <v>done</v>
          </cell>
          <cell r="Q1596">
            <v>308163768160</v>
          </cell>
        </row>
        <row r="1597">
          <cell r="I1597" t="str">
            <v>TIIU4533743</v>
          </cell>
          <cell r="J1597" t="str">
            <v>THI
KÉO VỀ</v>
          </cell>
          <cell r="K1597">
            <v>0.125</v>
          </cell>
          <cell r="L1597" t="str">
            <v>NYKU4435783</v>
          </cell>
          <cell r="N1597" t="str">
            <v>GIC</v>
          </cell>
          <cell r="O1597" t="str">
            <v>VS-26/50083</v>
          </cell>
          <cell r="P1597" t="str">
            <v>done</v>
          </cell>
          <cell r="Q1597">
            <v>308163814510</v>
          </cell>
        </row>
        <row r="1598">
          <cell r="I1598" t="str">
            <v>EITU1780029</v>
          </cell>
          <cell r="J1598" t="str">
            <v>SƠN
THÀNH KÉO VỀ</v>
          </cell>
          <cell r="K1598">
            <v>0.125</v>
          </cell>
          <cell r="L1598" t="str">
            <v>ECMU5048806</v>
          </cell>
          <cell r="N1598" t="str">
            <v>GIC</v>
          </cell>
          <cell r="O1598" t="str">
            <v>VH-26/50094</v>
          </cell>
          <cell r="Q1598">
            <v>308163824160</v>
          </cell>
        </row>
        <row r="1599">
          <cell r="I1599" t="str">
            <v>TIIU5347234</v>
          </cell>
          <cell r="J1599" t="str">
            <v>HỒNG HƯNG
KÉO VỀ</v>
          </cell>
          <cell r="L1599" t="str">
            <v>TIIU5347234</v>
          </cell>
          <cell r="N1599" t="str">
            <v>TÂN VŨ</v>
          </cell>
          <cell r="O1599" t="str">
            <v>VS-26/50074</v>
          </cell>
          <cell r="P1599" t="str">
            <v>done</v>
          </cell>
          <cell r="Q1599">
            <v>308163870250</v>
          </cell>
        </row>
        <row r="1600">
          <cell r="I1600" t="str">
            <v>TRHU6003048</v>
          </cell>
          <cell r="J1600" t="str">
            <v>HƯỜNG</v>
          </cell>
          <cell r="L1600" t="str">
            <v>TCNU4899076</v>
          </cell>
          <cell r="N1600">
            <v>0</v>
          </cell>
          <cell r="O1600" t="str">
            <v>VH-26/50100</v>
          </cell>
          <cell r="Q1600">
            <v>0</v>
          </cell>
        </row>
        <row r="1601">
          <cell r="I1601" t="str">
            <v>FFAU6838267</v>
          </cell>
          <cell r="J1601" t="str">
            <v>PHƯƠNG</v>
          </cell>
          <cell r="L1601" t="str">
            <v>TGBU9712505</v>
          </cell>
          <cell r="N1601">
            <v>0</v>
          </cell>
          <cell r="O1601" t="str">
            <v>VH-26/50101</v>
          </cell>
          <cell r="Q1601">
            <v>0</v>
          </cell>
        </row>
        <row r="1602">
          <cell r="I1602" t="str">
            <v>MRSU6509394</v>
          </cell>
          <cell r="J1602" t="str">
            <v>SƠN
PHƯƠNG KÉO VỀ</v>
          </cell>
          <cell r="K1602">
            <v>0.33333333333333331</v>
          </cell>
          <cell r="L1602" t="str">
            <v>TGHU6503740</v>
          </cell>
          <cell r="N1602" t="str">
            <v>HATECO HICT</v>
          </cell>
          <cell r="O1602" t="str">
            <v>VI-26/50459</v>
          </cell>
          <cell r="P1602" t="str">
            <v>done</v>
          </cell>
          <cell r="Q1602">
            <v>308164627910</v>
          </cell>
        </row>
        <row r="1603">
          <cell r="I1603" t="str">
            <v>TRHU7126751</v>
          </cell>
          <cell r="J1603" t="str">
            <v>THI
HƯỜNG KÉO VỀ</v>
          </cell>
          <cell r="K1603">
            <v>0.33333333333333331</v>
          </cell>
          <cell r="L1603" t="str">
            <v>MRKU2020490</v>
          </cell>
          <cell r="N1603" t="str">
            <v>HATECO HICT</v>
          </cell>
          <cell r="O1603" t="str">
            <v>VI-26/50402</v>
          </cell>
          <cell r="P1603" t="str">
            <v>done</v>
          </cell>
          <cell r="Q1603">
            <v>308164534000</v>
          </cell>
        </row>
        <row r="1604">
          <cell r="I1604" t="str">
            <v>TCNU4534083</v>
          </cell>
          <cell r="J1604" t="str">
            <v>THI
KÉO VỀ</v>
          </cell>
          <cell r="K1604">
            <v>0.33333333333333331</v>
          </cell>
          <cell r="L1604" t="str">
            <v>TCNU4534083</v>
          </cell>
          <cell r="N1604" t="str">
            <v>HATECO HICT</v>
          </cell>
          <cell r="O1604" t="str">
            <v>VI-26/50428</v>
          </cell>
          <cell r="P1604" t="str">
            <v>done</v>
          </cell>
          <cell r="Q1604">
            <v>308164556250</v>
          </cell>
        </row>
        <row r="1605">
          <cell r="I1605" t="str">
            <v>MRKU5132240</v>
          </cell>
          <cell r="J1605" t="str">
            <v>HƯỜNG</v>
          </cell>
          <cell r="K1605">
            <v>0.375</v>
          </cell>
          <cell r="L1605" t="str">
            <v>TRHU7126751</v>
          </cell>
          <cell r="M1605" t="str">
            <v>TRI PHƯƠNG</v>
          </cell>
          <cell r="N1605" t="str">
            <v>HATECO HICT</v>
          </cell>
          <cell r="O1605" t="str">
            <v>VI-26/50431</v>
          </cell>
          <cell r="P1605" t="str">
            <v>done</v>
          </cell>
          <cell r="Q1605">
            <v>308164799630</v>
          </cell>
        </row>
        <row r="1606">
          <cell r="I1606" t="str">
            <v>TEMU7484730</v>
          </cell>
          <cell r="J1606" t="str">
            <v>PHƯƠNG</v>
          </cell>
          <cell r="K1606">
            <v>7.2916666666666671E-2</v>
          </cell>
          <cell r="L1606" t="str">
            <v>MRSU6509394</v>
          </cell>
          <cell r="M1606" t="str">
            <v>TRI PHƯƠNG</v>
          </cell>
          <cell r="N1606" t="str">
            <v>HATECO HICT</v>
          </cell>
          <cell r="O1606" t="str">
            <v>VI-26/50447</v>
          </cell>
          <cell r="P1606" t="str">
            <v>done</v>
          </cell>
          <cell r="Q1606">
            <v>308164811050</v>
          </cell>
        </row>
        <row r="1607">
          <cell r="I1607" t="str">
            <v>MRSU4209823</v>
          </cell>
          <cell r="J1607" t="str">
            <v>SÂM</v>
          </cell>
          <cell r="K1607">
            <v>8.3333333333333329E-2</v>
          </cell>
          <cell r="M1607" t="str">
            <v>TRI PHƯƠNG</v>
          </cell>
          <cell r="N1607" t="str">
            <v>HATECO HICT</v>
          </cell>
          <cell r="O1607" t="str">
            <v>VI-26/50456</v>
          </cell>
          <cell r="P1607" t="str">
            <v>done</v>
          </cell>
          <cell r="Q1607">
            <v>308164853900</v>
          </cell>
        </row>
        <row r="1608">
          <cell r="I1608" t="str">
            <v>HASU4182851</v>
          </cell>
          <cell r="J1608" t="str">
            <v>QUÂN</v>
          </cell>
          <cell r="K1608">
            <v>0.125</v>
          </cell>
          <cell r="M1608" t="str">
            <v>TRI PHƯƠNG</v>
          </cell>
          <cell r="N1608" t="str">
            <v>HATECO HICT</v>
          </cell>
          <cell r="O1608" t="str">
            <v>VI-26/50451</v>
          </cell>
          <cell r="P1608" t="str">
            <v>done</v>
          </cell>
          <cell r="Q1608">
            <v>308164835000</v>
          </cell>
        </row>
        <row r="1609">
          <cell r="I1609" t="str">
            <v>MRSU5947251</v>
          </cell>
          <cell r="J1609" t="str">
            <v>QUÂN</v>
          </cell>
          <cell r="K1609" t="str">
            <v>14:00</v>
          </cell>
          <cell r="L1609" t="str">
            <v>MRKU4276048</v>
          </cell>
          <cell r="M1609" t="str">
            <v>TRI PHƯƠNG</v>
          </cell>
          <cell r="N1609" t="str">
            <v>HATECO HICT</v>
          </cell>
          <cell r="P1609" t="str">
            <v>done</v>
          </cell>
          <cell r="Q1609">
            <v>308167103220</v>
          </cell>
        </row>
        <row r="1610">
          <cell r="I1610" t="str">
            <v>TRIU8752922</v>
          </cell>
          <cell r="J1610" t="str">
            <v>THÀNH</v>
          </cell>
          <cell r="K1610">
            <v>0.375</v>
          </cell>
          <cell r="L1610" t="str">
            <v>EGHU8213900</v>
          </cell>
          <cell r="M1610" t="str">
            <v>TRI PHƯƠNG</v>
          </cell>
          <cell r="N1610" t="str">
            <v>TÂN VŨ</v>
          </cell>
          <cell r="Q1610">
            <v>0</v>
          </cell>
        </row>
        <row r="1611">
          <cell r="I1611" t="str">
            <v>HJMU6098685</v>
          </cell>
          <cell r="J1611" t="str">
            <v>SÂM</v>
          </cell>
          <cell r="K1611">
            <v>0.41666666666666669</v>
          </cell>
          <cell r="L1611" t="str">
            <v>CGMU7027808</v>
          </cell>
          <cell r="M1611" t="str">
            <v>TRI PHƯƠNG</v>
          </cell>
          <cell r="N1611" t="str">
            <v>TÂN VŨ</v>
          </cell>
          <cell r="Q1611">
            <v>0</v>
          </cell>
        </row>
        <row r="1612">
          <cell r="I1612" t="str">
            <v>KKFU6964002</v>
          </cell>
          <cell r="J1612" t="str">
            <v>MẠNH</v>
          </cell>
          <cell r="K1612" t="str">
            <v>14:00</v>
          </cell>
          <cell r="L1612" t="str">
            <v>EITU9256300</v>
          </cell>
          <cell r="M1612" t="str">
            <v>TRI PHƯƠNG</v>
          </cell>
          <cell r="N1612" t="str">
            <v>TÂN VŨ</v>
          </cell>
          <cell r="Q1612">
            <v>0</v>
          </cell>
        </row>
        <row r="1613">
          <cell r="I1613" t="str">
            <v>MORU0604501</v>
          </cell>
          <cell r="J1613" t="str">
            <v>QUÂN</v>
          </cell>
          <cell r="K1613" t="str">
            <v>11:00</v>
          </cell>
          <cell r="L1613" t="str">
            <v>HJMU6098685</v>
          </cell>
          <cell r="M1613" t="str">
            <v>TRI PHƯƠNG</v>
          </cell>
          <cell r="N1613" t="str">
            <v>LẠCH HUYỆN</v>
          </cell>
          <cell r="Q1613">
            <v>0</v>
          </cell>
        </row>
        <row r="1614">
          <cell r="I1614" t="str">
            <v>HAMU3553180</v>
          </cell>
          <cell r="J1614" t="str">
            <v>THỊNH</v>
          </cell>
          <cell r="K1614" t="str">
            <v>21:00</v>
          </cell>
          <cell r="M1614" t="str">
            <v>TRI PHƯƠNG</v>
          </cell>
          <cell r="N1614" t="str">
            <v>HATECO HICT</v>
          </cell>
          <cell r="Q1614">
            <v>0</v>
          </cell>
        </row>
        <row r="1615">
          <cell r="I1615" t="str">
            <v>ONEU9304438</v>
          </cell>
          <cell r="J1615" t="str">
            <v>SƠN</v>
          </cell>
          <cell r="K1615" t="str">
            <v>8:00</v>
          </cell>
          <cell r="L1615" t="str">
            <v>TCKU6419103</v>
          </cell>
          <cell r="M1615" t="str">
            <v>TRI PHƯƠNG</v>
          </cell>
          <cell r="N1615" t="str">
            <v>LẠCH HUYỆN</v>
          </cell>
          <cell r="Q1615">
            <v>0</v>
          </cell>
        </row>
        <row r="1616">
          <cell r="I1616" t="str">
            <v>CGMU7027808</v>
          </cell>
          <cell r="J1616" t="str">
            <v>THI</v>
          </cell>
          <cell r="K1616" t="str">
            <v>13:00</v>
          </cell>
          <cell r="L1616" t="str">
            <v>GAOU6398799</v>
          </cell>
          <cell r="M1616" t="str">
            <v>TRI PHƯƠNG</v>
          </cell>
          <cell r="N1616" t="str">
            <v>HATECO HICT</v>
          </cell>
          <cell r="Q1616">
            <v>0</v>
          </cell>
        </row>
        <row r="1617">
          <cell r="I1617" t="str">
            <v>CGMU6959192</v>
          </cell>
          <cell r="J1617" t="str">
            <v>THỊNH
QUÂN KÉO VỀ</v>
          </cell>
          <cell r="K1617" t="str">
            <v>15:00</v>
          </cell>
          <cell r="L1617" t="str">
            <v>KKFU6964002</v>
          </cell>
          <cell r="N1617" t="str">
            <v>HATECO HICT</v>
          </cell>
          <cell r="P1617" t="str">
            <v>done</v>
          </cell>
          <cell r="Q1617">
            <v>308166988640</v>
          </cell>
        </row>
        <row r="1618">
          <cell r="I1618" t="str">
            <v>TGBU4132628</v>
          </cell>
          <cell r="J1618" t="str">
            <v>SƠN</v>
          </cell>
          <cell r="K1618">
            <v>0.39583333333333331</v>
          </cell>
          <cell r="L1618" t="str">
            <v>HASU4194488</v>
          </cell>
          <cell r="O1618" t="str">
            <v>VI-26/50479</v>
          </cell>
          <cell r="Q1618">
            <v>0</v>
          </cell>
        </row>
        <row r="1619">
          <cell r="I1619" t="str">
            <v>GCXU6017301</v>
          </cell>
          <cell r="J1619" t="str">
            <v>MẠNH</v>
          </cell>
          <cell r="K1619">
            <v>0.875</v>
          </cell>
          <cell r="L1619" t="str">
            <v>BSIU9850867</v>
          </cell>
          <cell r="O1619" t="str">
            <v>VI-26/50463</v>
          </cell>
          <cell r="Q1619">
            <v>0</v>
          </cell>
        </row>
        <row r="1620">
          <cell r="I1620" t="str">
            <v>CMAU9539174</v>
          </cell>
          <cell r="J1620" t="str">
            <v>QUÂN</v>
          </cell>
          <cell r="K1620">
            <v>0.97916666666666663</v>
          </cell>
          <cell r="O1620" t="str">
            <v>VI-26/50485</v>
          </cell>
          <cell r="Q1620">
            <v>0</v>
          </cell>
        </row>
        <row r="1621">
          <cell r="I1621" t="str">
            <v>TCNU4894325</v>
          </cell>
          <cell r="J1621" t="str">
            <v>THI</v>
          </cell>
          <cell r="K1621">
            <v>0.33333333333333331</v>
          </cell>
          <cell r="L1621" t="str">
            <v>TIIU4533743</v>
          </cell>
          <cell r="O1621" t="str">
            <v>VH-26/50104</v>
          </cell>
          <cell r="Q1621">
            <v>0</v>
          </cell>
        </row>
        <row r="1622">
          <cell r="I1622" t="str">
            <v>TXGU8770855</v>
          </cell>
          <cell r="J1622" t="str">
            <v>THÀNH</v>
          </cell>
          <cell r="K1622">
            <v>0.33333333333333331</v>
          </cell>
          <cell r="L1622" t="str">
            <v>EITU1780029</v>
          </cell>
          <cell r="O1622" t="str">
            <v>VH-26/50102</v>
          </cell>
          <cell r="Q1622">
            <v>0</v>
          </cell>
        </row>
        <row r="1623">
          <cell r="I1623" t="str">
            <v>ONEU0166791</v>
          </cell>
          <cell r="J1623" t="str">
            <v>SÂM</v>
          </cell>
          <cell r="K1623">
            <v>0.33333333333333331</v>
          </cell>
          <cell r="O1623" t="str">
            <v>VH-26/50103</v>
          </cell>
          <cell r="Q1623">
            <v>0</v>
          </cell>
        </row>
        <row r="1624">
          <cell r="I1624" t="str">
            <v>EISU8581468</v>
          </cell>
          <cell r="J1624" t="str">
            <v>HƯỜNG
CHƯA VỀ</v>
          </cell>
          <cell r="K1624">
            <v>0.33333333333333331</v>
          </cell>
          <cell r="L1624" t="str">
            <v>TRHU6003048</v>
          </cell>
          <cell r="N1624" t="str">
            <v>GIC</v>
          </cell>
          <cell r="O1624" t="str">
            <v>VS-26/50085</v>
          </cell>
          <cell r="P1624" t="str">
            <v>không phơi mình chịu, done</v>
          </cell>
          <cell r="Q1624">
            <v>308169391630</v>
          </cell>
        </row>
        <row r="1625">
          <cell r="I1625" t="str">
            <v>CAAU6888011</v>
          </cell>
          <cell r="J1625" t="str">
            <v>QUÂN</v>
          </cell>
          <cell r="K1625">
            <v>0.875</v>
          </cell>
          <cell r="L1625" t="str">
            <v>FFAU6838267</v>
          </cell>
          <cell r="O1625" t="str">
            <v>VS-26/50087</v>
          </cell>
          <cell r="Q1625">
            <v>0</v>
          </cell>
        </row>
        <row r="1626">
          <cell r="I1626" t="str">
            <v>EITU9280760</v>
          </cell>
          <cell r="J1626" t="str">
            <v>DĐỨC</v>
          </cell>
          <cell r="K1626">
            <v>0.875</v>
          </cell>
          <cell r="L1626" t="str">
            <v>TXGU8770855</v>
          </cell>
          <cell r="O1626" t="str">
            <v>VS-26/50086</v>
          </cell>
          <cell r="Q1626">
            <v>0</v>
          </cell>
        </row>
        <row r="1627">
          <cell r="I1627" t="str">
            <v>FDCU0076578</v>
          </cell>
          <cell r="J1627" t="str">
            <v>THI</v>
          </cell>
          <cell r="K1627">
            <v>8.3333333333333329E-2</v>
          </cell>
          <cell r="L1627" t="str">
            <v>ONEU0166791</v>
          </cell>
          <cell r="O1627" t="str">
            <v>VS-26/50084</v>
          </cell>
          <cell r="Q1627">
            <v>0</v>
          </cell>
        </row>
        <row r="1628">
          <cell r="I1628" t="str">
            <v>CSNU8639981</v>
          </cell>
          <cell r="J1628" t="str">
            <v>RU ANH QUÂN</v>
          </cell>
          <cell r="K1628">
            <v>0.41666666666666669</v>
          </cell>
          <cell r="N1628" t="str">
            <v>TÂN VŨ</v>
          </cell>
          <cell r="O1628" t="str">
            <v>VS-26/50089</v>
          </cell>
          <cell r="P1628" t="str">
            <v>done</v>
          </cell>
          <cell r="Q1628">
            <v>308169652730</v>
          </cell>
        </row>
        <row r="1629">
          <cell r="K1629">
            <v>0.33333333333333331</v>
          </cell>
          <cell r="O1629" t="str">
            <v>HP</v>
          </cell>
          <cell r="Q1629">
            <v>0</v>
          </cell>
        </row>
        <row r="1630">
          <cell r="I1630" t="str">
            <v>TIIU5197366</v>
          </cell>
          <cell r="J1630" t="str">
            <v>HƯỜNG
THI KÉO VỀ</v>
          </cell>
          <cell r="K1630">
            <v>0.33333333333333331</v>
          </cell>
          <cell r="L1630" t="str">
            <v>FFAU5099542</v>
          </cell>
          <cell r="N1630" t="str">
            <v>ĐÌNH VŨ</v>
          </cell>
          <cell r="O1630" t="str">
            <v>VZ-26/50065 + VZ-26/50065R+ VZ-26/50065R-01</v>
          </cell>
          <cell r="P1630" t="str">
            <v>done</v>
          </cell>
          <cell r="Q1630" t="str">
            <v>308171780950
308171873460
308171859460
308171845240
308171817350
308171797860</v>
          </cell>
        </row>
        <row r="1631">
          <cell r="I1631" t="str">
            <v>SITU9219173</v>
          </cell>
          <cell r="J1631" t="str">
            <v>THI
HƯỜNG KÉO VỀ</v>
          </cell>
          <cell r="K1631">
            <v>0.45833333333333331</v>
          </cell>
          <cell r="L1631" t="str">
            <v>TIIU6279047</v>
          </cell>
          <cell r="N1631" t="str">
            <v>ĐÌNH VŨ</v>
          </cell>
          <cell r="O1631" t="str">
            <v>VZ-26/50068 +VZ-26/50068R+ VZ-26/50068R-01</v>
          </cell>
          <cell r="P1631" t="str">
            <v>done</v>
          </cell>
          <cell r="Q1631" t="str">
            <v>308174920820
308174995720
308174964110
308174936810</v>
          </cell>
        </row>
        <row r="1632">
          <cell r="I1632" t="str">
            <v>EGHU9603034</v>
          </cell>
          <cell r="J1632" t="str">
            <v>HƯỜNG</v>
          </cell>
          <cell r="K1632">
            <v>0.54166666666666663</v>
          </cell>
          <cell r="L1632" t="str">
            <v>FFAU4997763</v>
          </cell>
          <cell r="O1632" t="str">
            <v>HP</v>
          </cell>
          <cell r="Q1632">
            <v>0</v>
          </cell>
        </row>
        <row r="1633">
          <cell r="I1633" t="str">
            <v>SITU9097856</v>
          </cell>
          <cell r="J1633" t="str">
            <v>DĐỨC
THỊNH KÉO VỀ</v>
          </cell>
          <cell r="K1633">
            <v>0.625</v>
          </cell>
          <cell r="L1633" t="str">
            <v>FFAU7514766</v>
          </cell>
          <cell r="N1633" t="str">
            <v>ĐÌNH VŨ</v>
          </cell>
          <cell r="O1633" t="str">
            <v>VZ-26/50076 +VZ-26/50076R +VZ-26/50076R-01</v>
          </cell>
          <cell r="P1633" t="str">
            <v>done</v>
          </cell>
          <cell r="Q1633" t="str">
            <v>308171911040
308171941250
308171928100</v>
          </cell>
        </row>
        <row r="1634">
          <cell r="I1634" t="str">
            <v>EMCU8239703</v>
          </cell>
          <cell r="J1634" t="str">
            <v>PHƯƠNG</v>
          </cell>
          <cell r="K1634">
            <v>0</v>
          </cell>
          <cell r="L1634" t="str">
            <v>EISU8210359</v>
          </cell>
          <cell r="O1634" t="str">
            <v>RTB-26/0020</v>
          </cell>
          <cell r="Q1634">
            <v>0</v>
          </cell>
        </row>
        <row r="1635">
          <cell r="I1635" t="str">
            <v>TIIU6279047</v>
          </cell>
          <cell r="K1635">
            <v>0.41666666666666669</v>
          </cell>
          <cell r="O1635" t="str">
            <v>HP</v>
          </cell>
          <cell r="Q1635">
            <v>0</v>
          </cell>
        </row>
        <row r="1636">
          <cell r="I1636" t="str">
            <v>MRKU3795990</v>
          </cell>
          <cell r="J1636" t="str">
            <v>THỊNH</v>
          </cell>
          <cell r="K1636">
            <v>0.34375</v>
          </cell>
          <cell r="L1636" t="str">
            <v>HASU4182851</v>
          </cell>
          <cell r="M1636" t="str">
            <v>TRI PHƯƠNG</v>
          </cell>
          <cell r="N1636" t="str">
            <v>HATECO HICT</v>
          </cell>
          <cell r="O1636" t="str">
            <v>VI-26/50500</v>
          </cell>
          <cell r="P1636" t="str">
            <v>done</v>
          </cell>
          <cell r="Q1636">
            <v>308170028300</v>
          </cell>
        </row>
        <row r="1637">
          <cell r="I1637" t="str">
            <v>HASU4194488</v>
          </cell>
          <cell r="J1637" t="str">
            <v>ĐỨC</v>
          </cell>
          <cell r="K1637">
            <v>0.34375</v>
          </cell>
          <cell r="L1637" t="str">
            <v>TRHU4344240</v>
          </cell>
          <cell r="M1637" t="str">
            <v>TRI PHƯƠNG</v>
          </cell>
          <cell r="N1637" t="str">
            <v>HATECO HICT</v>
          </cell>
          <cell r="O1637" t="str">
            <v>VI-26/50501</v>
          </cell>
          <cell r="P1637" t="str">
            <v>done</v>
          </cell>
          <cell r="Q1637">
            <v>308170040420</v>
          </cell>
        </row>
        <row r="1638">
          <cell r="I1638" t="str">
            <v>BSIU9850867</v>
          </cell>
          <cell r="J1638" t="str">
            <v>SÂM</v>
          </cell>
          <cell r="K1638">
            <v>0.4236111111111111</v>
          </cell>
          <cell r="L1638" t="str">
            <v>TEMU7484730</v>
          </cell>
          <cell r="M1638" t="str">
            <v>TRI PHƯƠNG</v>
          </cell>
          <cell r="N1638" t="str">
            <v>HATECO HICT</v>
          </cell>
          <cell r="O1638" t="str">
            <v>VI-26/50481</v>
          </cell>
          <cell r="P1638" t="str">
            <v>done</v>
          </cell>
          <cell r="Q1638">
            <v>308169230300</v>
          </cell>
        </row>
        <row r="1639">
          <cell r="I1639" t="str">
            <v>HASU4618781</v>
          </cell>
          <cell r="J1639" t="str">
            <v>THỊNH</v>
          </cell>
          <cell r="K1639">
            <v>0.61458333333333337</v>
          </cell>
          <cell r="L1639" t="str">
            <v>MRKU3795990</v>
          </cell>
          <cell r="M1639" t="str">
            <v>TRI PHƯƠNG</v>
          </cell>
          <cell r="N1639" t="str">
            <v>HATECO HICT</v>
          </cell>
          <cell r="O1639" t="str">
            <v>VI-26/50482</v>
          </cell>
          <cell r="P1639" t="str">
            <v>done</v>
          </cell>
          <cell r="Q1639">
            <v>308169240320</v>
          </cell>
        </row>
        <row r="1640">
          <cell r="I1640" t="str">
            <v>HASU4961240</v>
          </cell>
          <cell r="J1640" t="str">
            <v>SƠN</v>
          </cell>
          <cell r="K1640">
            <v>0.63194444444444442</v>
          </cell>
          <cell r="L1640" t="str">
            <v>HASU4618781</v>
          </cell>
          <cell r="M1640" t="str">
            <v>TRI PHƯƠNG</v>
          </cell>
          <cell r="N1640" t="str">
            <v>HATECO HICT</v>
          </cell>
          <cell r="O1640" t="str">
            <v>VI-26/50490</v>
          </cell>
          <cell r="P1640" t="str">
            <v>done</v>
          </cell>
          <cell r="Q1640">
            <v>308169076520</v>
          </cell>
        </row>
        <row r="1641">
          <cell r="I1641" t="str">
            <v>MRKU6026834</v>
          </cell>
          <cell r="J1641" t="str">
            <v>PHƯƠNG</v>
          </cell>
          <cell r="K1641">
            <v>0.64583333333333337</v>
          </cell>
          <cell r="L1641" t="str">
            <v>MRKU6026834</v>
          </cell>
          <cell r="M1641" t="str">
            <v>TRI PHƯƠNG</v>
          </cell>
          <cell r="N1641" t="str">
            <v>HATECO HICT</v>
          </cell>
          <cell r="O1641" t="str">
            <v>VI-26/50461</v>
          </cell>
          <cell r="P1641" t="str">
            <v>done</v>
          </cell>
          <cell r="Q1641">
            <v>308169050730</v>
          </cell>
        </row>
        <row r="1642">
          <cell r="I1642" t="str">
            <v>TLLU5840601</v>
          </cell>
          <cell r="J1642" t="str">
            <v>SƠN</v>
          </cell>
          <cell r="K1642">
            <v>0.125</v>
          </cell>
          <cell r="L1642" t="str">
            <v>MSKU1125878</v>
          </cell>
          <cell r="M1642" t="str">
            <v>TRI PHƯƠNG</v>
          </cell>
          <cell r="N1642" t="str">
            <v>HATECO HICT</v>
          </cell>
          <cell r="O1642" t="str">
            <v>VI-26/50498</v>
          </cell>
          <cell r="P1642" t="str">
            <v>done</v>
          </cell>
          <cell r="Q1642">
            <v>308169276240</v>
          </cell>
        </row>
        <row r="1643">
          <cell r="I1643" t="str">
            <v>MSKU1125878</v>
          </cell>
          <cell r="J1643" t="str">
            <v>MẠNH</v>
          </cell>
          <cell r="K1643">
            <v>0.14583333333333334</v>
          </cell>
          <cell r="L1643" t="str">
            <v>HASU4961240</v>
          </cell>
          <cell r="M1643" t="str">
            <v>TRI PHƯƠNG</v>
          </cell>
          <cell r="N1643" t="str">
            <v>HATECO HICT</v>
          </cell>
          <cell r="O1643" t="str">
            <v>VI-26/50496</v>
          </cell>
          <cell r="P1643" t="str">
            <v>done</v>
          </cell>
          <cell r="Q1643">
            <v>308169129460</v>
          </cell>
        </row>
        <row r="1644">
          <cell r="I1644" t="str">
            <v>MNBU4622454</v>
          </cell>
          <cell r="J1644" t="str">
            <v>THỊNH
ĐỨC KÉO VỀ</v>
          </cell>
          <cell r="K1644" t="str">
            <v>11:00</v>
          </cell>
          <cell r="L1644" t="str">
            <v>EMCU5577116</v>
          </cell>
          <cell r="N1644" t="str">
            <v>HATECO HICT</v>
          </cell>
          <cell r="P1644" t="str">
            <v>done</v>
          </cell>
          <cell r="Q1644">
            <v>308170291350</v>
          </cell>
        </row>
        <row r="1645">
          <cell r="I1645" t="str">
            <v>HAMU1214260</v>
          </cell>
          <cell r="J1645" t="str">
            <v>THỊNH
SÂM KÉO VỀ</v>
          </cell>
          <cell r="K1645" t="str">
            <v>14:00</v>
          </cell>
          <cell r="L1645" t="str">
            <v>SEKU9246684</v>
          </cell>
          <cell r="N1645" t="str">
            <v>HATECO HICT</v>
          </cell>
          <cell r="O1645" t="str">
            <v>VR-26/50190</v>
          </cell>
          <cell r="P1645" t="str">
            <v>done</v>
          </cell>
          <cell r="Q1645">
            <v>308170448960</v>
          </cell>
        </row>
        <row r="1646">
          <cell r="I1646" t="str">
            <v>MNBU4280557</v>
          </cell>
          <cell r="J1646" t="str">
            <v>SÂM
PHƯƠNG KÉO VỀ</v>
          </cell>
          <cell r="K1646" t="str">
            <v>00:00</v>
          </cell>
          <cell r="L1646" t="str">
            <v>CGMU5452135</v>
          </cell>
          <cell r="N1646" t="str">
            <v>HATECO HICT</v>
          </cell>
          <cell r="O1646" t="str">
            <v>VP-26/50305</v>
          </cell>
          <cell r="P1646" t="str">
            <v>done</v>
          </cell>
          <cell r="Q1646">
            <v>308171018910</v>
          </cell>
        </row>
        <row r="1647">
          <cell r="I1647" t="str">
            <v>KKFU6977226</v>
          </cell>
          <cell r="J1647" t="str">
            <v>QUÂN</v>
          </cell>
          <cell r="K1647" t="str">
            <v>8:00</v>
          </cell>
          <cell r="L1647" t="str">
            <v>CGMU6959192</v>
          </cell>
          <cell r="M1647" t="str">
            <v>TRI PHƯƠNG</v>
          </cell>
          <cell r="N1647" t="str">
            <v>TÂN VŨ</v>
          </cell>
          <cell r="Q1647">
            <v>0</v>
          </cell>
        </row>
        <row r="1648">
          <cell r="I1648" t="str">
            <v>EMCU5577116</v>
          </cell>
          <cell r="J1648" t="str">
            <v>THỊNH</v>
          </cell>
          <cell r="K1648" t="str">
            <v>10:00</v>
          </cell>
          <cell r="L1648" t="str">
            <v>HAMU3553180</v>
          </cell>
          <cell r="M1648" t="str">
            <v>TRI PHƯƠNG</v>
          </cell>
          <cell r="N1648" t="str">
            <v>VIP</v>
          </cell>
          <cell r="Q1648">
            <v>0</v>
          </cell>
        </row>
        <row r="1649">
          <cell r="I1649" t="str">
            <v>KKFU6725796</v>
          </cell>
          <cell r="J1649" t="str">
            <v>SÂM</v>
          </cell>
          <cell r="K1649" t="str">
            <v>10:00</v>
          </cell>
          <cell r="L1649" t="str">
            <v>FFAU7178337</v>
          </cell>
          <cell r="M1649" t="str">
            <v>TRI PHƯƠNG</v>
          </cell>
          <cell r="N1649" t="str">
            <v>TÂN VŨ</v>
          </cell>
          <cell r="Q1649">
            <v>0</v>
          </cell>
        </row>
        <row r="1650">
          <cell r="I1650" t="str">
            <v>MORU0302266</v>
          </cell>
          <cell r="J1650" t="str">
            <v>SÂM</v>
          </cell>
          <cell r="K1650" t="str">
            <v>13:00</v>
          </cell>
          <cell r="L1650" t="str">
            <v>KKFU6977226</v>
          </cell>
          <cell r="M1650" t="str">
            <v>TRI PHƯƠNG</v>
          </cell>
          <cell r="N1650" t="str">
            <v>TÂN VŨ</v>
          </cell>
          <cell r="Q1650">
            <v>0</v>
          </cell>
        </row>
        <row r="1651">
          <cell r="I1651" t="str">
            <v>EMCU5388719</v>
          </cell>
          <cell r="J1651" t="str">
            <v>SÂM</v>
          </cell>
          <cell r="K1651" t="str">
            <v>15:00</v>
          </cell>
          <cell r="L1651" t="str">
            <v>CGMU5236542</v>
          </cell>
          <cell r="M1651" t="str">
            <v>TRI PHƯƠNG</v>
          </cell>
          <cell r="N1651" t="str">
            <v>VIP</v>
          </cell>
          <cell r="Q1651">
            <v>0</v>
          </cell>
        </row>
        <row r="1652">
          <cell r="I1652" t="str">
            <v>CGMU5236542</v>
          </cell>
          <cell r="J1652" t="str">
            <v>SƠN</v>
          </cell>
          <cell r="K1652" t="str">
            <v>21:00</v>
          </cell>
          <cell r="L1652" t="str">
            <v>KKFU6725796</v>
          </cell>
          <cell r="M1652" t="str">
            <v>TRI PHƯƠNG</v>
          </cell>
          <cell r="N1652" t="str">
            <v>TÂN VŨ</v>
          </cell>
          <cell r="Q1652">
            <v>0</v>
          </cell>
        </row>
        <row r="1653">
          <cell r="I1653" t="str">
            <v>TRIU8721500</v>
          </cell>
          <cell r="J1653" t="str">
            <v>PHƯƠNG</v>
          </cell>
          <cell r="K1653" t="str">
            <v>21:00</v>
          </cell>
          <cell r="L1653" t="str">
            <v>EMCU8731225</v>
          </cell>
          <cell r="N1653" t="str">
            <v>TÂN VŨ</v>
          </cell>
          <cell r="Q1653">
            <v>308170930560</v>
          </cell>
        </row>
        <row r="1654">
          <cell r="I1654" t="str">
            <v>TEMU9102009</v>
          </cell>
          <cell r="J1654" t="str">
            <v>THÀNH</v>
          </cell>
          <cell r="K1654" t="str">
            <v>21:00</v>
          </cell>
          <cell r="L1654" t="str">
            <v>EMCU5388719</v>
          </cell>
          <cell r="N1654" t="str">
            <v>TÂN VŨ</v>
          </cell>
          <cell r="Q1654">
            <v>308171389650</v>
          </cell>
        </row>
        <row r="1655">
          <cell r="I1655" t="str">
            <v>TLLU7992516</v>
          </cell>
          <cell r="J1655" t="str">
            <v>HƯỜNG</v>
          </cell>
          <cell r="K1655">
            <v>0.33333333333333331</v>
          </cell>
          <cell r="L1655" t="str">
            <v>FDCU0076578</v>
          </cell>
          <cell r="O1655" t="str">
            <v>VH-26/50115</v>
          </cell>
          <cell r="Q1655">
            <v>0</v>
          </cell>
        </row>
        <row r="1656">
          <cell r="I1656" t="str">
            <v>EGSU9150538</v>
          </cell>
          <cell r="J1656" t="str">
            <v>MẠNH</v>
          </cell>
          <cell r="K1656">
            <v>0.875</v>
          </cell>
          <cell r="L1656" t="str">
            <v>EITU9280760</v>
          </cell>
          <cell r="O1656" t="str">
            <v>VS-26/50093</v>
          </cell>
          <cell r="Q1656">
            <v>0</v>
          </cell>
        </row>
        <row r="1657">
          <cell r="I1657" t="str">
            <v>EITU3162502</v>
          </cell>
          <cell r="J1657" t="str">
            <v>DŨNG 
KÉO VỂ</v>
          </cell>
          <cell r="K1657">
            <v>0.33333333333333331</v>
          </cell>
          <cell r="O1657" t="str">
            <v>VH-26/50108</v>
          </cell>
          <cell r="P1657" t="str">
            <v>X</v>
          </cell>
          <cell r="Q1657">
            <v>0</v>
          </cell>
        </row>
        <row r="1658">
          <cell r="I1658" t="str">
            <v>HPCU4969717</v>
          </cell>
          <cell r="J1658" t="str">
            <v>THÀNH</v>
          </cell>
          <cell r="K1658">
            <v>0.41666666666666669</v>
          </cell>
          <cell r="L1658" t="str">
            <v>EGHU9603034</v>
          </cell>
          <cell r="Q1658">
            <v>0</v>
          </cell>
        </row>
        <row r="1659">
          <cell r="I1659" t="str">
            <v>NYKU5218360</v>
          </cell>
          <cell r="J1659" t="str">
            <v>THI</v>
          </cell>
          <cell r="K1659">
            <v>0.45833333333333331</v>
          </cell>
          <cell r="L1659" t="str">
            <v>TRIU8721500</v>
          </cell>
          <cell r="Q1659">
            <v>0</v>
          </cell>
        </row>
        <row r="1660">
          <cell r="I1660" t="str">
            <v>ONEU5945480</v>
          </cell>
          <cell r="J1660" t="str">
            <v>PHƯƠNG</v>
          </cell>
          <cell r="K1660">
            <v>0.54166666666666663</v>
          </cell>
          <cell r="L1660" t="str">
            <v>TEMU9102009</v>
          </cell>
          <cell r="Q1660">
            <v>0</v>
          </cell>
        </row>
        <row r="1661">
          <cell r="I1661" t="str">
            <v>CAAU9866952</v>
          </cell>
          <cell r="J1661" t="str">
            <v>DĐỨC</v>
          </cell>
          <cell r="K1661">
            <v>0.58333333333333337</v>
          </cell>
          <cell r="L1661" t="str">
            <v>MNBU4622454</v>
          </cell>
          <cell r="Q1661">
            <v>0</v>
          </cell>
        </row>
        <row r="1662">
          <cell r="I1662" t="str">
            <v>SITU9170031</v>
          </cell>
          <cell r="K1662">
            <v>0.625</v>
          </cell>
          <cell r="Q1662">
            <v>0</v>
          </cell>
        </row>
        <row r="1663">
          <cell r="I1663" t="str">
            <v>EITU9422633</v>
          </cell>
          <cell r="J1663" t="str">
            <v>QUÂN</v>
          </cell>
          <cell r="K1663">
            <v>0.875</v>
          </cell>
          <cell r="L1663" t="str">
            <v>CAJU5218860</v>
          </cell>
          <cell r="Q1663">
            <v>0</v>
          </cell>
        </row>
        <row r="1664">
          <cell r="I1664" t="str">
            <v>EITU9137261</v>
          </cell>
          <cell r="J1664" t="str">
            <v>MẠNH</v>
          </cell>
          <cell r="K1664">
            <v>0.91666666666666663</v>
          </cell>
          <cell r="L1664" t="str">
            <v>SITU9170031</v>
          </cell>
          <cell r="Q1664">
            <v>0</v>
          </cell>
        </row>
        <row r="1665">
          <cell r="I1665" t="str">
            <v>CAAU9858767</v>
          </cell>
          <cell r="K1665">
            <v>0.95833333333333337</v>
          </cell>
          <cell r="Q1665">
            <v>0</v>
          </cell>
        </row>
        <row r="1666">
          <cell r="I1666" t="str">
            <v>TXGU8248630</v>
          </cell>
          <cell r="J1666" t="str">
            <v>RU TRỊNH VŨ</v>
          </cell>
          <cell r="L1666" t="str">
            <v>TXGU8248630</v>
          </cell>
          <cell r="N1666" t="str">
            <v>Grand Forward</v>
          </cell>
          <cell r="P1666" t="str">
            <v>done</v>
          </cell>
          <cell r="Q1666">
            <v>308174866810</v>
          </cell>
        </row>
        <row r="1667">
          <cell r="I1667" t="str">
            <v>SELU4375860</v>
          </cell>
          <cell r="J1667" t="str">
            <v>THÀNH
SÂM KÉO VỀ</v>
          </cell>
          <cell r="L1667" t="str">
            <v>CAJU5211742</v>
          </cell>
          <cell r="N1667" t="str">
            <v>ĐÌNH VŨ</v>
          </cell>
          <cell r="O1667" t="str">
            <v>VZ-26/50097 +VZ-26/50097R</v>
          </cell>
          <cell r="P1667" t="str">
            <v>done</v>
          </cell>
          <cell r="Q1667" t="str">
            <v>308188019440
308188258030</v>
          </cell>
        </row>
        <row r="1668">
          <cell r="I1668" t="str">
            <v>HPCU5039280 </v>
          </cell>
          <cell r="J1668" t="str">
            <v>PHƯƠNG
MẠNH KÉO VỀ</v>
          </cell>
          <cell r="L1668" t="str">
            <v>EITU9422633</v>
          </cell>
          <cell r="N1668" t="str">
            <v>ĐÌNH VŨ</v>
          </cell>
          <cell r="O1668" t="str">
            <v>VZ-26/50103 +VZ-26/50103R +VZ-26/50103R-01</v>
          </cell>
          <cell r="P1668" t="str">
            <v>done</v>
          </cell>
          <cell r="Q1668" t="str">
            <v>308188194920
308188219530
308188216950
308188214300
308188204460
308188628700</v>
          </cell>
        </row>
        <row r="1669">
          <cell r="I1669" t="str">
            <v>FFAU7499743 </v>
          </cell>
          <cell r="J1669" t="str">
            <v>HƯỜNG
SƠN KÉO VỀ</v>
          </cell>
          <cell r="L1669" t="str">
            <v>CAAU9866952</v>
          </cell>
          <cell r="N1669" t="str">
            <v>ĐÌNH VŨ</v>
          </cell>
          <cell r="O1669" t="str">
            <v>VZ-26/50106 +VZ-26/50106R +VZ-26/50106R-01</v>
          </cell>
          <cell r="P1669" t="str">
            <v>done</v>
          </cell>
          <cell r="Q1669" t="str">
            <v>308188641040
308188642000
308188641850
308188641630
308188641410</v>
          </cell>
        </row>
        <row r="1670">
          <cell r="I1670" t="str">
            <v>SELU4368840</v>
          </cell>
          <cell r="J1670" t="str">
            <v>HƯỜNG
THỊNH KÉO VỀ</v>
          </cell>
          <cell r="L1670" t="str">
            <v>UETU7288082</v>
          </cell>
          <cell r="N1670" t="str">
            <v>ĐÌNH VŨ</v>
          </cell>
          <cell r="O1670" t="str">
            <v>VZ-26/50100 +VZ-26/50100R +VZ-26/50100R-01</v>
          </cell>
          <cell r="P1670" t="str">
            <v>done</v>
          </cell>
          <cell r="Q1670" t="str">
            <v>308188161060
308188178710
308188627150
308188170860</v>
          </cell>
        </row>
        <row r="1671">
          <cell r="I1671" t="str">
            <v>SITU9198297 </v>
          </cell>
          <cell r="J1671" t="str">
            <v>PHƯƠNG
TÍN KÉO VỀ</v>
          </cell>
          <cell r="L1671" t="str">
            <v>TEMU9538672</v>
          </cell>
          <cell r="N1671" t="str">
            <v>ĐÌNH VŨ</v>
          </cell>
          <cell r="O1671" t="str">
            <v>VZ-26/50098 +VZ-26/50098R +VZ-26/50098R-01</v>
          </cell>
          <cell r="P1671" t="str">
            <v>done</v>
          </cell>
          <cell r="Q1671" t="str">
            <v>308188108600
308188625310
308188086750</v>
          </cell>
        </row>
        <row r="1672">
          <cell r="I1672" t="str">
            <v>CAAU4616478</v>
          </cell>
          <cell r="J1672" t="str">
            <v>MẠNH
TÍN KÉO VỀ</v>
          </cell>
          <cell r="L1672" t="str">
            <v>SITU9222304</v>
          </cell>
          <cell r="N1672" t="str">
            <v>ĐÌNH VŨ</v>
          </cell>
          <cell r="O1672" t="str">
            <v>VZ-26/50107 +VZ-26/50107R +VZ-26/50107R-01</v>
          </cell>
          <cell r="P1672" t="str">
            <v>done</v>
          </cell>
          <cell r="Q1672" t="str">
            <v>308188643360
308199203450
308199162040
308188644430</v>
          </cell>
        </row>
        <row r="1673">
          <cell r="I1673" t="str">
            <v>FFAU7451267 </v>
          </cell>
          <cell r="J1673" t="str">
            <v>THỊNH
THANH KÉO VỀ</v>
          </cell>
          <cell r="L1673" t="str">
            <v>NYKU5218360</v>
          </cell>
          <cell r="N1673" t="str">
            <v>ĐÌNH VŨ</v>
          </cell>
          <cell r="O1673" t="str">
            <v>VZ-26/50099 +VZ-26/50099R +VZ-26/50099R-01</v>
          </cell>
          <cell r="P1673" t="str">
            <v>done</v>
          </cell>
          <cell r="Q1673" t="str">
            <v>308188127940
308188146620
308188139360</v>
          </cell>
        </row>
        <row r="1674">
          <cell r="I1674" t="str">
            <v>FFAU1898540</v>
          </cell>
          <cell r="J1674" t="str">
            <v>PHƯƠNG</v>
          </cell>
          <cell r="L1674" t="str">
            <v>MNBU4280557</v>
          </cell>
          <cell r="Q1674">
            <v>0</v>
          </cell>
        </row>
        <row r="1675">
          <cell r="I1675" t="str">
            <v>ECMU4894060</v>
          </cell>
          <cell r="Q1675">
            <v>0</v>
          </cell>
        </row>
        <row r="1676">
          <cell r="I1676" t="str">
            <v>CMAU9683242</v>
          </cell>
          <cell r="Q1676">
            <v>0</v>
          </cell>
        </row>
        <row r="1677">
          <cell r="I1677" t="str">
            <v>ECMU5078457</v>
          </cell>
          <cell r="J1677" t="str">
            <v>THI</v>
          </cell>
          <cell r="L1677" t="str">
            <v>TTNU8038778</v>
          </cell>
          <cell r="Q1677">
            <v>0</v>
          </cell>
        </row>
        <row r="1678">
          <cell r="Q1678">
            <v>0</v>
          </cell>
        </row>
        <row r="1679">
          <cell r="I1679" t="str">
            <v>UETU7038360</v>
          </cell>
          <cell r="J1679" t="str">
            <v>VINH
kéo về</v>
          </cell>
          <cell r="K1679">
            <v>0.33333333333333331</v>
          </cell>
          <cell r="L1679" t="str">
            <v>UETU7038360</v>
          </cell>
          <cell r="N1679" t="str">
            <v>ĐÌNH VŨ</v>
          </cell>
          <cell r="O1679" t="str">
            <v>VI-26/50520</v>
          </cell>
          <cell r="P1679" t="str">
            <v>done</v>
          </cell>
          <cell r="Q1679">
            <v>308173372640</v>
          </cell>
        </row>
        <row r="1680">
          <cell r="I1680" t="str">
            <v>UETU6938394</v>
          </cell>
          <cell r="J1680" t="str">
            <v>PHƯƠNG</v>
          </cell>
          <cell r="K1680">
            <v>0.875</v>
          </cell>
          <cell r="L1680" t="str">
            <v>CAAU6888011</v>
          </cell>
          <cell r="M1680" t="str">
            <v>TRI PHƯƠNG</v>
          </cell>
          <cell r="N1680" t="str">
            <v>HATECO HICT</v>
          </cell>
          <cell r="O1680" t="str">
            <v>VS-26/50090</v>
          </cell>
          <cell r="P1680" t="str">
            <v>done</v>
          </cell>
          <cell r="Q1680">
            <v>308174416450</v>
          </cell>
        </row>
        <row r="1681">
          <cell r="I1681" t="str">
            <v>SUDU6735603</v>
          </cell>
          <cell r="J1681" t="str">
            <v>THÀNH</v>
          </cell>
          <cell r="K1681">
            <v>0.33333333333333331</v>
          </cell>
          <cell r="L1681" t="str">
            <v>TGBU4132628</v>
          </cell>
          <cell r="M1681" t="str">
            <v>TRI PHƯƠNG</v>
          </cell>
          <cell r="N1681" t="str">
            <v>HATECO HICT</v>
          </cell>
          <cell r="O1681" t="str">
            <v>VI-26/50483</v>
          </cell>
          <cell r="P1681" t="str">
            <v>done</v>
          </cell>
          <cell r="Q1681">
            <v>308173191710</v>
          </cell>
        </row>
        <row r="1682">
          <cell r="I1682" t="str">
            <v>HASU4424770</v>
          </cell>
          <cell r="J1682" t="str">
            <v>SƠN</v>
          </cell>
          <cell r="K1682">
            <v>0.33333333333333331</v>
          </cell>
          <cell r="L1682" t="str">
            <v>HASU4424770</v>
          </cell>
          <cell r="M1682" t="str">
            <v>TRI PHƯƠNG</v>
          </cell>
          <cell r="N1682" t="str">
            <v>HATECO HICT</v>
          </cell>
          <cell r="O1682" t="str">
            <v>VI-26/50495</v>
          </cell>
          <cell r="P1682" t="str">
            <v>done</v>
          </cell>
          <cell r="Q1682">
            <v>308173154020</v>
          </cell>
        </row>
        <row r="1683">
          <cell r="I1683" t="str">
            <v>SUDU6554462</v>
          </cell>
          <cell r="J1683" t="str">
            <v>THỊNH</v>
          </cell>
          <cell r="K1683">
            <v>0.34375</v>
          </cell>
          <cell r="L1683" t="str">
            <v>SUDU6554462</v>
          </cell>
          <cell r="M1683" t="str">
            <v>TRI PHƯƠNG</v>
          </cell>
          <cell r="N1683" t="str">
            <v>HATECO HICT</v>
          </cell>
          <cell r="O1683" t="str">
            <v>VI-26/50509</v>
          </cell>
          <cell r="P1683" t="str">
            <v>done</v>
          </cell>
          <cell r="Q1683">
            <v>308173198820</v>
          </cell>
        </row>
        <row r="1684">
          <cell r="I1684" t="str">
            <v>MRSU3264718</v>
          </cell>
          <cell r="J1684" t="str">
            <v>MẠNH</v>
          </cell>
          <cell r="K1684">
            <v>0.35416666666666669</v>
          </cell>
          <cell r="L1684" t="str">
            <v>MRSU3264718</v>
          </cell>
          <cell r="M1684" t="str">
            <v>TRI PHƯƠNG</v>
          </cell>
          <cell r="N1684" t="str">
            <v>HATECO HICT</v>
          </cell>
          <cell r="O1684" t="str">
            <v>VI-26/50510</v>
          </cell>
          <cell r="P1684" t="str">
            <v>done</v>
          </cell>
          <cell r="Q1684">
            <v>308173211750</v>
          </cell>
        </row>
        <row r="1685">
          <cell r="I1685" t="str">
            <v>MRSU3112844</v>
          </cell>
          <cell r="J1685" t="str">
            <v>SÂM</v>
          </cell>
          <cell r="K1685">
            <v>0.38541666666666669</v>
          </cell>
          <cell r="L1685" t="str">
            <v>MRSU3112844</v>
          </cell>
          <cell r="M1685" t="str">
            <v>TRI PHƯƠNG</v>
          </cell>
          <cell r="N1685" t="str">
            <v>HATECO HICT</v>
          </cell>
          <cell r="O1685" t="str">
            <v>VI-26/50542</v>
          </cell>
          <cell r="P1685" t="str">
            <v>done</v>
          </cell>
          <cell r="Q1685">
            <v>308173122740</v>
          </cell>
        </row>
        <row r="1686">
          <cell r="I1686" t="str">
            <v>MRSU6753796</v>
          </cell>
          <cell r="J1686" t="str">
            <v>THỊNH</v>
          </cell>
          <cell r="K1686">
            <v>0.39583333333333331</v>
          </cell>
          <cell r="L1686" t="str">
            <v>SUDU6735603</v>
          </cell>
          <cell r="M1686" t="str">
            <v>TRI PHƯƠNG</v>
          </cell>
          <cell r="N1686" t="str">
            <v>HATECO HICT</v>
          </cell>
          <cell r="O1686" t="str">
            <v>VI-26/50525</v>
          </cell>
          <cell r="P1686" t="str">
            <v>done</v>
          </cell>
          <cell r="Q1686">
            <v>308173163930</v>
          </cell>
        </row>
        <row r="1687">
          <cell r="I1687" t="str">
            <v>CAAU7929286</v>
          </cell>
          <cell r="J1687" t="str">
            <v>THI</v>
          </cell>
          <cell r="K1687">
            <v>0.4375</v>
          </cell>
          <cell r="L1687" t="str">
            <v>TLLU5840601</v>
          </cell>
          <cell r="M1687" t="str">
            <v>TRI PHƯƠNG</v>
          </cell>
          <cell r="N1687" t="str">
            <v>HATECO HICT</v>
          </cell>
          <cell r="O1687" t="str">
            <v>VI-26/50538</v>
          </cell>
          <cell r="P1687" t="str">
            <v>done</v>
          </cell>
          <cell r="Q1687">
            <v>308173248040</v>
          </cell>
        </row>
        <row r="1688">
          <cell r="I1688" t="str">
            <v>TRHU8429285</v>
          </cell>
          <cell r="J1688" t="str">
            <v>MẠNH</v>
          </cell>
          <cell r="K1688">
            <v>0.52083333333333337</v>
          </cell>
          <cell r="L1688" t="str">
            <v>CMAU9539174</v>
          </cell>
          <cell r="M1688" t="str">
            <v>TRI PHƯƠNG</v>
          </cell>
          <cell r="N1688" t="str">
            <v>HATECO HICT</v>
          </cell>
          <cell r="O1688" t="str">
            <v>VI-26/50511</v>
          </cell>
          <cell r="P1688" t="str">
            <v>done</v>
          </cell>
          <cell r="Q1688">
            <v>308173226560</v>
          </cell>
        </row>
        <row r="1689">
          <cell r="I1689" t="str">
            <v>FFAU5615675</v>
          </cell>
          <cell r="J1689" t="str">
            <v>SƠN</v>
          </cell>
          <cell r="K1689">
            <v>0.53125</v>
          </cell>
          <cell r="L1689" t="str">
            <v>FFAU5615675</v>
          </cell>
          <cell r="M1689" t="str">
            <v>TRI PHƯƠNG</v>
          </cell>
          <cell r="N1689" t="str">
            <v>HATECO HICT</v>
          </cell>
          <cell r="O1689" t="str">
            <v>VI-26/50526</v>
          </cell>
          <cell r="P1689" t="str">
            <v>done</v>
          </cell>
          <cell r="Q1689">
            <v>308173170450</v>
          </cell>
        </row>
        <row r="1690">
          <cell r="I1690" t="str">
            <v>HASU4512362</v>
          </cell>
          <cell r="J1690" t="str">
            <v>PHƯƠNG</v>
          </cell>
          <cell r="K1690">
            <v>0.88541666666666663</v>
          </cell>
          <cell r="L1690" t="str">
            <v>MRSU6753796</v>
          </cell>
          <cell r="M1690" t="str">
            <v>TRI PHƯƠNG</v>
          </cell>
          <cell r="N1690" t="str">
            <v>HATECO HICT</v>
          </cell>
          <cell r="O1690" t="str">
            <v>VI-26/50512</v>
          </cell>
          <cell r="P1690" t="str">
            <v>done</v>
          </cell>
          <cell r="Q1690">
            <v>308173232420</v>
          </cell>
        </row>
        <row r="1691">
          <cell r="I1691" t="str">
            <v>TIIU5522677</v>
          </cell>
          <cell r="J1691" t="str">
            <v>THỊNH</v>
          </cell>
          <cell r="K1691">
            <v>6.25E-2</v>
          </cell>
          <cell r="L1691" t="str">
            <v>CAAU7929286</v>
          </cell>
          <cell r="M1691" t="str">
            <v>TRI PHƯƠNG</v>
          </cell>
          <cell r="N1691" t="str">
            <v>HATECO HICT</v>
          </cell>
          <cell r="O1691" t="str">
            <v>VI-26/50527</v>
          </cell>
          <cell r="P1691" t="str">
            <v>done</v>
          </cell>
          <cell r="Q1691">
            <v>308173177930</v>
          </cell>
        </row>
        <row r="1692">
          <cell r="I1692" t="str">
            <v>TIIU5867112</v>
          </cell>
          <cell r="J1692" t="str">
            <v>THỊNH</v>
          </cell>
          <cell r="K1692">
            <v>7.2916666666666671E-2</v>
          </cell>
          <cell r="L1692" t="str">
            <v>HASU4512362</v>
          </cell>
          <cell r="M1692" t="str">
            <v>TRI PHƯƠNG</v>
          </cell>
          <cell r="N1692" t="str">
            <v>HATECO HICT</v>
          </cell>
          <cell r="O1692" t="str">
            <v>VI-26/50519</v>
          </cell>
          <cell r="P1692" t="str">
            <v>done</v>
          </cell>
          <cell r="Q1692">
            <v>308173139540</v>
          </cell>
        </row>
        <row r="1693">
          <cell r="I1693" t="str">
            <v>TRHU4386734</v>
          </cell>
          <cell r="J1693" t="str">
            <v>DĐỨC</v>
          </cell>
          <cell r="K1693">
            <v>8.3333333333333329E-2</v>
          </cell>
          <cell r="M1693" t="str">
            <v>TRI PHƯƠNG</v>
          </cell>
          <cell r="N1693" t="str">
            <v>HATECO HICT</v>
          </cell>
          <cell r="O1693" t="str">
            <v>VI-26/50513</v>
          </cell>
          <cell r="P1693" t="str">
            <v>done</v>
          </cell>
          <cell r="Q1693">
            <v>308173240340</v>
          </cell>
        </row>
        <row r="1694">
          <cell r="I1694" t="str">
            <v>SEKU6898713</v>
          </cell>
          <cell r="J1694" t="str">
            <v>RU MBF</v>
          </cell>
          <cell r="K1694">
            <v>0.4236111111111111</v>
          </cell>
          <cell r="L1694" t="str">
            <v>SEKU6898713</v>
          </cell>
          <cell r="N1694" t="str">
            <v>HATECO HICT</v>
          </cell>
          <cell r="O1694" t="str">
            <v>VI-26/50534</v>
          </cell>
          <cell r="P1694" t="str">
            <v>done</v>
          </cell>
          <cell r="Q1694">
            <v>308173281750</v>
          </cell>
        </row>
        <row r="1695">
          <cell r="I1695" t="str">
            <v>FFAU5313192</v>
          </cell>
          <cell r="J1695" t="str">
            <v xml:space="preserve">RU DIỆP LÂM ANH </v>
          </cell>
          <cell r="K1695">
            <v>0.61458333333333337</v>
          </cell>
          <cell r="L1695" t="str">
            <v>FFAU5313192</v>
          </cell>
          <cell r="N1695" t="str">
            <v>HATECO HICT</v>
          </cell>
          <cell r="O1695" t="str">
            <v>VI-26/50537</v>
          </cell>
          <cell r="P1695" t="str">
            <v>done</v>
          </cell>
          <cell r="Q1695">
            <v>308173296450</v>
          </cell>
        </row>
        <row r="1696">
          <cell r="I1696" t="str">
            <v>CAAU9856574</v>
          </cell>
          <cell r="J1696" t="str">
            <v xml:space="preserve">RU DIỆP LÂM ANH </v>
          </cell>
          <cell r="K1696">
            <v>0.90625</v>
          </cell>
          <cell r="L1696" t="str">
            <v>CAAU9856574</v>
          </cell>
          <cell r="N1696" t="str">
            <v>HATECO HICT</v>
          </cell>
          <cell r="O1696" t="str">
            <v>VI-26/50502</v>
          </cell>
          <cell r="P1696" t="str">
            <v>done</v>
          </cell>
          <cell r="Q1696">
            <v>308173109920</v>
          </cell>
        </row>
        <row r="1697">
          <cell r="I1697" t="str">
            <v>CAAU9383609</v>
          </cell>
          <cell r="J1697" t="str">
            <v>DŨNG
kéo về</v>
          </cell>
          <cell r="K1697">
            <v>0.14583333333333334</v>
          </cell>
          <cell r="L1697" t="str">
            <v>CAAU9383609</v>
          </cell>
          <cell r="N1697" t="str">
            <v>HATECO HICT</v>
          </cell>
          <cell r="O1697" t="str">
            <v>VI-26/50503</v>
          </cell>
          <cell r="P1697" t="str">
            <v>done</v>
          </cell>
          <cell r="Q1697">
            <v>308173087850</v>
          </cell>
        </row>
        <row r="1698">
          <cell r="I1698" t="str">
            <v>UETU8037754</v>
          </cell>
          <cell r="J1698" t="str">
            <v>TRỌNG
KÉO VỀ</v>
          </cell>
          <cell r="K1698">
            <v>0.14583333333333334</v>
          </cell>
          <cell r="L1698" t="str">
            <v>UETU8037754</v>
          </cell>
          <cell r="N1698" t="str">
            <v>HATECO HICT</v>
          </cell>
          <cell r="O1698" t="str">
            <v>VI-26/50536</v>
          </cell>
          <cell r="P1698" t="str">
            <v>done</v>
          </cell>
          <cell r="Q1698">
            <v>308173264400</v>
          </cell>
        </row>
        <row r="1699">
          <cell r="I1699" t="str">
            <v>TTNU8038778</v>
          </cell>
          <cell r="J1699" t="str">
            <v>SÂM</v>
          </cell>
          <cell r="K1699">
            <v>0.625</v>
          </cell>
          <cell r="L1699" t="str">
            <v>HAMU1214260</v>
          </cell>
          <cell r="M1699" t="str">
            <v>TRI PHƯƠNG</v>
          </cell>
          <cell r="N1699" t="str">
            <v>TÂN VŨ</v>
          </cell>
          <cell r="Q1699">
            <v>0</v>
          </cell>
        </row>
        <row r="1700">
          <cell r="I1700" t="str">
            <v>MRSU5575391</v>
          </cell>
          <cell r="J1700" t="str">
            <v>XUYÊN
kéo về</v>
          </cell>
          <cell r="K1700" t="str">
            <v>11:00</v>
          </cell>
          <cell r="N1700" t="str">
            <v>HATECO HICT</v>
          </cell>
          <cell r="P1700" t="str">
            <v>done</v>
          </cell>
          <cell r="Q1700">
            <v>308176081420</v>
          </cell>
        </row>
        <row r="1701">
          <cell r="I1701" t="str">
            <v>CAAU4012499</v>
          </cell>
          <cell r="J1701" t="str">
            <v>THI</v>
          </cell>
          <cell r="K1701" t="str">
            <v>21:00</v>
          </cell>
          <cell r="L1701" t="str">
            <v>TCKU7518841</v>
          </cell>
          <cell r="N1701" t="str">
            <v>TÂN VŨ</v>
          </cell>
          <cell r="P1701" t="str">
            <v>done</v>
          </cell>
          <cell r="Q1701">
            <v>308175036320</v>
          </cell>
        </row>
        <row r="1702">
          <cell r="I1702" t="str">
            <v>TTNU8864384</v>
          </cell>
          <cell r="J1702" t="str">
            <v>SƠN
HỒNG HƯNG KÉO VỀ</v>
          </cell>
          <cell r="K1702" t="str">
            <v>22:00</v>
          </cell>
          <cell r="L1702" t="str">
            <v>CAJU5094121</v>
          </cell>
          <cell r="N1702" t="str">
            <v>TÂN VŨ</v>
          </cell>
          <cell r="P1702" t="str">
            <v>done</v>
          </cell>
          <cell r="Q1702">
            <v>308175122860</v>
          </cell>
        </row>
        <row r="1703">
          <cell r="I1703" t="str">
            <v>OTPU6265923</v>
          </cell>
          <cell r="J1703" t="str">
            <v>HƯỜNG
SÂM KÉO VỀ</v>
          </cell>
          <cell r="K1703" t="str">
            <v>21:00</v>
          </cell>
          <cell r="N1703" t="str">
            <v>TÂN VŨ</v>
          </cell>
          <cell r="P1703" t="str">
            <v>done</v>
          </cell>
          <cell r="Q1703">
            <v>308175143640</v>
          </cell>
        </row>
        <row r="1704">
          <cell r="I1704" t="str">
            <v>TEMU9569040</v>
          </cell>
          <cell r="J1704" t="str">
            <v>THÀNH
THỤY KÉO VỀ</v>
          </cell>
          <cell r="K1704" t="str">
            <v>21:00</v>
          </cell>
          <cell r="N1704" t="str">
            <v>TÂN VŨ</v>
          </cell>
          <cell r="P1704" t="str">
            <v>done</v>
          </cell>
          <cell r="Q1704">
            <v>308175170350</v>
          </cell>
        </row>
        <row r="1705">
          <cell r="I1705" t="str">
            <v>TLLU1122036</v>
          </cell>
          <cell r="J1705" t="str">
            <v>THỊNH
MẠNH KÉO VỀ</v>
          </cell>
          <cell r="K1705" t="str">
            <v>23:00</v>
          </cell>
          <cell r="N1705" t="str">
            <v>TÂN VŨ</v>
          </cell>
          <cell r="P1705" t="str">
            <v>done</v>
          </cell>
          <cell r="Q1705">
            <v>308175211650</v>
          </cell>
        </row>
        <row r="1706">
          <cell r="I1706" t="str">
            <v>FSCU5807993</v>
          </cell>
          <cell r="J1706" t="str">
            <v>HƯNG
KÉO VỀ</v>
          </cell>
          <cell r="K1706" t="str">
            <v>0:00</v>
          </cell>
          <cell r="N1706" t="str">
            <v>TÂN VŨ</v>
          </cell>
          <cell r="P1706" t="str">
            <v>done</v>
          </cell>
          <cell r="Q1706">
            <v>308175317500</v>
          </cell>
        </row>
        <row r="1707">
          <cell r="I1707" t="str">
            <v>EGSU6273400</v>
          </cell>
          <cell r="J1707" t="str">
            <v>HƯỜNG</v>
          </cell>
          <cell r="K1707">
            <v>0.33333333333333331</v>
          </cell>
          <cell r="L1707" t="str">
            <v>EGSU9150538</v>
          </cell>
          <cell r="O1707" t="str">
            <v>VS-26/50095</v>
          </cell>
          <cell r="Q1707">
            <v>0</v>
          </cell>
        </row>
        <row r="1708">
          <cell r="I1708" t="str">
            <v>TIIU4250701</v>
          </cell>
          <cell r="J1708" t="str">
            <v>MẠNH</v>
          </cell>
          <cell r="K1708">
            <v>0.875</v>
          </cell>
          <cell r="L1708" t="str">
            <v>EGSU6273400</v>
          </cell>
          <cell r="O1708" t="str">
            <v>VS-26/50096</v>
          </cell>
          <cell r="Q1708">
            <v>0</v>
          </cell>
        </row>
        <row r="1709">
          <cell r="I1709" t="str">
            <v>TLLU4140732</v>
          </cell>
          <cell r="J1709" t="str">
            <v>SƠN</v>
          </cell>
          <cell r="K1709">
            <v>0.875</v>
          </cell>
          <cell r="L1709" t="str">
            <v>TLLU7992516</v>
          </cell>
          <cell r="O1709" t="str">
            <v>VH-26/50109</v>
          </cell>
          <cell r="Q1709">
            <v>0</v>
          </cell>
        </row>
        <row r="1710">
          <cell r="I1710" t="str">
            <v>EMCU8637203</v>
          </cell>
          <cell r="J1710" t="str">
            <v>THỊNH</v>
          </cell>
          <cell r="K1710">
            <v>0.125</v>
          </cell>
          <cell r="L1710" t="str">
            <v>TCNU4894325</v>
          </cell>
          <cell r="O1710" t="str">
            <v>VS-26/50102</v>
          </cell>
          <cell r="Q1710">
            <v>0</v>
          </cell>
        </row>
        <row r="1711">
          <cell r="I1711" t="str">
            <v>FFAU7247145</v>
          </cell>
          <cell r="K1711" t="str">
            <v>10:00</v>
          </cell>
          <cell r="O1711" t="str">
            <v>HP</v>
          </cell>
          <cell r="Q1711">
            <v>0</v>
          </cell>
        </row>
        <row r="1712">
          <cell r="I1712" t="str">
            <v>CAAU9617142</v>
          </cell>
          <cell r="K1712" t="str">
            <v>11:00</v>
          </cell>
          <cell r="O1712" t="str">
            <v>HP</v>
          </cell>
          <cell r="Q1712">
            <v>0</v>
          </cell>
        </row>
        <row r="1713">
          <cell r="I1713" t="str">
            <v>SITU9222304</v>
          </cell>
          <cell r="J1713" t="str">
            <v>THÀNH</v>
          </cell>
          <cell r="K1713" t="str">
            <v>11:00</v>
          </cell>
          <cell r="L1713" t="str">
            <v>FFAU7247145</v>
          </cell>
          <cell r="O1713" t="str">
            <v>HP</v>
          </cell>
          <cell r="Q1713">
            <v>0</v>
          </cell>
        </row>
        <row r="1714">
          <cell r="I1714" t="str">
            <v>CAJU5216873</v>
          </cell>
          <cell r="K1714">
            <v>0.54166666666666663</v>
          </cell>
          <cell r="O1714" t="str">
            <v>RTB-26/0024</v>
          </cell>
          <cell r="Q1714">
            <v>0</v>
          </cell>
        </row>
        <row r="1715">
          <cell r="K1715">
            <v>0.54166666666666663</v>
          </cell>
          <cell r="Q1715">
            <v>0</v>
          </cell>
        </row>
        <row r="1716">
          <cell r="I1716" t="str">
            <v>TGBU7477367</v>
          </cell>
          <cell r="J1716" t="str">
            <v>SƠN</v>
          </cell>
          <cell r="K1716" t="str">
            <v>0:00</v>
          </cell>
          <cell r="L1716" t="str">
            <v>CAJU5216873</v>
          </cell>
          <cell r="Q1716">
            <v>0</v>
          </cell>
        </row>
        <row r="1717">
          <cell r="K1717" t="str">
            <v>14:00</v>
          </cell>
          <cell r="Q1717">
            <v>0</v>
          </cell>
        </row>
        <row r="1718">
          <cell r="K1718" t="str">
            <v>21:00</v>
          </cell>
          <cell r="Q1718">
            <v>0</v>
          </cell>
        </row>
        <row r="1719">
          <cell r="K1719" t="str">
            <v>23:00</v>
          </cell>
          <cell r="Q1719">
            <v>0</v>
          </cell>
        </row>
        <row r="1720">
          <cell r="I1720" t="str">
            <v>TCNU2929891</v>
          </cell>
          <cell r="Q1720">
            <v>0</v>
          </cell>
        </row>
        <row r="1721">
          <cell r="I1721" t="str">
            <v>UETU7257749</v>
          </cell>
          <cell r="J1721" t="str">
            <v>THỊNH</v>
          </cell>
          <cell r="L1721" t="str">
            <v>TCNU2929891</v>
          </cell>
          <cell r="Q1721">
            <v>0</v>
          </cell>
        </row>
        <row r="1722">
          <cell r="I1722" t="str">
            <v>TIIU6438410</v>
          </cell>
          <cell r="J1722" t="str">
            <v>MẠNH</v>
          </cell>
          <cell r="L1722" t="str">
            <v>CAAU9858767</v>
          </cell>
          <cell r="Q1722">
            <v>0</v>
          </cell>
        </row>
        <row r="1723">
          <cell r="I1723" t="str">
            <v>SELU4372521</v>
          </cell>
          <cell r="J1723" t="str">
            <v>MẠNH</v>
          </cell>
          <cell r="L1723" t="str">
            <v>SEGU9542758</v>
          </cell>
          <cell r="Q1723">
            <v>0</v>
          </cell>
        </row>
        <row r="1724">
          <cell r="I1724" t="str">
            <v>FFAU5188357</v>
          </cell>
          <cell r="J1724" t="str">
            <v>THỊNH</v>
          </cell>
          <cell r="K1724">
            <v>0.33333333333333331</v>
          </cell>
          <cell r="L1724" t="str">
            <v>TIIU5522677</v>
          </cell>
          <cell r="M1724" t="str">
            <v>TRI PHƯƠNG</v>
          </cell>
          <cell r="N1724" t="str">
            <v>HATECO HICT</v>
          </cell>
          <cell r="O1724" t="str">
            <v>VI-26/50552</v>
          </cell>
          <cell r="P1724" t="str">
            <v>done</v>
          </cell>
          <cell r="Q1724">
            <v>308177669130</v>
          </cell>
        </row>
        <row r="1725">
          <cell r="I1725" t="str">
            <v>MRSU5304614</v>
          </cell>
          <cell r="J1725" t="str">
            <v>SÂM</v>
          </cell>
          <cell r="K1725">
            <v>0.35416666666666669</v>
          </cell>
          <cell r="L1725" t="str">
            <v>TRHU8429285</v>
          </cell>
          <cell r="M1725" t="str">
            <v>TRI PHƯƠNG</v>
          </cell>
          <cell r="N1725" t="str">
            <v>HATECO HICT</v>
          </cell>
          <cell r="O1725" t="str">
            <v>VI-26/50574</v>
          </cell>
          <cell r="P1725" t="str">
            <v>done</v>
          </cell>
          <cell r="Q1725">
            <v>308177687550</v>
          </cell>
        </row>
        <row r="1726">
          <cell r="I1726" t="str">
            <v>TIIU5903734</v>
          </cell>
          <cell r="J1726" t="str">
            <v>ĐỨC</v>
          </cell>
          <cell r="K1726">
            <v>0.38541666666666669</v>
          </cell>
          <cell r="L1726" t="str">
            <v>TIIU5903734</v>
          </cell>
          <cell r="M1726" t="str">
            <v>TRI PHƯƠNG</v>
          </cell>
          <cell r="N1726" t="str">
            <v>HATECO HICT</v>
          </cell>
          <cell r="O1726" t="str">
            <v>VI-26/50569</v>
          </cell>
          <cell r="P1726" t="str">
            <v>done</v>
          </cell>
          <cell r="Q1726">
            <v>308177752540</v>
          </cell>
        </row>
        <row r="1727">
          <cell r="I1727" t="str">
            <v>MRKU4337210</v>
          </cell>
          <cell r="J1727" t="str">
            <v>RU DĐĂNG KHOA</v>
          </cell>
          <cell r="K1727">
            <v>0.44791666666666669</v>
          </cell>
          <cell r="L1727" t="str">
            <v>MRKU4337210</v>
          </cell>
          <cell r="M1727" t="str">
            <v>TRI PHƯƠNG</v>
          </cell>
          <cell r="N1727" t="str">
            <v>HATECO HICT</v>
          </cell>
          <cell r="O1727" t="str">
            <v>VI-26/50573</v>
          </cell>
          <cell r="P1727" t="str">
            <v>done</v>
          </cell>
          <cell r="Q1727">
            <v>308177737030</v>
          </cell>
        </row>
        <row r="1728">
          <cell r="I1728" t="str">
            <v>MRSU4004253</v>
          </cell>
          <cell r="J1728" t="str">
            <v>RU NGUYỄN QUANG</v>
          </cell>
          <cell r="K1728">
            <v>0.52083333333333337</v>
          </cell>
          <cell r="L1728" t="str">
            <v>MRSU4004253</v>
          </cell>
          <cell r="N1728" t="str">
            <v>HATECO HICT</v>
          </cell>
          <cell r="O1728" t="str">
            <v>VI-26/50555</v>
          </cell>
          <cell r="P1728" t="str">
            <v>done</v>
          </cell>
          <cell r="Q1728">
            <v>308177512000</v>
          </cell>
        </row>
        <row r="1729">
          <cell r="I1729" t="str">
            <v>TGHU6104910</v>
          </cell>
          <cell r="J1729" t="str">
            <v>SÂM</v>
          </cell>
          <cell r="K1729">
            <v>0.54166666666666663</v>
          </cell>
          <cell r="L1729" t="str">
            <v>TRHU4386734</v>
          </cell>
          <cell r="M1729" t="str">
            <v>TRI PHƯƠNG</v>
          </cell>
          <cell r="N1729" t="str">
            <v>HATECO HICT</v>
          </cell>
          <cell r="O1729" t="str">
            <v>VI-26/50565</v>
          </cell>
          <cell r="Q1729">
            <v>0</v>
          </cell>
        </row>
        <row r="1730">
          <cell r="I1730" t="str">
            <v>MRSU5434768</v>
          </cell>
          <cell r="J1730" t="str">
            <v xml:space="preserve">RU DIỆP LÂM ANH </v>
          </cell>
          <cell r="K1730">
            <v>0.55208333333333337</v>
          </cell>
          <cell r="L1730" t="str">
            <v>MRSU5434768</v>
          </cell>
          <cell r="N1730" t="str">
            <v>HATECO HICT</v>
          </cell>
          <cell r="O1730" t="str">
            <v>VI-26/50522</v>
          </cell>
          <cell r="P1730" t="str">
            <v>done</v>
          </cell>
          <cell r="Q1730">
            <v>308177489010</v>
          </cell>
        </row>
        <row r="1731">
          <cell r="I1731" t="str">
            <v>HASU4300300</v>
          </cell>
          <cell r="J1731" t="str">
            <v>RU VIETLINK</v>
          </cell>
          <cell r="K1731">
            <v>0.5625</v>
          </cell>
          <cell r="L1731" t="str">
            <v>HASU4300300</v>
          </cell>
          <cell r="N1731" t="str">
            <v>HATECO HICT</v>
          </cell>
          <cell r="O1731" t="str">
            <v>VI-26/50514</v>
          </cell>
          <cell r="P1731" t="str">
            <v>done</v>
          </cell>
          <cell r="Q1731">
            <v>308177659920</v>
          </cell>
        </row>
        <row r="1732">
          <cell r="I1732" t="str">
            <v>MRKU3353140</v>
          </cell>
          <cell r="J1732" t="str">
            <v>RU JK</v>
          </cell>
          <cell r="K1732">
            <v>0.625</v>
          </cell>
          <cell r="L1732" t="str">
            <v>MRKU3353140</v>
          </cell>
          <cell r="N1732" t="str">
            <v>HATECO HICT</v>
          </cell>
          <cell r="O1732" t="str">
            <v>VI-26/50570</v>
          </cell>
          <cell r="P1732" t="str">
            <v>done</v>
          </cell>
          <cell r="Q1732">
            <v>308177759210</v>
          </cell>
        </row>
        <row r="1733">
          <cell r="I1733" t="str">
            <v>HLBU1325330</v>
          </cell>
          <cell r="J1733" t="str">
            <v>ĐỨC</v>
          </cell>
          <cell r="K1733">
            <v>6.25E-2</v>
          </cell>
          <cell r="L1733" t="str">
            <v>TIIU5867112</v>
          </cell>
          <cell r="M1733" t="str">
            <v>TRI PHƯƠNG</v>
          </cell>
          <cell r="N1733" t="str">
            <v>HATECO HICT</v>
          </cell>
          <cell r="O1733" t="str">
            <v>VI-26/50562</v>
          </cell>
          <cell r="Q1733">
            <v>0</v>
          </cell>
        </row>
        <row r="1734">
          <cell r="I1734" t="str">
            <v>FDCU0135881</v>
          </cell>
          <cell r="J1734" t="str">
            <v>SÂM</v>
          </cell>
          <cell r="K1734">
            <v>7.2916666666666671E-2</v>
          </cell>
          <cell r="L1734" t="str">
            <v>TGHU6104910</v>
          </cell>
          <cell r="M1734" t="str">
            <v>TRI PHƯƠNG</v>
          </cell>
          <cell r="N1734" t="str">
            <v>HATECO HICT</v>
          </cell>
          <cell r="O1734" t="str">
            <v>VI-26/50563</v>
          </cell>
          <cell r="Q1734">
            <v>0</v>
          </cell>
        </row>
        <row r="1735">
          <cell r="I1735" t="str">
            <v>HAMU4460591</v>
          </cell>
          <cell r="J1735" t="str">
            <v>QUÂN</v>
          </cell>
          <cell r="K1735">
            <v>8.3333333333333329E-2</v>
          </cell>
          <cell r="L1735" t="str">
            <v>MRSU6160764</v>
          </cell>
          <cell r="M1735" t="str">
            <v>TRI PHƯƠNG</v>
          </cell>
          <cell r="N1735" t="str">
            <v>HATECO HICT</v>
          </cell>
          <cell r="O1735" t="str">
            <v>VI-26/50566</v>
          </cell>
          <cell r="Q1735">
            <v>0</v>
          </cell>
        </row>
        <row r="1736">
          <cell r="I1736" t="str">
            <v>MRSU6160764</v>
          </cell>
          <cell r="J1736" t="str">
            <v>SÂM</v>
          </cell>
          <cell r="K1736">
            <v>9.375E-2</v>
          </cell>
          <cell r="L1736" t="str">
            <v>MRSU5304614</v>
          </cell>
          <cell r="M1736" t="str">
            <v>TRI PHƯƠNG</v>
          </cell>
          <cell r="N1736" t="str">
            <v>HATECO HICT</v>
          </cell>
          <cell r="O1736" t="str">
            <v>VI-26/50571</v>
          </cell>
          <cell r="P1736" t="str">
            <v>done</v>
          </cell>
          <cell r="Q1736">
            <v>308177774610</v>
          </cell>
        </row>
        <row r="1737">
          <cell r="I1737" t="str">
            <v>MRSU3935441</v>
          </cell>
          <cell r="J1737" t="str">
            <v>ĐỨC</v>
          </cell>
          <cell r="K1737">
            <v>0.10416666666666667</v>
          </cell>
          <cell r="M1737" t="str">
            <v>TRI PHƯƠNG</v>
          </cell>
          <cell r="N1737" t="str">
            <v>HATECO HICT</v>
          </cell>
          <cell r="O1737" t="str">
            <v>VI-26/50572</v>
          </cell>
          <cell r="P1737" t="str">
            <v>done</v>
          </cell>
          <cell r="Q1737">
            <v>308177794100</v>
          </cell>
        </row>
        <row r="1738">
          <cell r="I1738" t="str">
            <v>MRSU4336263</v>
          </cell>
          <cell r="J1738" t="str">
            <v>THI</v>
          </cell>
          <cell r="K1738">
            <v>0.11458333333333333</v>
          </cell>
          <cell r="L1738" t="str">
            <v>MRSU4336263</v>
          </cell>
          <cell r="M1738" t="str">
            <v>TRI PHƯƠNG</v>
          </cell>
          <cell r="N1738" t="str">
            <v>HATECO HICT</v>
          </cell>
          <cell r="O1738" t="str">
            <v>VI-26/50556</v>
          </cell>
          <cell r="P1738" t="str">
            <v>done</v>
          </cell>
          <cell r="Q1738">
            <v>308177711830</v>
          </cell>
        </row>
        <row r="1739">
          <cell r="I1739" t="str">
            <v>CAAU9115479</v>
          </cell>
          <cell r="J1739" t="str">
            <v>THỤY</v>
          </cell>
          <cell r="K1739" t="str">
            <v>10:00</v>
          </cell>
          <cell r="L1739" t="str">
            <v>TEMU9569040</v>
          </cell>
          <cell r="M1739" t="str">
            <v>TRI PHƯƠNG</v>
          </cell>
          <cell r="N1739" t="str">
            <v>HATECO HICT</v>
          </cell>
          <cell r="P1739" t="str">
            <v>done</v>
          </cell>
          <cell r="Q1739">
            <v>308178040500</v>
          </cell>
        </row>
        <row r="1740">
          <cell r="I1740" t="str">
            <v>UETU7288082</v>
          </cell>
          <cell r="J1740" t="str">
            <v>HỒNG HƯNG</v>
          </cell>
          <cell r="K1740" t="str">
            <v>14:00</v>
          </cell>
          <cell r="L1740" t="str">
            <v>TTNU8864384</v>
          </cell>
          <cell r="M1740" t="str">
            <v>TRI PHƯƠNG</v>
          </cell>
          <cell r="N1740" t="str">
            <v>HATECO HICT</v>
          </cell>
          <cell r="P1740" t="str">
            <v>done</v>
          </cell>
          <cell r="Q1740">
            <v>308177622450</v>
          </cell>
        </row>
        <row r="1741">
          <cell r="I1741" t="str">
            <v>SLSU803541</v>
          </cell>
          <cell r="J1741" t="str">
            <v>HƯỜNG</v>
          </cell>
          <cell r="K1741" t="str">
            <v>11:00</v>
          </cell>
          <cell r="M1741" t="str">
            <v>TRI PHƯƠNG</v>
          </cell>
          <cell r="N1741" t="str">
            <v>HATECO HICT</v>
          </cell>
          <cell r="Q1741">
            <v>0</v>
          </cell>
        </row>
        <row r="1742">
          <cell r="I1742" t="str">
            <v>TEMU9538672</v>
          </cell>
          <cell r="J1742" t="str">
            <v>PHƯƠNG</v>
          </cell>
          <cell r="K1742" t="str">
            <v>8:00</v>
          </cell>
          <cell r="L1742" t="str">
            <v>EITU9137261</v>
          </cell>
          <cell r="M1742" t="str">
            <v>TRI PHƯƠNG</v>
          </cell>
          <cell r="N1742" t="str">
            <v>LẠCH HUYỆN</v>
          </cell>
          <cell r="Q1742">
            <v>0</v>
          </cell>
        </row>
        <row r="1743">
          <cell r="I1743" t="str">
            <v>CXRU1131696</v>
          </cell>
          <cell r="J1743" t="str">
            <v>PHƯƠNG</v>
          </cell>
          <cell r="K1743" t="str">
            <v>10:00</v>
          </cell>
          <cell r="L1743" t="str">
            <v>CXRU1131696</v>
          </cell>
          <cell r="M1743" t="str">
            <v>TRI PHƯƠNG</v>
          </cell>
          <cell r="N1743" t="str">
            <v>LẠCH HUYỆN</v>
          </cell>
          <cell r="Q1743">
            <v>0</v>
          </cell>
        </row>
        <row r="1744">
          <cell r="I1744" t="str">
            <v>CAIU5498325</v>
          </cell>
          <cell r="J1744" t="str">
            <v>DŨNG
KÉO VỀ</v>
          </cell>
          <cell r="K1744" t="str">
            <v>22:00</v>
          </cell>
          <cell r="L1744" t="str">
            <v>HPCU4969717</v>
          </cell>
          <cell r="N1744" t="str">
            <v>TÂN VŨ</v>
          </cell>
          <cell r="P1744" t="str">
            <v>done</v>
          </cell>
          <cell r="Q1744">
            <v>308179035750</v>
          </cell>
        </row>
        <row r="1745">
          <cell r="K1745">
            <v>0.33333333333333331</v>
          </cell>
          <cell r="Q1745">
            <v>0</v>
          </cell>
        </row>
        <row r="1746">
          <cell r="I1746" t="str">
            <v>CMAU3722655</v>
          </cell>
          <cell r="J1746" t="str">
            <v>SƠN</v>
          </cell>
          <cell r="K1746">
            <v>0.375</v>
          </cell>
          <cell r="L1746" t="str">
            <v>CAAU8968950</v>
          </cell>
          <cell r="Q1746">
            <v>0</v>
          </cell>
        </row>
        <row r="1747">
          <cell r="K1747">
            <v>0.41666666666666669</v>
          </cell>
          <cell r="Q1747">
            <v>0</v>
          </cell>
        </row>
        <row r="1748">
          <cell r="K1748">
            <v>0.41666666666666669</v>
          </cell>
          <cell r="O1748" t="str">
            <v>SERVICE</v>
          </cell>
          <cell r="Q1748">
            <v>0</v>
          </cell>
        </row>
        <row r="1749">
          <cell r="I1749" t="str">
            <v>CAAU8453532</v>
          </cell>
          <cell r="J1749" t="str">
            <v>DŨNG</v>
          </cell>
          <cell r="K1749">
            <v>0.41666666666666669</v>
          </cell>
          <cell r="L1749" t="str">
            <v>CAIU5498325</v>
          </cell>
          <cell r="Q1749">
            <v>0</v>
          </cell>
        </row>
        <row r="1750">
          <cell r="I1750" t="str">
            <v>TIIU4935871</v>
          </cell>
          <cell r="J1750" t="str">
            <v>HƯNG</v>
          </cell>
          <cell r="K1750">
            <v>0.54166666666666663</v>
          </cell>
          <cell r="L1750" t="str">
            <v>FSCU5807993</v>
          </cell>
          <cell r="O1750" t="str">
            <v>RTB-26/0026</v>
          </cell>
          <cell r="Q1750">
            <v>0</v>
          </cell>
        </row>
        <row r="1751">
          <cell r="K1751">
            <v>0.54166666666666663</v>
          </cell>
          <cell r="Q1751">
            <v>0</v>
          </cell>
        </row>
        <row r="1752">
          <cell r="I1752" t="str">
            <v>EGHU9204923</v>
          </cell>
          <cell r="J1752" t="str">
            <v>SƠN</v>
          </cell>
          <cell r="K1752">
            <v>0.625</v>
          </cell>
          <cell r="L1752" t="str">
            <v>TGBU7477367</v>
          </cell>
          <cell r="Q1752">
            <v>0</v>
          </cell>
        </row>
        <row r="1753">
          <cell r="I1753" t="str">
            <v>CMAU9421284</v>
          </cell>
          <cell r="J1753" t="str">
            <v>THI</v>
          </cell>
          <cell r="K1753">
            <v>0.95833333333333337</v>
          </cell>
          <cell r="L1753" t="str">
            <v>CMAU3722655</v>
          </cell>
          <cell r="Q1753">
            <v>0</v>
          </cell>
        </row>
        <row r="1754">
          <cell r="I1754" t="str">
            <v>CAAU9899771</v>
          </cell>
          <cell r="J1754" t="str">
            <v>MẠNH</v>
          </cell>
          <cell r="K1754">
            <v>0</v>
          </cell>
          <cell r="L1754" t="str">
            <v>TLLU1122036</v>
          </cell>
          <cell r="Q1754">
            <v>0</v>
          </cell>
        </row>
        <row r="1755">
          <cell r="I1755" t="str">
            <v>EITU1217400</v>
          </cell>
          <cell r="J1755" t="str">
            <v>SÂM</v>
          </cell>
          <cell r="K1755">
            <v>0</v>
          </cell>
          <cell r="L1755" t="str">
            <v>CAJU5033234</v>
          </cell>
          <cell r="O1755" t="str">
            <v>RTB-26/0027</v>
          </cell>
          <cell r="Q1755">
            <v>0</v>
          </cell>
        </row>
        <row r="1756">
          <cell r="I1756" t="str">
            <v>FFAU7703292</v>
          </cell>
          <cell r="K1756">
            <v>0.91666666666666663</v>
          </cell>
          <cell r="Q1756">
            <v>0</v>
          </cell>
        </row>
        <row r="1757">
          <cell r="I1757" t="str">
            <v>FFAU1471219</v>
          </cell>
          <cell r="J1757" t="str">
            <v>SÂM</v>
          </cell>
          <cell r="L1757" t="str">
            <v>OTPU6265923</v>
          </cell>
          <cell r="Q1757">
            <v>0</v>
          </cell>
        </row>
        <row r="1758">
          <cell r="I1758" t="str">
            <v>ECMU7725418</v>
          </cell>
          <cell r="J1758" t="str">
            <v>THI</v>
          </cell>
          <cell r="L1758" t="str">
            <v>CAAU9617142</v>
          </cell>
          <cell r="Q1758">
            <v>0</v>
          </cell>
        </row>
        <row r="1759">
          <cell r="I1759" t="str">
            <v>TCNU6785426</v>
          </cell>
          <cell r="K1759">
            <v>0.33333333333333331</v>
          </cell>
          <cell r="O1759" t="str">
            <v>VH-26/50119</v>
          </cell>
          <cell r="Q1759">
            <v>0</v>
          </cell>
        </row>
        <row r="1760">
          <cell r="I1760" t="str">
            <v>MSDU6494894</v>
          </cell>
          <cell r="J1760" t="str">
            <v>SƠN</v>
          </cell>
          <cell r="K1760">
            <v>0.33333333333333331</v>
          </cell>
          <cell r="L1760" t="str">
            <v>TLLU4140732</v>
          </cell>
          <cell r="O1760" t="str">
            <v>VH-26/50126</v>
          </cell>
          <cell r="Q1760">
            <v>0</v>
          </cell>
        </row>
        <row r="1761">
          <cell r="I1761" t="str">
            <v>TIIU5463867</v>
          </cell>
          <cell r="K1761">
            <v>0.33333333333333331</v>
          </cell>
          <cell r="O1761" t="str">
            <v>VS-26/50108</v>
          </cell>
          <cell r="Q1761">
            <v>0</v>
          </cell>
        </row>
        <row r="1762">
          <cell r="I1762" t="str">
            <v>TGBU6583045</v>
          </cell>
          <cell r="J1762" t="str">
            <v>THANH 
KÉO VỀ</v>
          </cell>
          <cell r="K1762">
            <v>0.33333333333333331</v>
          </cell>
          <cell r="N1762" t="str">
            <v>GIC</v>
          </cell>
          <cell r="O1762" t="str">
            <v>VS-26/50113</v>
          </cell>
          <cell r="P1762" t="str">
            <v>done</v>
          </cell>
          <cell r="Q1762">
            <v>308181125140</v>
          </cell>
        </row>
        <row r="1763">
          <cell r="I1763" t="str">
            <v>KKFU8150366</v>
          </cell>
          <cell r="J1763" t="str">
            <v>PHƯƠNG</v>
          </cell>
          <cell r="K1763">
            <v>0.875</v>
          </cell>
          <cell r="L1763" t="str">
            <v>TIIU5463867</v>
          </cell>
          <cell r="O1763" t="str">
            <v>VS-26/50103</v>
          </cell>
          <cell r="Q1763">
            <v>0</v>
          </cell>
        </row>
        <row r="1764">
          <cell r="I1764" t="str">
            <v>EGSU6484249</v>
          </cell>
          <cell r="J1764" t="str">
            <v>XUYÊN
TÍN KÉO VỀ</v>
          </cell>
          <cell r="K1764">
            <v>0.875</v>
          </cell>
          <cell r="N1764" t="str">
            <v>GIC</v>
          </cell>
          <cell r="O1764" t="str">
            <v>VH-26/50120</v>
          </cell>
          <cell r="P1764" t="str">
            <v>done</v>
          </cell>
          <cell r="Q1764">
            <v>308182232540</v>
          </cell>
        </row>
        <row r="1765">
          <cell r="I1765" t="str">
            <v>EGHU9330270</v>
          </cell>
          <cell r="J1765" t="str">
            <v>DŨNG
kéo về</v>
          </cell>
          <cell r="K1765">
            <v>8.3333333333333329E-2</v>
          </cell>
          <cell r="N1765" t="str">
            <v>GIC</v>
          </cell>
          <cell r="O1765" t="str">
            <v>VS-26/50107</v>
          </cell>
          <cell r="P1765" t="str">
            <v>done</v>
          </cell>
          <cell r="Q1765">
            <v>308182479050</v>
          </cell>
        </row>
        <row r="1766">
          <cell r="I1766" t="str">
            <v>HAMU3388430</v>
          </cell>
          <cell r="J1766" t="str">
            <v>THÀNH</v>
          </cell>
          <cell r="K1766">
            <v>0.35416666666666669</v>
          </cell>
          <cell r="L1766" t="str">
            <v>HAMU3388430</v>
          </cell>
          <cell r="M1766" t="str">
            <v>TRI PHƯƠNG</v>
          </cell>
          <cell r="N1766" t="str">
            <v>HATECO HICT</v>
          </cell>
          <cell r="O1766" t="str">
            <v>VI-26/50582</v>
          </cell>
          <cell r="Q1766">
            <v>0</v>
          </cell>
        </row>
        <row r="1767">
          <cell r="I1767" t="str">
            <v>HASU4972687</v>
          </cell>
          <cell r="J1767" t="str">
            <v>SÂM</v>
          </cell>
          <cell r="K1767">
            <v>0.36458333333333331</v>
          </cell>
          <cell r="L1767" t="str">
            <v>HAMU4460591</v>
          </cell>
          <cell r="M1767" t="str">
            <v>TRI PHƯƠNG</v>
          </cell>
          <cell r="N1767" t="str">
            <v>HATECO HICT</v>
          </cell>
          <cell r="O1767" t="str">
            <v>VI-26/50583</v>
          </cell>
          <cell r="P1767" t="str">
            <v>done</v>
          </cell>
          <cell r="Q1767">
            <v>308181845810</v>
          </cell>
        </row>
        <row r="1768">
          <cell r="I1768" t="str">
            <v>MRSU7523308</v>
          </cell>
          <cell r="J1768" t="str">
            <v>ĐỨC</v>
          </cell>
          <cell r="K1768">
            <v>0.39583333333333331</v>
          </cell>
          <cell r="L1768" t="str">
            <v>MRSU7523308</v>
          </cell>
          <cell r="M1768" t="str">
            <v>TRI PHƯƠNG</v>
          </cell>
          <cell r="N1768" t="str">
            <v>HATECO HICT</v>
          </cell>
          <cell r="O1768" t="str">
            <v>VI-26/50585</v>
          </cell>
          <cell r="P1768" t="str">
            <v>done</v>
          </cell>
          <cell r="Q1768">
            <v>308181911610</v>
          </cell>
        </row>
        <row r="1769">
          <cell r="I1769" t="str">
            <v>MRKU2159090</v>
          </cell>
          <cell r="J1769" t="str">
            <v>PHƯƠNG</v>
          </cell>
          <cell r="K1769">
            <v>0.4236111111111111</v>
          </cell>
          <cell r="L1769" t="str">
            <v>MRSU3935441</v>
          </cell>
          <cell r="M1769" t="str">
            <v>TRI PHƯƠNG</v>
          </cell>
          <cell r="N1769" t="str">
            <v>HATECO HICT</v>
          </cell>
          <cell r="O1769" t="str">
            <v>VI-26/50586</v>
          </cell>
          <cell r="P1769" t="str">
            <v>done</v>
          </cell>
          <cell r="Q1769">
            <v>308181937030</v>
          </cell>
        </row>
        <row r="1770">
          <cell r="I1770" t="str">
            <v>MRKU3316249</v>
          </cell>
          <cell r="J1770" t="str">
            <v>QUÂN</v>
          </cell>
          <cell r="K1770">
            <v>0.52083333333333337</v>
          </cell>
          <cell r="L1770" t="str">
            <v>MRKU3316249</v>
          </cell>
          <cell r="M1770" t="str">
            <v>TRI PHƯƠNG</v>
          </cell>
          <cell r="N1770" t="str">
            <v>HATECO HICT</v>
          </cell>
          <cell r="O1770" t="str">
            <v>VI-26/50587</v>
          </cell>
          <cell r="P1770" t="str">
            <v>done</v>
          </cell>
          <cell r="Q1770">
            <v>308181969010</v>
          </cell>
        </row>
        <row r="1771">
          <cell r="I1771" t="str">
            <v>SUDU8722858</v>
          </cell>
          <cell r="J1771" t="str">
            <v>SÂM</v>
          </cell>
          <cell r="K1771">
            <v>0.54166666666666663</v>
          </cell>
          <cell r="L1771" t="str">
            <v>HLBU1325330</v>
          </cell>
          <cell r="M1771" t="str">
            <v>TRI PHƯƠNG</v>
          </cell>
          <cell r="N1771" t="str">
            <v>HATECO HICT</v>
          </cell>
          <cell r="O1771" t="str">
            <v>VI-26/50588</v>
          </cell>
          <cell r="P1771" t="str">
            <v>done</v>
          </cell>
          <cell r="Q1771">
            <v>308181819430</v>
          </cell>
        </row>
        <row r="1772">
          <cell r="I1772" t="str">
            <v>SELU4095134</v>
          </cell>
          <cell r="J1772" t="str">
            <v>THI</v>
          </cell>
          <cell r="K1772">
            <v>0.55208333333333337</v>
          </cell>
          <cell r="L1772" t="str">
            <v>HASU4972687</v>
          </cell>
          <cell r="M1772" t="str">
            <v>TRI PHƯƠNG</v>
          </cell>
          <cell r="N1772" t="str">
            <v>HATECO HICT</v>
          </cell>
          <cell r="O1772" t="str">
            <v>VI-26/50589</v>
          </cell>
          <cell r="P1772" t="str">
            <v>done</v>
          </cell>
          <cell r="Q1772">
            <v>308181867400</v>
          </cell>
        </row>
        <row r="1773">
          <cell r="I1773" t="str">
            <v>MRSU8850060</v>
          </cell>
          <cell r="J1773" t="str">
            <v>DĐỨC</v>
          </cell>
          <cell r="K1773">
            <v>0.60416666666666663</v>
          </cell>
          <cell r="L1773" t="str">
            <v>SUDU8722858</v>
          </cell>
          <cell r="M1773" t="str">
            <v>TRI PHƯƠNG</v>
          </cell>
          <cell r="N1773" t="str">
            <v>HATECO HICT</v>
          </cell>
          <cell r="O1773" t="str">
            <v>VI-26/50593</v>
          </cell>
          <cell r="P1773" t="str">
            <v>done</v>
          </cell>
          <cell r="Q1773">
            <v>308181629030</v>
          </cell>
        </row>
        <row r="1774">
          <cell r="I1774" t="str">
            <v>TIIU5177565</v>
          </cell>
          <cell r="J1774" t="str">
            <v>THỊNH</v>
          </cell>
          <cell r="K1774">
            <v>0.875</v>
          </cell>
          <cell r="L1774" t="str">
            <v>MRSU8850060</v>
          </cell>
          <cell r="M1774" t="str">
            <v>TRI PHƯƠNG</v>
          </cell>
          <cell r="N1774" t="str">
            <v>HATECO HICT</v>
          </cell>
          <cell r="O1774" t="str">
            <v>VI-26/50597</v>
          </cell>
          <cell r="P1774" t="str">
            <v>done</v>
          </cell>
          <cell r="Q1774">
            <v>308181879960</v>
          </cell>
        </row>
        <row r="1775">
          <cell r="I1775" t="str">
            <v>GAOU7943394</v>
          </cell>
          <cell r="J1775" t="str">
            <v>HƯỜNG</v>
          </cell>
          <cell r="K1775">
            <v>0.88541666666666663</v>
          </cell>
          <cell r="L1775" t="str">
            <v>SELU4095134</v>
          </cell>
          <cell r="M1775" t="str">
            <v>TRI PHƯƠNG</v>
          </cell>
          <cell r="N1775" t="str">
            <v>HATECO HICT</v>
          </cell>
          <cell r="O1775" t="str">
            <v>VI-26/50599</v>
          </cell>
          <cell r="P1775" t="str">
            <v>done</v>
          </cell>
          <cell r="Q1775">
            <v>308181779050</v>
          </cell>
        </row>
        <row r="1776">
          <cell r="J1776" t="str">
            <v>QUÂN</v>
          </cell>
          <cell r="K1776">
            <v>0.90625</v>
          </cell>
          <cell r="L1776" t="str">
            <v>TIIU5177565</v>
          </cell>
          <cell r="M1776" t="str">
            <v>TRI PHƯƠNG</v>
          </cell>
          <cell r="N1776" t="str">
            <v>HATECO HICT</v>
          </cell>
          <cell r="O1776" t="str">
            <v>VI-26/50601</v>
          </cell>
          <cell r="Q1776">
            <v>0</v>
          </cell>
        </row>
        <row r="1777">
          <cell r="K1777">
            <v>0.91666666666666663</v>
          </cell>
          <cell r="L1777" t="str">
            <v>CAAU7642001</v>
          </cell>
          <cell r="M1777" t="str">
            <v>TRI PHƯƠNG</v>
          </cell>
          <cell r="N1777" t="str">
            <v>HATECO HICT</v>
          </cell>
          <cell r="O1777" t="str">
            <v>VI-26/50602</v>
          </cell>
          <cell r="Q1777">
            <v>0</v>
          </cell>
        </row>
        <row r="1778">
          <cell r="I1778" t="str">
            <v>CAAU7642001</v>
          </cell>
          <cell r="J1778" t="str">
            <v>THỊNH</v>
          </cell>
          <cell r="K1778">
            <v>0.94791666666666663</v>
          </cell>
          <cell r="L1778" t="str">
            <v>CAAU5492242</v>
          </cell>
          <cell r="M1778" t="str">
            <v>TRI PHƯƠNG</v>
          </cell>
          <cell r="N1778" t="str">
            <v>HATECO HICT</v>
          </cell>
          <cell r="O1778" t="str">
            <v>VI-26/50605</v>
          </cell>
          <cell r="P1778" t="str">
            <v>done</v>
          </cell>
          <cell r="Q1778">
            <v>308181986840</v>
          </cell>
        </row>
        <row r="1779">
          <cell r="I1779" t="str">
            <v>SELU4084021</v>
          </cell>
          <cell r="J1779" t="str">
            <v>HƯỜNG</v>
          </cell>
          <cell r="K1779">
            <v>0.96875</v>
          </cell>
          <cell r="L1779" t="str">
            <v>GAOU7943394</v>
          </cell>
          <cell r="M1779" t="str">
            <v>TRI PHƯƠNG</v>
          </cell>
          <cell r="N1779" t="str">
            <v>HATECO HICT</v>
          </cell>
          <cell r="O1779" t="str">
            <v>VI-26/50607</v>
          </cell>
          <cell r="P1779" t="str">
            <v>done</v>
          </cell>
          <cell r="Q1779">
            <v>308181654120</v>
          </cell>
        </row>
        <row r="1780">
          <cell r="I1780" t="str">
            <v>MRSU8344971</v>
          </cell>
          <cell r="J1780" t="str">
            <v>QUÂN</v>
          </cell>
          <cell r="K1780">
            <v>8.3333333333333329E-2</v>
          </cell>
          <cell r="L1780" t="str">
            <v>MRKU2159090</v>
          </cell>
          <cell r="M1780" t="str">
            <v>TRI PHƯƠNG</v>
          </cell>
          <cell r="N1780" t="str">
            <v>HATECO HICT</v>
          </cell>
          <cell r="O1780" t="str">
            <v>VI-26/50609</v>
          </cell>
          <cell r="P1780" t="str">
            <v>done</v>
          </cell>
          <cell r="Q1780">
            <v>308181830740</v>
          </cell>
        </row>
        <row r="1781">
          <cell r="I1781" t="str">
            <v>GCXU5698725</v>
          </cell>
          <cell r="J1781" t="str">
            <v>ĐỨC</v>
          </cell>
          <cell r="K1781">
            <v>9.375E-2</v>
          </cell>
          <cell r="L1781" t="str">
            <v>MRSU8344971</v>
          </cell>
          <cell r="M1781" t="str">
            <v>TRI PHƯƠNG</v>
          </cell>
          <cell r="N1781" t="str">
            <v>HATECO HICT</v>
          </cell>
          <cell r="O1781" t="str">
            <v>VI-26/50610</v>
          </cell>
          <cell r="P1781" t="str">
            <v>done</v>
          </cell>
          <cell r="Q1781">
            <v>308181671510</v>
          </cell>
        </row>
        <row r="1782">
          <cell r="I1782" t="str">
            <v>MRSU7975139</v>
          </cell>
          <cell r="J1782" t="str">
            <v>SƠN</v>
          </cell>
          <cell r="K1782">
            <v>0.125</v>
          </cell>
          <cell r="L1782" t="str">
            <v>TCNU7883983</v>
          </cell>
          <cell r="M1782" t="str">
            <v>TRI PHƯƠNG</v>
          </cell>
          <cell r="N1782" t="str">
            <v>HATECO HICT</v>
          </cell>
          <cell r="O1782" t="str">
            <v>VI-26/50595</v>
          </cell>
          <cell r="P1782" t="str">
            <v>done</v>
          </cell>
          <cell r="Q1782">
            <v>308181760040</v>
          </cell>
        </row>
        <row r="1783">
          <cell r="I1783" t="str">
            <v>MRSU8485590</v>
          </cell>
          <cell r="J1783" t="str">
            <v>HƯỜNG</v>
          </cell>
          <cell r="K1783">
            <v>0.14583333333333334</v>
          </cell>
          <cell r="L1783" t="str">
            <v>MRSU7975139</v>
          </cell>
          <cell r="M1783" t="str">
            <v>TRI PHƯƠNG</v>
          </cell>
          <cell r="N1783" t="str">
            <v>HATECO HICT</v>
          </cell>
          <cell r="O1783" t="str">
            <v>VI-26/50596</v>
          </cell>
          <cell r="P1783" t="str">
            <v>done</v>
          </cell>
          <cell r="Q1783">
            <v>308181803700</v>
          </cell>
        </row>
        <row r="1784">
          <cell r="I1784" t="str">
            <v>MRSU7085290</v>
          </cell>
          <cell r="J1784" t="str">
            <v>MẠNH</v>
          </cell>
          <cell r="K1784">
            <v>0.875</v>
          </cell>
          <cell r="L1784" t="str">
            <v>TIIU4250701</v>
          </cell>
          <cell r="M1784" t="str">
            <v>TRI PHƯƠNG</v>
          </cell>
          <cell r="N1784" t="str">
            <v>HATECO HICT</v>
          </cell>
          <cell r="O1784" t="str">
            <v>VS-26/50111</v>
          </cell>
          <cell r="P1784" t="str">
            <v>done</v>
          </cell>
          <cell r="Q1784">
            <v>308182398000</v>
          </cell>
        </row>
        <row r="1785">
          <cell r="I1785" t="str">
            <v>FFAU7409143</v>
          </cell>
          <cell r="J1785" t="str">
            <v>THÀNH</v>
          </cell>
          <cell r="K1785" t="str">
            <v>13:00</v>
          </cell>
          <cell r="L1785" t="str">
            <v>SLSU8035410</v>
          </cell>
          <cell r="M1785" t="str">
            <v>TRI PHƯƠNG</v>
          </cell>
          <cell r="N1785" t="str">
            <v>HATECO HICT</v>
          </cell>
          <cell r="P1785" t="str">
            <v>done</v>
          </cell>
          <cell r="Q1785">
            <v>308183528720</v>
          </cell>
        </row>
        <row r="1786">
          <cell r="I1786" t="str">
            <v>MRSU6754576</v>
          </cell>
          <cell r="J1786" t="str">
            <v>SÂM</v>
          </cell>
          <cell r="K1786" t="str">
            <v>13:00</v>
          </cell>
          <cell r="L1786" t="str">
            <v>CAAU9860039</v>
          </cell>
          <cell r="M1786" t="str">
            <v>TRI PHƯƠNG</v>
          </cell>
          <cell r="N1786" t="str">
            <v>HATECO HICT</v>
          </cell>
          <cell r="P1786" t="str">
            <v>done</v>
          </cell>
          <cell r="Q1786">
            <v>308183550200</v>
          </cell>
        </row>
        <row r="1787">
          <cell r="I1787" t="str">
            <v>MNBU0300038</v>
          </cell>
          <cell r="J1787" t="str">
            <v>PHƯƠNG</v>
          </cell>
          <cell r="K1787">
            <v>0.54166666666666663</v>
          </cell>
          <cell r="L1787" t="str">
            <v>FFAU7409143</v>
          </cell>
          <cell r="M1787" t="str">
            <v>TRI PHƯƠNG</v>
          </cell>
          <cell r="N1787" t="str">
            <v>HATECO HICT</v>
          </cell>
          <cell r="P1787" t="str">
            <v>done</v>
          </cell>
          <cell r="Q1787">
            <v>308183512840</v>
          </cell>
        </row>
        <row r="1788">
          <cell r="I1788" t="str">
            <v>CAAU8968950</v>
          </cell>
          <cell r="J1788" t="str">
            <v>THI</v>
          </cell>
          <cell r="K1788" t="str">
            <v>13:00</v>
          </cell>
          <cell r="L1788" t="str">
            <v>UETU7488563</v>
          </cell>
          <cell r="M1788" t="str">
            <v>TRI PHƯƠNG</v>
          </cell>
          <cell r="N1788" t="str">
            <v>HATECO HICT</v>
          </cell>
          <cell r="P1788" t="str">
            <v>done</v>
          </cell>
          <cell r="Q1788">
            <v>308183560700</v>
          </cell>
        </row>
        <row r="1789">
          <cell r="I1789" t="str">
            <v>MRSU8503116</v>
          </cell>
          <cell r="J1789" t="str">
            <v>MẠNH</v>
          </cell>
          <cell r="K1789" t="str">
            <v>14:00</v>
          </cell>
          <cell r="L1789" t="str">
            <v>MRSU6754576</v>
          </cell>
          <cell r="M1789" t="str">
            <v>TRI PHƯƠNG</v>
          </cell>
          <cell r="N1789" t="str">
            <v>HATECO HICT</v>
          </cell>
          <cell r="P1789" t="str">
            <v>done</v>
          </cell>
          <cell r="Q1789">
            <v>308183577830</v>
          </cell>
        </row>
        <row r="1790">
          <cell r="I1790" t="str">
            <v>CAJU5033234</v>
          </cell>
          <cell r="J1790" t="str">
            <v>THỊNH</v>
          </cell>
          <cell r="K1790" t="str">
            <v>0:00</v>
          </cell>
          <cell r="L1790" t="str">
            <v>CAAU4012499</v>
          </cell>
          <cell r="M1790" t="str">
            <v>TRI PHƯƠNG</v>
          </cell>
          <cell r="N1790" t="str">
            <v>HATECO HICT</v>
          </cell>
          <cell r="P1790" t="str">
            <v>done</v>
          </cell>
          <cell r="Q1790">
            <v>308183608850</v>
          </cell>
        </row>
        <row r="1791">
          <cell r="I1791" t="str">
            <v>SEGU9542758</v>
          </cell>
          <cell r="J1791" t="str">
            <v>MẠNH</v>
          </cell>
          <cell r="K1791" t="str">
            <v>14:00</v>
          </cell>
          <cell r="L1791" t="str">
            <v>MRKU2640660</v>
          </cell>
          <cell r="M1791" t="str">
            <v>TRI PHƯƠNG</v>
          </cell>
          <cell r="N1791" t="str">
            <v>HATECO HICT</v>
          </cell>
          <cell r="Q1791">
            <v>0</v>
          </cell>
        </row>
        <row r="1792">
          <cell r="I1792" t="str">
            <v>CGMU7029605</v>
          </cell>
          <cell r="J1792" t="str">
            <v>ĐỨC</v>
          </cell>
          <cell r="K1792" t="str">
            <v>22:00</v>
          </cell>
          <cell r="M1792" t="str">
            <v>TRI PHƯƠNG</v>
          </cell>
          <cell r="N1792" t="str">
            <v>HATECO HICT</v>
          </cell>
          <cell r="Q1792">
            <v>0</v>
          </cell>
        </row>
        <row r="1793">
          <cell r="I1793" t="str">
            <v>ONEU9148870</v>
          </cell>
          <cell r="J1793" t="str">
            <v>PHƯƠNG</v>
          </cell>
          <cell r="K1793" t="str">
            <v>23:00</v>
          </cell>
          <cell r="M1793" t="str">
            <v>TRI PHƯƠNG</v>
          </cell>
          <cell r="N1793" t="str">
            <v>LẠCH HUYỆN</v>
          </cell>
          <cell r="Q1793">
            <v>0</v>
          </cell>
        </row>
        <row r="1794">
          <cell r="I1794" t="str">
            <v>TCLU6640030</v>
          </cell>
          <cell r="J1794" t="str">
            <v>SƠN</v>
          </cell>
          <cell r="K1794">
            <v>0.10416666666666667</v>
          </cell>
          <cell r="L1794" t="str">
            <v>TCLU6640030</v>
          </cell>
          <cell r="O1794" t="str">
            <v>VI-26/50646</v>
          </cell>
          <cell r="Q1794">
            <v>0</v>
          </cell>
        </row>
        <row r="1795">
          <cell r="I1795" t="str">
            <v>FFAU6673505</v>
          </cell>
          <cell r="J1795" t="str">
            <v>THỊNH</v>
          </cell>
          <cell r="K1795">
            <v>0.14583333333333334</v>
          </cell>
          <cell r="L1795" t="str">
            <v>HAMU3175692</v>
          </cell>
          <cell r="O1795" t="str">
            <v>VI-26/50650</v>
          </cell>
          <cell r="Q1795">
            <v>0</v>
          </cell>
        </row>
        <row r="1796">
          <cell r="I1796" t="str">
            <v>TCNU5250013</v>
          </cell>
          <cell r="J1796" t="str">
            <v>TRỌNG</v>
          </cell>
          <cell r="K1796">
            <v>0.33333333333333331</v>
          </cell>
          <cell r="L1796" t="str">
            <v>TIIU5457859</v>
          </cell>
          <cell r="O1796" t="str">
            <v>VS-26/50109</v>
          </cell>
          <cell r="Q1796">
            <v>0</v>
          </cell>
        </row>
        <row r="1797">
          <cell r="I1797" t="str">
            <v>TRHU8044046</v>
          </cell>
          <cell r="J1797" t="str">
            <v>VINH</v>
          </cell>
          <cell r="K1797">
            <v>0.875</v>
          </cell>
          <cell r="L1797" t="str">
            <v>FFAU1594240</v>
          </cell>
          <cell r="O1797" t="str">
            <v>VS-26/50110</v>
          </cell>
          <cell r="Q1797">
            <v>0</v>
          </cell>
        </row>
        <row r="1798">
          <cell r="I1798" t="str">
            <v>EGSU1734221</v>
          </cell>
          <cell r="J1798" t="str">
            <v>HƯỜNG</v>
          </cell>
          <cell r="K1798">
            <v>0.875</v>
          </cell>
          <cell r="L1798" t="str">
            <v>CAAU8496555</v>
          </cell>
          <cell r="O1798" t="str">
            <v>VH-26/50123</v>
          </cell>
          <cell r="Q1798">
            <v>0</v>
          </cell>
        </row>
        <row r="1799">
          <cell r="I1799" t="str">
            <v>TIIU5457859</v>
          </cell>
          <cell r="J1799" t="str">
            <v>VINH
TRỌNG KÉO VỀ</v>
          </cell>
          <cell r="K1799">
            <v>0.33333333333333331</v>
          </cell>
          <cell r="L1799" t="str">
            <v>TCNU6785426</v>
          </cell>
          <cell r="N1799" t="str">
            <v>GIC</v>
          </cell>
          <cell r="O1799" t="str">
            <v>VS-26/50115</v>
          </cell>
          <cell r="P1799" t="str">
            <v>done</v>
          </cell>
          <cell r="Q1799">
            <v>308184601230</v>
          </cell>
        </row>
        <row r="1800">
          <cell r="I1800" t="str">
            <v>FFAU1594240</v>
          </cell>
          <cell r="J1800" t="str">
            <v>TRỌNG
VINH KÉO VỀ</v>
          </cell>
          <cell r="K1800">
            <v>0.33333333333333331</v>
          </cell>
          <cell r="L1800" t="str">
            <v>KKFU8150366</v>
          </cell>
          <cell r="N1800" t="str">
            <v>GIC</v>
          </cell>
          <cell r="O1800" t="str">
            <v>VS-26/50112</v>
          </cell>
          <cell r="P1800" t="str">
            <v>done</v>
          </cell>
          <cell r="Q1800">
            <v>308184642050</v>
          </cell>
        </row>
        <row r="1801">
          <cell r="I1801" t="str">
            <v>EGSU6484172</v>
          </cell>
          <cell r="J1801" t="str">
            <v>THỤY 
KÉO VỀ</v>
          </cell>
          <cell r="K1801">
            <v>0.875</v>
          </cell>
          <cell r="N1801" t="str">
            <v>GIC</v>
          </cell>
          <cell r="O1801" t="str">
            <v>VH-26/50128</v>
          </cell>
          <cell r="P1801" t="str">
            <v>done</v>
          </cell>
          <cell r="Q1801">
            <v>308184728520</v>
          </cell>
        </row>
        <row r="1802">
          <cell r="I1802" t="str">
            <v>EGSU6489718</v>
          </cell>
          <cell r="J1802" t="str">
            <v>XUYÊN 
KÉO VỀ</v>
          </cell>
          <cell r="K1802">
            <v>0.33333333333333331</v>
          </cell>
          <cell r="N1802" t="str">
            <v>GIC</v>
          </cell>
          <cell r="O1802" t="str">
            <v>VH-26/50129</v>
          </cell>
          <cell r="P1802" t="str">
            <v>done</v>
          </cell>
          <cell r="Q1802">
            <v>308184527510</v>
          </cell>
        </row>
        <row r="1803">
          <cell r="K1803">
            <v>0.33333333333333331</v>
          </cell>
          <cell r="O1803" t="str">
            <v>HP</v>
          </cell>
          <cell r="Q1803">
            <v>0</v>
          </cell>
        </row>
        <row r="1804">
          <cell r="I1804" t="str">
            <v>ONEU1266666</v>
          </cell>
          <cell r="J1804" t="str">
            <v>PHƯƠNG
KÉO VỀ</v>
          </cell>
          <cell r="K1804">
            <v>0.33333333333333331</v>
          </cell>
          <cell r="L1804" t="str">
            <v>MNBU0300038</v>
          </cell>
          <cell r="N1804" t="str">
            <v>ĐÌNH VŨ</v>
          </cell>
          <cell r="O1804" t="str">
            <v>VZ-26/50109 +VZ-26/50109R +VZ-26/50109R-01</v>
          </cell>
          <cell r="P1804" t="str">
            <v>done</v>
          </cell>
          <cell r="Q1804" t="str">
            <v>308192326650
308192288520
308192260410
308192227030
308192184440
308192146050</v>
          </cell>
        </row>
        <row r="1805">
          <cell r="I1805" t="str">
            <v>TIIU5575872</v>
          </cell>
          <cell r="J1805" t="str">
            <v>THI
THANH KÉO VỀ</v>
          </cell>
          <cell r="K1805">
            <v>0.45833333333333331</v>
          </cell>
          <cell r="L1805" t="str">
            <v>ECMU7725418</v>
          </cell>
          <cell r="N1805" t="str">
            <v>ĐÌNH VŨ</v>
          </cell>
          <cell r="O1805" t="str">
            <v>VZ-26/50108 +VZ-26/50108R +VZ-26/50108R-01</v>
          </cell>
          <cell r="P1805" t="str">
            <v>done</v>
          </cell>
          <cell r="Q1805" t="str">
            <v>308192053210
308192023810
308191987520
308191944560
308191908640</v>
          </cell>
        </row>
        <row r="1806">
          <cell r="I1806" t="str">
            <v>EGHU9838342</v>
          </cell>
          <cell r="J1806" t="str">
            <v>THỊNH</v>
          </cell>
          <cell r="K1806">
            <v>0.54166666666666663</v>
          </cell>
          <cell r="L1806" t="str">
            <v>EGHU9838342</v>
          </cell>
          <cell r="O1806" t="str">
            <v>RTB-26/0028</v>
          </cell>
          <cell r="Q1806">
            <v>0</v>
          </cell>
        </row>
        <row r="1807">
          <cell r="I1807" t="str">
            <v>TGBU4551990</v>
          </cell>
          <cell r="J1807" t="str">
            <v>THI</v>
          </cell>
          <cell r="K1807">
            <v>0.54166666666666663</v>
          </cell>
          <cell r="L1807" t="str">
            <v>FFAU1471219</v>
          </cell>
          <cell r="O1807" t="str">
            <v>VZ-26/50102 +VZ-26/50102R +VZ-26/50102R-01</v>
          </cell>
          <cell r="Q1807">
            <v>0</v>
          </cell>
        </row>
        <row r="1808">
          <cell r="I1808" t="str">
            <v>SELU4344690</v>
          </cell>
          <cell r="J1808" t="str">
            <v>THỊNH
ĐỨC KÉO VỀ</v>
          </cell>
          <cell r="K1808">
            <v>0.58333333333333337</v>
          </cell>
          <cell r="L1808" t="str">
            <v>CMAU9421284</v>
          </cell>
          <cell r="N1808" t="str">
            <v>ĐÌNH VŨ</v>
          </cell>
          <cell r="P1808" t="str">
            <v>done</v>
          </cell>
          <cell r="Q1808" t="str">
            <v>308191039240
308191798040
308191257640
308191208860
308191146120</v>
          </cell>
        </row>
        <row r="1809">
          <cell r="I1809" t="str">
            <v>FFAU4484992</v>
          </cell>
          <cell r="J1809" t="str">
            <v>SƠN</v>
          </cell>
          <cell r="K1809">
            <v>0.875</v>
          </cell>
          <cell r="L1809" t="str">
            <v>TIIU4935871</v>
          </cell>
          <cell r="Q1809">
            <v>0</v>
          </cell>
        </row>
        <row r="1810">
          <cell r="I1810" t="str">
            <v>UETU7255221</v>
          </cell>
          <cell r="J1810" t="str">
            <v>THI
KÉO VỀ</v>
          </cell>
          <cell r="K1810">
            <v>0.875</v>
          </cell>
          <cell r="L1810" t="str">
            <v>BSIU8155140</v>
          </cell>
          <cell r="N1810" t="str">
            <v>ĐÌNH VU</v>
          </cell>
          <cell r="O1810" t="str">
            <v>VZ-26/50104 +VZ-26/50104R +VZ-26/50104R-01</v>
          </cell>
          <cell r="P1810" t="str">
            <v>done</v>
          </cell>
          <cell r="Q1810" t="str">
            <v>308188236000
308188252800
308188250330
308188248930
308188244030
308188240310</v>
          </cell>
        </row>
        <row r="1811">
          <cell r="I1811" t="str">
            <v>SITU9236355</v>
          </cell>
          <cell r="J1811" t="str">
            <v>MẠNH
THÀNH KÉO VỀ</v>
          </cell>
          <cell r="K1811">
            <v>0.95833333333333337</v>
          </cell>
          <cell r="L1811" t="str">
            <v>TCKU7281180</v>
          </cell>
          <cell r="N1811" t="str">
            <v>ĐÌNH VU</v>
          </cell>
          <cell r="O1811" t="str">
            <v>VZ-26/50105 +VZ-26/50105R +VZ-26/50105R-01</v>
          </cell>
          <cell r="P1811" t="str">
            <v>done</v>
          </cell>
          <cell r="Q1811" t="str">
            <v>308188635220
308188634630
308188633930
308188633010
308188631020</v>
          </cell>
        </row>
        <row r="1812">
          <cell r="K1812">
            <v>4.1666666666666664E-2</v>
          </cell>
          <cell r="Q1812">
            <v>0</v>
          </cell>
        </row>
        <row r="1813">
          <cell r="I1813" t="str">
            <v>FFAU7513625</v>
          </cell>
          <cell r="J1813" t="str">
            <v>ĐỨC KÉO VỀ</v>
          </cell>
          <cell r="K1813">
            <v>0.33333333333333331</v>
          </cell>
          <cell r="N1813" t="str">
            <v>NAM ĐÌNH VŨ</v>
          </cell>
          <cell r="P1813" t="str">
            <v>done</v>
          </cell>
          <cell r="Q1813">
            <v>308187156230</v>
          </cell>
        </row>
        <row r="1814">
          <cell r="I1814" t="str">
            <v>TIIU5194095</v>
          </cell>
          <cell r="K1814">
            <v>0.41666666666666669</v>
          </cell>
          <cell r="Q1814">
            <v>0</v>
          </cell>
        </row>
        <row r="1815">
          <cell r="I1815" t="str">
            <v>CAAU4839213</v>
          </cell>
          <cell r="K1815">
            <v>0.54166666666666663</v>
          </cell>
          <cell r="Q1815">
            <v>0</v>
          </cell>
        </row>
        <row r="1816">
          <cell r="I1816" t="str">
            <v>TXGU8071966</v>
          </cell>
          <cell r="J1816" t="str">
            <v>THỊNH</v>
          </cell>
          <cell r="L1816" t="str">
            <v>CAAU4839213</v>
          </cell>
          <cell r="Q1816">
            <v>0</v>
          </cell>
        </row>
        <row r="1817">
          <cell r="I1817" t="str">
            <v>MRSU8049446</v>
          </cell>
          <cell r="J1817" t="str">
            <v>THÀNH</v>
          </cell>
          <cell r="K1817">
            <v>0.34375</v>
          </cell>
          <cell r="L1817" t="str">
            <v>GCXU5698725</v>
          </cell>
          <cell r="M1817" t="str">
            <v>TRI PHƯƠNG</v>
          </cell>
          <cell r="N1817" t="str">
            <v>HATECO HICT</v>
          </cell>
          <cell r="O1817" t="str">
            <v>VI-26/50618</v>
          </cell>
          <cell r="P1817" t="str">
            <v>done</v>
          </cell>
          <cell r="Q1817">
            <v>308184026750</v>
          </cell>
        </row>
        <row r="1818">
          <cell r="I1818" t="str">
            <v>HLBU2417960</v>
          </cell>
          <cell r="J1818" t="str">
            <v>ĐỨC</v>
          </cell>
          <cell r="K1818">
            <v>0.35416666666666669</v>
          </cell>
          <cell r="L1818" t="str">
            <v>SELU4095772</v>
          </cell>
          <cell r="M1818" t="str">
            <v>TRI PHƯƠNG</v>
          </cell>
          <cell r="N1818" t="str">
            <v>HATECO HICT</v>
          </cell>
          <cell r="O1818" t="str">
            <v>VI-26/50619</v>
          </cell>
          <cell r="Q1818">
            <v>0</v>
          </cell>
        </row>
        <row r="1819">
          <cell r="I1819" t="str">
            <v>SEKU4603644</v>
          </cell>
          <cell r="J1819" t="str">
            <v>SƠN</v>
          </cell>
          <cell r="K1819">
            <v>0.375</v>
          </cell>
          <cell r="L1819" t="str">
            <v>SEKU4603644</v>
          </cell>
          <cell r="M1819" t="str">
            <v>TRI PHƯƠNG</v>
          </cell>
          <cell r="N1819" t="str">
            <v>HATECO HICT</v>
          </cell>
          <cell r="O1819" t="str">
            <v>VI-26/50626</v>
          </cell>
          <cell r="P1819" t="str">
            <v>done</v>
          </cell>
          <cell r="Q1819">
            <v>308183913240</v>
          </cell>
        </row>
        <row r="1820">
          <cell r="I1820" t="str">
            <v>SELU4095772</v>
          </cell>
          <cell r="J1820" t="str">
            <v>HƯỜNG</v>
          </cell>
          <cell r="K1820">
            <v>0.39583333333333331</v>
          </cell>
          <cell r="L1820" t="str">
            <v>SELU4084021</v>
          </cell>
          <cell r="M1820" t="str">
            <v>TRI PHƯƠNG</v>
          </cell>
          <cell r="N1820" t="str">
            <v>HATECO HICT</v>
          </cell>
          <cell r="O1820" t="str">
            <v>VI-26/50627</v>
          </cell>
          <cell r="P1820" t="str">
            <v>done</v>
          </cell>
          <cell r="Q1820">
            <v>308183804040</v>
          </cell>
        </row>
        <row r="1821">
          <cell r="I1821" t="str">
            <v>FFAU5495348</v>
          </cell>
          <cell r="J1821" t="str">
            <v>THÀNH</v>
          </cell>
          <cell r="K1821">
            <v>0.4236111111111111</v>
          </cell>
          <cell r="L1821" t="str">
            <v>MRSU8049446</v>
          </cell>
          <cell r="M1821" t="str">
            <v>TRI PHƯƠNG</v>
          </cell>
          <cell r="N1821" t="str">
            <v>HATECO HICT</v>
          </cell>
          <cell r="O1821" t="str">
            <v>VI-26/50628</v>
          </cell>
          <cell r="P1821" t="str">
            <v>done</v>
          </cell>
          <cell r="Q1821">
            <v>308183822350</v>
          </cell>
        </row>
        <row r="1822">
          <cell r="I1822" t="str">
            <v>HAMU3175692</v>
          </cell>
          <cell r="J1822" t="str">
            <v>SÂM
THỊNH KÉO VỀ</v>
          </cell>
          <cell r="K1822">
            <v>0.45833333333333331</v>
          </cell>
          <cell r="L1822" t="str">
            <v>HLBU2417960</v>
          </cell>
          <cell r="N1822" t="str">
            <v>HATECO HICT</v>
          </cell>
          <cell r="O1822" t="str">
            <v>VI-26/50632</v>
          </cell>
          <cell r="P1822" t="str">
            <v>done</v>
          </cell>
          <cell r="Q1822">
            <v>308183739200</v>
          </cell>
        </row>
        <row r="1823">
          <cell r="I1823" t="str">
            <v>TGBU6661050</v>
          </cell>
          <cell r="J1823" t="str">
            <v>ĐỨC</v>
          </cell>
          <cell r="K1823">
            <v>0.60416666666666663</v>
          </cell>
          <cell r="L1823" t="str">
            <v>FFAU5495348</v>
          </cell>
          <cell r="M1823" t="str">
            <v>TRI PHƯƠNG</v>
          </cell>
          <cell r="N1823" t="str">
            <v>HATECO HICT</v>
          </cell>
          <cell r="O1823" t="str">
            <v>VI-26/50633</v>
          </cell>
          <cell r="P1823" t="str">
            <v>done</v>
          </cell>
          <cell r="Q1823">
            <v>308184313310</v>
          </cell>
        </row>
        <row r="1824">
          <cell r="I1824" t="str">
            <v>MRSU4821720</v>
          </cell>
          <cell r="J1824" t="str">
            <v>QUÂN</v>
          </cell>
          <cell r="K1824">
            <v>0.875</v>
          </cell>
          <cell r="L1824" t="str">
            <v>MRSU8485590</v>
          </cell>
          <cell r="M1824" t="str">
            <v>TRI PHƯƠNG</v>
          </cell>
          <cell r="N1824" t="str">
            <v>HATECO HICT</v>
          </cell>
          <cell r="O1824" t="str">
            <v>VI-26/50637</v>
          </cell>
          <cell r="P1824" t="str">
            <v>done</v>
          </cell>
          <cell r="Q1824">
            <v>308183759940</v>
          </cell>
        </row>
        <row r="1825">
          <cell r="I1825" t="str">
            <v>MRSU5638294</v>
          </cell>
          <cell r="J1825" t="str">
            <v>SÂM</v>
          </cell>
          <cell r="K1825">
            <v>0.88541666666666663</v>
          </cell>
          <cell r="L1825" t="str">
            <v>TGBU6661050</v>
          </cell>
          <cell r="M1825" t="str">
            <v>TRI PHƯƠNG</v>
          </cell>
          <cell r="N1825" t="str">
            <v>HATECO HICT</v>
          </cell>
          <cell r="O1825" t="str">
            <v>VI-26/50638</v>
          </cell>
          <cell r="P1825" t="str">
            <v>done</v>
          </cell>
          <cell r="Q1825">
            <v>308183848730</v>
          </cell>
        </row>
        <row r="1826">
          <cell r="I1826" t="str">
            <v>CAIU9645002</v>
          </cell>
          <cell r="J1826" t="str">
            <v>ĐỨC</v>
          </cell>
          <cell r="K1826">
            <v>7.2916666666666671E-2</v>
          </cell>
          <cell r="L1826" t="str">
            <v>MRSU5638294</v>
          </cell>
          <cell r="M1826" t="str">
            <v>TRI PHƯƠNG</v>
          </cell>
          <cell r="N1826" t="str">
            <v>HATECO HICT</v>
          </cell>
          <cell r="O1826" t="str">
            <v>VI-26/50644</v>
          </cell>
          <cell r="P1826" t="str">
            <v>done</v>
          </cell>
          <cell r="Q1826">
            <v>308183867410</v>
          </cell>
        </row>
        <row r="1827">
          <cell r="I1827" t="str">
            <v>UETU5929314</v>
          </cell>
          <cell r="J1827" t="str">
            <v>QUÂN</v>
          </cell>
          <cell r="K1827">
            <v>0.11458333333333333</v>
          </cell>
          <cell r="L1827" t="str">
            <v>UETU5929314</v>
          </cell>
          <cell r="M1827" t="str">
            <v>TRI PHƯƠNG</v>
          </cell>
          <cell r="N1827" t="str">
            <v>HATECO HICT</v>
          </cell>
          <cell r="O1827" t="str">
            <v>VI-26/50647</v>
          </cell>
          <cell r="P1827" t="str">
            <v>done</v>
          </cell>
          <cell r="Q1827">
            <v>308183886750</v>
          </cell>
        </row>
        <row r="1828">
          <cell r="I1828" t="str">
            <v>MRSU3059225</v>
          </cell>
          <cell r="J1828" t="str">
            <v>QUÂN
TÍN KÉO VỀ</v>
          </cell>
          <cell r="K1828">
            <v>4.1666666666666664E-2</v>
          </cell>
          <cell r="L1828" t="str">
            <v>MRSU7085290</v>
          </cell>
          <cell r="N1828" t="str">
            <v>HATECO HICT</v>
          </cell>
          <cell r="O1828" t="str">
            <v>VS-26/50116</v>
          </cell>
          <cell r="P1828" t="str">
            <v>done</v>
          </cell>
          <cell r="Q1828">
            <v>308184475600</v>
          </cell>
        </row>
        <row r="1829">
          <cell r="I1829" t="str">
            <v>MRSU6066090</v>
          </cell>
          <cell r="J1829" t="str">
            <v>PHƯƠNG</v>
          </cell>
          <cell r="K1829" t="str">
            <v>22:00</v>
          </cell>
          <cell r="L1829" t="str">
            <v>MRSU6066090</v>
          </cell>
          <cell r="M1829" t="str">
            <v>TRI PHƯƠNG</v>
          </cell>
          <cell r="N1829" t="str">
            <v>HATECO HICT</v>
          </cell>
          <cell r="P1829" t="str">
            <v>done</v>
          </cell>
          <cell r="Q1829">
            <v>308186848010</v>
          </cell>
        </row>
        <row r="1830">
          <cell r="I1830" t="str">
            <v>BSIU8155140</v>
          </cell>
          <cell r="J1830" t="str">
            <v>QUÂN</v>
          </cell>
          <cell r="K1830" t="str">
            <v>13:00</v>
          </cell>
          <cell r="L1830" t="str">
            <v>SZLU9632238</v>
          </cell>
          <cell r="M1830" t="str">
            <v>TRI PHƯƠNG</v>
          </cell>
          <cell r="N1830" t="str">
            <v>HATECO HICT</v>
          </cell>
          <cell r="P1830" t="str">
            <v>done</v>
          </cell>
          <cell r="Q1830">
            <v>308186826750</v>
          </cell>
        </row>
        <row r="1831">
          <cell r="I1831" t="str">
            <v>MRKU6241950</v>
          </cell>
          <cell r="J1831" t="str">
            <v>SƠN</v>
          </cell>
          <cell r="K1831" t="str">
            <v>10:00</v>
          </cell>
          <cell r="L1831" t="str">
            <v>CAAU9899771</v>
          </cell>
          <cell r="M1831" t="str">
            <v>TRI PHƯƠNG</v>
          </cell>
          <cell r="N1831" t="str">
            <v>HATECO HICT</v>
          </cell>
          <cell r="P1831" t="str">
            <v>done</v>
          </cell>
          <cell r="Q1831">
            <v>308187203500</v>
          </cell>
        </row>
        <row r="1832">
          <cell r="I1832" t="str">
            <v>MRSU8850183</v>
          </cell>
          <cell r="J1832" t="str">
            <v>MẠNH</v>
          </cell>
          <cell r="K1832" t="str">
            <v>8:00</v>
          </cell>
          <cell r="L1832" t="str">
            <v>MRSU8850183</v>
          </cell>
          <cell r="M1832" t="str">
            <v>TRI PHƯƠNG</v>
          </cell>
          <cell r="N1832" t="str">
            <v>HATECO HICT</v>
          </cell>
          <cell r="P1832" t="str">
            <v>done</v>
          </cell>
          <cell r="Q1832">
            <v>308187034210</v>
          </cell>
        </row>
        <row r="1833">
          <cell r="I1833" t="str">
            <v>FFAU6250458</v>
          </cell>
          <cell r="J1833" t="str">
            <v>QUÂN</v>
          </cell>
          <cell r="K1833" t="str">
            <v>9:00</v>
          </cell>
          <cell r="L1833" t="str">
            <v>FFAU6250458</v>
          </cell>
          <cell r="M1833" t="str">
            <v>TRI PHƯƠNG</v>
          </cell>
          <cell r="N1833" t="str">
            <v>HATECO HICT</v>
          </cell>
          <cell r="P1833" t="str">
            <v>done</v>
          </cell>
          <cell r="Q1833">
            <v>308187160320</v>
          </cell>
        </row>
        <row r="1834">
          <cell r="I1834" t="str">
            <v>MRSU5456561</v>
          </cell>
          <cell r="J1834" t="str">
            <v>PHƯƠNG</v>
          </cell>
          <cell r="K1834" t="str">
            <v>9:00</v>
          </cell>
          <cell r="L1834" t="str">
            <v>ONEU9148870</v>
          </cell>
          <cell r="M1834" t="str">
            <v>TRI PHƯƠNG</v>
          </cell>
          <cell r="N1834" t="str">
            <v>HATECO HICT</v>
          </cell>
          <cell r="P1834" t="str">
            <v>done</v>
          </cell>
          <cell r="Q1834">
            <v>308187229950</v>
          </cell>
        </row>
        <row r="1835">
          <cell r="I1835" t="str">
            <v>TCKU7281180</v>
          </cell>
          <cell r="J1835" t="str">
            <v>THÀNH</v>
          </cell>
          <cell r="K1835">
            <v>0.58333333333333337</v>
          </cell>
          <cell r="L1835" t="str">
            <v>MRSU5456561</v>
          </cell>
          <cell r="M1835" t="str">
            <v>TRI PHƯƠNG</v>
          </cell>
          <cell r="N1835" t="str">
            <v>HATECO HICT</v>
          </cell>
          <cell r="P1835" t="str">
            <v>done</v>
          </cell>
          <cell r="Q1835">
            <v>308187735720</v>
          </cell>
        </row>
        <row r="1836">
          <cell r="I1836" t="str">
            <v>SZLU9632238</v>
          </cell>
          <cell r="J1836" t="str">
            <v>HƯỜNG</v>
          </cell>
          <cell r="K1836" t="str">
            <v>8:00</v>
          </cell>
          <cell r="L1836" t="str">
            <v>CGMU7029605</v>
          </cell>
          <cell r="M1836" t="str">
            <v>TRI PHƯƠNG</v>
          </cell>
          <cell r="N1836" t="str">
            <v>TÂN VŨ</v>
          </cell>
          <cell r="Q1836">
            <v>0</v>
          </cell>
        </row>
        <row r="1837">
          <cell r="I1837" t="str">
            <v>CAAU4014167</v>
          </cell>
          <cell r="J1837" t="str">
            <v>MẠNH</v>
          </cell>
          <cell r="K1837" t="str">
            <v>11:00</v>
          </cell>
          <cell r="L1837" t="str">
            <v>TIIU5194095</v>
          </cell>
          <cell r="M1837" t="str">
            <v>TRI PHƯƠNG</v>
          </cell>
          <cell r="N1837" t="str">
            <v>TÂN VŨ</v>
          </cell>
          <cell r="Q1837">
            <v>0</v>
          </cell>
        </row>
        <row r="1838">
          <cell r="I1838" t="str">
            <v>SZLU9740382</v>
          </cell>
          <cell r="K1838" t="str">
            <v>14:00</v>
          </cell>
          <cell r="L1838" t="str">
            <v>MRKU6241950</v>
          </cell>
          <cell r="M1838" t="str">
            <v>TRI PHƯƠNG</v>
          </cell>
          <cell r="N1838" t="str">
            <v>LẠCH HUYỆN</v>
          </cell>
          <cell r="Q1838">
            <v>0</v>
          </cell>
        </row>
        <row r="1839">
          <cell r="I1839" t="str">
            <v>CGMU5646779</v>
          </cell>
          <cell r="K1839" t="str">
            <v>21:00</v>
          </cell>
          <cell r="L1839" t="str">
            <v>CGMU5646779</v>
          </cell>
          <cell r="M1839" t="str">
            <v>TRI PHƯƠNG</v>
          </cell>
          <cell r="N1839" t="str">
            <v>HATECO HICT</v>
          </cell>
          <cell r="Q1839">
            <v>0</v>
          </cell>
        </row>
        <row r="1840">
          <cell r="I1840" t="str">
            <v>OOCU8403235</v>
          </cell>
          <cell r="J1840" t="str">
            <v>SÂM</v>
          </cell>
          <cell r="K1840">
            <v>0.33333333333333331</v>
          </cell>
          <cell r="L1840" t="str">
            <v>MRSU7770226</v>
          </cell>
          <cell r="O1840" t="str">
            <v>HP</v>
          </cell>
          <cell r="Q1840">
            <v>0</v>
          </cell>
        </row>
        <row r="1841">
          <cell r="I1841" t="str">
            <v>TIIU4588854</v>
          </cell>
          <cell r="J1841" t="str">
            <v>HƯỜNG</v>
          </cell>
          <cell r="K1841">
            <v>0.58333333333333337</v>
          </cell>
          <cell r="L1841" t="str">
            <v>TGBU4551990</v>
          </cell>
          <cell r="O1841" t="str">
            <v>HP</v>
          </cell>
          <cell r="Q1841">
            <v>0</v>
          </cell>
        </row>
        <row r="1842">
          <cell r="I1842" t="str">
            <v>FFAU5287323</v>
          </cell>
          <cell r="J1842" t="str">
            <v>ĐỨC</v>
          </cell>
          <cell r="K1842">
            <v>0.875</v>
          </cell>
          <cell r="L1842" t="str">
            <v>SZLU9740382</v>
          </cell>
          <cell r="O1842" t="str">
            <v>HP</v>
          </cell>
          <cell r="Q1842">
            <v>0</v>
          </cell>
        </row>
        <row r="1843">
          <cell r="I1843" t="str">
            <v>FFAU7547688</v>
          </cell>
          <cell r="J1843" t="str">
            <v>PHƯƠNG</v>
          </cell>
          <cell r="K1843">
            <v>0.91666666666666663</v>
          </cell>
          <cell r="L1843" t="str">
            <v>ONEU9272325</v>
          </cell>
          <cell r="O1843" t="str">
            <v>HP</v>
          </cell>
          <cell r="Q1843">
            <v>0</v>
          </cell>
        </row>
        <row r="1844">
          <cell r="I1844" t="str">
            <v>TCNU1405544</v>
          </cell>
          <cell r="J1844" t="str">
            <v>HƯỜNG
KÉO VỀ</v>
          </cell>
          <cell r="K1844">
            <v>0.33333333333333331</v>
          </cell>
          <cell r="L1844" t="str">
            <v>TRHU6810142</v>
          </cell>
          <cell r="N1844" t="str">
            <v>NAM ĐÌNH VŨ</v>
          </cell>
          <cell r="O1844" t="str">
            <v>VH-26/50123</v>
          </cell>
          <cell r="P1844" t="str">
            <v>done</v>
          </cell>
          <cell r="Q1844">
            <v>308189669600</v>
          </cell>
        </row>
        <row r="1845">
          <cell r="I1845" t="str">
            <v>TRHU6810142</v>
          </cell>
          <cell r="J1845" t="str">
            <v>QUÂN</v>
          </cell>
          <cell r="K1845">
            <v>0.33333333333333331</v>
          </cell>
          <cell r="L1845" t="str">
            <v>TCNU5250013</v>
          </cell>
          <cell r="O1845" t="str">
            <v>VS-26/50118</v>
          </cell>
          <cell r="Q1845">
            <v>0</v>
          </cell>
        </row>
        <row r="1846">
          <cell r="I1846" t="str">
            <v>EGHU9777247</v>
          </cell>
          <cell r="J1846" t="str">
            <v>TÍN
QUÂN KÉO VỀ</v>
          </cell>
          <cell r="K1846">
            <v>0.33333333333333331</v>
          </cell>
          <cell r="L1846" t="str">
            <v>MRSU3059225</v>
          </cell>
          <cell r="N1846" t="str">
            <v>GIC</v>
          </cell>
          <cell r="O1846" t="str">
            <v>VH-26/50138</v>
          </cell>
          <cell r="P1846" t="str">
            <v>done</v>
          </cell>
          <cell r="Q1846">
            <v>308188076360</v>
          </cell>
        </row>
        <row r="1847">
          <cell r="I1847" t="str">
            <v>HMMU7026820</v>
          </cell>
          <cell r="J1847" t="str">
            <v>HƯNG
KÉO VỀ</v>
          </cell>
          <cell r="K1847">
            <v>0.54166666666666663</v>
          </cell>
          <cell r="L1847" t="str">
            <v>HMMU7026820</v>
          </cell>
          <cell r="N1847" t="str">
            <v>NAM HẢI ĐÌNH VŨ</v>
          </cell>
          <cell r="O1847" t="str">
            <v>VS-26/50105</v>
          </cell>
          <cell r="P1847" t="str">
            <v>done</v>
          </cell>
          <cell r="Q1847">
            <v>308188091320</v>
          </cell>
        </row>
        <row r="1848">
          <cell r="I1848" t="str">
            <v>EGSU6437150</v>
          </cell>
          <cell r="J1848" t="str">
            <v>QUÂN</v>
          </cell>
          <cell r="K1848">
            <v>0.54166666666666663</v>
          </cell>
          <cell r="L1848" t="str">
            <v>EGHU9777247</v>
          </cell>
          <cell r="N1848" t="str">
            <v>GIC</v>
          </cell>
          <cell r="O1848" t="str">
            <v>VH-26/50110</v>
          </cell>
          <cell r="Q1848">
            <v>308188050130</v>
          </cell>
        </row>
        <row r="1849">
          <cell r="I1849" t="str">
            <v>EGSU6455488</v>
          </cell>
          <cell r="J1849" t="str">
            <v>THAÀNH</v>
          </cell>
          <cell r="K1849">
            <v>0.54166666666666663</v>
          </cell>
          <cell r="L1849" t="str">
            <v>TRHU8044046</v>
          </cell>
          <cell r="N1849" t="str">
            <v>GIC</v>
          </cell>
          <cell r="O1849" t="str">
            <v>VH-26/50111</v>
          </cell>
          <cell r="Q1849">
            <v>308188062510</v>
          </cell>
        </row>
        <row r="1850">
          <cell r="I1850" t="str">
            <v>DRYU9904104</v>
          </cell>
          <cell r="J1850" t="str">
            <v>THÀNH</v>
          </cell>
          <cell r="K1850">
            <v>0.875</v>
          </cell>
          <cell r="L1850" t="str">
            <v>EGSU6455488</v>
          </cell>
          <cell r="N1850" t="str">
            <v>GIC</v>
          </cell>
          <cell r="O1850" t="str">
            <v>VH-26/50121</v>
          </cell>
          <cell r="Q1850">
            <v>0</v>
          </cell>
        </row>
        <row r="1851">
          <cell r="I1851" t="str">
            <v>EGSU6273631</v>
          </cell>
          <cell r="J1851" t="str">
            <v>PHƯƠNG</v>
          </cell>
          <cell r="K1851">
            <v>0.875</v>
          </cell>
          <cell r="L1851" t="str">
            <v>EGSU6437150</v>
          </cell>
          <cell r="N1851" t="str">
            <v>GIC</v>
          </cell>
          <cell r="O1851" t="str">
            <v>VH-26/50130</v>
          </cell>
          <cell r="Q1851">
            <v>0</v>
          </cell>
        </row>
        <row r="1852">
          <cell r="I1852" t="str">
            <v>TCNU1868554</v>
          </cell>
          <cell r="J1852" t="str">
            <v>THÀNH</v>
          </cell>
          <cell r="K1852">
            <v>6.25E-2</v>
          </cell>
          <cell r="L1852" t="str">
            <v>TCKU7028736</v>
          </cell>
          <cell r="Q1852">
            <v>0</v>
          </cell>
        </row>
        <row r="1853">
          <cell r="I1853" t="str">
            <v>UETU7484640</v>
          </cell>
          <cell r="J1853" t="str">
            <v>SƠN KÉO VỀ</v>
          </cell>
          <cell r="K1853">
            <v>0.41666666666666669</v>
          </cell>
          <cell r="N1853" t="str">
            <v>NAM ĐÌNH VŨ</v>
          </cell>
          <cell r="O1853" t="str">
            <v>VP-26/50271</v>
          </cell>
          <cell r="P1853" t="str">
            <v>done</v>
          </cell>
          <cell r="Q1853">
            <v>308190966110</v>
          </cell>
        </row>
        <row r="1854">
          <cell r="I1854" t="str">
            <v>FFAU7703292</v>
          </cell>
          <cell r="J1854" t="str">
            <v>THỊNH KÉO VỀ</v>
          </cell>
          <cell r="K1854">
            <v>0.41666666666666669</v>
          </cell>
          <cell r="N1854" t="str">
            <v>NAM ĐÌNH VŨ</v>
          </cell>
          <cell r="O1854" t="str">
            <v>VP-2650363</v>
          </cell>
          <cell r="P1854" t="str">
            <v>done</v>
          </cell>
          <cell r="Q1854">
            <v>308190989320</v>
          </cell>
        </row>
        <row r="1855">
          <cell r="I1855" t="str">
            <v>CMAU5213662</v>
          </cell>
          <cell r="J1855" t="str">
            <v>RU ANH KIỆT</v>
          </cell>
          <cell r="N1855" t="str">
            <v>LẠCH HUYỆN</v>
          </cell>
          <cell r="P1855" t="str">
            <v>done</v>
          </cell>
          <cell r="Q1855">
            <v>308190078840</v>
          </cell>
        </row>
        <row r="1856">
          <cell r="I1856" t="str">
            <v>MRSU7770226</v>
          </cell>
          <cell r="J1856" t="str">
            <v>DĐỨC</v>
          </cell>
          <cell r="K1856" t="str">
            <v>9:00</v>
          </cell>
          <cell r="L1856" t="str">
            <v>FBIU5252852</v>
          </cell>
          <cell r="M1856" t="str">
            <v>TRI PHƯƠNG</v>
          </cell>
          <cell r="N1856" t="str">
            <v>HATECO HICT</v>
          </cell>
          <cell r="Q1856">
            <v>308190392110</v>
          </cell>
        </row>
        <row r="1857">
          <cell r="I1857" t="str">
            <v>MRSU8456652</v>
          </cell>
          <cell r="J1857" t="str">
            <v>THỊNH</v>
          </cell>
          <cell r="K1857" t="str">
            <v>9:00</v>
          </cell>
          <cell r="L1857" t="str">
            <v>ONEU9279778</v>
          </cell>
          <cell r="M1857" t="str">
            <v>TRI PHƯƠNG</v>
          </cell>
          <cell r="N1857" t="str">
            <v>HATECO HICT</v>
          </cell>
          <cell r="P1857" t="str">
            <v>done</v>
          </cell>
          <cell r="Q1857">
            <v>308218628600</v>
          </cell>
        </row>
        <row r="1858">
          <cell r="I1858" t="str">
            <v>CAAU8496555</v>
          </cell>
          <cell r="J1858" t="str">
            <v>ĐỨC
HƯỜNG KÉO VỀ</v>
          </cell>
          <cell r="K1858">
            <v>0.875</v>
          </cell>
          <cell r="N1858" t="str">
            <v>HATECO HICT</v>
          </cell>
          <cell r="O1858" t="str">
            <v>VR-26/50251</v>
          </cell>
          <cell r="P1858" t="str">
            <v>done</v>
          </cell>
          <cell r="Q1858">
            <v>308192494910</v>
          </cell>
        </row>
        <row r="1859">
          <cell r="K1859" t="str">
            <v>22:00</v>
          </cell>
          <cell r="M1859" t="str">
            <v>TRI PHƯƠNG</v>
          </cell>
          <cell r="N1859" t="str">
            <v>HATECO HICT</v>
          </cell>
          <cell r="Q1859">
            <v>0</v>
          </cell>
        </row>
        <row r="1860">
          <cell r="I1860" t="str">
            <v>CAAU4983832</v>
          </cell>
          <cell r="J1860" t="str">
            <v>THI
MẠNH KÉO VỀ</v>
          </cell>
          <cell r="K1860">
            <v>0.33333333333333331</v>
          </cell>
          <cell r="L1860" t="str">
            <v>CAIU9645002</v>
          </cell>
          <cell r="N1860" t="str">
            <v>HATECO HICT</v>
          </cell>
          <cell r="P1860" t="str">
            <v>done</v>
          </cell>
          <cell r="Q1860">
            <v>308189175840</v>
          </cell>
        </row>
        <row r="1861">
          <cell r="I1861" t="str">
            <v>MSKU1892334</v>
          </cell>
          <cell r="J1861" t="str">
            <v>THÀNH</v>
          </cell>
          <cell r="K1861">
            <v>0.35416666666666669</v>
          </cell>
          <cell r="L1861" t="str">
            <v>MRSU4821720</v>
          </cell>
          <cell r="M1861" t="str">
            <v>TRI PHƯƠNG</v>
          </cell>
          <cell r="N1861" t="str">
            <v>HATECO HICT</v>
          </cell>
          <cell r="O1861" t="str">
            <v>VI-26/50658</v>
          </cell>
          <cell r="P1861" t="str">
            <v>done</v>
          </cell>
          <cell r="Q1861">
            <v>308189278960</v>
          </cell>
        </row>
        <row r="1862">
          <cell r="I1862" t="str">
            <v>MRSU7249080</v>
          </cell>
          <cell r="J1862" t="str">
            <v>PHƯƠNG</v>
          </cell>
          <cell r="K1862">
            <v>0.4236111111111111</v>
          </cell>
          <cell r="L1862" t="str">
            <v>FFAU6673505</v>
          </cell>
          <cell r="M1862" t="str">
            <v>TRI PHƯƠNG</v>
          </cell>
          <cell r="N1862" t="str">
            <v>HATECO HICT</v>
          </cell>
          <cell r="O1862" t="str">
            <v>VI-26/50662</v>
          </cell>
          <cell r="P1862" t="str">
            <v>done</v>
          </cell>
          <cell r="Q1862">
            <v>308189322510</v>
          </cell>
        </row>
        <row r="1863">
          <cell r="I1863" t="str">
            <v>TCKU6650621</v>
          </cell>
          <cell r="J1863" t="str">
            <v>MẠNH</v>
          </cell>
          <cell r="K1863">
            <v>0.53125</v>
          </cell>
          <cell r="L1863" t="str">
            <v>CAAU4983832</v>
          </cell>
          <cell r="M1863" t="str">
            <v>TRI PHƯƠNG</v>
          </cell>
          <cell r="N1863" t="str">
            <v>HATECO HICT</v>
          </cell>
          <cell r="O1863" t="str">
            <v>VI-26/50668</v>
          </cell>
          <cell r="P1863" t="str">
            <v>done</v>
          </cell>
          <cell r="Q1863">
            <v>308189290310</v>
          </cell>
        </row>
        <row r="1864">
          <cell r="I1864" t="str">
            <v>MRSU6853265</v>
          </cell>
          <cell r="J1864" t="str">
            <v>SƠN</v>
          </cell>
          <cell r="K1864">
            <v>0.875</v>
          </cell>
          <cell r="L1864" t="str">
            <v>MSKU1892334</v>
          </cell>
          <cell r="M1864" t="str">
            <v>TRI PHƯƠNG</v>
          </cell>
          <cell r="N1864" t="str">
            <v>HATECO HICT</v>
          </cell>
          <cell r="O1864" t="str">
            <v>VI-26/50617</v>
          </cell>
          <cell r="P1864" t="str">
            <v>done</v>
          </cell>
          <cell r="Q1864">
            <v>308184003540</v>
          </cell>
        </row>
        <row r="1865">
          <cell r="I1865" t="str">
            <v>MRSU3774542</v>
          </cell>
          <cell r="J1865" t="str">
            <v>TÍN</v>
          </cell>
          <cell r="K1865">
            <v>0.10416666666666667</v>
          </cell>
          <cell r="M1865" t="str">
            <v>TRI PHƯƠNG</v>
          </cell>
          <cell r="N1865" t="str">
            <v>HATECO HICT</v>
          </cell>
          <cell r="O1865" t="str">
            <v>VI-26/50688</v>
          </cell>
          <cell r="P1865" t="str">
            <v>done</v>
          </cell>
          <cell r="Q1865">
            <v>308189260910</v>
          </cell>
        </row>
        <row r="1866">
          <cell r="I1866" t="str">
            <v>TCKU7028736</v>
          </cell>
          <cell r="J1866" t="str">
            <v>SÂM</v>
          </cell>
          <cell r="K1866">
            <v>0.14583333333333334</v>
          </cell>
          <cell r="M1866" t="str">
            <v>TRI PHƯƠNG</v>
          </cell>
          <cell r="N1866" t="str">
            <v>HATECO HICT</v>
          </cell>
          <cell r="O1866" t="str">
            <v>VI-26/50691</v>
          </cell>
          <cell r="P1866" t="str">
            <v>done</v>
          </cell>
          <cell r="Q1866">
            <v>308189297640</v>
          </cell>
        </row>
        <row r="1867">
          <cell r="I1867" t="str">
            <v>CGMU5698290</v>
          </cell>
          <cell r="J1867" t="str">
            <v>ĐỨC
THÀNH KÉO VỀ</v>
          </cell>
          <cell r="K1867" t="str">
            <v>15:00</v>
          </cell>
          <cell r="L1867" t="str">
            <v>TXGU8071966</v>
          </cell>
          <cell r="N1867" t="str">
            <v>HATECO HICT</v>
          </cell>
          <cell r="P1867" t="str">
            <v>done</v>
          </cell>
          <cell r="Q1867">
            <v>308191737840</v>
          </cell>
        </row>
        <row r="1868">
          <cell r="I1868" t="str">
            <v>CXRU1278964</v>
          </cell>
          <cell r="J1868" t="str">
            <v>HƯỜNG
PHƯƠNG KÉO VỀ</v>
          </cell>
          <cell r="K1868" t="str">
            <v>10:00</v>
          </cell>
          <cell r="L1868" t="str">
            <v>EITU1217400</v>
          </cell>
          <cell r="N1868" t="str">
            <v>HATECO HICT</v>
          </cell>
          <cell r="P1868" t="str">
            <v>done</v>
          </cell>
          <cell r="Q1868">
            <v>308191754750</v>
          </cell>
        </row>
        <row r="1869">
          <cell r="I1869" t="str">
            <v>CGMU5826111</v>
          </cell>
          <cell r="J1869" t="str">
            <v>SÂM</v>
          </cell>
          <cell r="K1869" t="str">
            <v>8:00</v>
          </cell>
          <cell r="L1869" t="str">
            <v>EGHU9838342</v>
          </cell>
          <cell r="M1869" t="str">
            <v>TRI PHƯƠNG</v>
          </cell>
          <cell r="N1869" t="str">
            <v>TÂN VŨ</v>
          </cell>
          <cell r="Q1869">
            <v>0</v>
          </cell>
        </row>
        <row r="1870">
          <cell r="I1870" t="str">
            <v>SEGU9331570</v>
          </cell>
          <cell r="J1870" t="str">
            <v>THỊNH</v>
          </cell>
          <cell r="K1870" t="str">
            <v>8:00</v>
          </cell>
          <cell r="L1870" t="str">
            <v>CAAU9115479</v>
          </cell>
          <cell r="M1870" t="str">
            <v>TRI PHƯƠNG</v>
          </cell>
          <cell r="N1870" t="str">
            <v>TÂN VŨ</v>
          </cell>
          <cell r="Q1870">
            <v>0</v>
          </cell>
        </row>
        <row r="1871">
          <cell r="I1871" t="str">
            <v>FBIU5252852</v>
          </cell>
          <cell r="J1871" t="str">
            <v>MẠNH</v>
          </cell>
          <cell r="K1871" t="str">
            <v>9:00</v>
          </cell>
          <cell r="L1871" t="str">
            <v>CAAU4014167</v>
          </cell>
          <cell r="M1871" t="str">
            <v>TRI PHƯƠNG</v>
          </cell>
          <cell r="N1871" t="str">
            <v>TÂN VŨ</v>
          </cell>
          <cell r="Q1871">
            <v>0</v>
          </cell>
        </row>
        <row r="1872">
          <cell r="I1872" t="str">
            <v>ONEU9279778</v>
          </cell>
          <cell r="J1872" t="str">
            <v>THÀNH</v>
          </cell>
          <cell r="K1872" t="str">
            <v>9:00</v>
          </cell>
          <cell r="L1872" t="str">
            <v>FFAU4484992</v>
          </cell>
          <cell r="M1872" t="str">
            <v>TRI PHƯƠNG</v>
          </cell>
          <cell r="N1872" t="str">
            <v>NAM HẢI ĐÌNH VŨ</v>
          </cell>
          <cell r="Q1872">
            <v>0</v>
          </cell>
        </row>
        <row r="1873">
          <cell r="I1873" t="str">
            <v>OTPU6399239</v>
          </cell>
          <cell r="J1873" t="str">
            <v>THI</v>
          </cell>
          <cell r="K1873" t="str">
            <v>11:00</v>
          </cell>
          <cell r="L1873" t="str">
            <v>FFAU5287323</v>
          </cell>
          <cell r="M1873" t="str">
            <v>TRI PHƯƠNG</v>
          </cell>
          <cell r="N1873" t="str">
            <v>NAM HẢI ĐÌNH VŨ</v>
          </cell>
          <cell r="Q1873">
            <v>0</v>
          </cell>
        </row>
        <row r="1874">
          <cell r="I1874" t="str">
            <v>SEKU9260070</v>
          </cell>
          <cell r="J1874" t="str">
            <v>PHƯƠNG</v>
          </cell>
          <cell r="K1874" t="str">
            <v>11:00</v>
          </cell>
          <cell r="L1874" t="str">
            <v>CXRU1278964</v>
          </cell>
          <cell r="M1874" t="str">
            <v>TRI PHƯƠNG</v>
          </cell>
          <cell r="N1874" t="str">
            <v>LẠCH HUYỆN</v>
          </cell>
          <cell r="Q1874">
            <v>0</v>
          </cell>
        </row>
        <row r="1875">
          <cell r="I1875" t="str">
            <v>CGMU7029101</v>
          </cell>
          <cell r="J1875" t="str">
            <v>SƠN</v>
          </cell>
          <cell r="K1875" t="str">
            <v>13:00</v>
          </cell>
          <cell r="L1875" t="str">
            <v>SEKU9260070</v>
          </cell>
          <cell r="M1875" t="str">
            <v>TRI PHƯƠNG</v>
          </cell>
          <cell r="N1875" t="str">
            <v>TÂN VŨ</v>
          </cell>
          <cell r="Q1875">
            <v>0</v>
          </cell>
        </row>
        <row r="1876">
          <cell r="I1876" t="str">
            <v>ONEU9272325</v>
          </cell>
          <cell r="K1876" t="str">
            <v>14:00</v>
          </cell>
          <cell r="M1876" t="str">
            <v>TRI PHƯƠNG</v>
          </cell>
          <cell r="N1876" t="str">
            <v>LẠCH HUYỆN</v>
          </cell>
          <cell r="Q1876">
            <v>0</v>
          </cell>
        </row>
        <row r="1877">
          <cell r="I1877" t="str">
            <v>CGMU5637904</v>
          </cell>
          <cell r="K1877" t="str">
            <v>15:00</v>
          </cell>
          <cell r="M1877" t="str">
            <v>TRI PHƯƠNG</v>
          </cell>
          <cell r="N1877" t="str">
            <v>TÂN VŨ</v>
          </cell>
          <cell r="Q1877">
            <v>0</v>
          </cell>
        </row>
        <row r="1878">
          <cell r="I1878" t="str">
            <v>FSCU5863364</v>
          </cell>
          <cell r="K1878" t="str">
            <v>15:00</v>
          </cell>
          <cell r="M1878" t="str">
            <v>TRI PHƯƠNG</v>
          </cell>
          <cell r="N1878" t="str">
            <v>LẠCH HUYỆN</v>
          </cell>
          <cell r="Q1878">
            <v>0</v>
          </cell>
        </row>
        <row r="1879">
          <cell r="I1879" t="str">
            <v>ONEU9025027</v>
          </cell>
          <cell r="K1879" t="str">
            <v>21:00</v>
          </cell>
          <cell r="M1879" t="str">
            <v>TRI PHƯƠNG</v>
          </cell>
          <cell r="N1879" t="str">
            <v>LẠCH HUYỆN</v>
          </cell>
          <cell r="Q1879">
            <v>0</v>
          </cell>
        </row>
        <row r="1880">
          <cell r="I1880" t="str">
            <v>ONEU9045893</v>
          </cell>
          <cell r="K1880" t="str">
            <v>22:00</v>
          </cell>
          <cell r="M1880" t="str">
            <v>TRI PHƯƠNG</v>
          </cell>
          <cell r="N1880" t="str">
            <v>NAM HẢI ĐÌNH VŨ</v>
          </cell>
          <cell r="Q1880">
            <v>0</v>
          </cell>
        </row>
        <row r="1881">
          <cell r="I1881" t="str">
            <v>OTPU6384497</v>
          </cell>
          <cell r="K1881" t="str">
            <v>23:00</v>
          </cell>
          <cell r="M1881" t="str">
            <v>TRI PHƯƠNG</v>
          </cell>
          <cell r="N1881" t="str">
            <v>LẠCH HUYỆN</v>
          </cell>
          <cell r="Q1881">
            <v>0</v>
          </cell>
        </row>
        <row r="1882">
          <cell r="I1882" t="str">
            <v>SEGU9894430</v>
          </cell>
          <cell r="K1882" t="str">
            <v>0:00</v>
          </cell>
          <cell r="M1882" t="str">
            <v>TRI PHƯƠNG</v>
          </cell>
          <cell r="N1882" t="str">
            <v>LẠCH HUYỆN</v>
          </cell>
          <cell r="Q1882">
            <v>0</v>
          </cell>
        </row>
        <row r="1883">
          <cell r="I1883" t="str">
            <v>TEMU6989585</v>
          </cell>
          <cell r="J1883" t="str">
            <v>THI</v>
          </cell>
          <cell r="K1883">
            <v>0.33333333333333331</v>
          </cell>
          <cell r="L1883" t="str">
            <v>MSDU6494894</v>
          </cell>
          <cell r="O1883" t="str">
            <v>VH-26/50145</v>
          </cell>
          <cell r="Q1883">
            <v>0</v>
          </cell>
        </row>
        <row r="1884">
          <cell r="I1884" t="str">
            <v>NYKU4835877</v>
          </cell>
          <cell r="K1884">
            <v>0.33333333333333331</v>
          </cell>
          <cell r="O1884" t="str">
            <v>VH-26/50146</v>
          </cell>
          <cell r="Q1884">
            <v>0</v>
          </cell>
        </row>
        <row r="1885">
          <cell r="I1885" t="str">
            <v>EGSU6416820</v>
          </cell>
          <cell r="J1885" t="str">
            <v>QUÂN</v>
          </cell>
          <cell r="K1885">
            <v>0.54166666666666663</v>
          </cell>
          <cell r="L1885" t="str">
            <v>DRYU9904104</v>
          </cell>
          <cell r="O1885" t="str">
            <v>VS-26/50125</v>
          </cell>
          <cell r="Q1885">
            <v>0</v>
          </cell>
        </row>
        <row r="1886">
          <cell r="I1886" t="str">
            <v>GCXU6443400</v>
          </cell>
          <cell r="J1886" t="str">
            <v>VINH
KÉO VỀ</v>
          </cell>
          <cell r="L1886" t="str">
            <v>GCXU6443400</v>
          </cell>
          <cell r="N1886" t="str">
            <v>GIC</v>
          </cell>
          <cell r="O1886" t="str">
            <v>VH-26/50144</v>
          </cell>
          <cell r="P1886" t="str">
            <v>done</v>
          </cell>
          <cell r="Q1886">
            <v>308193111610</v>
          </cell>
        </row>
        <row r="1887">
          <cell r="I1887" t="str">
            <v>FFAU6224905</v>
          </cell>
          <cell r="J1887" t="str">
            <v>HƯỜNG</v>
          </cell>
          <cell r="K1887">
            <v>0.33333333333333331</v>
          </cell>
          <cell r="L1887" t="str">
            <v>MRKU4813281</v>
          </cell>
          <cell r="O1887" t="str">
            <v>VI-26/50687</v>
          </cell>
          <cell r="Q1887">
            <v>0</v>
          </cell>
        </row>
        <row r="1888">
          <cell r="I1888" t="str">
            <v>TCNU1028353</v>
          </cell>
          <cell r="J1888" t="str">
            <v>THỊNH</v>
          </cell>
          <cell r="K1888">
            <v>0.58333333333333337</v>
          </cell>
          <cell r="L1888" t="str">
            <v>MRSU3774542</v>
          </cell>
          <cell r="O1888" t="str">
            <v>VI-26/50729</v>
          </cell>
          <cell r="Q1888">
            <v>0</v>
          </cell>
        </row>
        <row r="1889">
          <cell r="I1889" t="str">
            <v>NYKU0828083</v>
          </cell>
          <cell r="J1889" t="str">
            <v>MẠNH</v>
          </cell>
          <cell r="K1889">
            <v>0.10416666666666667</v>
          </cell>
          <cell r="L1889" t="str">
            <v>MSKU1732779</v>
          </cell>
          <cell r="O1889" t="str">
            <v>VI-26/50721</v>
          </cell>
          <cell r="Q1889">
            <v>0</v>
          </cell>
        </row>
        <row r="1890">
          <cell r="I1890" t="str">
            <v>CAAU9609173</v>
          </cell>
          <cell r="J1890" t="str">
            <v>THI</v>
          </cell>
          <cell r="K1890" t="str">
            <v>8:00</v>
          </cell>
          <cell r="L1890" t="str">
            <v>SEGU9894430</v>
          </cell>
          <cell r="O1890" t="str">
            <v>HP</v>
          </cell>
          <cell r="Q1890">
            <v>0</v>
          </cell>
        </row>
        <row r="1891">
          <cell r="I1891" t="str">
            <v>EGSU1815811</v>
          </cell>
          <cell r="J1891" t="str">
            <v>MẠNH</v>
          </cell>
          <cell r="K1891">
            <v>0.54166666666666663</v>
          </cell>
          <cell r="L1891" t="str">
            <v>ONEU9045893</v>
          </cell>
          <cell r="O1891" t="str">
            <v>RTB-26/0033</v>
          </cell>
          <cell r="Q1891">
            <v>0</v>
          </cell>
        </row>
        <row r="1892">
          <cell r="I1892" t="str">
            <v>FFAU7038171</v>
          </cell>
          <cell r="J1892" t="str">
            <v>QUÂN</v>
          </cell>
          <cell r="K1892" t="str">
            <v>15:00</v>
          </cell>
          <cell r="L1892" t="str">
            <v>CGMU5637904</v>
          </cell>
          <cell r="O1892" t="str">
            <v>HP</v>
          </cell>
          <cell r="Q1892">
            <v>0</v>
          </cell>
        </row>
        <row r="1893">
          <cell r="I1893" t="str">
            <v>TCNU5295173</v>
          </cell>
          <cell r="J1893" t="str">
            <v>THÀNH</v>
          </cell>
          <cell r="K1893" t="str">
            <v>21:00</v>
          </cell>
          <cell r="L1893" t="str">
            <v>CGMU7029101</v>
          </cell>
          <cell r="O1893" t="str">
            <v>HP</v>
          </cell>
          <cell r="Q1893">
            <v>0</v>
          </cell>
        </row>
        <row r="1894">
          <cell r="I1894" t="str">
            <v>EGSU6030415</v>
          </cell>
          <cell r="J1894" t="str">
            <v>HƯỜNG</v>
          </cell>
          <cell r="K1894" t="str">
            <v>21:00</v>
          </cell>
          <cell r="L1894" t="str">
            <v>EGSU1734221</v>
          </cell>
          <cell r="O1894" t="str">
            <v>HP</v>
          </cell>
          <cell r="Q1894">
            <v>0</v>
          </cell>
        </row>
        <row r="1895">
          <cell r="I1895" t="str">
            <v>TIIU6560049</v>
          </cell>
          <cell r="J1895" t="str">
            <v>SÂM</v>
          </cell>
          <cell r="K1895" t="str">
            <v>21:00</v>
          </cell>
          <cell r="L1895" t="str">
            <v>SEGU9331570</v>
          </cell>
          <cell r="O1895" t="str">
            <v>HP</v>
          </cell>
          <cell r="Q1895">
            <v>0</v>
          </cell>
        </row>
        <row r="1896">
          <cell r="I1896" t="str">
            <v>FFAU7252250</v>
          </cell>
          <cell r="J1896" t="str">
            <v>PHƯƠNG</v>
          </cell>
          <cell r="K1896" t="str">
            <v>22:00</v>
          </cell>
          <cell r="L1896" t="str">
            <v>FFAU7038171</v>
          </cell>
          <cell r="O1896" t="str">
            <v>HP</v>
          </cell>
          <cell r="Q1896">
            <v>0</v>
          </cell>
        </row>
        <row r="1897">
          <cell r="I1897" t="str">
            <v>EITU9561325</v>
          </cell>
          <cell r="J1897" t="str">
            <v>SƠN</v>
          </cell>
          <cell r="K1897">
            <v>0</v>
          </cell>
          <cell r="L1897" t="str">
            <v>TCNU5295173</v>
          </cell>
          <cell r="O1897" t="str">
            <v>RTB-26/0034</v>
          </cell>
          <cell r="Q1897">
            <v>0</v>
          </cell>
        </row>
        <row r="1898">
          <cell r="I1898" t="str">
            <v>ECMU5191648</v>
          </cell>
          <cell r="J1898" t="str">
            <v>HƯỜNG</v>
          </cell>
          <cell r="K1898">
            <v>8.3333333333333329E-2</v>
          </cell>
          <cell r="L1898" t="str">
            <v>FFAU7252250</v>
          </cell>
          <cell r="Q1898">
            <v>0</v>
          </cell>
        </row>
        <row r="1899">
          <cell r="I1899" t="str">
            <v>OOLU6818630</v>
          </cell>
          <cell r="J1899" t="str">
            <v>TRỌNG
KÉO VỀ</v>
          </cell>
          <cell r="K1899">
            <v>0.54166666666666663</v>
          </cell>
          <cell r="L1899" t="str">
            <v>OOLU6818630</v>
          </cell>
          <cell r="N1899" t="str">
            <v>TÂN VŨ</v>
          </cell>
          <cell r="P1899" t="str">
            <v>done</v>
          </cell>
          <cell r="Q1899">
            <v>308195232720</v>
          </cell>
        </row>
        <row r="1900">
          <cell r="I1900" t="str">
            <v>OOLU9739489</v>
          </cell>
          <cell r="J1900" t="str">
            <v>HƯNG
KÉO VỀ</v>
          </cell>
          <cell r="K1900">
            <v>0.625</v>
          </cell>
          <cell r="L1900" t="str">
            <v>OOLU9739489</v>
          </cell>
          <cell r="N1900" t="str">
            <v>TÂN VŨ</v>
          </cell>
          <cell r="P1900" t="str">
            <v>done</v>
          </cell>
          <cell r="Q1900">
            <v>308195272140</v>
          </cell>
        </row>
        <row r="1901">
          <cell r="I1901" t="str">
            <v>HASU5087247</v>
          </cell>
          <cell r="J1901" t="str">
            <v>SÂM</v>
          </cell>
          <cell r="K1901">
            <v>0.35416666666666669</v>
          </cell>
          <cell r="L1901" t="str">
            <v>MRSU6853265</v>
          </cell>
          <cell r="M1901" t="str">
            <v>TRI PHƯƠNG</v>
          </cell>
          <cell r="N1901" t="str">
            <v>HATECO HICT</v>
          </cell>
          <cell r="O1901" t="str">
            <v>VI-26/50722</v>
          </cell>
          <cell r="P1901" t="str">
            <v>done</v>
          </cell>
          <cell r="Q1901">
            <v>308193982520</v>
          </cell>
        </row>
        <row r="1902">
          <cell r="I1902" t="str">
            <v>MRKU4813281</v>
          </cell>
          <cell r="J1902" t="str">
            <v>QUÂN</v>
          </cell>
          <cell r="K1902">
            <v>0.39583333333333331</v>
          </cell>
          <cell r="L1902" t="str">
            <v>TCNU1868554</v>
          </cell>
          <cell r="M1902" t="str">
            <v>TRI PHƯƠNG</v>
          </cell>
          <cell r="N1902" t="str">
            <v>HATECO HICT</v>
          </cell>
          <cell r="O1902" t="str">
            <v>VI-26/50726</v>
          </cell>
          <cell r="P1902" t="str">
            <v>done</v>
          </cell>
          <cell r="Q1902">
            <v>308194125800</v>
          </cell>
        </row>
        <row r="1903">
          <cell r="I1903" t="str">
            <v>MSKU1732779</v>
          </cell>
          <cell r="J1903" t="str">
            <v>PHƯƠNG</v>
          </cell>
          <cell r="K1903">
            <v>0.45833333333333331</v>
          </cell>
          <cell r="L1903" t="str">
            <v>HASU5087247</v>
          </cell>
          <cell r="M1903" t="str">
            <v>TRI PHƯƠNG</v>
          </cell>
          <cell r="N1903" t="str">
            <v>HATECO HICT</v>
          </cell>
          <cell r="O1903" t="str">
            <v>VI-26/50701</v>
          </cell>
          <cell r="P1903" t="str">
            <v>done</v>
          </cell>
          <cell r="Q1903">
            <v>308193917160</v>
          </cell>
        </row>
        <row r="1904">
          <cell r="I1904" t="str">
            <v>MRSU8150451</v>
          </cell>
          <cell r="J1904" t="str">
            <v>RU TRƯỜNG NHÂN PHÁT</v>
          </cell>
          <cell r="K1904">
            <v>0.875</v>
          </cell>
          <cell r="L1904" t="str">
            <v>MRSU8150451</v>
          </cell>
          <cell r="N1904" t="str">
            <v>HATECO HICT</v>
          </cell>
          <cell r="O1904" t="str">
            <v>VI-26/50696</v>
          </cell>
          <cell r="P1904" t="str">
            <v>done</v>
          </cell>
          <cell r="Q1904">
            <v>308193946230</v>
          </cell>
        </row>
        <row r="1905">
          <cell r="I1905" t="str">
            <v>TRHU5301011</v>
          </cell>
          <cell r="J1905" t="str">
            <v>SÂM</v>
          </cell>
          <cell r="K1905">
            <v>0.91666666666666663</v>
          </cell>
          <cell r="L1905" t="str">
            <v>FFAU6224905</v>
          </cell>
          <cell r="M1905" t="str">
            <v>TRI PHƯƠNG</v>
          </cell>
          <cell r="N1905" t="str">
            <v>HATECO HICT</v>
          </cell>
          <cell r="O1905" t="str">
            <v>VI-26/50715</v>
          </cell>
          <cell r="P1905" t="str">
            <v>done</v>
          </cell>
          <cell r="Q1905">
            <v>308194003850</v>
          </cell>
        </row>
        <row r="1906">
          <cell r="I1906" t="str">
            <v>TIIU5579461</v>
          </cell>
          <cell r="J1906" t="str">
            <v>RU TRƯỜNG NHÂN PHÁT</v>
          </cell>
          <cell r="K1906">
            <v>0.95833333333333337</v>
          </cell>
          <cell r="L1906" t="str">
            <v>TIIU5579461</v>
          </cell>
          <cell r="N1906" t="str">
            <v>HATECO HICT</v>
          </cell>
          <cell r="O1906" t="str">
            <v>VI-26/50702</v>
          </cell>
          <cell r="P1906" t="str">
            <v>done</v>
          </cell>
          <cell r="Q1906">
            <v>308194052260</v>
          </cell>
        </row>
        <row r="1907">
          <cell r="I1907" t="str">
            <v>MRSU5072714</v>
          </cell>
          <cell r="J1907" t="str">
            <v xml:space="preserve">RU DIỆP LÂM ANH </v>
          </cell>
          <cell r="K1907">
            <v>0.97916666666666663</v>
          </cell>
          <cell r="L1907" t="str">
            <v>MRSU5072714</v>
          </cell>
          <cell r="N1907" t="str">
            <v>HATECO HICT</v>
          </cell>
          <cell r="O1907" t="str">
            <v>VI-26/50697</v>
          </cell>
          <cell r="P1907" t="str">
            <v>done</v>
          </cell>
          <cell r="Q1907">
            <v>308194027650</v>
          </cell>
        </row>
        <row r="1908">
          <cell r="I1908" t="str">
            <v>MRSU4808903</v>
          </cell>
          <cell r="J1908" t="str">
            <v>THỊNH</v>
          </cell>
          <cell r="K1908">
            <v>0.97916666666666663</v>
          </cell>
          <cell r="L1908" t="str">
            <v>MRSU4808903</v>
          </cell>
          <cell r="M1908" t="str">
            <v>TRI PHƯƠNG</v>
          </cell>
          <cell r="N1908" t="str">
            <v>HATECO HICT</v>
          </cell>
          <cell r="O1908" t="str">
            <v>VI-26/50699</v>
          </cell>
          <cell r="P1908" t="str">
            <v>done</v>
          </cell>
          <cell r="Q1908">
            <v>308193963730</v>
          </cell>
        </row>
        <row r="1909">
          <cell r="I1909" t="str">
            <v>UETU6297480</v>
          </cell>
          <cell r="J1909" t="str">
            <v>RU MBF</v>
          </cell>
          <cell r="K1909">
            <v>0</v>
          </cell>
          <cell r="L1909" t="str">
            <v>UETU6297480</v>
          </cell>
          <cell r="N1909" t="str">
            <v>HATECO HICT</v>
          </cell>
          <cell r="O1909" t="str">
            <v>VI-26/50703</v>
          </cell>
          <cell r="P1909" t="str">
            <v>done</v>
          </cell>
          <cell r="Q1909">
            <v>308194083060</v>
          </cell>
        </row>
        <row r="1910">
          <cell r="I1910" t="str">
            <v>SUDU8757767</v>
          </cell>
          <cell r="J1910" t="str">
            <v>THI</v>
          </cell>
          <cell r="K1910">
            <v>4.1666666666666664E-2</v>
          </cell>
          <cell r="L1910" t="str">
            <v>TCNU1028353</v>
          </cell>
          <cell r="M1910" t="str">
            <v>TRI PHƯƠNG</v>
          </cell>
          <cell r="N1910" t="str">
            <v>HATECO HICT</v>
          </cell>
          <cell r="O1910" t="str">
            <v>VI-26/50724</v>
          </cell>
          <cell r="P1910" t="str">
            <v>done</v>
          </cell>
          <cell r="Q1910">
            <v>308194101850</v>
          </cell>
        </row>
        <row r="1911">
          <cell r="I1911" t="str">
            <v>SEGU9172859</v>
          </cell>
          <cell r="J1911" t="str">
            <v>MẠNH</v>
          </cell>
          <cell r="K1911" t="str">
            <v>13:00</v>
          </cell>
          <cell r="N1911" t="str">
            <v xml:space="preserve">LẠCH HUYỆN </v>
          </cell>
          <cell r="Q1911">
            <v>0</v>
          </cell>
        </row>
        <row r="1912">
          <cell r="I1912" t="str">
            <v>TGHU9996070</v>
          </cell>
          <cell r="K1912" t="str">
            <v>14:00</v>
          </cell>
          <cell r="M1912" t="str">
            <v>TRI PHƯƠNG</v>
          </cell>
          <cell r="N1912" t="str">
            <v xml:space="preserve">LẠCH HUYỆN </v>
          </cell>
          <cell r="Q1912">
            <v>0</v>
          </cell>
        </row>
        <row r="1913">
          <cell r="I1913" t="str">
            <v>TRIU8597770</v>
          </cell>
          <cell r="J1913" t="str">
            <v>QUÂN 
KÉO VỀ</v>
          </cell>
          <cell r="K1913" t="str">
            <v>15:00</v>
          </cell>
          <cell r="L1913" t="str">
            <v>TRIU8597770</v>
          </cell>
          <cell r="N1913" t="str">
            <v>TÂN VŨ</v>
          </cell>
          <cell r="P1913" t="str">
            <v>done</v>
          </cell>
          <cell r="Q1913">
            <v>308195176020</v>
          </cell>
        </row>
        <row r="1914">
          <cell r="I1914" t="str">
            <v>TRIU8441448</v>
          </cell>
          <cell r="K1914" t="str">
            <v>15:00</v>
          </cell>
          <cell r="M1914" t="str">
            <v>TRI PHƯƠNG</v>
          </cell>
          <cell r="N1914" t="str">
            <v xml:space="preserve">LẠCH HUYỆN </v>
          </cell>
          <cell r="Q1914">
            <v>0</v>
          </cell>
        </row>
        <row r="1915">
          <cell r="I1915" t="str">
            <v>TTNU8800836</v>
          </cell>
          <cell r="J1915" t="str">
            <v>HƯỜNG</v>
          </cell>
          <cell r="K1915" t="str">
            <v>15:00</v>
          </cell>
          <cell r="M1915" t="str">
            <v>TRI PHƯƠNG</v>
          </cell>
          <cell r="N1915" t="str">
            <v xml:space="preserve">LẠCH HUYỆN </v>
          </cell>
          <cell r="Q1915">
            <v>0</v>
          </cell>
        </row>
        <row r="1916">
          <cell r="I1916" t="str">
            <v>MNBU4634183</v>
          </cell>
          <cell r="J1916" t="str">
            <v>THI</v>
          </cell>
          <cell r="K1916" t="str">
            <v>22:00</v>
          </cell>
          <cell r="M1916" t="str">
            <v>TRI PHƯƠNG</v>
          </cell>
          <cell r="N1916" t="str">
            <v>HATECO HICT</v>
          </cell>
          <cell r="Q1916">
            <v>308194215840</v>
          </cell>
        </row>
        <row r="1917">
          <cell r="I1917" t="str">
            <v>MRKU3251852</v>
          </cell>
          <cell r="J1917" t="str">
            <v>PHƯƠNG</v>
          </cell>
          <cell r="K1917" t="str">
            <v>11:00</v>
          </cell>
          <cell r="L1917" t="str">
            <v>MRKU3251852</v>
          </cell>
          <cell r="M1917" t="str">
            <v>TRI PHƯƠNG</v>
          </cell>
          <cell r="N1917" t="str">
            <v>HATECO HICT</v>
          </cell>
          <cell r="Q1917">
            <v>308194259720</v>
          </cell>
        </row>
        <row r="1918">
          <cell r="I1918" t="str">
            <v>HAMU2195457</v>
          </cell>
          <cell r="J1918" t="str">
            <v>SÂM</v>
          </cell>
          <cell r="K1918" t="str">
            <v>9:00</v>
          </cell>
          <cell r="L1918" t="str">
            <v>FSCU5863364</v>
          </cell>
          <cell r="M1918" t="str">
            <v>TRI PHƯƠNG</v>
          </cell>
          <cell r="N1918" t="str">
            <v>HATECO HICT</v>
          </cell>
          <cell r="Q1918">
            <v>0</v>
          </cell>
        </row>
        <row r="1919">
          <cell r="I1919" t="str">
            <v>HAMU2616176</v>
          </cell>
          <cell r="J1919" t="str">
            <v>SƠN
HƯỜNG KÉO VỀ</v>
          </cell>
          <cell r="K1919" t="str">
            <v>11:00</v>
          </cell>
          <cell r="N1919" t="str">
            <v>HATECO HICT</v>
          </cell>
          <cell r="O1919" t="str">
            <v>VR-26/50270</v>
          </cell>
          <cell r="P1919" t="str">
            <v>done</v>
          </cell>
          <cell r="Q1919">
            <v>308204816640</v>
          </cell>
        </row>
        <row r="1920">
          <cell r="K1920" t="str">
            <v>13:00</v>
          </cell>
          <cell r="M1920" t="str">
            <v>TRI PHƯƠNG</v>
          </cell>
          <cell r="N1920" t="str">
            <v>HATECO HICT</v>
          </cell>
          <cell r="Q1920">
            <v>0</v>
          </cell>
        </row>
        <row r="1921">
          <cell r="K1921" t="str">
            <v>14:00</v>
          </cell>
          <cell r="M1921" t="str">
            <v>TRI PHƯƠNG</v>
          </cell>
          <cell r="N1921" t="str">
            <v>HATECO HICT</v>
          </cell>
          <cell r="Q1921">
            <v>0</v>
          </cell>
        </row>
        <row r="1922">
          <cell r="I1922" t="str">
            <v>CMAU6206251</v>
          </cell>
          <cell r="J1922" t="str">
            <v>THI</v>
          </cell>
          <cell r="K1922">
            <v>0.33333333333333331</v>
          </cell>
          <cell r="O1922" t="str">
            <v>VI-26/50745</v>
          </cell>
          <cell r="Q1922">
            <v>0</v>
          </cell>
        </row>
        <row r="1923">
          <cell r="I1923" t="str">
            <v>FFAU6512809</v>
          </cell>
          <cell r="J1923" t="str">
            <v>THỤY
KÉO VỀ</v>
          </cell>
          <cell r="K1923">
            <v>0.33333333333333331</v>
          </cell>
          <cell r="L1923" t="str">
            <v>FFAU6512809</v>
          </cell>
          <cell r="N1923" t="str">
            <v>LẠCH HUYỆN</v>
          </cell>
          <cell r="O1923" t="str">
            <v>VI-26/50759</v>
          </cell>
          <cell r="P1923" t="str">
            <v>done</v>
          </cell>
          <cell r="Q1923">
            <v>308199118900</v>
          </cell>
        </row>
        <row r="1924">
          <cell r="I1924" t="str">
            <v>TLLU8877414</v>
          </cell>
          <cell r="J1924" t="str">
            <v>HƯỜNG</v>
          </cell>
          <cell r="K1924">
            <v>0.90625</v>
          </cell>
          <cell r="L1924" t="str">
            <v>TCKU7706664</v>
          </cell>
          <cell r="O1924" t="str">
            <v>VI-26/50735</v>
          </cell>
          <cell r="Q1924">
            <v>0</v>
          </cell>
        </row>
        <row r="1925">
          <cell r="I1925" t="str">
            <v>CMAU9250345</v>
          </cell>
          <cell r="J1925" t="str">
            <v>DĐỨC</v>
          </cell>
          <cell r="K1925">
            <v>0.9375</v>
          </cell>
          <cell r="L1925" t="str">
            <v>CMAU9250345</v>
          </cell>
          <cell r="O1925" t="str">
            <v>VI-26/50740</v>
          </cell>
          <cell r="Q1925">
            <v>0</v>
          </cell>
        </row>
        <row r="1926">
          <cell r="I1926" t="str">
            <v>TRHU6495740</v>
          </cell>
          <cell r="J1926" t="str">
            <v>THỊNH</v>
          </cell>
          <cell r="K1926">
            <v>0.94791666666666663</v>
          </cell>
          <cell r="L1926" t="str">
            <v>TLLU8877414</v>
          </cell>
          <cell r="O1926" t="str">
            <v>VI-26/50741</v>
          </cell>
          <cell r="Q1926">
            <v>0</v>
          </cell>
        </row>
        <row r="1927">
          <cell r="I1927" t="str">
            <v>DRYU9984542</v>
          </cell>
          <cell r="J1927" t="str">
            <v>TÍN 
KÉO VỀ</v>
          </cell>
          <cell r="K1927">
            <v>9.375E-2</v>
          </cell>
          <cell r="L1927" t="str">
            <v>DRYU9984542</v>
          </cell>
          <cell r="N1927" t="str">
            <v>LẠCH HUYỆN</v>
          </cell>
          <cell r="O1927" t="str">
            <v>VI-26/50767</v>
          </cell>
          <cell r="P1927" t="str">
            <v>done</v>
          </cell>
          <cell r="Q1927">
            <v>308199084930</v>
          </cell>
        </row>
        <row r="1928">
          <cell r="I1928" t="str">
            <v>FFAU6395385</v>
          </cell>
          <cell r="J1928" t="str">
            <v>THỤ̣Y
KÉO VỀ</v>
          </cell>
          <cell r="K1928">
            <v>0.125</v>
          </cell>
          <cell r="L1928" t="str">
            <v>FFAU6395385</v>
          </cell>
          <cell r="N1928" t="str">
            <v>LẠCH HUYỆN</v>
          </cell>
          <cell r="O1928" t="str">
            <v>VI-26/50761</v>
          </cell>
          <cell r="P1928" t="str">
            <v>done</v>
          </cell>
          <cell r="Q1928">
            <v>308199141260</v>
          </cell>
        </row>
        <row r="1929">
          <cell r="I1929" t="str">
            <v>TCNU5979181</v>
          </cell>
          <cell r="J1929" t="str">
            <v>VINH
KÉO VỀ</v>
          </cell>
          <cell r="K1929">
            <v>0.13541666666666666</v>
          </cell>
          <cell r="L1929" t="str">
            <v>TCNU5979181</v>
          </cell>
          <cell r="N1929" t="str">
            <v>LẠCH HUYỆN</v>
          </cell>
          <cell r="O1929" t="str">
            <v>VI-26/50766</v>
          </cell>
          <cell r="P1929" t="str">
            <v>done</v>
          </cell>
          <cell r="Q1929">
            <v>308199100810</v>
          </cell>
        </row>
        <row r="1930">
          <cell r="I1930" t="str">
            <v>TCLU9543028</v>
          </cell>
          <cell r="J1930" t="str">
            <v>RU TRỊNH VŨ</v>
          </cell>
          <cell r="K1930">
            <v>0.39583333333333331</v>
          </cell>
          <cell r="L1930" t="str">
            <v>TCLU9543028</v>
          </cell>
          <cell r="N1930" t="str">
            <v>LẠCH HUYỆN</v>
          </cell>
          <cell r="O1930" t="str">
            <v>VI-26/50758</v>
          </cell>
          <cell r="P1930" t="str">
            <v>done</v>
          </cell>
          <cell r="Q1930">
            <v>308199073840</v>
          </cell>
        </row>
        <row r="1931">
          <cell r="I1931" t="str">
            <v>ONEU5761230</v>
          </cell>
          <cell r="J1931" t="str">
            <v>RU TRỊNH VŨ</v>
          </cell>
          <cell r="K1931">
            <v>0.60416666666666663</v>
          </cell>
          <cell r="L1931" t="str">
            <v>ONEU5761230</v>
          </cell>
          <cell r="N1931" t="str">
            <v>LẠCH HUYỆN</v>
          </cell>
          <cell r="O1931" t="str">
            <v>VI-26/50760</v>
          </cell>
          <cell r="P1931" t="str">
            <v>done</v>
          </cell>
          <cell r="Q1931">
            <v>308199130100</v>
          </cell>
        </row>
        <row r="1932">
          <cell r="I1932" t="str">
            <v>TCLU7938970</v>
          </cell>
          <cell r="J1932" t="str">
            <v>HƯỜNG</v>
          </cell>
          <cell r="K1932">
            <v>0.33333333333333331</v>
          </cell>
          <cell r="L1932" t="str">
            <v>TCNU1405544</v>
          </cell>
          <cell r="O1932" t="str">
            <v>VH-26/50147</v>
          </cell>
          <cell r="Q1932">
            <v>0</v>
          </cell>
        </row>
        <row r="1933">
          <cell r="K1933">
            <v>0.875</v>
          </cell>
          <cell r="O1933" t="str">
            <v>VS-26/50128</v>
          </cell>
          <cell r="Q1933">
            <v>0</v>
          </cell>
        </row>
        <row r="1934">
          <cell r="I1934" t="str">
            <v>TRHU5803600</v>
          </cell>
          <cell r="J1934" t="str">
            <v>PHƯƠNG</v>
          </cell>
          <cell r="K1934">
            <v>0.125</v>
          </cell>
          <cell r="L1934" t="str">
            <v>MRKU6092501</v>
          </cell>
          <cell r="O1934" t="str">
            <v>VH-26/50150</v>
          </cell>
          <cell r="Q1934">
            <v>0</v>
          </cell>
        </row>
        <row r="1935">
          <cell r="I1935" t="str">
            <v>TIIU7556681</v>
          </cell>
          <cell r="J1935" t="str">
            <v>SƠN</v>
          </cell>
          <cell r="K1935">
            <v>0.33333333333333331</v>
          </cell>
          <cell r="Q1935">
            <v>0</v>
          </cell>
        </row>
        <row r="1936">
          <cell r="I1936" t="str">
            <v>ECMU5239720</v>
          </cell>
          <cell r="J1936" t="str">
            <v>PHƯƠNG</v>
          </cell>
          <cell r="K1936">
            <v>0.54166666666666663</v>
          </cell>
          <cell r="L1936" t="str">
            <v>CGMU5712417</v>
          </cell>
          <cell r="Q1936">
            <v>0</v>
          </cell>
        </row>
        <row r="1937">
          <cell r="I1937" t="str">
            <v>TRHU6269594</v>
          </cell>
          <cell r="J1937" t="str">
            <v>HỒNG HƯNG
KÉO VỀ</v>
          </cell>
          <cell r="K1937">
            <v>0.54166666666666663</v>
          </cell>
          <cell r="L1937" t="str">
            <v>TTNU8800836</v>
          </cell>
          <cell r="N1937" t="str">
            <v xml:space="preserve">LẠCH HUYỆN </v>
          </cell>
          <cell r="P1937" t="str">
            <v>done</v>
          </cell>
          <cell r="Q1937">
            <v>308199647950</v>
          </cell>
        </row>
        <row r="1938">
          <cell r="I1938" t="str">
            <v>ONEU1414383</v>
          </cell>
          <cell r="J1938" t="str">
            <v>DĐỨC
SÂM KÉO VỀ</v>
          </cell>
          <cell r="K1938">
            <v>0.58333333333333337</v>
          </cell>
          <cell r="L1938" t="str">
            <v>OTPU6036845</v>
          </cell>
          <cell r="N1938" t="str">
            <v xml:space="preserve">LẠCH HUYỆN </v>
          </cell>
          <cell r="O1938" t="str">
            <v>VP-26/50204</v>
          </cell>
          <cell r="P1938" t="str">
            <v>done</v>
          </cell>
          <cell r="Q1938">
            <v>308200182750</v>
          </cell>
        </row>
        <row r="1939">
          <cell r="I1939" t="str">
            <v>SELU4372521</v>
          </cell>
          <cell r="K1939">
            <v>0.625</v>
          </cell>
          <cell r="Q1939">
            <v>0</v>
          </cell>
        </row>
        <row r="1940">
          <cell r="I1940" t="str">
            <v>CAAU9604633</v>
          </cell>
          <cell r="J1940" t="str">
            <v>TÍN</v>
          </cell>
          <cell r="L1940" t="str">
            <v>SZLU7003513</v>
          </cell>
          <cell r="Q1940">
            <v>0</v>
          </cell>
        </row>
        <row r="1941">
          <cell r="I1941" t="str">
            <v>CAAU4835141</v>
          </cell>
          <cell r="J1941" t="str">
            <v>MẠNH</v>
          </cell>
          <cell r="L1941" t="str">
            <v>SEKU9057891</v>
          </cell>
          <cell r="Q1941">
            <v>0</v>
          </cell>
        </row>
        <row r="1942">
          <cell r="I1942" t="str">
            <v>HPCU4973260</v>
          </cell>
          <cell r="J1942" t="str">
            <v>THÀNH</v>
          </cell>
          <cell r="L1942" t="str">
            <v>FBIU5401410</v>
          </cell>
          <cell r="Q1942">
            <v>0</v>
          </cell>
        </row>
        <row r="1943">
          <cell r="I1943" t="str">
            <v>TIIU5033059</v>
          </cell>
          <cell r="Q1943">
            <v>0</v>
          </cell>
        </row>
        <row r="1944">
          <cell r="I1944" t="str">
            <v>FFAU6193189</v>
          </cell>
          <cell r="J1944" t="str">
            <v>THỊNH</v>
          </cell>
          <cell r="L1944" t="str">
            <v>ECMU5191648</v>
          </cell>
          <cell r="Q1944">
            <v>0</v>
          </cell>
        </row>
        <row r="1945">
          <cell r="I1945" t="str">
            <v>TRHU6661440</v>
          </cell>
          <cell r="J1945" t="str">
            <v>SƠN</v>
          </cell>
          <cell r="L1945" t="str">
            <v>CGMU5635028</v>
          </cell>
          <cell r="Q1945">
            <v>0</v>
          </cell>
        </row>
        <row r="1946">
          <cell r="I1946" t="str">
            <v>TRHU8044576</v>
          </cell>
          <cell r="J1946" t="str">
            <v>QUÂN
SƠN KÉO VỀ</v>
          </cell>
          <cell r="L1946" t="str">
            <v>SELU4372521</v>
          </cell>
          <cell r="N1946" t="str">
            <v xml:space="preserve">LẠCH HUYỆN </v>
          </cell>
          <cell r="P1946" t="str">
            <v>done</v>
          </cell>
          <cell r="Q1946">
            <v>308200220810</v>
          </cell>
        </row>
        <row r="1947">
          <cell r="I1947" t="str">
            <v>ONEU1953277</v>
          </cell>
          <cell r="J1947" t="str">
            <v>QUÂN
THI KÉO VỀ</v>
          </cell>
          <cell r="N1947" t="str">
            <v>LẠCH HUYỆN</v>
          </cell>
          <cell r="P1947" t="str">
            <v>done</v>
          </cell>
          <cell r="Q1947">
            <v>308200143330</v>
          </cell>
        </row>
        <row r="1948">
          <cell r="I1948" t="str">
            <v>MRSU8872095</v>
          </cell>
          <cell r="J1948" t="str">
            <v>RU INTERPLUS</v>
          </cell>
          <cell r="K1948">
            <v>0.33333333333333331</v>
          </cell>
          <cell r="L1948" t="str">
            <v>MRSU8872095</v>
          </cell>
          <cell r="N1948" t="str">
            <v>HATECO HICT</v>
          </cell>
          <cell r="O1948" t="str">
            <v>VI-26/50732</v>
          </cell>
          <cell r="P1948" t="str">
            <v>done</v>
          </cell>
          <cell r="Q1948">
            <v>308198767460</v>
          </cell>
        </row>
        <row r="1949">
          <cell r="I1949" t="str">
            <v>MRSU9056795</v>
          </cell>
          <cell r="J1949" t="str">
            <v>RU KỶ NGUYÊN</v>
          </cell>
          <cell r="K1949">
            <v>0.875</v>
          </cell>
          <cell r="L1949" t="str">
            <v>MRSU9056795</v>
          </cell>
          <cell r="N1949" t="str">
            <v>HATECO HICT</v>
          </cell>
          <cell r="O1949" t="str">
            <v>VI-26/50731</v>
          </cell>
          <cell r="P1949" t="str">
            <v>done</v>
          </cell>
          <cell r="Q1949">
            <v>308198740160</v>
          </cell>
        </row>
        <row r="1950">
          <cell r="I1950" t="str">
            <v>TCKU7706664</v>
          </cell>
          <cell r="J1950" t="str">
            <v>MẠNH</v>
          </cell>
          <cell r="K1950">
            <v>0.38541666666666669</v>
          </cell>
          <cell r="L1950" t="str">
            <v>TRHU5301011</v>
          </cell>
          <cell r="M1950" t="str">
            <v>TRI PHƯƠNG</v>
          </cell>
          <cell r="N1950" t="str">
            <v>HATECO HICT</v>
          </cell>
          <cell r="O1950" t="str">
            <v>VI-26/50771</v>
          </cell>
          <cell r="P1950" t="str">
            <v>done</v>
          </cell>
          <cell r="Q1950">
            <v>308198791150</v>
          </cell>
        </row>
        <row r="1951">
          <cell r="I1951" t="str">
            <v>TIIU5295085</v>
          </cell>
          <cell r="J1951" t="str">
            <v>THÀNH</v>
          </cell>
          <cell r="K1951">
            <v>0.4375</v>
          </cell>
          <cell r="L1951" t="str">
            <v>SUDU8757767</v>
          </cell>
          <cell r="M1951" t="str">
            <v>TRI PHƯƠNG</v>
          </cell>
          <cell r="N1951" t="str">
            <v>HATECO HICT</v>
          </cell>
          <cell r="O1951" t="str">
            <v>VI-26/50714</v>
          </cell>
          <cell r="P1951" t="str">
            <v>done</v>
          </cell>
          <cell r="Q1951">
            <v>308198815210</v>
          </cell>
        </row>
        <row r="1952">
          <cell r="I1952" t="str">
            <v>MRSU4559138</v>
          </cell>
          <cell r="J1952" t="str">
            <v>THỊNH</v>
          </cell>
          <cell r="K1952">
            <v>0.61458333333333337</v>
          </cell>
          <cell r="L1952" t="str">
            <v>NYKU0828083</v>
          </cell>
          <cell r="M1952" t="str">
            <v>TRI PHƯƠNG</v>
          </cell>
          <cell r="N1952" t="str">
            <v>HATECO HICT</v>
          </cell>
          <cell r="O1952" t="str">
            <v>VI-26/50744</v>
          </cell>
          <cell r="P1952" t="str">
            <v>done</v>
          </cell>
          <cell r="Q1952">
            <v>308198840260</v>
          </cell>
        </row>
        <row r="1953">
          <cell r="I1953" t="str">
            <v>MRSU5909610</v>
          </cell>
          <cell r="J1953" t="str">
            <v>THÀNH</v>
          </cell>
          <cell r="K1953">
            <v>0.14583333333333334</v>
          </cell>
          <cell r="M1953" t="str">
            <v>TRI PHƯƠNG</v>
          </cell>
          <cell r="N1953" t="str">
            <v>HATECO HICT</v>
          </cell>
          <cell r="O1953" t="str">
            <v>VI-26/50743</v>
          </cell>
          <cell r="P1953" t="str">
            <v>done</v>
          </cell>
          <cell r="Q1953">
            <v>308198827660</v>
          </cell>
        </row>
        <row r="1954">
          <cell r="I1954" t="str">
            <v>MRKU6092501</v>
          </cell>
          <cell r="J1954" t="str">
            <v>PHƯƠNG</v>
          </cell>
          <cell r="K1954">
            <v>0.58333333333333337</v>
          </cell>
          <cell r="L1954" t="str">
            <v>EGSU6416820</v>
          </cell>
          <cell r="M1954" t="str">
            <v>TRI PHƯƠNG</v>
          </cell>
          <cell r="N1954" t="str">
            <v>HATECO HICT</v>
          </cell>
          <cell r="O1954" t="str">
            <v>VS-26/50130</v>
          </cell>
          <cell r="P1954" t="str">
            <v>done</v>
          </cell>
          <cell r="Q1954">
            <v>308196593520</v>
          </cell>
        </row>
        <row r="1955">
          <cell r="I1955" t="str">
            <v>CAIU8271361</v>
          </cell>
          <cell r="J1955" t="str">
            <v>QUÂN</v>
          </cell>
          <cell r="K1955">
            <v>4.1666666666666664E-2</v>
          </cell>
          <cell r="M1955" t="str">
            <v>TRI PHƯƠNG</v>
          </cell>
          <cell r="N1955" t="str">
            <v>HATECO HICT</v>
          </cell>
          <cell r="O1955" t="str">
            <v>VS-26/50127</v>
          </cell>
          <cell r="P1955" t="str">
            <v>done</v>
          </cell>
          <cell r="Q1955">
            <v>308201614950</v>
          </cell>
        </row>
        <row r="1956">
          <cell r="I1956" t="str">
            <v>OTPU6036845</v>
          </cell>
          <cell r="J1956" t="str">
            <v>THỊNH</v>
          </cell>
          <cell r="K1956" t="str">
            <v>8:00</v>
          </cell>
          <cell r="L1956" t="str">
            <v>TGHU9996070</v>
          </cell>
          <cell r="M1956" t="str">
            <v>TRI PHƯƠNG</v>
          </cell>
          <cell r="N1956" t="str">
            <v>NAM HẢI ĐÌNH VŨ</v>
          </cell>
          <cell r="Q1956">
            <v>0</v>
          </cell>
        </row>
        <row r="1957">
          <cell r="I1957" t="str">
            <v>SEKU9057891</v>
          </cell>
          <cell r="J1957" t="str">
            <v>THÀNH</v>
          </cell>
          <cell r="K1957" t="str">
            <v>9:00</v>
          </cell>
          <cell r="L1957" t="str">
            <v>TIIU6560049</v>
          </cell>
          <cell r="M1957" t="str">
            <v>TRI PHƯƠNG</v>
          </cell>
          <cell r="N1957" t="str">
            <v>TÂN VŨ</v>
          </cell>
          <cell r="Q1957">
            <v>0</v>
          </cell>
        </row>
        <row r="1958">
          <cell r="I1958" t="str">
            <v>CGMU5712417</v>
          </cell>
          <cell r="J1958" t="str">
            <v>MẠNH</v>
          </cell>
          <cell r="K1958" t="str">
            <v>9:00</v>
          </cell>
          <cell r="L1958" t="str">
            <v>EGSU6030415</v>
          </cell>
          <cell r="M1958" t="str">
            <v>TRI PHƯƠNG</v>
          </cell>
          <cell r="N1958" t="str">
            <v>LẠCH HUYỆN</v>
          </cell>
          <cell r="Q1958">
            <v>0</v>
          </cell>
        </row>
        <row r="1959">
          <cell r="I1959" t="str">
            <v>SZLU7003513</v>
          </cell>
          <cell r="J1959" t="str">
            <v>ĐỨC</v>
          </cell>
          <cell r="K1959" t="str">
            <v>10:00</v>
          </cell>
          <cell r="L1959" t="str">
            <v>TIIU7556681</v>
          </cell>
          <cell r="M1959" t="str">
            <v>TRI PHƯƠNG</v>
          </cell>
          <cell r="N1959" t="str">
            <v>LẠCH HUYỆN</v>
          </cell>
          <cell r="Q1959">
            <v>0</v>
          </cell>
        </row>
        <row r="1960">
          <cell r="I1960" t="str">
            <v>CGMU8002677</v>
          </cell>
          <cell r="J1960" t="str">
            <v>SÂM</v>
          </cell>
          <cell r="K1960" t="str">
            <v>11:00</v>
          </cell>
          <cell r="L1960" t="str">
            <v>HAMU2338060</v>
          </cell>
          <cell r="M1960" t="str">
            <v>TRI PHƯƠNG</v>
          </cell>
          <cell r="N1960" t="str">
            <v>LẠCH HUYỆN</v>
          </cell>
          <cell r="Q1960">
            <v>0</v>
          </cell>
        </row>
        <row r="1961">
          <cell r="I1961" t="str">
            <v>CGMU6587367</v>
          </cell>
          <cell r="J1961" t="str">
            <v>SƠN</v>
          </cell>
          <cell r="K1961" t="str">
            <v>11:00</v>
          </cell>
          <cell r="L1961" t="str">
            <v>CGMU8002677</v>
          </cell>
          <cell r="M1961" t="str">
            <v>TRI PHƯƠNG</v>
          </cell>
          <cell r="N1961" t="str">
            <v>LẠCH HUYỆN</v>
          </cell>
          <cell r="Q1961">
            <v>0</v>
          </cell>
        </row>
        <row r="1962">
          <cell r="I1962" t="str">
            <v>CGMU5635028</v>
          </cell>
          <cell r="J1962" t="str">
            <v>SÂM</v>
          </cell>
          <cell r="K1962" t="str">
            <v>13:00</v>
          </cell>
          <cell r="M1962" t="str">
            <v>TRI PHƯƠNG</v>
          </cell>
          <cell r="N1962" t="str">
            <v>LẠCH HUYỆN</v>
          </cell>
          <cell r="Q1962">
            <v>0</v>
          </cell>
        </row>
        <row r="1963">
          <cell r="I1963" t="str">
            <v>FBIU5401410</v>
          </cell>
          <cell r="J1963" t="str">
            <v>THI</v>
          </cell>
          <cell r="K1963" t="str">
            <v>14:00</v>
          </cell>
          <cell r="M1963" t="str">
            <v>TRI PHƯƠNG</v>
          </cell>
          <cell r="N1963" t="str">
            <v>LẠCH HUYỆN</v>
          </cell>
          <cell r="Q1963">
            <v>0</v>
          </cell>
        </row>
        <row r="1964">
          <cell r="I1964" t="str">
            <v>CGMU5451524</v>
          </cell>
          <cell r="J1964" t="str">
            <v>MẠNH</v>
          </cell>
          <cell r="K1964" t="str">
            <v>15:00</v>
          </cell>
          <cell r="M1964" t="str">
            <v>TRI PHƯƠNG</v>
          </cell>
          <cell r="N1964" t="str">
            <v>LẠCH HUYỆN</v>
          </cell>
          <cell r="Q1964">
            <v>0</v>
          </cell>
        </row>
        <row r="1965">
          <cell r="I1965" t="str">
            <v>MRSU7408330</v>
          </cell>
          <cell r="J1965" t="str">
            <v>HỒNG HƯNG</v>
          </cell>
          <cell r="K1965" t="str">
            <v>9:00</v>
          </cell>
          <cell r="M1965" t="str">
            <v>TRI PHƯƠNG</v>
          </cell>
          <cell r="N1965" t="str">
            <v>HATECO HICT</v>
          </cell>
          <cell r="P1965" t="str">
            <v>done</v>
          </cell>
          <cell r="Q1965">
            <v>308199046210</v>
          </cell>
        </row>
        <row r="1966">
          <cell r="I1966" t="str">
            <v>CAJU5161600</v>
          </cell>
          <cell r="J1966" t="str">
            <v>RU THT</v>
          </cell>
          <cell r="K1966">
            <v>0.41666666666666669</v>
          </cell>
          <cell r="L1966" t="str">
            <v>CAJU5161600</v>
          </cell>
          <cell r="N1966" t="str">
            <v>HATECO HICT</v>
          </cell>
          <cell r="P1966" t="str">
            <v>done</v>
          </cell>
          <cell r="Q1966">
            <v>308198847260</v>
          </cell>
        </row>
        <row r="1967">
          <cell r="I1967" t="str">
            <v>HLXU8615554</v>
          </cell>
          <cell r="J1967" t="str">
            <v>PHƯƠNG</v>
          </cell>
          <cell r="K1967" t="str">
            <v>11:00</v>
          </cell>
          <cell r="L1967" t="str">
            <v>EITU9561325</v>
          </cell>
          <cell r="M1967" t="str">
            <v>TRI PHƯƠNG</v>
          </cell>
          <cell r="N1967" t="str">
            <v>HATECO HICT</v>
          </cell>
          <cell r="Q1967">
            <v>0</v>
          </cell>
        </row>
        <row r="1968">
          <cell r="I1968" t="str">
            <v>TIIU4908773</v>
          </cell>
          <cell r="J1968" t="str">
            <v>PHƯƠNG</v>
          </cell>
          <cell r="K1968">
            <v>0.33333333333333331</v>
          </cell>
          <cell r="L1968" t="str">
            <v>TIIU4908773</v>
          </cell>
          <cell r="O1968" t="str">
            <v>VI-26/50781</v>
          </cell>
          <cell r="Q1968">
            <v>0</v>
          </cell>
        </row>
        <row r="1969">
          <cell r="I1969" t="str">
            <v>FDCU0514360</v>
          </cell>
          <cell r="J1969" t="str">
            <v>SÂM</v>
          </cell>
          <cell r="K1969">
            <v>0.33333333333333331</v>
          </cell>
          <cell r="L1969" t="str">
            <v>FDCU0514360</v>
          </cell>
          <cell r="O1969" t="str">
            <v>VI-26/50799</v>
          </cell>
          <cell r="Q1969">
            <v>0</v>
          </cell>
        </row>
        <row r="1970">
          <cell r="I1970" t="str">
            <v>ECMU7276805 </v>
          </cell>
          <cell r="J1970" t="str">
            <v>RU XUÂN THỦY</v>
          </cell>
          <cell r="K1970">
            <v>0.33333333333333331</v>
          </cell>
          <cell r="L1970" t="str">
            <v>ECMU7276805 </v>
          </cell>
          <cell r="N1970" t="str">
            <v>TÂN VŨ</v>
          </cell>
          <cell r="O1970" t="str">
            <v>VI-26/50778</v>
          </cell>
          <cell r="P1970" t="str">
            <v>done</v>
          </cell>
          <cell r="Q1970">
            <v>308206134630</v>
          </cell>
        </row>
        <row r="1971">
          <cell r="I1971" t="str">
            <v>ONEU0057872</v>
          </cell>
          <cell r="J1971" t="str">
            <v>ĐỨC</v>
          </cell>
          <cell r="K1971">
            <v>0.40625</v>
          </cell>
          <cell r="L1971" t="str">
            <v>MRSU7921981</v>
          </cell>
          <cell r="O1971" t="str">
            <v>VI-26/50800</v>
          </cell>
          <cell r="Q1971">
            <v>0</v>
          </cell>
        </row>
        <row r="1972">
          <cell r="K1972">
            <v>0.88541666666666663</v>
          </cell>
          <cell r="O1972" t="str">
            <v>VI-26/50783</v>
          </cell>
          <cell r="Q1972">
            <v>0</v>
          </cell>
        </row>
        <row r="1973">
          <cell r="I1973" t="str">
            <v>TRHU5151570</v>
          </cell>
          <cell r="J1973" t="str">
            <v>SƠN</v>
          </cell>
          <cell r="K1973">
            <v>6.25E-2</v>
          </cell>
          <cell r="L1973" t="str">
            <v>TRHU5151570</v>
          </cell>
          <cell r="O1973" t="str">
            <v>VI-26/50813</v>
          </cell>
          <cell r="Q1973">
            <v>0</v>
          </cell>
        </row>
        <row r="1974">
          <cell r="I1974" t="str">
            <v>UETU6173710</v>
          </cell>
          <cell r="J1974" t="str">
            <v>THỊNH</v>
          </cell>
          <cell r="K1974">
            <v>7.2916666666666671E-2</v>
          </cell>
          <cell r="L1974" t="str">
            <v>UETU6173710</v>
          </cell>
          <cell r="O1974" t="str">
            <v>VI-26/50814</v>
          </cell>
          <cell r="Q1974">
            <v>0</v>
          </cell>
        </row>
        <row r="1975">
          <cell r="I1975" t="str">
            <v>TEMU7460657</v>
          </cell>
          <cell r="J1975" t="str">
            <v>ĐỨC</v>
          </cell>
          <cell r="K1975">
            <v>0.625</v>
          </cell>
          <cell r="L1975" t="str">
            <v>TEMU6989585</v>
          </cell>
          <cell r="O1975" t="str">
            <v>VH-26/50151</v>
          </cell>
          <cell r="Q1975">
            <v>0</v>
          </cell>
        </row>
        <row r="1976">
          <cell r="I1976" t="str">
            <v>EGSU1600794</v>
          </cell>
          <cell r="J1976" t="str">
            <v>XUYÊN
KÉO VỀ</v>
          </cell>
          <cell r="K1976">
            <v>0.875</v>
          </cell>
          <cell r="L1976" t="str">
            <v>EGSU1600794</v>
          </cell>
          <cell r="N1976" t="str">
            <v>GIC</v>
          </cell>
          <cell r="O1976" t="str">
            <v>VH-26/50156</v>
          </cell>
          <cell r="P1976" t="str">
            <v>done</v>
          </cell>
          <cell r="Q1976">
            <v>308202099500</v>
          </cell>
        </row>
        <row r="1977">
          <cell r="I1977" t="str">
            <v>TLLU7977255</v>
          </cell>
          <cell r="J1977" t="str">
            <v>HỒNG HƯNG
KÉO VỀ</v>
          </cell>
          <cell r="K1977">
            <v>8.3333333333333329E-2</v>
          </cell>
          <cell r="L1977" t="str">
            <v>TLLU7977255</v>
          </cell>
          <cell r="N1977" t="str">
            <v>GIC</v>
          </cell>
          <cell r="O1977" t="str">
            <v>VS-26/50138</v>
          </cell>
          <cell r="P1977" t="str">
            <v>done</v>
          </cell>
          <cell r="Q1977">
            <v>308202123520</v>
          </cell>
        </row>
        <row r="1978">
          <cell r="I1978" t="str">
            <v>CMAU7489161 </v>
          </cell>
          <cell r="J1978" t="str">
            <v>RU KỶ NGUYÊN</v>
          </cell>
          <cell r="K1978">
            <v>0.45833333333333331</v>
          </cell>
          <cell r="L1978" t="str">
            <v>CMAU7489161 </v>
          </cell>
          <cell r="N1978" t="str">
            <v>TÂN VŨ</v>
          </cell>
          <cell r="O1978" t="str">
            <v>VH-26/50157</v>
          </cell>
          <cell r="P1978" t="str">
            <v>done</v>
          </cell>
          <cell r="Q1978">
            <v>308202052820</v>
          </cell>
        </row>
        <row r="1979">
          <cell r="K1979">
            <v>0.375</v>
          </cell>
          <cell r="Q1979">
            <v>0</v>
          </cell>
        </row>
        <row r="1980">
          <cell r="K1980">
            <v>0.41666666666666669</v>
          </cell>
          <cell r="Q1980">
            <v>0</v>
          </cell>
        </row>
        <row r="1981">
          <cell r="K1981">
            <v>0.54166666666666663</v>
          </cell>
          <cell r="Q1981">
            <v>0</v>
          </cell>
        </row>
        <row r="1982">
          <cell r="K1982">
            <v>0.54166666666666663</v>
          </cell>
          <cell r="Q1982">
            <v>0</v>
          </cell>
        </row>
        <row r="1983">
          <cell r="K1983">
            <v>0.58333333333333337</v>
          </cell>
          <cell r="Q1983">
            <v>0</v>
          </cell>
        </row>
        <row r="1984">
          <cell r="I1984" t="str">
            <v>TXGU8851411</v>
          </cell>
          <cell r="J1984" t="str">
            <v>SÂM</v>
          </cell>
          <cell r="K1984">
            <v>0.95833333333333337</v>
          </cell>
          <cell r="L1984" t="str">
            <v>SELU4375860</v>
          </cell>
          <cell r="Q1984">
            <v>0</v>
          </cell>
        </row>
        <row r="1985">
          <cell r="I1985" t="str">
            <v>TEMU6091560</v>
          </cell>
          <cell r="J1985" t="str">
            <v>MẠNH</v>
          </cell>
          <cell r="K1985">
            <v>0</v>
          </cell>
          <cell r="Q1985">
            <v>0</v>
          </cell>
        </row>
        <row r="1986">
          <cell r="I1986" t="str">
            <v>UETU7257749</v>
          </cell>
          <cell r="K1986">
            <v>0.58333333333333337</v>
          </cell>
          <cell r="Q1986">
            <v>0</v>
          </cell>
        </row>
        <row r="1987">
          <cell r="I1987" t="str">
            <v>SEKU4518481</v>
          </cell>
          <cell r="J1987" t="str">
            <v>QUÂN</v>
          </cell>
          <cell r="L1987" t="str">
            <v>HLXU8615554</v>
          </cell>
          <cell r="Q1987">
            <v>0</v>
          </cell>
        </row>
        <row r="1988">
          <cell r="I1988" t="str">
            <v>ECMU7730395</v>
          </cell>
          <cell r="J1988" t="str">
            <v>HƯỜNG
THÀNH KÉO VỀ</v>
          </cell>
          <cell r="L1988" t="str">
            <v>HAMU2616176</v>
          </cell>
          <cell r="N1988" t="str">
            <v>TÂN VŨ</v>
          </cell>
          <cell r="P1988" t="str">
            <v>done</v>
          </cell>
          <cell r="Q1988">
            <v>308220256430</v>
          </cell>
        </row>
        <row r="1989">
          <cell r="I1989" t="str">
            <v>CMAU3569280</v>
          </cell>
          <cell r="J1989" t="str">
            <v>THANH</v>
          </cell>
          <cell r="L1989" t="str">
            <v>FFAU7451267 </v>
          </cell>
          <cell r="Q1989">
            <v>0</v>
          </cell>
        </row>
        <row r="1990">
          <cell r="I1990" t="str">
            <v>ECMU7290819</v>
          </cell>
          <cell r="J1990" t="str">
            <v>THỊNH</v>
          </cell>
          <cell r="L1990" t="str">
            <v>UETU7257749</v>
          </cell>
          <cell r="Q1990">
            <v>0</v>
          </cell>
        </row>
        <row r="1991">
          <cell r="I1991" t="str">
            <v>TXGU8412281</v>
          </cell>
          <cell r="J1991" t="str">
            <v>THÀNH</v>
          </cell>
          <cell r="L1991" t="str">
            <v>MNBU4586660</v>
          </cell>
          <cell r="Q1991">
            <v>0</v>
          </cell>
        </row>
        <row r="1992">
          <cell r="I1992" t="str">
            <v>MRSU7921981</v>
          </cell>
          <cell r="J1992" t="str">
            <v>MẠNH</v>
          </cell>
          <cell r="K1992">
            <v>0.35416666666666669</v>
          </cell>
          <cell r="L1992" t="str">
            <v>MRSU5909610</v>
          </cell>
          <cell r="M1992" t="str">
            <v>TRI PHƯƠNG</v>
          </cell>
          <cell r="N1992" t="str">
            <v>HATECO HICT</v>
          </cell>
          <cell r="O1992" t="str">
            <v>VI-26/50793</v>
          </cell>
          <cell r="P1992" t="str">
            <v>done</v>
          </cell>
          <cell r="Q1992">
            <v>308203253760</v>
          </cell>
        </row>
        <row r="1993">
          <cell r="I1993" t="str">
            <v>HASU5039906</v>
          </cell>
          <cell r="J1993" t="str">
            <v>THÀNH</v>
          </cell>
          <cell r="K1993">
            <v>0.4375</v>
          </cell>
          <cell r="L1993" t="str">
            <v>TRHU6495740</v>
          </cell>
          <cell r="M1993" t="str">
            <v>TRI PHƯƠNG</v>
          </cell>
          <cell r="N1993" t="str">
            <v>HATECO HICT</v>
          </cell>
          <cell r="O1993" t="str">
            <v>VI-26/50785</v>
          </cell>
          <cell r="P1993" t="str">
            <v>done</v>
          </cell>
          <cell r="Q1993">
            <v>308203613340</v>
          </cell>
        </row>
        <row r="1994">
          <cell r="I1994" t="str">
            <v>MRSU3031737</v>
          </cell>
          <cell r="J1994" t="str">
            <v>HƯỜNG</v>
          </cell>
          <cell r="K1994">
            <v>0.59375</v>
          </cell>
          <cell r="L1994" t="str">
            <v>CMAU6206251</v>
          </cell>
          <cell r="M1994" t="str">
            <v>TRI PHƯƠNG</v>
          </cell>
          <cell r="N1994" t="str">
            <v>HATECO HICT</v>
          </cell>
          <cell r="O1994" t="str">
            <v>VI-26/50788</v>
          </cell>
          <cell r="P1994" t="str">
            <v>done</v>
          </cell>
          <cell r="Q1994">
            <v>308203783110</v>
          </cell>
        </row>
        <row r="1995">
          <cell r="I1995" t="str">
            <v>TCKU7190855</v>
          </cell>
          <cell r="J1995" t="str">
            <v>MẠNH</v>
          </cell>
          <cell r="K1995">
            <v>0.60416666666666663</v>
          </cell>
          <cell r="L1995" t="str">
            <v>MRSU3031737</v>
          </cell>
          <cell r="M1995" t="str">
            <v>TRI PHƯƠNG</v>
          </cell>
          <cell r="N1995" t="str">
            <v>HATECO HICT</v>
          </cell>
          <cell r="O1995" t="str">
            <v>VI-26/50816</v>
          </cell>
          <cell r="P1995" t="str">
            <v>done</v>
          </cell>
          <cell r="Q1995">
            <v>308203834910</v>
          </cell>
        </row>
        <row r="1996">
          <cell r="I1996" t="str">
            <v>MRKU3099210</v>
          </cell>
          <cell r="J1996" t="str">
            <v>MẠNH</v>
          </cell>
          <cell r="K1996">
            <v>0.89583333333333337</v>
          </cell>
          <cell r="L1996" t="str">
            <v>ONEU0057872</v>
          </cell>
          <cell r="M1996" t="str">
            <v>TRI PHƯƠNG</v>
          </cell>
          <cell r="N1996" t="str">
            <v>HATECO HICT</v>
          </cell>
          <cell r="O1996" t="str">
            <v>VI-26/50786</v>
          </cell>
          <cell r="P1996" t="str">
            <v>done</v>
          </cell>
          <cell r="Q1996">
            <v>308204027850</v>
          </cell>
        </row>
        <row r="1997">
          <cell r="I1997" t="str">
            <v>MRKU3125411</v>
          </cell>
          <cell r="J1997" t="str">
            <v>ĐỨC</v>
          </cell>
          <cell r="K1997">
            <v>0.89583333333333337</v>
          </cell>
          <cell r="L1997" t="str">
            <v>MRKU3125411</v>
          </cell>
          <cell r="M1997" t="str">
            <v>TRI PHƯƠNG</v>
          </cell>
          <cell r="N1997" t="str">
            <v>HATECO HICT</v>
          </cell>
          <cell r="O1997" t="str">
            <v>VI-26/50777</v>
          </cell>
          <cell r="P1997" t="str">
            <v>done</v>
          </cell>
          <cell r="Q1997">
            <v>308202919640</v>
          </cell>
        </row>
        <row r="1998">
          <cell r="I1998" t="str">
            <v>TCNU2449974</v>
          </cell>
          <cell r="J1998" t="str">
            <v>PHƯƠNG</v>
          </cell>
          <cell r="K1998">
            <v>0.91666666666666663</v>
          </cell>
          <cell r="L1998" t="str">
            <v>TCNU2449974</v>
          </cell>
          <cell r="M1998" t="str">
            <v>TRI PHƯƠNG</v>
          </cell>
          <cell r="N1998" t="str">
            <v>HATECO HICT</v>
          </cell>
          <cell r="O1998" t="str">
            <v>VI-26/50789</v>
          </cell>
          <cell r="P1998" t="str">
            <v>done</v>
          </cell>
          <cell r="Q1998">
            <v>308204113950</v>
          </cell>
        </row>
        <row r="1999">
          <cell r="I1999" t="str">
            <v>BEAU5737791</v>
          </cell>
          <cell r="J1999" t="str">
            <v>THI</v>
          </cell>
          <cell r="K1999">
            <v>0.91666666666666663</v>
          </cell>
          <cell r="L1999" t="str">
            <v>BEAU5737791</v>
          </cell>
          <cell r="M1999" t="str">
            <v>TRI PHƯƠNG</v>
          </cell>
          <cell r="N1999" t="str">
            <v>HATECO HICT</v>
          </cell>
          <cell r="O1999" t="str">
            <v>VI-26/50792</v>
          </cell>
          <cell r="P1999" t="str">
            <v>done</v>
          </cell>
          <cell r="Q1999">
            <v>308204155950</v>
          </cell>
        </row>
        <row r="2000">
          <cell r="I2000" t="str">
            <v>TRHU5142500</v>
          </cell>
          <cell r="J2000" t="str">
            <v>QUÂN</v>
          </cell>
          <cell r="K2000">
            <v>0.9375</v>
          </cell>
          <cell r="L2000" t="str">
            <v>TRHU5142500</v>
          </cell>
          <cell r="M2000" t="str">
            <v>TRI PHƯƠNG</v>
          </cell>
          <cell r="N2000" t="str">
            <v>HATECO HICT</v>
          </cell>
          <cell r="O2000" t="str">
            <v>VI-26/50794</v>
          </cell>
          <cell r="P2000" t="str">
            <v>done</v>
          </cell>
          <cell r="Q2000">
            <v>308204188960</v>
          </cell>
        </row>
        <row r="2001">
          <cell r="I2001" t="str">
            <v>MRKU4878425</v>
          </cell>
          <cell r="J2001" t="str">
            <v>PHƯƠNG</v>
          </cell>
          <cell r="K2001">
            <v>0.875</v>
          </cell>
          <cell r="L2001" t="str">
            <v>NYKU4835877</v>
          </cell>
          <cell r="M2001" t="str">
            <v>TRI PHƯƠNG</v>
          </cell>
          <cell r="N2001" t="str">
            <v>HATECO HICT</v>
          </cell>
          <cell r="O2001" t="str">
            <v>VS-26/50126</v>
          </cell>
          <cell r="P2001" t="str">
            <v>done</v>
          </cell>
          <cell r="Q2001">
            <v>308202089550</v>
          </cell>
        </row>
        <row r="2002">
          <cell r="I2002" t="str">
            <v>MRKU6076096</v>
          </cell>
          <cell r="J2002" t="str">
            <v>SƠN</v>
          </cell>
          <cell r="K2002">
            <v>0.33333333333333331</v>
          </cell>
          <cell r="L2002" t="str">
            <v>TRHU8044576</v>
          </cell>
          <cell r="M2002" t="str">
            <v>TRI PHƯƠNG</v>
          </cell>
          <cell r="N2002" t="str">
            <v>HATECO HICT</v>
          </cell>
          <cell r="P2002" t="str">
            <v>done</v>
          </cell>
          <cell r="Q2002">
            <v>308203840400</v>
          </cell>
        </row>
        <row r="2003">
          <cell r="I2003" t="str">
            <v>MNBU4334925</v>
          </cell>
          <cell r="J2003" t="str">
            <v>ĐỨC</v>
          </cell>
          <cell r="K2003" t="str">
            <v>22:00</v>
          </cell>
          <cell r="L2003" t="str">
            <v>SELU4344690</v>
          </cell>
          <cell r="M2003" t="str">
            <v>TRI PHƯƠNG</v>
          </cell>
          <cell r="N2003" t="str">
            <v>HATECO HICT</v>
          </cell>
          <cell r="P2003" t="str">
            <v>done</v>
          </cell>
          <cell r="Q2003">
            <v>308204384850</v>
          </cell>
        </row>
        <row r="2004">
          <cell r="I2004" t="str">
            <v>MNBU4586660</v>
          </cell>
          <cell r="J2004" t="str">
            <v>HƯỜNG</v>
          </cell>
          <cell r="K2004" t="str">
            <v>00:00</v>
          </cell>
          <cell r="L2004" t="str">
            <v>CGMU5794950</v>
          </cell>
          <cell r="M2004" t="str">
            <v>TRI PHƯƠNG</v>
          </cell>
          <cell r="N2004" t="str">
            <v>HATECO HICT</v>
          </cell>
          <cell r="P2004" t="str">
            <v>done</v>
          </cell>
          <cell r="Q2004">
            <v>308204358030</v>
          </cell>
        </row>
        <row r="2005">
          <cell r="I2005" t="str">
            <v>TIIU4880193</v>
          </cell>
          <cell r="J2005" t="str">
            <v>MẠNH</v>
          </cell>
          <cell r="K2005">
            <v>0.375</v>
          </cell>
          <cell r="L2005" t="str">
            <v>HASU5039906</v>
          </cell>
          <cell r="M2005" t="str">
            <v>TRI PHƯƠNG</v>
          </cell>
          <cell r="N2005" t="str">
            <v>HATECO HICT</v>
          </cell>
          <cell r="P2005" t="str">
            <v>done</v>
          </cell>
          <cell r="Q2005">
            <v>308229776210</v>
          </cell>
        </row>
        <row r="2006">
          <cell r="I2006" t="str">
            <v>MRKU2476812</v>
          </cell>
          <cell r="J2006" t="str">
            <v>THANH
CHƯA VỀ</v>
          </cell>
          <cell r="K2006">
            <v>0.41666666666666669</v>
          </cell>
          <cell r="L2006" t="str">
            <v>TIIU5575872</v>
          </cell>
          <cell r="N2006" t="str">
            <v>HATECO HICT</v>
          </cell>
          <cell r="O2006" t="str">
            <v>VR-2650361</v>
          </cell>
          <cell r="P2006" t="str">
            <v>không phơi, mình chịu</v>
          </cell>
          <cell r="Q2006">
            <v>308234292240</v>
          </cell>
        </row>
        <row r="2007">
          <cell r="I2007" t="str">
            <v>TEMU9476734</v>
          </cell>
          <cell r="J2007" t="str">
            <v>TÍN</v>
          </cell>
          <cell r="K2007" t="str">
            <v>11:00</v>
          </cell>
          <cell r="L2007" t="str">
            <v>CAAU4616478</v>
          </cell>
          <cell r="M2007" t="str">
            <v>TRI PHƯƠNG</v>
          </cell>
          <cell r="N2007" t="str">
            <v>LẠCH HUYỆN</v>
          </cell>
          <cell r="Q2007">
            <v>0</v>
          </cell>
        </row>
        <row r="2008">
          <cell r="I2008" t="str">
            <v>CGMU5794950</v>
          </cell>
          <cell r="J2008" t="str">
            <v>ĐỨC</v>
          </cell>
          <cell r="K2008" t="str">
            <v>13:00</v>
          </cell>
          <cell r="L2008" t="str">
            <v>TEMU9476734</v>
          </cell>
          <cell r="M2008" t="str">
            <v>TRI PHƯƠNG</v>
          </cell>
          <cell r="N2008" t="str">
            <v>LẠCH HUYỆN</v>
          </cell>
          <cell r="Q2008">
            <v>0</v>
          </cell>
        </row>
        <row r="2009">
          <cell r="I2009" t="str">
            <v>TEMU9878163</v>
          </cell>
          <cell r="J2009" t="str">
            <v>THI</v>
          </cell>
          <cell r="K2009" t="str">
            <v>15:00</v>
          </cell>
          <cell r="L2009" t="str">
            <v>UETU7255221</v>
          </cell>
          <cell r="M2009" t="str">
            <v>TRI PHƯƠNG</v>
          </cell>
          <cell r="N2009" t="str">
            <v>LẠCH HUYỆN</v>
          </cell>
          <cell r="Q2009">
            <v>0</v>
          </cell>
        </row>
        <row r="2010">
          <cell r="I2010" t="str">
            <v>MRSU4367351</v>
          </cell>
          <cell r="J2010" t="str">
            <v>THI</v>
          </cell>
          <cell r="K2010" t="str">
            <v>13:00</v>
          </cell>
          <cell r="L2010" t="str">
            <v>MRSU4367351</v>
          </cell>
          <cell r="M2010" t="str">
            <v>TRI PHƯƠNG</v>
          </cell>
          <cell r="N2010" t="str">
            <v>HATECO HICT</v>
          </cell>
          <cell r="P2010" t="str">
            <v>done</v>
          </cell>
          <cell r="Q2010">
            <v>308203862650</v>
          </cell>
        </row>
        <row r="2011">
          <cell r="I2011" t="str">
            <v>MRSU5221314</v>
          </cell>
          <cell r="J2011" t="str">
            <v>THỊNH</v>
          </cell>
          <cell r="K2011" t="str">
            <v>21:00</v>
          </cell>
          <cell r="L2011" t="str">
            <v>SELU4368840</v>
          </cell>
          <cell r="M2011" t="str">
            <v>TRI PHƯƠNG</v>
          </cell>
          <cell r="N2011" t="str">
            <v>HATECO HICT</v>
          </cell>
          <cell r="P2011" t="str">
            <v>done</v>
          </cell>
          <cell r="Q2011">
            <v>308203913050</v>
          </cell>
        </row>
        <row r="2012">
          <cell r="I2012" t="str">
            <v>TCNU4416250</v>
          </cell>
          <cell r="J2012" t="str">
            <v>THỊNH</v>
          </cell>
          <cell r="K2012">
            <v>0.33333333333333331</v>
          </cell>
          <cell r="L2012" t="str">
            <v>CAIU8271361</v>
          </cell>
          <cell r="O2012" t="str">
            <v>VH-26/50174</v>
          </cell>
          <cell r="Q2012">
            <v>0</v>
          </cell>
        </row>
        <row r="2013">
          <cell r="I2013" t="str">
            <v>TEMU8229853</v>
          </cell>
          <cell r="J2013" t="str">
            <v>HƯỜNG</v>
          </cell>
          <cell r="K2013">
            <v>0.875</v>
          </cell>
          <cell r="L2013" t="str">
            <v>MRKU4878425</v>
          </cell>
          <cell r="O2013" t="str">
            <v>VH-26/50159</v>
          </cell>
          <cell r="Q2013">
            <v>0</v>
          </cell>
        </row>
        <row r="2014">
          <cell r="I2014" t="str">
            <v>TGBU7742141</v>
          </cell>
          <cell r="J2014" t="str">
            <v>THỤY
KÉO VỀ</v>
          </cell>
          <cell r="K2014">
            <v>0.33333333333333331</v>
          </cell>
          <cell r="L2014" t="str">
            <v>TGBU7742141</v>
          </cell>
          <cell r="N2014" t="str">
            <v>GIC</v>
          </cell>
          <cell r="O2014" t="str">
            <v>VH-26/50160</v>
          </cell>
          <cell r="P2014" t="str">
            <v>done</v>
          </cell>
          <cell r="Q2014">
            <v>308206863110</v>
          </cell>
        </row>
        <row r="2015">
          <cell r="I2015" t="str">
            <v>EGSU6255047</v>
          </cell>
          <cell r="J2015" t="str">
            <v>TRỌNG 
KÉO VỀ</v>
          </cell>
          <cell r="K2015">
            <v>0.33333333333333331</v>
          </cell>
          <cell r="L2015" t="str">
            <v>EGSU6255047</v>
          </cell>
          <cell r="N2015" t="str">
            <v>GIC</v>
          </cell>
          <cell r="O2015" t="str">
            <v>VH-26/50161</v>
          </cell>
          <cell r="P2015" t="str">
            <v>done</v>
          </cell>
          <cell r="Q2015">
            <v>308206869740</v>
          </cell>
        </row>
        <row r="2016">
          <cell r="I2016" t="str">
            <v>TGBU4372613</v>
          </cell>
          <cell r="J2016" t="str">
            <v>RU TRỊ̣NH VŨ</v>
          </cell>
          <cell r="K2016">
            <v>0.875</v>
          </cell>
          <cell r="L2016" t="str">
            <v>TGBU4372613</v>
          </cell>
          <cell r="N2016" t="str">
            <v xml:space="preserve">Grand Forward </v>
          </cell>
          <cell r="O2016" t="str">
            <v>VS-26/50143</v>
          </cell>
          <cell r="P2016" t="str">
            <v>done</v>
          </cell>
          <cell r="Q2016">
            <v>308208412320</v>
          </cell>
        </row>
        <row r="2017">
          <cell r="I2017" t="str">
            <v>FFAU2805049</v>
          </cell>
          <cell r="J2017" t="str">
            <v>THỊNH</v>
          </cell>
          <cell r="K2017">
            <v>0.125</v>
          </cell>
          <cell r="L2017" t="str">
            <v>TCNU4416250</v>
          </cell>
          <cell r="N2017" t="str">
            <v xml:space="preserve">Grand Forward </v>
          </cell>
          <cell r="O2017" t="str">
            <v>VS-26/50139</v>
          </cell>
          <cell r="Q2017">
            <v>308208560460</v>
          </cell>
        </row>
        <row r="2018">
          <cell r="I2018" t="str">
            <v>HPCU5031946</v>
          </cell>
          <cell r="J2018" t="str">
            <v>SƠN</v>
          </cell>
          <cell r="K2018">
            <v>0.58333333333333337</v>
          </cell>
          <cell r="L2018" t="str">
            <v>TEMU9878163</v>
          </cell>
          <cell r="O2018" t="str">
            <v>RTB-26/0040</v>
          </cell>
          <cell r="Q2018">
            <v>0</v>
          </cell>
        </row>
        <row r="2019">
          <cell r="I2019" t="str">
            <v>MSMU5644553</v>
          </cell>
          <cell r="K2019">
            <v>0.625</v>
          </cell>
          <cell r="Q2019">
            <v>0</v>
          </cell>
        </row>
        <row r="2020">
          <cell r="I2020" t="str">
            <v>FFAU2614401</v>
          </cell>
          <cell r="J2020" t="str">
            <v>SƠN</v>
          </cell>
          <cell r="K2020">
            <v>0.875</v>
          </cell>
          <cell r="L2020" t="str">
            <v>FFAU7499743 </v>
          </cell>
          <cell r="Q2020">
            <v>0</v>
          </cell>
        </row>
        <row r="2021">
          <cell r="I2021" t="str">
            <v>ECMU7062423</v>
          </cell>
          <cell r="J2021" t="str">
            <v>PHƯƠNG</v>
          </cell>
          <cell r="K2021">
            <v>0.91666666666666663</v>
          </cell>
          <cell r="L2021" t="str">
            <v>HAMU1189742</v>
          </cell>
          <cell r="Q2021">
            <v>0</v>
          </cell>
        </row>
        <row r="2022">
          <cell r="I2022" t="str">
            <v>CAAU7712238</v>
          </cell>
          <cell r="J2022" t="str">
            <v>THI</v>
          </cell>
          <cell r="K2022">
            <v>0</v>
          </cell>
          <cell r="L2022" t="str">
            <v>TRHU6933424</v>
          </cell>
          <cell r="O2022" t="str">
            <v>RTB-26/0041</v>
          </cell>
          <cell r="Q2022">
            <v>0</v>
          </cell>
        </row>
        <row r="2023">
          <cell r="I2023" t="str">
            <v>TIIU6438410</v>
          </cell>
          <cell r="J2023" t="str">
            <v>QUÂN 
KÉO VỀ</v>
          </cell>
          <cell r="K2023">
            <v>0.41666666666666669</v>
          </cell>
          <cell r="N2023" t="str">
            <v>ĐÌNH VŨ</v>
          </cell>
          <cell r="O2023" t="str">
            <v>VP-26/50482</v>
          </cell>
          <cell r="P2023" t="str">
            <v>done</v>
          </cell>
          <cell r="Q2023">
            <v>308209127020</v>
          </cell>
        </row>
        <row r="2024">
          <cell r="I2024" t="str">
            <v>UETU6428600</v>
          </cell>
          <cell r="J2024" t="str">
            <v>RU XUÂN THỦY</v>
          </cell>
          <cell r="K2024">
            <v>0.4236111111111111</v>
          </cell>
          <cell r="L2024" t="str">
            <v>UETU6428600</v>
          </cell>
          <cell r="N2024" t="str">
            <v>LẠCH HUYỆN</v>
          </cell>
          <cell r="O2024" t="str">
            <v>VI-26/50844</v>
          </cell>
          <cell r="P2024" t="str">
            <v>done</v>
          </cell>
          <cell r="Q2024">
            <v>308208330420</v>
          </cell>
        </row>
        <row r="2025">
          <cell r="I2025" t="str">
            <v>TCKU6126846</v>
          </cell>
          <cell r="J2025" t="str">
            <v>QUÂN</v>
          </cell>
          <cell r="K2025">
            <v>0.33333333333333331</v>
          </cell>
          <cell r="L2025" t="str">
            <v>HASU5039906</v>
          </cell>
          <cell r="M2025" t="str">
            <v>TRI PHƯƠNG</v>
          </cell>
          <cell r="N2025" t="str">
            <v>HATECO HICT</v>
          </cell>
          <cell r="O2025" t="str">
            <v>VI-26/50842</v>
          </cell>
          <cell r="P2025" t="str">
            <v>done</v>
          </cell>
          <cell r="Q2025">
            <v>308207977510</v>
          </cell>
        </row>
        <row r="2026">
          <cell r="I2026" t="str">
            <v>MRKU3367098</v>
          </cell>
          <cell r="J2026" t="str">
            <v>SƠN</v>
          </cell>
          <cell r="K2026">
            <v>0.34375</v>
          </cell>
          <cell r="L2026" t="str">
            <v>TCKU6126846</v>
          </cell>
          <cell r="M2026" t="str">
            <v>TRI PHƯƠNG</v>
          </cell>
          <cell r="N2026" t="str">
            <v>HATECO HICT</v>
          </cell>
          <cell r="O2026" t="str">
            <v>VI-26/50843</v>
          </cell>
          <cell r="P2026" t="str">
            <v>done</v>
          </cell>
          <cell r="Q2026">
            <v>308207991400</v>
          </cell>
        </row>
        <row r="2027">
          <cell r="I2027" t="str">
            <v>MRKU4438621</v>
          </cell>
          <cell r="J2027" t="str">
            <v>HƯỜNG</v>
          </cell>
          <cell r="K2027">
            <v>0.35416666666666669</v>
          </cell>
          <cell r="L2027" t="str">
            <v>TCKU7190855</v>
          </cell>
          <cell r="M2027" t="str">
            <v>TRI PHƯƠNG</v>
          </cell>
          <cell r="N2027" t="str">
            <v>HATECO HICT</v>
          </cell>
          <cell r="O2027" t="str">
            <v>VI-26/50849</v>
          </cell>
          <cell r="P2027" t="str">
            <v>done</v>
          </cell>
          <cell r="Q2027">
            <v>308208008900</v>
          </cell>
        </row>
        <row r="2028">
          <cell r="I2028" t="str">
            <v>MIEU2016993</v>
          </cell>
          <cell r="J2028" t="str">
            <v>SÂM</v>
          </cell>
          <cell r="K2028">
            <v>0.375</v>
          </cell>
          <cell r="L2028" t="str">
            <v>MRKU4428621</v>
          </cell>
          <cell r="M2028" t="str">
            <v>TRI PHƯƠNG</v>
          </cell>
          <cell r="N2028" t="str">
            <v>HATECO HICT</v>
          </cell>
          <cell r="O2028" t="str">
            <v>VI-26/50851</v>
          </cell>
          <cell r="P2028" t="str">
            <v>done</v>
          </cell>
          <cell r="Q2028">
            <v>308208087260</v>
          </cell>
        </row>
        <row r="2029">
          <cell r="I2029" t="str">
            <v>MRSU5160918</v>
          </cell>
          <cell r="J2029" t="str">
            <v>ĐỨC</v>
          </cell>
          <cell r="K2029">
            <v>0.60416666666666663</v>
          </cell>
          <cell r="L2029" t="str">
            <v>MRKU3367098</v>
          </cell>
          <cell r="M2029" t="str">
            <v>TRI PHƯƠNG</v>
          </cell>
          <cell r="N2029" t="str">
            <v>HATECO HICT</v>
          </cell>
          <cell r="O2029" t="str">
            <v>VI-26/50825</v>
          </cell>
          <cell r="P2029" t="str">
            <v>done</v>
          </cell>
          <cell r="Q2029">
            <v>308207927660</v>
          </cell>
        </row>
        <row r="2030">
          <cell r="I2030" t="str">
            <v>MRKU6000640</v>
          </cell>
          <cell r="J2030" t="str">
            <v>SÂM</v>
          </cell>
          <cell r="K2030">
            <v>0.88541666666666663</v>
          </cell>
          <cell r="L2030" t="str">
            <v>MIEU2016993</v>
          </cell>
          <cell r="M2030" t="str">
            <v>TRI PHƯƠNG</v>
          </cell>
          <cell r="N2030" t="str">
            <v>HATECO HICT</v>
          </cell>
          <cell r="O2030" t="str">
            <v>VI-26/50846</v>
          </cell>
          <cell r="P2030" t="str">
            <v>done</v>
          </cell>
          <cell r="Q2030">
            <v>308208061250</v>
          </cell>
        </row>
        <row r="2031">
          <cell r="I2031" t="str">
            <v>MRSU3488220</v>
          </cell>
          <cell r="J2031" t="str">
            <v>HƯỜNG</v>
          </cell>
          <cell r="K2031">
            <v>0.10416666666666667</v>
          </cell>
          <cell r="L2031" t="str">
            <v>MRSU5160918</v>
          </cell>
          <cell r="M2031" t="str">
            <v>TRI PHƯƠNG</v>
          </cell>
          <cell r="N2031" t="str">
            <v>HATECO HICT</v>
          </cell>
          <cell r="O2031" t="str">
            <v>VI-26/50847</v>
          </cell>
          <cell r="P2031" t="str">
            <v>done</v>
          </cell>
          <cell r="Q2031">
            <v>308208073740</v>
          </cell>
        </row>
        <row r="2032">
          <cell r="I2032" t="str">
            <v>MRKU6497428</v>
          </cell>
          <cell r="J2032" t="str">
            <v>MẠNH</v>
          </cell>
          <cell r="K2032">
            <v>0.125</v>
          </cell>
          <cell r="L2032" t="str">
            <v>MRKU6497428</v>
          </cell>
          <cell r="M2032" t="str">
            <v>TRI PHƯƠNG</v>
          </cell>
          <cell r="N2032" t="str">
            <v>HATECO HICT</v>
          </cell>
          <cell r="O2032" t="str">
            <v>VI-26/50850</v>
          </cell>
          <cell r="P2032" t="str">
            <v>done</v>
          </cell>
          <cell r="Q2032">
            <v>308208024960</v>
          </cell>
        </row>
        <row r="2033">
          <cell r="I2033" t="str">
            <v>MRSU4401013</v>
          </cell>
          <cell r="J2033" t="str">
            <v>PHƯƠNG</v>
          </cell>
          <cell r="K2033">
            <v>0.13541666666666666</v>
          </cell>
          <cell r="L2033" t="str">
            <v>MRSU4401013</v>
          </cell>
          <cell r="M2033" t="str">
            <v>TRI PHƯƠNG</v>
          </cell>
          <cell r="N2033" t="str">
            <v>HATECO HICT</v>
          </cell>
          <cell r="O2033" t="str">
            <v>VI-26/50852</v>
          </cell>
          <cell r="P2033" t="str">
            <v>done</v>
          </cell>
          <cell r="Q2033">
            <v>308208098460</v>
          </cell>
        </row>
        <row r="2034">
          <cell r="I2034" t="str">
            <v>MRKU6263693</v>
          </cell>
          <cell r="J2034" t="str">
            <v>ĐỨC</v>
          </cell>
          <cell r="K2034" t="str">
            <v>22:00</v>
          </cell>
          <cell r="L2034" t="str">
            <v>MRKU5679496</v>
          </cell>
          <cell r="M2034" t="str">
            <v>TRI PHƯƠNG</v>
          </cell>
          <cell r="N2034" t="str">
            <v>HATECO HICT</v>
          </cell>
          <cell r="P2034" t="str">
            <v>done</v>
          </cell>
          <cell r="Q2034">
            <v>308208332740</v>
          </cell>
        </row>
        <row r="2035">
          <cell r="I2035" t="str">
            <v>MRSU4139351</v>
          </cell>
          <cell r="J2035" t="str">
            <v>SÂM</v>
          </cell>
          <cell r="K2035" t="str">
            <v>8:00</v>
          </cell>
          <cell r="L2035" t="str">
            <v>MNBU4334925</v>
          </cell>
          <cell r="M2035" t="str">
            <v>TRI PHƯƠNG</v>
          </cell>
          <cell r="N2035" t="str">
            <v>HATECO HICT</v>
          </cell>
          <cell r="P2035" t="str">
            <v>done</v>
          </cell>
          <cell r="Q2035">
            <v>308208590930</v>
          </cell>
        </row>
        <row r="2036">
          <cell r="I2036" t="str">
            <v>HASU4190250</v>
          </cell>
          <cell r="J2036" t="str">
            <v>PHƯƠNG</v>
          </cell>
          <cell r="K2036" t="str">
            <v>9:00</v>
          </cell>
          <cell r="L2036" t="str">
            <v>ONEU1266666</v>
          </cell>
          <cell r="M2036" t="str">
            <v>TRI PHƯƠNG</v>
          </cell>
          <cell r="N2036" t="str">
            <v>HATECO HICT</v>
          </cell>
          <cell r="P2036" t="str">
            <v>done</v>
          </cell>
          <cell r="Q2036">
            <v>308208663950</v>
          </cell>
        </row>
        <row r="2037">
          <cell r="I2037" t="str">
            <v>TCLU1745193</v>
          </cell>
          <cell r="J2037" t="str">
            <v>ĐỨC</v>
          </cell>
          <cell r="K2037" t="str">
            <v>0:00</v>
          </cell>
          <cell r="M2037" t="str">
            <v>TRI PHƯƠNG</v>
          </cell>
          <cell r="N2037" t="str">
            <v>HATECO HICT</v>
          </cell>
          <cell r="P2037" t="str">
            <v>done</v>
          </cell>
          <cell r="Q2037">
            <v>308208720760</v>
          </cell>
        </row>
        <row r="2038">
          <cell r="I2038" t="str">
            <v>HASU4733595</v>
          </cell>
          <cell r="J2038" t="str">
            <v>SƠN</v>
          </cell>
          <cell r="K2038" t="str">
            <v>11:00</v>
          </cell>
          <cell r="L2038" t="str">
            <v>HPCU5031946</v>
          </cell>
          <cell r="M2038" t="str">
            <v>TRI PHƯƠNG</v>
          </cell>
          <cell r="N2038" t="str">
            <v>HATECO HICT</v>
          </cell>
          <cell r="P2038" t="str">
            <v>done</v>
          </cell>
          <cell r="Q2038">
            <v>308209637800</v>
          </cell>
        </row>
        <row r="2039">
          <cell r="I2039" t="str">
            <v>TRHU6933424</v>
          </cell>
          <cell r="J2039" t="str">
            <v>THÀNH</v>
          </cell>
          <cell r="K2039" t="str">
            <v>13:00</v>
          </cell>
          <cell r="L2039" t="str">
            <v>SITU9236355</v>
          </cell>
          <cell r="M2039" t="str">
            <v>TRI PHƯƠNG</v>
          </cell>
          <cell r="N2039" t="str">
            <v>HATECO HICT</v>
          </cell>
          <cell r="P2039" t="str">
            <v>done</v>
          </cell>
          <cell r="Q2039">
            <v>308209727030</v>
          </cell>
        </row>
        <row r="2040">
          <cell r="I2040" t="str">
            <v>TCKU7854743</v>
          </cell>
          <cell r="J2040" t="str">
            <v>TÍN</v>
          </cell>
          <cell r="K2040" t="str">
            <v>22:00</v>
          </cell>
          <cell r="L2040" t="str">
            <v>SITU9198297 </v>
          </cell>
          <cell r="M2040" t="str">
            <v>TRI PHƯƠNG</v>
          </cell>
          <cell r="N2040" t="str">
            <v>HATECO HICT</v>
          </cell>
          <cell r="P2040" t="str">
            <v>done</v>
          </cell>
          <cell r="Q2040">
            <v>308209771350</v>
          </cell>
        </row>
        <row r="2041">
          <cell r="I2041" t="str">
            <v>BEAU6346066</v>
          </cell>
          <cell r="J2041" t="str">
            <v>SÂM</v>
          </cell>
          <cell r="K2041" t="str">
            <v>2:00</v>
          </cell>
          <cell r="L2041" t="str">
            <v>MSMU5644553</v>
          </cell>
          <cell r="M2041" t="str">
            <v>TRI PHƯƠNG</v>
          </cell>
          <cell r="N2041" t="str">
            <v>HATECO HICT</v>
          </cell>
          <cell r="P2041" t="str">
            <v>done</v>
          </cell>
          <cell r="Q2041">
            <v>308209818360</v>
          </cell>
        </row>
        <row r="2042">
          <cell r="I2042" t="str">
            <v>MRSU6184067</v>
          </cell>
          <cell r="J2042" t="str">
            <v>QUÂN</v>
          </cell>
          <cell r="K2042" t="str">
            <v>9:00</v>
          </cell>
          <cell r="L2042" t="str">
            <v>MRSU4139351</v>
          </cell>
          <cell r="M2042" t="str">
            <v>TRI PHƯƠNG</v>
          </cell>
          <cell r="N2042" t="str">
            <v>HATECO HICT</v>
          </cell>
          <cell r="P2042" t="str">
            <v>done</v>
          </cell>
          <cell r="Q2042">
            <v>308207948920</v>
          </cell>
        </row>
        <row r="2043">
          <cell r="I2043" t="str">
            <v>MRKU5679496</v>
          </cell>
          <cell r="J2043" t="str">
            <v>QUÂN</v>
          </cell>
          <cell r="K2043">
            <v>0.58333333333333337</v>
          </cell>
          <cell r="L2043" t="str">
            <v>TIIU6438410</v>
          </cell>
          <cell r="M2043" t="str">
            <v>TRI PHƯƠNG</v>
          </cell>
          <cell r="N2043" t="str">
            <v>HATECO HICT</v>
          </cell>
          <cell r="P2043" t="str">
            <v>done</v>
          </cell>
          <cell r="Q2043">
            <v>308209430010</v>
          </cell>
        </row>
        <row r="2044">
          <cell r="I2044" t="str">
            <v>HAMU1189742</v>
          </cell>
          <cell r="J2044" t="str">
            <v>THI</v>
          </cell>
          <cell r="K2044">
            <v>0.41666666666666669</v>
          </cell>
          <cell r="L2044" t="str">
            <v>HASU4190250</v>
          </cell>
          <cell r="M2044" t="str">
            <v>TRI PHƯƠNG</v>
          </cell>
          <cell r="N2044" t="str">
            <v>HATECO HICT</v>
          </cell>
          <cell r="Q2044">
            <v>0</v>
          </cell>
        </row>
        <row r="2045">
          <cell r="I2045" t="str">
            <v>HAMU1875681</v>
          </cell>
          <cell r="J2045" t="str">
            <v>HƯỜNG</v>
          </cell>
          <cell r="K2045">
            <v>0.54166666666666663</v>
          </cell>
          <cell r="M2045" t="str">
            <v>TRI PHƯƠNG</v>
          </cell>
          <cell r="N2045" t="str">
            <v>HATECO HICT</v>
          </cell>
          <cell r="Q2045">
            <v>0</v>
          </cell>
        </row>
        <row r="2046">
          <cell r="I2046" t="str">
            <v>FFAU7032996</v>
          </cell>
          <cell r="J2046" t="str">
            <v>QUÂN</v>
          </cell>
          <cell r="K2046">
            <v>0.375</v>
          </cell>
          <cell r="L2046" t="str">
            <v>HAMU1875681</v>
          </cell>
          <cell r="Q2046">
            <v>0</v>
          </cell>
        </row>
        <row r="2047">
          <cell r="I2047" t="str">
            <v>TRHU6158163</v>
          </cell>
          <cell r="J2047" t="str">
            <v>THÀNH
TÍN KÉO VỀ</v>
          </cell>
          <cell r="K2047">
            <v>0.375</v>
          </cell>
          <cell r="L2047" t="str">
            <v>TCKU7854743</v>
          </cell>
          <cell r="N2047" t="str">
            <v>TÂN VŨ</v>
          </cell>
          <cell r="O2047" t="str">
            <v>VZ-26/50140+VZ-26/50140R</v>
          </cell>
          <cell r="P2047" t="str">
            <v>done</v>
          </cell>
          <cell r="Q2047" t="str">
            <v>308211517740
308211501640</v>
          </cell>
        </row>
        <row r="2048">
          <cell r="I2048" t="str">
            <v>TIIU5663206</v>
          </cell>
          <cell r="J2048" t="str">
            <v>SÂM</v>
          </cell>
          <cell r="K2048">
            <v>0.41666666666666669</v>
          </cell>
          <cell r="L2048" t="str">
            <v>TCLU1745193</v>
          </cell>
          <cell r="Q2048">
            <v>0</v>
          </cell>
        </row>
        <row r="2049">
          <cell r="I2049" t="str">
            <v>MSNU8560758</v>
          </cell>
          <cell r="J2049" t="str">
            <v>SƠN</v>
          </cell>
          <cell r="K2049">
            <v>0.41666666666666669</v>
          </cell>
          <cell r="L2049" t="str">
            <v>BEAU6346066</v>
          </cell>
          <cell r="O2049" t="str">
            <v>HP</v>
          </cell>
          <cell r="Q2049">
            <v>0</v>
          </cell>
        </row>
        <row r="2050">
          <cell r="I2050" t="str">
            <v>ECMU5239720</v>
          </cell>
          <cell r="K2050">
            <v>0.41666666666666669</v>
          </cell>
          <cell r="Q2050">
            <v>0</v>
          </cell>
        </row>
        <row r="2051">
          <cell r="I2051" t="str">
            <v>SELU4284478</v>
          </cell>
          <cell r="J2051" t="str">
            <v>THÀNH</v>
          </cell>
          <cell r="K2051">
            <v>0.45833333333333331</v>
          </cell>
          <cell r="L2051" t="str">
            <v>MRSU8456652</v>
          </cell>
          <cell r="Q2051">
            <v>0</v>
          </cell>
        </row>
        <row r="2052">
          <cell r="I2052" t="str">
            <v>TIIU6099261</v>
          </cell>
          <cell r="K2052">
            <v>0.54166666666666663</v>
          </cell>
          <cell r="Q2052">
            <v>0</v>
          </cell>
        </row>
        <row r="2053">
          <cell r="I2053" t="str">
            <v>UETU6017867</v>
          </cell>
          <cell r="K2053">
            <v>0.58333333333333337</v>
          </cell>
          <cell r="Q2053">
            <v>0</v>
          </cell>
        </row>
        <row r="2054">
          <cell r="I2054" t="str">
            <v>TXGU4207606</v>
          </cell>
          <cell r="J2054" t="str">
            <v>SƠN
THANH KÉO VỀ</v>
          </cell>
          <cell r="K2054">
            <v>0.58333333333333337</v>
          </cell>
          <cell r="L2054" t="str">
            <v>CAIU5546090</v>
          </cell>
          <cell r="N2054" t="str">
            <v>TÂN VŨ</v>
          </cell>
          <cell r="O2054" t="str">
            <v>VZ-26/50141+VZ-26/50141R+VZ-26/50141R-01</v>
          </cell>
          <cell r="P2054" t="str">
            <v>done</v>
          </cell>
          <cell r="Q2054" t="str">
            <v>308215229510
308218782010
308215334030
308215316530
308215292730
308215263330</v>
          </cell>
        </row>
        <row r="2055">
          <cell r="K2055">
            <v>0.58333333333333337</v>
          </cell>
          <cell r="Q2055">
            <v>0</v>
          </cell>
        </row>
        <row r="2056">
          <cell r="I2056" t="str">
            <v>CAAU4913943</v>
          </cell>
          <cell r="J2056" t="str">
            <v>SƠN</v>
          </cell>
          <cell r="K2056">
            <v>0.58333333333333337</v>
          </cell>
          <cell r="L2056" t="str">
            <v>ECMU4894060</v>
          </cell>
          <cell r="O2056" t="str">
            <v>VZ-26/50133+VZ-26/50133R+VZ-26/50133R-01</v>
          </cell>
          <cell r="Q2056">
            <v>0</v>
          </cell>
        </row>
        <row r="2057">
          <cell r="I2057" t="str">
            <v>FFAU7432586</v>
          </cell>
          <cell r="J2057" t="str">
            <v>QUÂN</v>
          </cell>
          <cell r="K2057">
            <v>0.875</v>
          </cell>
          <cell r="L2057" t="str">
            <v>TEMU9165809</v>
          </cell>
          <cell r="O2057" t="str">
            <v>VZ-26/50134+VZ-26/50134R+VZ-26/50134R-01</v>
          </cell>
          <cell r="Q2057">
            <v>0</v>
          </cell>
        </row>
        <row r="2058">
          <cell r="I2058" t="str">
            <v>GCXU6226662</v>
          </cell>
          <cell r="J2058" t="str">
            <v>THÀNH
HỒNG HƯNG KÉO VỀ</v>
          </cell>
          <cell r="K2058">
            <v>0.91666666666666663</v>
          </cell>
          <cell r="L2058" t="str">
            <v>CGMU5060638</v>
          </cell>
          <cell r="N2058" t="str">
            <v>ĐÌNH VŨ</v>
          </cell>
          <cell r="O2058" t="str">
            <v>VZ-26/50121+VZ-26/50121R+VZ-26/50121R-01</v>
          </cell>
          <cell r="P2058" t="str">
            <v>done</v>
          </cell>
          <cell r="Q2058" t="str">
            <v>308217194630
308217287400
308217244220</v>
          </cell>
        </row>
        <row r="2059">
          <cell r="I2059" t="str">
            <v>SELU4418474</v>
          </cell>
          <cell r="J2059" t="str">
            <v>SÂM</v>
          </cell>
          <cell r="K2059">
            <v>0.95833333333333337</v>
          </cell>
          <cell r="O2059" t="str">
            <v>VZ-26/50122+VZ-26/50122R+VZ-26/50122R-01</v>
          </cell>
          <cell r="Q2059">
            <v>0</v>
          </cell>
        </row>
        <row r="2060">
          <cell r="I2060" t="str">
            <v>FFAU1898540</v>
          </cell>
          <cell r="K2060">
            <v>0.54166666666666663</v>
          </cell>
          <cell r="O2060" t="str">
            <v>VR-26/50284</v>
          </cell>
          <cell r="Q2060">
            <v>0</v>
          </cell>
        </row>
        <row r="2061">
          <cell r="I2061" t="str">
            <v>ECMU4894060</v>
          </cell>
          <cell r="K2061">
            <v>0.375</v>
          </cell>
          <cell r="Q2061">
            <v>0</v>
          </cell>
        </row>
        <row r="2062">
          <cell r="I2062" t="str">
            <v>CMAU7564809 </v>
          </cell>
          <cell r="J2062" t="str">
            <v>RU XUÂN THỦY</v>
          </cell>
          <cell r="K2062">
            <v>0.58333333333333337</v>
          </cell>
          <cell r="L2062" t="str">
            <v>CMAU7564809 </v>
          </cell>
          <cell r="N2062" t="str">
            <v>TÂN VŨ</v>
          </cell>
          <cell r="O2062" t="str">
            <v>VI-26/50783</v>
          </cell>
          <cell r="P2062" t="str">
            <v>done</v>
          </cell>
          <cell r="Q2062">
            <v>308203983200</v>
          </cell>
        </row>
        <row r="2063">
          <cell r="I2063" t="str">
            <v>TCKU7766339</v>
          </cell>
          <cell r="J2063" t="str">
            <v>THI</v>
          </cell>
          <cell r="K2063">
            <v>0.33333333333333331</v>
          </cell>
          <cell r="L2063" t="str">
            <v>MRKU6000640</v>
          </cell>
          <cell r="M2063" t="str">
            <v>TRI PHƯƠNG</v>
          </cell>
          <cell r="N2063" t="str">
            <v>HATECO HICT</v>
          </cell>
          <cell r="O2063" t="str">
            <v>VI-26/50857</v>
          </cell>
          <cell r="P2063" t="str">
            <v>done</v>
          </cell>
          <cell r="Q2063">
            <v>308212368500</v>
          </cell>
        </row>
        <row r="2064">
          <cell r="I2064" t="str">
            <v>MRKU5891680</v>
          </cell>
          <cell r="J2064" t="str">
            <v>HƯỜNG</v>
          </cell>
          <cell r="K2064">
            <v>0.35416666666666669</v>
          </cell>
          <cell r="L2064" t="str">
            <v>MRSU3488220</v>
          </cell>
          <cell r="M2064" t="str">
            <v>TRI PHƯƠNG</v>
          </cell>
          <cell r="N2064" t="str">
            <v>HATECO HICT</v>
          </cell>
          <cell r="O2064" t="str">
            <v>VI-26/50858</v>
          </cell>
          <cell r="P2064" t="str">
            <v>done</v>
          </cell>
          <cell r="Q2064">
            <v>308212392850</v>
          </cell>
        </row>
        <row r="2065">
          <cell r="I2065" t="str">
            <v>HASU5180494</v>
          </cell>
          <cell r="J2065" t="str">
            <v>MẠNH</v>
          </cell>
          <cell r="K2065">
            <v>0.4375</v>
          </cell>
          <cell r="L2065" t="str">
            <v>MRKU3099210</v>
          </cell>
          <cell r="M2065" t="str">
            <v>TRI PHƯƠNG</v>
          </cell>
          <cell r="N2065" t="str">
            <v>HATECO HICT</v>
          </cell>
          <cell r="O2065" t="str">
            <v>VI-26/50874</v>
          </cell>
          <cell r="P2065" t="str">
            <v>done</v>
          </cell>
          <cell r="Q2065">
            <v>308212573010</v>
          </cell>
        </row>
        <row r="2066">
          <cell r="I2066" t="str">
            <v>MRSU8503986</v>
          </cell>
          <cell r="J2066" t="str">
            <v>THÀNH</v>
          </cell>
          <cell r="K2066">
            <v>0.54166666666666663</v>
          </cell>
          <cell r="L2066" t="str">
            <v>TCKU7766339</v>
          </cell>
          <cell r="M2066" t="str">
            <v>TRI PHƯƠNG</v>
          </cell>
          <cell r="N2066" t="str">
            <v>HATECO HICT</v>
          </cell>
          <cell r="O2066" t="str">
            <v>VI-26/50882</v>
          </cell>
          <cell r="P2066" t="str">
            <v>done</v>
          </cell>
          <cell r="Q2066">
            <v>308212504150</v>
          </cell>
        </row>
        <row r="2067">
          <cell r="I2067" t="str">
            <v>MRKU5376437</v>
          </cell>
          <cell r="J2067" t="str">
            <v>THI</v>
          </cell>
          <cell r="K2067">
            <v>0.625</v>
          </cell>
          <cell r="L2067" t="str">
            <v>MRKU5891680</v>
          </cell>
          <cell r="M2067" t="str">
            <v>TRI PHƯƠNG</v>
          </cell>
          <cell r="N2067" t="str">
            <v>HATECO HICT</v>
          </cell>
          <cell r="O2067" t="str">
            <v>VI-26/50881</v>
          </cell>
          <cell r="P2067" t="str">
            <v>done</v>
          </cell>
          <cell r="Q2067">
            <v>308212490040</v>
          </cell>
        </row>
        <row r="2068">
          <cell r="I2068" t="str">
            <v>MRKU5388398</v>
          </cell>
          <cell r="J2068" t="str">
            <v>ĐỨC</v>
          </cell>
          <cell r="K2068">
            <v>0.875</v>
          </cell>
          <cell r="L2068" t="str">
            <v>HASU5180494</v>
          </cell>
          <cell r="M2068" t="str">
            <v>TRI PHƯƠNG</v>
          </cell>
          <cell r="N2068" t="str">
            <v>HATECO HICT</v>
          </cell>
          <cell r="O2068" t="str">
            <v>VI-26/50875</v>
          </cell>
          <cell r="P2068" t="str">
            <v>done</v>
          </cell>
          <cell r="Q2068">
            <v>308212471950</v>
          </cell>
        </row>
        <row r="2069">
          <cell r="I2069" t="str">
            <v>TRHU5008641</v>
          </cell>
          <cell r="J2069" t="str">
            <v>HƯỜNG</v>
          </cell>
          <cell r="K2069">
            <v>0.875</v>
          </cell>
          <cell r="L2069" t="str">
            <v>TRHU5008641</v>
          </cell>
          <cell r="M2069" t="str">
            <v>TRI PHƯƠNG</v>
          </cell>
          <cell r="N2069" t="str">
            <v>HATECO HICT</v>
          </cell>
          <cell r="O2069" t="str">
            <v>VI-26/50873</v>
          </cell>
          <cell r="P2069" t="str">
            <v>done</v>
          </cell>
          <cell r="Q2069">
            <v>308212543020</v>
          </cell>
        </row>
        <row r="2070">
          <cell r="I2070" t="str">
            <v>MRKU6399252</v>
          </cell>
          <cell r="J2070" t="str">
            <v>MẠNH</v>
          </cell>
          <cell r="K2070">
            <v>0</v>
          </cell>
          <cell r="L2070" t="str">
            <v>MRKU6399252</v>
          </cell>
          <cell r="M2070" t="str">
            <v>TRI PHƯƠNG</v>
          </cell>
          <cell r="N2070" t="str">
            <v>HATECO HICT</v>
          </cell>
          <cell r="O2070" t="str">
            <v>VI-26/50883</v>
          </cell>
          <cell r="P2070" t="str">
            <v>done</v>
          </cell>
          <cell r="Q2070">
            <v>308212513840</v>
          </cell>
        </row>
        <row r="2071">
          <cell r="I2071" t="str">
            <v>MRKU2795044</v>
          </cell>
          <cell r="J2071" t="str">
            <v>PHƯƠNG</v>
          </cell>
          <cell r="K2071">
            <v>6.25E-2</v>
          </cell>
          <cell r="L2071" t="str">
            <v>MRSU8503986</v>
          </cell>
          <cell r="M2071" t="str">
            <v>TRI PHƯƠNG</v>
          </cell>
          <cell r="N2071" t="str">
            <v>HATECO HICT</v>
          </cell>
          <cell r="O2071" t="str">
            <v>VI-26/50884</v>
          </cell>
          <cell r="P2071" t="str">
            <v>done</v>
          </cell>
          <cell r="Q2071">
            <v>308212520510</v>
          </cell>
        </row>
        <row r="2072">
          <cell r="I2072" t="str">
            <v>TEMU9876031</v>
          </cell>
          <cell r="J2072" t="str">
            <v>HƯỜNG</v>
          </cell>
          <cell r="K2072" t="str">
            <v>10:00</v>
          </cell>
          <cell r="L2072" t="str">
            <v>TTNU8876180</v>
          </cell>
          <cell r="M2072" t="str">
            <v>TRI PHƯƠNG</v>
          </cell>
          <cell r="N2072" t="str">
            <v>TÂN VŨ</v>
          </cell>
          <cell r="Q2072">
            <v>0</v>
          </cell>
        </row>
        <row r="2073">
          <cell r="I2073" t="str">
            <v>TTNU8876180</v>
          </cell>
          <cell r="J2073" t="str">
            <v>MẠNH</v>
          </cell>
          <cell r="K2073" t="str">
            <v>10:00</v>
          </cell>
          <cell r="L2073" t="str">
            <v>CGMU6992288</v>
          </cell>
          <cell r="M2073" t="str">
            <v>TRI PHƯƠNG</v>
          </cell>
          <cell r="N2073" t="str">
            <v>HATECO HICT</v>
          </cell>
          <cell r="Q2073">
            <v>0</v>
          </cell>
        </row>
        <row r="2074">
          <cell r="I2074" t="str">
            <v>CGMU6992288</v>
          </cell>
          <cell r="J2074" t="str">
            <v>ĐỨC</v>
          </cell>
          <cell r="K2074" t="str">
            <v>11:00</v>
          </cell>
          <cell r="L2074" t="str">
            <v>MRSU3810130</v>
          </cell>
          <cell r="M2074" t="str">
            <v>TRI PHƯƠNG</v>
          </cell>
          <cell r="N2074" t="str">
            <v>HATECO HICT</v>
          </cell>
          <cell r="Q2074">
            <v>0</v>
          </cell>
        </row>
        <row r="2075">
          <cell r="I2075" t="str">
            <v>CGMU5060638</v>
          </cell>
          <cell r="J2075" t="str">
            <v>SƠN</v>
          </cell>
          <cell r="K2075" t="str">
            <v>14:00</v>
          </cell>
          <cell r="L2075" t="str">
            <v>MSNU8560758</v>
          </cell>
          <cell r="M2075" t="str">
            <v>TRI PHƯƠNG</v>
          </cell>
          <cell r="N2075" t="str">
            <v>HATECO HICT</v>
          </cell>
          <cell r="Q2075">
            <v>0</v>
          </cell>
        </row>
        <row r="2076">
          <cell r="I2076" t="str">
            <v>TEMU9165809</v>
          </cell>
          <cell r="J2076" t="str">
            <v>PHƯƠNG</v>
          </cell>
          <cell r="K2076" t="str">
            <v>14:00</v>
          </cell>
          <cell r="L2076" t="str">
            <v>TEMU9876031</v>
          </cell>
          <cell r="M2076" t="str">
            <v>TRI PHƯƠNG</v>
          </cell>
          <cell r="N2076" t="str">
            <v>HATECO HICT</v>
          </cell>
          <cell r="Q2076">
            <v>0</v>
          </cell>
        </row>
        <row r="2077">
          <cell r="I2077" t="str">
            <v>CAIU5546090</v>
          </cell>
          <cell r="J2077" t="str">
            <v>QUÂN</v>
          </cell>
          <cell r="K2077" t="str">
            <v>15:00</v>
          </cell>
          <cell r="L2077" t="str">
            <v>FFAU1898540</v>
          </cell>
          <cell r="M2077" t="str">
            <v>TRI PHƯƠNG</v>
          </cell>
          <cell r="N2077" t="str">
            <v>TÂN VŨ</v>
          </cell>
          <cell r="Q2077">
            <v>0</v>
          </cell>
        </row>
        <row r="2078">
          <cell r="I2078" t="str">
            <v>MRSU4153175</v>
          </cell>
          <cell r="J2078" t="str">
            <v>PHƯƠNG</v>
          </cell>
          <cell r="K2078">
            <v>0.41666666666666669</v>
          </cell>
          <cell r="L2078" t="str">
            <v>MRSU4153175</v>
          </cell>
          <cell r="M2078" t="str">
            <v>TRI PHƯƠNG</v>
          </cell>
          <cell r="N2078" t="str">
            <v>HATECO HICT</v>
          </cell>
          <cell r="P2078" t="str">
            <v>done</v>
          </cell>
          <cell r="Q2078">
            <v>308212290430</v>
          </cell>
        </row>
        <row r="2079">
          <cell r="I2079" t="str">
            <v>MRSU3810130</v>
          </cell>
          <cell r="J2079" t="str">
            <v>THI</v>
          </cell>
          <cell r="K2079" t="str">
            <v>11:00</v>
          </cell>
          <cell r="L2079" t="str">
            <v>HASU4733595</v>
          </cell>
          <cell r="M2079" t="str">
            <v>TRI PHƯƠNG</v>
          </cell>
          <cell r="N2079" t="str">
            <v>HATECO HICT</v>
          </cell>
          <cell r="P2079" t="str">
            <v>done</v>
          </cell>
          <cell r="Q2079">
            <v>308212986120</v>
          </cell>
        </row>
        <row r="2080">
          <cell r="K2080">
            <v>0.875</v>
          </cell>
          <cell r="O2080" t="str">
            <v>VI-26/50900</v>
          </cell>
          <cell r="Q2080">
            <v>0</v>
          </cell>
        </row>
        <row r="2081">
          <cell r="K2081">
            <v>0.375</v>
          </cell>
          <cell r="Q2081">
            <v>0</v>
          </cell>
        </row>
        <row r="2082">
          <cell r="I2082" t="str">
            <v>FFAU7119695</v>
          </cell>
          <cell r="K2082">
            <v>0.375</v>
          </cell>
          <cell r="Q2082">
            <v>0</v>
          </cell>
        </row>
        <row r="2083">
          <cell r="I2083" t="str">
            <v>FFAU7694349</v>
          </cell>
          <cell r="J2083" t="str">
            <v>THỊNH</v>
          </cell>
          <cell r="K2083">
            <v>0.375</v>
          </cell>
          <cell r="L2083" t="str">
            <v>HAMU2245732</v>
          </cell>
          <cell r="O2083" t="str">
            <v>HP</v>
          </cell>
          <cell r="Q2083">
            <v>0</v>
          </cell>
        </row>
        <row r="2084">
          <cell r="I2084" t="str">
            <v>CAAU6316680</v>
          </cell>
          <cell r="J2084" t="str">
            <v>MẠNH</v>
          </cell>
          <cell r="K2084">
            <v>0.375</v>
          </cell>
          <cell r="L2084" t="str">
            <v>MRSU6184067</v>
          </cell>
          <cell r="O2084" t="str">
            <v>VZ-26/50125+VZ-26/50125R+VZ-26/50125R-01</v>
          </cell>
          <cell r="Q2084">
            <v>0</v>
          </cell>
        </row>
        <row r="2085">
          <cell r="I2085" t="str">
            <v>SELU4235690</v>
          </cell>
          <cell r="K2085">
            <v>0.41666666666666669</v>
          </cell>
          <cell r="O2085" t="str">
            <v>RTB-26/0042+SCN-26/04</v>
          </cell>
          <cell r="Q2085">
            <v>0</v>
          </cell>
        </row>
        <row r="2086">
          <cell r="I2086" t="str">
            <v>SELU4371485</v>
          </cell>
          <cell r="J2086" t="str">
            <v>SƠN</v>
          </cell>
          <cell r="K2086">
            <v>0.41666666666666669</v>
          </cell>
          <cell r="L2086" t="str">
            <v>TXGU8851411</v>
          </cell>
          <cell r="O2086" t="str">
            <v>VZ-26/50126+VZ-26/50126R+VZ-26/50126R-01</v>
          </cell>
          <cell r="Q2086">
            <v>0</v>
          </cell>
        </row>
        <row r="2087">
          <cell r="I2087" t="str">
            <v>TIIU5684446</v>
          </cell>
          <cell r="J2087" t="str">
            <v>SÂM</v>
          </cell>
          <cell r="K2087">
            <v>0.41666666666666669</v>
          </cell>
          <cell r="L2087" t="str">
            <v>SEKU4518481</v>
          </cell>
          <cell r="Q2087">
            <v>0</v>
          </cell>
        </row>
        <row r="2088">
          <cell r="I2088" t="str">
            <v>CAAU4506022</v>
          </cell>
          <cell r="J2088" t="str">
            <v>DĐỨC</v>
          </cell>
          <cell r="K2088">
            <v>0.45833333333333331</v>
          </cell>
          <cell r="L2088" t="str">
            <v>FFAU7694349</v>
          </cell>
          <cell r="Q2088">
            <v>0</v>
          </cell>
        </row>
        <row r="2089">
          <cell r="I2089" t="str">
            <v>UETU7389025</v>
          </cell>
          <cell r="J2089" t="str">
            <v>PHƯƠNG</v>
          </cell>
          <cell r="K2089">
            <v>0.54166666666666663</v>
          </cell>
          <cell r="L2089" t="str">
            <v>ECMU5078457</v>
          </cell>
          <cell r="Q2089">
            <v>0</v>
          </cell>
        </row>
        <row r="2090">
          <cell r="I2090" t="str">
            <v>SELU4380928</v>
          </cell>
          <cell r="J2090" t="str">
            <v>ĐỨC</v>
          </cell>
          <cell r="K2090">
            <v>0.54166666666666663</v>
          </cell>
          <cell r="L2090" t="str">
            <v>CAAU7712238</v>
          </cell>
          <cell r="O2090" t="str">
            <v>HP</v>
          </cell>
          <cell r="Q2090">
            <v>0</v>
          </cell>
        </row>
        <row r="2091">
          <cell r="I2091" t="str">
            <v>TIIU6627250</v>
          </cell>
          <cell r="J2091" t="str">
            <v>THỊNH</v>
          </cell>
          <cell r="K2091">
            <v>0.58333333333333337</v>
          </cell>
          <cell r="L2091" t="str">
            <v>FFAU2614401</v>
          </cell>
          <cell r="Q2091">
            <v>0</v>
          </cell>
        </row>
        <row r="2092">
          <cell r="K2092">
            <v>0.58333333333333337</v>
          </cell>
          <cell r="O2092" t="str">
            <v>HP</v>
          </cell>
          <cell r="Q2092">
            <v>0</v>
          </cell>
        </row>
        <row r="2093">
          <cell r="I2093" t="str">
            <v>TCLU7806568</v>
          </cell>
          <cell r="J2093" t="str">
            <v>PHƯƠNG</v>
          </cell>
          <cell r="K2093">
            <v>0.58333333333333337</v>
          </cell>
          <cell r="L2093" t="str">
            <v>TCLU7806568</v>
          </cell>
          <cell r="Q2093">
            <v>0</v>
          </cell>
        </row>
        <row r="2094">
          <cell r="I2094" t="str">
            <v>FFAU7434700</v>
          </cell>
          <cell r="J2094" t="str">
            <v>THANH</v>
          </cell>
          <cell r="K2094">
            <v>0.58333333333333337</v>
          </cell>
          <cell r="L2094" t="str">
            <v>TXGU4207606</v>
          </cell>
          <cell r="O2094" t="str">
            <v>VZ-26/50127+VZ-26/50127R+VZ-26/50127R-01</v>
          </cell>
          <cell r="Q2094">
            <v>0</v>
          </cell>
        </row>
        <row r="2095">
          <cell r="I2095" t="str">
            <v>SELU4404146</v>
          </cell>
          <cell r="J2095" t="str">
            <v>THÀNH</v>
          </cell>
          <cell r="K2095">
            <v>0.875</v>
          </cell>
          <cell r="L2095" t="str">
            <v>ECMU5239720</v>
          </cell>
          <cell r="O2095" t="str">
            <v>HP</v>
          </cell>
          <cell r="Q2095">
            <v>0</v>
          </cell>
        </row>
        <row r="2096">
          <cell r="I2096" t="str">
            <v>CAAU9895164</v>
          </cell>
          <cell r="J2096" t="str">
            <v>SÂM</v>
          </cell>
          <cell r="K2096">
            <v>0.875</v>
          </cell>
          <cell r="L2096" t="str">
            <v>SELU4404146</v>
          </cell>
          <cell r="O2096" t="str">
            <v>VZ-26/50128+VZ-26/50128R+VZ-26/50128R-01</v>
          </cell>
          <cell r="Q2096">
            <v>0</v>
          </cell>
        </row>
        <row r="2097">
          <cell r="I2097" t="str">
            <v>SELU4416532</v>
          </cell>
          <cell r="J2097" t="str">
            <v>PHƯƠNG</v>
          </cell>
          <cell r="K2097">
            <v>0.91666666666666663</v>
          </cell>
          <cell r="O2097" t="str">
            <v>VZ-26/50129+VZ-26/50129R+VZ-26/50129R-01</v>
          </cell>
          <cell r="Q2097">
            <v>0</v>
          </cell>
        </row>
        <row r="2098">
          <cell r="I2098" t="str">
            <v>TIIU6454978</v>
          </cell>
          <cell r="J2098" t="str">
            <v>THỊNH</v>
          </cell>
          <cell r="K2098">
            <v>0.95833333333333337</v>
          </cell>
          <cell r="L2098" t="str">
            <v>SELU4371485</v>
          </cell>
          <cell r="O2098" t="str">
            <v>VZ-26/50130+VZ-26/50130R+VZ-26/50130R-01</v>
          </cell>
          <cell r="Q2098">
            <v>0</v>
          </cell>
        </row>
        <row r="2099">
          <cell r="I2099" t="str">
            <v>CAAU4837381</v>
          </cell>
          <cell r="J2099" t="str">
            <v>THÀNH</v>
          </cell>
          <cell r="K2099">
            <v>0.95833333333333337</v>
          </cell>
          <cell r="L2099" t="str">
            <v>SELU4235690</v>
          </cell>
          <cell r="O2099" t="str">
            <v>HP</v>
          </cell>
          <cell r="Q2099">
            <v>0</v>
          </cell>
        </row>
        <row r="2100">
          <cell r="I2100" t="str">
            <v>UETU7821925</v>
          </cell>
          <cell r="J2100" t="str">
            <v>ĐỨC</v>
          </cell>
          <cell r="K2100">
            <v>0</v>
          </cell>
          <cell r="L2100" t="str">
            <v>HPCU4973260</v>
          </cell>
          <cell r="O2100" t="str">
            <v>RTB-26/0043</v>
          </cell>
          <cell r="Q2100">
            <v>0</v>
          </cell>
        </row>
        <row r="2101">
          <cell r="I2101" t="str">
            <v>CMAU9683242</v>
          </cell>
          <cell r="K2101">
            <v>0.41666666666666669</v>
          </cell>
          <cell r="Q2101">
            <v>0</v>
          </cell>
        </row>
        <row r="2102">
          <cell r="I2102" t="str">
            <v>ECMU5078457</v>
          </cell>
          <cell r="K2102">
            <v>0.625</v>
          </cell>
          <cell r="Q2102">
            <v>0</v>
          </cell>
        </row>
        <row r="2103">
          <cell r="I2103" t="str">
            <v>HPCU4973260</v>
          </cell>
          <cell r="K2103">
            <v>0.875</v>
          </cell>
          <cell r="O2103" t="str">
            <v>HP</v>
          </cell>
          <cell r="Q2103">
            <v>0</v>
          </cell>
        </row>
        <row r="2104">
          <cell r="I2104" t="str">
            <v>TGBU8959595</v>
          </cell>
          <cell r="J2104" t="str">
            <v>DŨNG 
KÉO VỀ</v>
          </cell>
          <cell r="L2104" t="str">
            <v>TGBU8959595</v>
          </cell>
          <cell r="N2104" t="str">
            <v>TÂN VŨ</v>
          </cell>
          <cell r="O2104" t="str">
            <v>VR-26/50232</v>
          </cell>
          <cell r="P2104" t="str">
            <v>done</v>
          </cell>
          <cell r="Q2104">
            <v>308217447810</v>
          </cell>
        </row>
        <row r="2105">
          <cell r="I2105" t="str">
            <v>FCIU7033829</v>
          </cell>
          <cell r="J2105" t="str">
            <v>XUYÊN 
KÉO VỀ</v>
          </cell>
          <cell r="L2105" t="str">
            <v>FCIU7033829</v>
          </cell>
          <cell r="N2105" t="str">
            <v>TÂN VŨ</v>
          </cell>
          <cell r="O2105" t="str">
            <v>VR-26/50304</v>
          </cell>
          <cell r="P2105" t="str">
            <v>done</v>
          </cell>
          <cell r="Q2105">
            <v>308217480230</v>
          </cell>
        </row>
        <row r="2106">
          <cell r="I2106" t="str">
            <v>OOCU6533820</v>
          </cell>
          <cell r="J2106" t="str">
            <v>VINH
KÉO VỀ</v>
          </cell>
          <cell r="L2106" t="str">
            <v>OOCU6533820</v>
          </cell>
          <cell r="N2106" t="str">
            <v>TÂN VŨ</v>
          </cell>
          <cell r="O2106" t="str">
            <v>VR-26/50305</v>
          </cell>
          <cell r="P2106" t="str">
            <v>done</v>
          </cell>
          <cell r="Q2106">
            <v>308217512800</v>
          </cell>
        </row>
        <row r="2107">
          <cell r="I2107" t="str">
            <v>OOCU9724332</v>
          </cell>
          <cell r="J2107" t="str">
            <v>RU CIMC5</v>
          </cell>
          <cell r="K2107">
            <v>0.41666666666666669</v>
          </cell>
          <cell r="L2107" t="str">
            <v>OOCU9724332</v>
          </cell>
          <cell r="N2107" t="str">
            <v>TÂN VŨ</v>
          </cell>
          <cell r="O2107" t="str">
            <v>VS-26/50148</v>
          </cell>
          <cell r="P2107" t="str">
            <v>done</v>
          </cell>
          <cell r="Q2107">
            <v>308214660520</v>
          </cell>
        </row>
        <row r="2108">
          <cell r="I2108" t="str">
            <v>OOCU9677689</v>
          </cell>
          <cell r="J2108" t="str">
            <v>HỒNG HƯNG
KÉ́O VÊ</v>
          </cell>
          <cell r="K2108">
            <v>0.45833333333333331</v>
          </cell>
          <cell r="L2108" t="str">
            <v>EGSU6273631</v>
          </cell>
          <cell r="N2108" t="str">
            <v>GRAND FORWARD</v>
          </cell>
          <cell r="O2108" t="str">
            <v>VS-26/50154</v>
          </cell>
          <cell r="P2108" t="str">
            <v>done</v>
          </cell>
          <cell r="Q2108">
            <v>308214663320</v>
          </cell>
        </row>
        <row r="2109">
          <cell r="I2109" t="str">
            <v>EGSU6079478</v>
          </cell>
          <cell r="J2109" t="str">
            <v>HỒNG HƯNG</v>
          </cell>
          <cell r="L2109" t="str">
            <v>OOCU9677689</v>
          </cell>
          <cell r="Q2109">
            <v>0</v>
          </cell>
        </row>
        <row r="2110">
          <cell r="I2110" t="str">
            <v>MRKU5471706</v>
          </cell>
          <cell r="J2110" t="str">
            <v>THI</v>
          </cell>
          <cell r="K2110">
            <v>0.33333333333333331</v>
          </cell>
          <cell r="L2110" t="str">
            <v>TEMU7460657</v>
          </cell>
          <cell r="M2110" t="str">
            <v>TRI PHƯƠNG</v>
          </cell>
          <cell r="N2110" t="str">
            <v>HATECO HICT</v>
          </cell>
          <cell r="O2110" t="str">
            <v>VS-26/50149</v>
          </cell>
          <cell r="P2110" t="str">
            <v>done</v>
          </cell>
          <cell r="Q2110">
            <v>308214657940</v>
          </cell>
        </row>
        <row r="2111">
          <cell r="I2111" t="str">
            <v>MRKU5130187</v>
          </cell>
          <cell r="J2111" t="str">
            <v>SÂM</v>
          </cell>
          <cell r="K2111">
            <v>0.41666666666666669</v>
          </cell>
          <cell r="L2111" t="str">
            <v xml:space="preserve">FFAU2805049 </v>
          </cell>
          <cell r="M2111" t="str">
            <v>TRI PHƯƠNG</v>
          </cell>
          <cell r="N2111" t="str">
            <v>HATECO HICT</v>
          </cell>
          <cell r="O2111" t="str">
            <v>VS-26/50150</v>
          </cell>
          <cell r="P2111" t="str">
            <v>done</v>
          </cell>
          <cell r="Q2111">
            <v>308214658640</v>
          </cell>
        </row>
        <row r="2112">
          <cell r="I2112" t="str">
            <v>MRSU3560345</v>
          </cell>
          <cell r="J2112" t="str">
            <v>THỊNH</v>
          </cell>
          <cell r="K2112">
            <v>0.58333333333333337</v>
          </cell>
          <cell r="L2112" t="str">
            <v>TRHU5803600</v>
          </cell>
          <cell r="M2112" t="str">
            <v>TRI PHƯƠNG</v>
          </cell>
          <cell r="N2112" t="str">
            <v>HATECO HICT</v>
          </cell>
          <cell r="O2112" t="str">
            <v>VS-26/50151</v>
          </cell>
          <cell r="P2112" t="str">
            <v>done</v>
          </cell>
          <cell r="Q2112">
            <v>308214659120</v>
          </cell>
        </row>
        <row r="2113">
          <cell r="I2113" t="str">
            <v>CAAU5939840</v>
          </cell>
          <cell r="J2113" t="str">
            <v>QUÂN</v>
          </cell>
          <cell r="K2113">
            <v>0.875</v>
          </cell>
          <cell r="L2113" t="str">
            <v>MRKU5130187</v>
          </cell>
          <cell r="M2113" t="str">
            <v>TRI PHƯƠNG</v>
          </cell>
          <cell r="N2113" t="str">
            <v>HATECO HICT</v>
          </cell>
          <cell r="O2113" t="str">
            <v>VS-26/50153</v>
          </cell>
          <cell r="P2113" t="str">
            <v>done</v>
          </cell>
          <cell r="Q2113">
            <v>308214659600</v>
          </cell>
        </row>
        <row r="2114">
          <cell r="I2114" t="str">
            <v>CGMU5668715</v>
          </cell>
          <cell r="J2114" t="str">
            <v>THANH</v>
          </cell>
          <cell r="K2114" t="str">
            <v>8:00</v>
          </cell>
          <cell r="L2114" t="str">
            <v>CGMU5668715</v>
          </cell>
          <cell r="M2114" t="str">
            <v>TRI PHƯƠNG</v>
          </cell>
          <cell r="N2114" t="str">
            <v>TÂN VŨ</v>
          </cell>
          <cell r="O2114">
            <v>1</v>
          </cell>
          <cell r="Q2114">
            <v>0</v>
          </cell>
        </row>
        <row r="2115">
          <cell r="I2115" t="str">
            <v>CGMU8026323</v>
          </cell>
          <cell r="J2115" t="str">
            <v>TÍN</v>
          </cell>
          <cell r="K2115" t="str">
            <v>9:00</v>
          </cell>
          <cell r="L2115" t="str">
            <v>TRHU6158163</v>
          </cell>
          <cell r="M2115" t="str">
            <v>TRI PHƯƠNG</v>
          </cell>
          <cell r="N2115" t="str">
            <v>HATECO HICT</v>
          </cell>
          <cell r="O2115">
            <v>1</v>
          </cell>
          <cell r="Q2115">
            <v>0</v>
          </cell>
        </row>
        <row r="2116">
          <cell r="I2116" t="str">
            <v>ONEU9186171</v>
          </cell>
          <cell r="K2116" t="str">
            <v>21:00</v>
          </cell>
          <cell r="M2116" t="str">
            <v>TRI PHƯƠNG</v>
          </cell>
          <cell r="N2116" t="str">
            <v>TÂN VŨ</v>
          </cell>
          <cell r="O2116">
            <v>1</v>
          </cell>
          <cell r="Q2116">
            <v>0</v>
          </cell>
        </row>
        <row r="2117">
          <cell r="I2117" t="str">
            <v>FBIU5620255</v>
          </cell>
          <cell r="K2117" t="str">
            <v>21:00</v>
          </cell>
          <cell r="M2117" t="str">
            <v>TRI PHƯƠNG</v>
          </cell>
          <cell r="N2117" t="str">
            <v>LẠCH HUYỆN</v>
          </cell>
          <cell r="O2117">
            <v>1</v>
          </cell>
          <cell r="Q2117">
            <v>0</v>
          </cell>
        </row>
        <row r="2118">
          <cell r="I2118" t="str">
            <v>OERU4009685</v>
          </cell>
          <cell r="K2118" t="str">
            <v>21:00</v>
          </cell>
          <cell r="M2118" t="str">
            <v>TRI PHƯƠNG</v>
          </cell>
          <cell r="N2118" t="str">
            <v>LẠCH HUYỆN</v>
          </cell>
          <cell r="O2118">
            <v>1</v>
          </cell>
          <cell r="Q2118">
            <v>0</v>
          </cell>
        </row>
        <row r="2119">
          <cell r="I2119" t="str">
            <v>SZLU9367520</v>
          </cell>
          <cell r="K2119" t="str">
            <v>22:00</v>
          </cell>
          <cell r="M2119" t="str">
            <v>TRI PHƯƠNG</v>
          </cell>
          <cell r="N2119" t="str">
            <v>LẠCH HUYỆN</v>
          </cell>
          <cell r="O2119">
            <v>1</v>
          </cell>
          <cell r="Q2119">
            <v>0</v>
          </cell>
        </row>
        <row r="2120">
          <cell r="I2120" t="str">
            <v>FBIU5648777</v>
          </cell>
          <cell r="K2120" t="str">
            <v>23:00</v>
          </cell>
          <cell r="M2120" t="str">
            <v>TRI PHƯƠNG</v>
          </cell>
          <cell r="N2120" t="str">
            <v>LẠCH HUYỆN</v>
          </cell>
          <cell r="O2120">
            <v>1</v>
          </cell>
          <cell r="Q2120">
            <v>0</v>
          </cell>
        </row>
        <row r="2121">
          <cell r="I2121" t="str">
            <v>OERU4191990</v>
          </cell>
          <cell r="K2121" t="str">
            <v>0:00</v>
          </cell>
          <cell r="M2121" t="str">
            <v>TRI PHƯƠNG</v>
          </cell>
          <cell r="N2121" t="str">
            <v>LẠCH HUYỆN</v>
          </cell>
          <cell r="O2121">
            <v>1</v>
          </cell>
          <cell r="Q2121">
            <v>0</v>
          </cell>
        </row>
        <row r="2122">
          <cell r="I2122" t="str">
            <v>OERU4330930</v>
          </cell>
          <cell r="K2122" t="str">
            <v>1:00</v>
          </cell>
          <cell r="M2122" t="str">
            <v>TRI PHƯƠNG</v>
          </cell>
          <cell r="N2122" t="str">
            <v>LẠCH HUYỆN</v>
          </cell>
          <cell r="O2122">
            <v>1</v>
          </cell>
          <cell r="Q2122">
            <v>0</v>
          </cell>
        </row>
        <row r="2123">
          <cell r="I2123" t="str">
            <v>MNBU4420670</v>
          </cell>
          <cell r="J2123" t="str">
            <v>MẠNH</v>
          </cell>
          <cell r="K2123" t="str">
            <v>11:00</v>
          </cell>
          <cell r="L2123" t="str">
            <v>MNBU4420670</v>
          </cell>
          <cell r="M2123" t="str">
            <v>TRI PHƯƠNG</v>
          </cell>
          <cell r="N2123" t="str">
            <v>HATECO HICT</v>
          </cell>
          <cell r="O2123" t="str">
            <v>1,4</v>
          </cell>
          <cell r="P2123" t="str">
            <v>done</v>
          </cell>
          <cell r="Q2123">
            <v>308217964740</v>
          </cell>
        </row>
        <row r="2124">
          <cell r="I2124" t="str">
            <v>MRKU3813420</v>
          </cell>
          <cell r="J2124" t="str">
            <v>MẠNH</v>
          </cell>
          <cell r="K2124">
            <v>0.33333333333333331</v>
          </cell>
          <cell r="L2124" t="str">
            <v>MRKU2795044</v>
          </cell>
          <cell r="M2124" t="str">
            <v>TRI PHƯƠNG</v>
          </cell>
          <cell r="N2124" t="str">
            <v>HATECO HICT</v>
          </cell>
          <cell r="O2124" t="str">
            <v>VI-26/50898</v>
          </cell>
          <cell r="P2124" t="str">
            <v>done</v>
          </cell>
          <cell r="Q2124">
            <v>308215995640</v>
          </cell>
        </row>
        <row r="2125">
          <cell r="I2125" t="str">
            <v>MSKU1930460</v>
          </cell>
          <cell r="J2125" t="str">
            <v>ĐỨC</v>
          </cell>
          <cell r="K2125">
            <v>0.38541666666666669</v>
          </cell>
          <cell r="L2125" t="str">
            <v>MRKU5376437</v>
          </cell>
          <cell r="M2125" t="str">
            <v>TRI PHƯƠNG</v>
          </cell>
          <cell r="N2125" t="str">
            <v>HATECO HICT</v>
          </cell>
          <cell r="O2125" t="str">
            <v>VI-26/50897</v>
          </cell>
          <cell r="P2125" t="str">
            <v>done</v>
          </cell>
          <cell r="Q2125">
            <v>308216024600</v>
          </cell>
        </row>
        <row r="2126">
          <cell r="I2126" t="str">
            <v>HASU4963643</v>
          </cell>
          <cell r="J2126" t="str">
            <v>THI</v>
          </cell>
          <cell r="K2126">
            <v>0.54166666666666663</v>
          </cell>
          <cell r="L2126" t="str">
            <v>MRKU5388398</v>
          </cell>
          <cell r="M2126" t="str">
            <v>TRI PHƯƠNG</v>
          </cell>
          <cell r="N2126" t="str">
            <v>HATECO HICT</v>
          </cell>
          <cell r="O2126" t="str">
            <v>VI-26/50896</v>
          </cell>
          <cell r="P2126" t="str">
            <v>done</v>
          </cell>
          <cell r="Q2126">
            <v>308215940120</v>
          </cell>
        </row>
        <row r="2127">
          <cell r="I2127" t="str">
            <v>TCKU7908691</v>
          </cell>
          <cell r="J2127" t="str">
            <v>SƠN</v>
          </cell>
          <cell r="K2127">
            <v>0.875</v>
          </cell>
          <cell r="L2127" t="str">
            <v>MRKU3813420</v>
          </cell>
          <cell r="M2127" t="str">
            <v>TRI PHƯƠNG</v>
          </cell>
          <cell r="N2127" t="str">
            <v>HATECO HICT</v>
          </cell>
          <cell r="O2127" t="str">
            <v>VI-26/50900</v>
          </cell>
          <cell r="P2127" t="str">
            <v>done</v>
          </cell>
          <cell r="Q2127">
            <v>308216276120</v>
          </cell>
        </row>
        <row r="2128">
          <cell r="I2128" t="str">
            <v>FFAU4939068</v>
          </cell>
          <cell r="J2128" t="str">
            <v>QUÂN</v>
          </cell>
          <cell r="K2128">
            <v>6.25E-2</v>
          </cell>
          <cell r="L2128" t="str">
            <v>HASU4963643</v>
          </cell>
          <cell r="M2128" t="str">
            <v>TRI PHƯƠNG</v>
          </cell>
          <cell r="N2128" t="str">
            <v>HATECO HICT</v>
          </cell>
          <cell r="O2128" t="str">
            <v>VI-26/50906</v>
          </cell>
          <cell r="P2128" t="str">
            <v>done</v>
          </cell>
          <cell r="Q2128">
            <v>308215971510</v>
          </cell>
        </row>
        <row r="2129">
          <cell r="I2129" t="str">
            <v>TRHU4578275</v>
          </cell>
          <cell r="J2129" t="str">
            <v>MẠNH</v>
          </cell>
          <cell r="K2129">
            <v>0.1875</v>
          </cell>
          <cell r="L2129" t="str">
            <v>MSKU1930460</v>
          </cell>
          <cell r="M2129" t="str">
            <v>TRI PHƯƠNG</v>
          </cell>
          <cell r="N2129" t="str">
            <v>HATECO HICT</v>
          </cell>
          <cell r="O2129" t="str">
            <v>VI-26/50904</v>
          </cell>
          <cell r="P2129" t="str">
            <v>done</v>
          </cell>
          <cell r="Q2129">
            <v>308216051640</v>
          </cell>
        </row>
        <row r="2130">
          <cell r="I2130" t="str">
            <v>FFAU6843031</v>
          </cell>
          <cell r="K2130">
            <v>0.40625</v>
          </cell>
          <cell r="O2130" t="str">
            <v>VI-26/50941</v>
          </cell>
          <cell r="Q2130">
            <v>0</v>
          </cell>
        </row>
        <row r="2131">
          <cell r="I2131" t="str">
            <v>FFAU6215328</v>
          </cell>
          <cell r="K2131">
            <v>0.60416666666666663</v>
          </cell>
          <cell r="O2131" t="str">
            <v>VI-26/50942</v>
          </cell>
          <cell r="Q2131">
            <v>0</v>
          </cell>
        </row>
        <row r="2132">
          <cell r="I2132" t="str">
            <v>TRHU5121241</v>
          </cell>
          <cell r="J2132" t="str">
            <v>HƯỜNG</v>
          </cell>
          <cell r="K2132">
            <v>0.33333333333333331</v>
          </cell>
          <cell r="L2132" t="str">
            <v>MRKU5471706</v>
          </cell>
          <cell r="O2132" t="str">
            <v>VH-26/50175</v>
          </cell>
          <cell r="Q2132">
            <v>0</v>
          </cell>
        </row>
        <row r="2133">
          <cell r="I2133" t="str">
            <v>TRHU7726761</v>
          </cell>
          <cell r="J2133" t="str">
            <v>SƠN</v>
          </cell>
          <cell r="K2133">
            <v>0.875</v>
          </cell>
          <cell r="L2133" t="str">
            <v>HASU4600376</v>
          </cell>
          <cell r="O2133" t="str">
            <v>VH-26/50176</v>
          </cell>
          <cell r="Q2133">
            <v>0</v>
          </cell>
        </row>
        <row r="2134">
          <cell r="I2134" t="str">
            <v>ONEU0963706</v>
          </cell>
          <cell r="J2134" t="str">
            <v>PHƯƠNG</v>
          </cell>
          <cell r="K2134">
            <v>0.125</v>
          </cell>
          <cell r="L2134" t="str">
            <v>EGSU6079478</v>
          </cell>
          <cell r="O2134" t="str">
            <v>VH-26/50177</v>
          </cell>
          <cell r="Q2134">
            <v>0</v>
          </cell>
        </row>
        <row r="2135">
          <cell r="I2135" t="str">
            <v>OOLU9182201</v>
          </cell>
          <cell r="J2135" t="str">
            <v>THỤY
KÉ́O VÊ</v>
          </cell>
          <cell r="K2135">
            <v>0.45833333333333331</v>
          </cell>
          <cell r="L2135" t="str">
            <v>OOLU9182201</v>
          </cell>
          <cell r="N2135" t="str">
            <v>Grand Forward</v>
          </cell>
          <cell r="O2135" t="str">
            <v>VH-26/50168</v>
          </cell>
          <cell r="P2135" t="str">
            <v>done</v>
          </cell>
          <cell r="Q2135">
            <v>308219883920</v>
          </cell>
        </row>
        <row r="2136">
          <cell r="I2136" t="str">
            <v>TCNU4314670</v>
          </cell>
          <cell r="J2136" t="str">
            <v>RU CIMC5</v>
          </cell>
          <cell r="K2136">
            <v>0.41666666666666669</v>
          </cell>
          <cell r="L2136" t="str">
            <v>TCNU4314670</v>
          </cell>
          <cell r="N2136" t="str">
            <v>Grand Forward</v>
          </cell>
          <cell r="O2136" t="str">
            <v>VH-26/50167</v>
          </cell>
          <cell r="P2136" t="str">
            <v>done</v>
          </cell>
          <cell r="Q2136">
            <v>308219852530</v>
          </cell>
        </row>
        <row r="2137">
          <cell r="I2137" t="str">
            <v>ONEU2350452</v>
          </cell>
          <cell r="J2137" t="str">
            <v>HKC</v>
          </cell>
          <cell r="K2137">
            <v>0.33333333333333331</v>
          </cell>
          <cell r="L2137" t="str">
            <v>ONEU2350452</v>
          </cell>
          <cell r="N2137" t="str">
            <v>LẠCH HUYỆN</v>
          </cell>
          <cell r="O2137" t="str">
            <v>VS-26/50164</v>
          </cell>
          <cell r="P2137" t="str">
            <v>done</v>
          </cell>
          <cell r="Q2137">
            <v>308219818820</v>
          </cell>
        </row>
        <row r="2138">
          <cell r="I2138" t="str">
            <v>FFAU4972024</v>
          </cell>
          <cell r="J2138" t="str">
            <v>THÀNH</v>
          </cell>
          <cell r="K2138">
            <v>0.54166666666666663</v>
          </cell>
          <cell r="L2138" t="str">
            <v>ONEU9186171</v>
          </cell>
          <cell r="O2138" t="str">
            <v>RTB-26/0044</v>
          </cell>
          <cell r="Q2138">
            <v>0</v>
          </cell>
        </row>
        <row r="2139">
          <cell r="I2139" t="str">
            <v>CSNU5884265</v>
          </cell>
          <cell r="J2139" t="str">
            <v>THANH</v>
          </cell>
          <cell r="K2139">
            <v>0.875</v>
          </cell>
          <cell r="L2139" t="str">
            <v>MRSU3589740</v>
          </cell>
          <cell r="O2139" t="str">
            <v>HP</v>
          </cell>
          <cell r="Q2139">
            <v>0</v>
          </cell>
        </row>
        <row r="2140">
          <cell r="I2140" t="str">
            <v>TIIU4074367</v>
          </cell>
          <cell r="J2140" t="str">
            <v>MẠNH</v>
          </cell>
          <cell r="K2140">
            <v>0.875</v>
          </cell>
          <cell r="L2140" t="str">
            <v>CAAU4837381</v>
          </cell>
          <cell r="O2140" t="str">
            <v>HP</v>
          </cell>
          <cell r="Q2140">
            <v>0</v>
          </cell>
        </row>
        <row r="2141">
          <cell r="I2141" t="str">
            <v>EGSU6261477</v>
          </cell>
          <cell r="J2141" t="str">
            <v>PHƯƠNG</v>
          </cell>
          <cell r="K2141">
            <v>0</v>
          </cell>
          <cell r="L2141" t="str">
            <v>OERU4330930</v>
          </cell>
          <cell r="O2141" t="str">
            <v>RTB-26/0045</v>
          </cell>
          <cell r="Q2141">
            <v>0</v>
          </cell>
        </row>
        <row r="2142">
          <cell r="K2142">
            <v>0.41666666666666669</v>
          </cell>
          <cell r="Q2142">
            <v>0</v>
          </cell>
        </row>
        <row r="2143">
          <cell r="I2143" t="str">
            <v>SNBU8197744</v>
          </cell>
          <cell r="J2143" t="str">
            <v>TÍN
kéo về</v>
          </cell>
          <cell r="K2143">
            <v>0.33333333333333331</v>
          </cell>
          <cell r="L2143" t="str">
            <v>SNBU8197744</v>
          </cell>
          <cell r="N2143" t="str">
            <v>GIC</v>
          </cell>
          <cell r="P2143" t="str">
            <v>done</v>
          </cell>
          <cell r="Q2143">
            <v>308219950900</v>
          </cell>
        </row>
        <row r="2144">
          <cell r="I2144" t="str">
            <v>FFAU5630026</v>
          </cell>
          <cell r="J2144" t="str">
            <v>THANH
TÍN KÉO VỀ</v>
          </cell>
          <cell r="K2144">
            <v>0.45833333333333331</v>
          </cell>
          <cell r="N2144" t="str">
            <v>GIC</v>
          </cell>
          <cell r="P2144" t="str">
            <v>done</v>
          </cell>
          <cell r="Q2144">
            <v>308219995550</v>
          </cell>
        </row>
        <row r="2145">
          <cell r="I2145" t="str">
            <v>MRSU5624916</v>
          </cell>
          <cell r="J2145" t="str">
            <v>PHƯƠNG</v>
          </cell>
          <cell r="K2145">
            <v>0.33333333333333331</v>
          </cell>
          <cell r="L2145" t="str">
            <v>FFAU6843031</v>
          </cell>
          <cell r="M2145" t="str">
            <v>TRI PHƯƠNG</v>
          </cell>
          <cell r="N2145" t="str">
            <v>HATECO HICT</v>
          </cell>
          <cell r="O2145" t="str">
            <v>VI-26/50918</v>
          </cell>
          <cell r="P2145" t="str">
            <v>done</v>
          </cell>
          <cell r="Q2145">
            <v>308219692600</v>
          </cell>
        </row>
        <row r="2146">
          <cell r="I2146" t="str">
            <v>CAAU7756452</v>
          </cell>
          <cell r="J2146" t="str">
            <v>MẠNH</v>
          </cell>
          <cell r="K2146">
            <v>0.33333333333333331</v>
          </cell>
          <cell r="L2146" t="str">
            <v>TRHU4578275</v>
          </cell>
          <cell r="M2146" t="str">
            <v>TRI PHƯƠNG</v>
          </cell>
          <cell r="N2146" t="str">
            <v>HATECO HICT</v>
          </cell>
          <cell r="O2146" t="str">
            <v>VI-26/50922</v>
          </cell>
          <cell r="P2146" t="str">
            <v>done</v>
          </cell>
          <cell r="Q2146">
            <v>308219751140</v>
          </cell>
        </row>
        <row r="2147">
          <cell r="I2147" t="str">
            <v>TRHU5171920</v>
          </cell>
          <cell r="J2147" t="str">
            <v>SƠN</v>
          </cell>
          <cell r="K2147">
            <v>0.375</v>
          </cell>
          <cell r="L2147" t="str">
            <v>FFAU4939068</v>
          </cell>
          <cell r="M2147" t="str">
            <v>TRI PHƯƠNG</v>
          </cell>
          <cell r="N2147" t="str">
            <v>HATECO HICT</v>
          </cell>
          <cell r="O2147" t="str">
            <v>VI-26/50845</v>
          </cell>
          <cell r="P2147" t="str">
            <v>done</v>
          </cell>
          <cell r="Q2147">
            <v>308208045850</v>
          </cell>
        </row>
        <row r="2148">
          <cell r="I2148" t="str">
            <v>SELU4168400</v>
          </cell>
          <cell r="J2148" t="str">
            <v>QUÂN</v>
          </cell>
          <cell r="K2148">
            <v>0.45833333333333331</v>
          </cell>
          <cell r="L2148" t="str">
            <v>TCKU7908691</v>
          </cell>
          <cell r="M2148" t="str">
            <v>TRI PHƯƠNG</v>
          </cell>
          <cell r="N2148" t="str">
            <v>HATECO HICT</v>
          </cell>
          <cell r="O2148" t="str">
            <v>VI-26/50923</v>
          </cell>
          <cell r="P2148" t="str">
            <v>done</v>
          </cell>
          <cell r="Q2148">
            <v>308219768160</v>
          </cell>
        </row>
        <row r="2149">
          <cell r="I2149" t="str">
            <v>MRKU5175047</v>
          </cell>
          <cell r="J2149" t="str">
            <v>ĐỨC</v>
          </cell>
          <cell r="K2149">
            <v>0.52083333333333337</v>
          </cell>
          <cell r="L2149" t="str">
            <v>MRKU5175047</v>
          </cell>
          <cell r="M2149" t="str">
            <v>TRI PHƯƠNG</v>
          </cell>
          <cell r="N2149" t="str">
            <v>HATECO HICT</v>
          </cell>
          <cell r="O2149" t="str">
            <v>VI-26/50929</v>
          </cell>
          <cell r="P2149" t="str">
            <v>done</v>
          </cell>
          <cell r="Q2149">
            <v>308219708440</v>
          </cell>
        </row>
        <row r="2150">
          <cell r="I2150" t="str">
            <v>MRKU4148495</v>
          </cell>
          <cell r="J2150" t="str">
            <v>SÂM</v>
          </cell>
          <cell r="K2150">
            <v>0.64583333333333337</v>
          </cell>
          <cell r="L2150" t="str">
            <v>MRKU4148495</v>
          </cell>
          <cell r="M2150" t="str">
            <v>TRI PHƯƠNG</v>
          </cell>
          <cell r="N2150" t="str">
            <v>HATECO HICT</v>
          </cell>
          <cell r="O2150" t="str">
            <v>VI-26/50917</v>
          </cell>
          <cell r="P2150" t="str">
            <v>done</v>
          </cell>
          <cell r="Q2150">
            <v>308219669350</v>
          </cell>
        </row>
        <row r="2151">
          <cell r="I2151" t="str">
            <v>HASU4366524</v>
          </cell>
          <cell r="J2151" t="str">
            <v>HƯỜNG</v>
          </cell>
          <cell r="K2151">
            <v>0.91666666666666663</v>
          </cell>
          <cell r="L2151" t="str">
            <v>SELU4168400</v>
          </cell>
          <cell r="M2151" t="str">
            <v>TRI PHƯƠNG</v>
          </cell>
          <cell r="N2151" t="str">
            <v>HATECO HICT</v>
          </cell>
          <cell r="O2151" t="str">
            <v>VI-26/50930</v>
          </cell>
          <cell r="P2151" t="str">
            <v>done</v>
          </cell>
          <cell r="Q2151">
            <v>308219714740</v>
          </cell>
        </row>
        <row r="2152">
          <cell r="I2152" t="str">
            <v>MRKU6370393</v>
          </cell>
          <cell r="J2152" t="str">
            <v>TÍN</v>
          </cell>
          <cell r="K2152">
            <v>0.9375</v>
          </cell>
          <cell r="L2152" t="str">
            <v>TRHU5171920</v>
          </cell>
          <cell r="M2152" t="str">
            <v>TRI PHƯƠNG</v>
          </cell>
          <cell r="N2152" t="str">
            <v>HATECO HICT</v>
          </cell>
          <cell r="O2152" t="str">
            <v>VI-26/50921</v>
          </cell>
          <cell r="P2152" t="str">
            <v>done</v>
          </cell>
          <cell r="Q2152">
            <v>308219736920</v>
          </cell>
        </row>
        <row r="2153">
          <cell r="I2153" t="str">
            <v>MRSU8221180</v>
          </cell>
          <cell r="J2153" t="str">
            <v>RU TRỊNH VŨ</v>
          </cell>
          <cell r="K2153">
            <v>9.375E-2</v>
          </cell>
          <cell r="L2153" t="str">
            <v>MRSU8221180</v>
          </cell>
          <cell r="N2153" t="str">
            <v>HATECO HICT</v>
          </cell>
          <cell r="O2153" t="str">
            <v>VI-26/50916</v>
          </cell>
          <cell r="P2153" t="str">
            <v>done</v>
          </cell>
          <cell r="Q2153">
            <v>308219643340</v>
          </cell>
        </row>
        <row r="2154">
          <cell r="I2154" t="str">
            <v>CAAU6857155</v>
          </cell>
          <cell r="J2154" t="str">
            <v>HƯNG</v>
          </cell>
          <cell r="K2154">
            <v>0.14583333333333334</v>
          </cell>
          <cell r="L2154" t="str">
            <v>HASU4366524</v>
          </cell>
          <cell r="M2154" t="str">
            <v>TRI PHƯƠNG</v>
          </cell>
          <cell r="N2154" t="str">
            <v>HATECO HICT</v>
          </cell>
          <cell r="O2154" t="str">
            <v>VI-26/50931</v>
          </cell>
          <cell r="P2154" t="str">
            <v>done</v>
          </cell>
          <cell r="Q2154">
            <v>308219724430</v>
          </cell>
        </row>
        <row r="2155">
          <cell r="I2155" t="str">
            <v>GESU6907082</v>
          </cell>
          <cell r="J2155" t="str">
            <v>PHƯƠNG</v>
          </cell>
          <cell r="K2155">
            <v>0.41666666666666669</v>
          </cell>
          <cell r="L2155" t="str">
            <v>MRSU3560345</v>
          </cell>
          <cell r="M2155" t="str">
            <v>TRI PHƯƠNG</v>
          </cell>
          <cell r="N2155" t="str">
            <v>HATECO HICT</v>
          </cell>
          <cell r="O2155" t="str">
            <v>VS-26/50158</v>
          </cell>
          <cell r="P2155" t="str">
            <v>done</v>
          </cell>
          <cell r="Q2155">
            <v>308219941650</v>
          </cell>
        </row>
        <row r="2156">
          <cell r="I2156" t="str">
            <v>HASU4600376</v>
          </cell>
          <cell r="J2156" t="str">
            <v>QUÂN</v>
          </cell>
          <cell r="K2156">
            <v>0.58333333333333337</v>
          </cell>
          <cell r="L2156" t="str">
            <v>GESU6907082</v>
          </cell>
          <cell r="M2156" t="str">
            <v>TRI PHƯƠNG</v>
          </cell>
          <cell r="N2156" t="str">
            <v>HATECO HICT</v>
          </cell>
          <cell r="O2156" t="str">
            <v>VS-26/50159</v>
          </cell>
          <cell r="P2156" t="str">
            <v>done</v>
          </cell>
          <cell r="Q2156">
            <v>308219961400</v>
          </cell>
        </row>
        <row r="2157">
          <cell r="I2157" t="str">
            <v>CAAU6094536</v>
          </cell>
          <cell r="J2157" t="str">
            <v>MẠNH</v>
          </cell>
          <cell r="K2157">
            <v>8.3333333333333329E-2</v>
          </cell>
          <cell r="L2157" t="str">
            <v>CAAU5939840</v>
          </cell>
          <cell r="M2157" t="str">
            <v>TRI PHƯƠNG</v>
          </cell>
          <cell r="N2157" t="str">
            <v>HATECO HICT</v>
          </cell>
          <cell r="O2157" t="str">
            <v>VS-26/50170</v>
          </cell>
          <cell r="P2157" t="str">
            <v>done</v>
          </cell>
          <cell r="Q2157">
            <v>308220063600</v>
          </cell>
        </row>
        <row r="2158">
          <cell r="I2158" t="str">
            <v>MRSU3589740</v>
          </cell>
          <cell r="J2158" t="str">
            <v>THÀNH</v>
          </cell>
          <cell r="K2158" t="str">
            <v>9:00</v>
          </cell>
          <cell r="L2158" t="str">
            <v>OERU4009685</v>
          </cell>
          <cell r="M2158" t="str">
            <v>TRI PHƯƠNG</v>
          </cell>
          <cell r="N2158" t="str">
            <v>HATECO HICT</v>
          </cell>
          <cell r="Q2158">
            <v>308220281260</v>
          </cell>
        </row>
        <row r="2159">
          <cell r="I2159" t="str">
            <v>TGBU5382771</v>
          </cell>
          <cell r="J2159" t="str">
            <v>THI</v>
          </cell>
          <cell r="K2159" t="str">
            <v>10:00</v>
          </cell>
          <cell r="L2159" t="str">
            <v>TGBU5382771</v>
          </cell>
          <cell r="M2159" t="str">
            <v>TRI PHƯƠNG</v>
          </cell>
          <cell r="N2159" t="str">
            <v>HATECO HICT</v>
          </cell>
          <cell r="Q2159">
            <v>308220302520</v>
          </cell>
        </row>
        <row r="2160">
          <cell r="I2160" t="str">
            <v>MRSU5329628</v>
          </cell>
          <cell r="J2160" t="str">
            <v>SÂM</v>
          </cell>
          <cell r="K2160" t="str">
            <v>15:00</v>
          </cell>
          <cell r="L2160" t="str">
            <v>MRSU5329628</v>
          </cell>
          <cell r="M2160" t="str">
            <v>TRI PHƯƠNG</v>
          </cell>
          <cell r="N2160" t="str">
            <v>HATECO HICT</v>
          </cell>
          <cell r="Q2160">
            <v>308220325400</v>
          </cell>
        </row>
        <row r="2161">
          <cell r="I2161" t="str">
            <v>MRSU5927110</v>
          </cell>
          <cell r="J2161" t="str">
            <v>SƠN</v>
          </cell>
          <cell r="K2161" t="str">
            <v>10:00</v>
          </cell>
          <cell r="L2161" t="str">
            <v>MRSU5927110</v>
          </cell>
          <cell r="M2161" t="str">
            <v>TRI PHƯƠNG</v>
          </cell>
          <cell r="N2161" t="str">
            <v>HATECO HICT</v>
          </cell>
          <cell r="P2161" t="str">
            <v>done</v>
          </cell>
          <cell r="Q2161">
            <v>308219939220</v>
          </cell>
        </row>
        <row r="2162">
          <cell r="I2162" t="str">
            <v>MRKU5597736</v>
          </cell>
          <cell r="J2162" t="str">
            <v>THỊNH</v>
          </cell>
          <cell r="K2162" t="str">
            <v>21:00</v>
          </cell>
          <cell r="L2162" t="str">
            <v>MRKU5597736</v>
          </cell>
          <cell r="M2162" t="str">
            <v>TRI PHƯƠNG</v>
          </cell>
          <cell r="N2162" t="str">
            <v>HATECO HICT</v>
          </cell>
          <cell r="P2162" t="str">
            <v>done</v>
          </cell>
          <cell r="Q2162">
            <v>308220447860</v>
          </cell>
        </row>
        <row r="2163">
          <cell r="I2163" t="str">
            <v>TRIU8976305</v>
          </cell>
          <cell r="J2163" t="str">
            <v>THI</v>
          </cell>
          <cell r="K2163" t="str">
            <v>15:00</v>
          </cell>
          <cell r="L2163" t="str">
            <v>TRIU8976305</v>
          </cell>
          <cell r="M2163" t="str">
            <v>TRI PHƯƠNG</v>
          </cell>
          <cell r="N2163" t="str">
            <v>LẠCH HUYỆN</v>
          </cell>
          <cell r="Q2163">
            <v>0</v>
          </cell>
        </row>
        <row r="2164">
          <cell r="I2164" t="str">
            <v>ONEU9035600</v>
          </cell>
          <cell r="J2164" t="str">
            <v>SƠN
KÉO VỀ</v>
          </cell>
          <cell r="K2164" t="str">
            <v>21:00</v>
          </cell>
          <cell r="L2164" t="str">
            <v>CSNU5884265</v>
          </cell>
          <cell r="M2164" t="str">
            <v>TRI PHƯƠNG</v>
          </cell>
          <cell r="N2164" t="str">
            <v>LẠCH HUYỆN</v>
          </cell>
          <cell r="O2164" t="str">
            <v>VP-26/50524</v>
          </cell>
          <cell r="P2164" t="str">
            <v>done</v>
          </cell>
          <cell r="Q2164">
            <v>308221698760</v>
          </cell>
        </row>
        <row r="2165">
          <cell r="I2165" t="str">
            <v>SEGU9531497</v>
          </cell>
          <cell r="J2165" t="str">
            <v>ĐỨC</v>
          </cell>
          <cell r="K2165" t="str">
            <v>23:00</v>
          </cell>
          <cell r="L2165" t="str">
            <v>TIIU4074367</v>
          </cell>
          <cell r="M2165" t="str">
            <v>TRI PHƯƠNG</v>
          </cell>
          <cell r="N2165" t="str">
            <v>HATECO HICT</v>
          </cell>
          <cell r="Q2165">
            <v>0</v>
          </cell>
        </row>
        <row r="2166">
          <cell r="I2166" t="str">
            <v>HLBU2419665</v>
          </cell>
          <cell r="J2166" t="str">
            <v>QUÂN</v>
          </cell>
          <cell r="K2166">
            <v>0.95833333333333337</v>
          </cell>
          <cell r="L2166" t="str">
            <v>HLBU2419665</v>
          </cell>
          <cell r="M2166" t="str">
            <v>TRI PHƯƠNG</v>
          </cell>
          <cell r="N2166" t="str">
            <v>HATECO HICT</v>
          </cell>
          <cell r="Q2166">
            <v>0</v>
          </cell>
        </row>
        <row r="2167">
          <cell r="I2167" t="str">
            <v>MNBU4634183</v>
          </cell>
          <cell r="J2167" t="str">
            <v>CONT ĐÃ TRÊN NHÀ MÁY</v>
          </cell>
          <cell r="K2167" t="str">
            <v>10:00</v>
          </cell>
          <cell r="N2167" t="str">
            <v>HATECO HICT</v>
          </cell>
          <cell r="P2167">
            <v>11521</v>
          </cell>
          <cell r="Q2167">
            <v>308194215840</v>
          </cell>
        </row>
        <row r="2168">
          <cell r="I2168" t="str">
            <v>HAMU2338060</v>
          </cell>
          <cell r="J2168" t="str">
            <v>CONT ĐÃ TRÊN NHÀ MÁY</v>
          </cell>
          <cell r="K2168">
            <v>0.33333333333333331</v>
          </cell>
          <cell r="M2168" t="str">
            <v>TRI PHƯƠNG</v>
          </cell>
          <cell r="N2168" t="str">
            <v>HATECO HICT</v>
          </cell>
          <cell r="Q2168">
            <v>0</v>
          </cell>
        </row>
        <row r="2169">
          <cell r="I2169" t="str">
            <v>EGHU9697265</v>
          </cell>
          <cell r="J2169" t="str">
            <v>SƠN</v>
          </cell>
          <cell r="K2169">
            <v>0.41666666666666669</v>
          </cell>
          <cell r="L2169" t="str">
            <v>ONEU9035600</v>
          </cell>
          <cell r="Q2169">
            <v>0</v>
          </cell>
        </row>
        <row r="2170">
          <cell r="I2170" t="str">
            <v>EGHU8357698</v>
          </cell>
          <cell r="J2170" t="str">
            <v>MẠNH</v>
          </cell>
          <cell r="K2170">
            <v>0.45833333333333331</v>
          </cell>
          <cell r="L2170" t="str">
            <v>FFAU7432586</v>
          </cell>
          <cell r="Q2170">
            <v>0</v>
          </cell>
        </row>
        <row r="2171">
          <cell r="I2171" t="str">
            <v>TIIU4766473</v>
          </cell>
          <cell r="J2171" t="str">
            <v>QUÂN</v>
          </cell>
          <cell r="K2171">
            <v>0.54166666666666663</v>
          </cell>
          <cell r="L2171" t="str">
            <v>MNBU4384628</v>
          </cell>
          <cell r="O2171" t="str">
            <v>RTB-26/0046</v>
          </cell>
          <cell r="Q2171">
            <v>0</v>
          </cell>
        </row>
        <row r="2172">
          <cell r="I2172" t="str">
            <v>EGSU9867730</v>
          </cell>
          <cell r="J2172" t="str">
            <v>MẠNH</v>
          </cell>
          <cell r="K2172">
            <v>0.54166666666666663</v>
          </cell>
          <cell r="L2172" t="str">
            <v>TIIU5033059</v>
          </cell>
          <cell r="O2172" t="str">
            <v>SERVICE</v>
          </cell>
          <cell r="Q2172">
            <v>0</v>
          </cell>
        </row>
        <row r="2173">
          <cell r="K2173">
            <v>0.875</v>
          </cell>
          <cell r="O2173" t="str">
            <v>HP</v>
          </cell>
          <cell r="Q2173">
            <v>0</v>
          </cell>
        </row>
        <row r="2174">
          <cell r="I2174" t="str">
            <v>FFAU7693698</v>
          </cell>
          <cell r="J2174" t="str">
            <v>PHƯƠNG</v>
          </cell>
          <cell r="K2174">
            <v>0.875</v>
          </cell>
          <cell r="L2174" t="str">
            <v>FFAU7434700</v>
          </cell>
          <cell r="O2174" t="str">
            <v>HP</v>
          </cell>
          <cell r="Q2174">
            <v>0</v>
          </cell>
        </row>
        <row r="2175">
          <cell r="I2175" t="str">
            <v>BEAU5879841</v>
          </cell>
          <cell r="J2175" t="str">
            <v>SƠN</v>
          </cell>
          <cell r="K2175">
            <v>0.91666666666666663</v>
          </cell>
          <cell r="L2175" t="str">
            <v>TIIU6454978</v>
          </cell>
          <cell r="O2175" t="str">
            <v>HP</v>
          </cell>
          <cell r="Q2175">
            <v>0</v>
          </cell>
        </row>
        <row r="2176">
          <cell r="I2176" t="str">
            <v>CAAU5213728</v>
          </cell>
          <cell r="J2176" t="str">
            <v>THÀNH</v>
          </cell>
          <cell r="K2176">
            <v>0.95833333333333337</v>
          </cell>
          <cell r="L2176" t="str">
            <v>EGHU8357698</v>
          </cell>
          <cell r="Q2176">
            <v>0</v>
          </cell>
        </row>
        <row r="2177">
          <cell r="I2177" t="str">
            <v>EGSU9718870</v>
          </cell>
          <cell r="J2177" t="str">
            <v>HƯỜNG</v>
          </cell>
          <cell r="K2177">
            <v>0</v>
          </cell>
          <cell r="L2177" t="str">
            <v>FANU1197890</v>
          </cell>
          <cell r="O2177" t="str">
            <v>RTB-26/0047</v>
          </cell>
          <cell r="Q2177">
            <v>0</v>
          </cell>
        </row>
        <row r="2178">
          <cell r="I2178" t="str">
            <v>TIIU5033059</v>
          </cell>
          <cell r="K2178">
            <v>0.41666666666666669</v>
          </cell>
          <cell r="O2178" t="str">
            <v>HP</v>
          </cell>
          <cell r="Q2178">
            <v>0</v>
          </cell>
        </row>
        <row r="2179">
          <cell r="I2179" t="str">
            <v>FFAU6193189</v>
          </cell>
          <cell r="K2179">
            <v>0.875</v>
          </cell>
          <cell r="O2179" t="str">
            <v>HP</v>
          </cell>
          <cell r="Q2179">
            <v>0</v>
          </cell>
        </row>
        <row r="2180">
          <cell r="I2180" t="str">
            <v>CMAU3569280</v>
          </cell>
          <cell r="J2180" t="str">
            <v>PHƯƠNG KÉO VỀ</v>
          </cell>
          <cell r="K2180">
            <v>0.45833333333333331</v>
          </cell>
          <cell r="N2180" t="str">
            <v>TÂN VŨ</v>
          </cell>
          <cell r="P2180" t="str">
            <v>done</v>
          </cell>
          <cell r="Q2180">
            <v>308224536450</v>
          </cell>
        </row>
        <row r="2181">
          <cell r="I2181" t="str">
            <v>ECMU7290819</v>
          </cell>
          <cell r="J2181" t="str">
            <v>THỤY KÉO VỀ</v>
          </cell>
          <cell r="K2181">
            <v>0.58333333333333337</v>
          </cell>
          <cell r="N2181" t="str">
            <v>TÂN VŨ</v>
          </cell>
          <cell r="P2181" t="str">
            <v>done</v>
          </cell>
          <cell r="Q2181">
            <v>308224573110</v>
          </cell>
        </row>
        <row r="2182">
          <cell r="I2182" t="str">
            <v>TCNU6869810</v>
          </cell>
          <cell r="J2182" t="str">
            <v xml:space="preserve">XUYÊN  </v>
          </cell>
          <cell r="K2182">
            <v>0.625</v>
          </cell>
          <cell r="L2182" t="str">
            <v>TRHU7726761</v>
          </cell>
          <cell r="O2182" t="str">
            <v>VH-26/50178</v>
          </cell>
          <cell r="Q2182">
            <v>0</v>
          </cell>
        </row>
        <row r="2183">
          <cell r="I2183" t="str">
            <v>EMCU8309056</v>
          </cell>
          <cell r="J2183" t="str">
            <v>THỊNH</v>
          </cell>
          <cell r="K2183">
            <v>0.875</v>
          </cell>
          <cell r="L2183" t="str">
            <v>CAAU6094536</v>
          </cell>
          <cell r="O2183" t="str">
            <v>VS-26/50168</v>
          </cell>
          <cell r="Q2183">
            <v>0</v>
          </cell>
        </row>
        <row r="2184">
          <cell r="I2184" t="str">
            <v>TGHU9602599</v>
          </cell>
          <cell r="J2184" t="str">
            <v>PHƯƠNG</v>
          </cell>
          <cell r="K2184">
            <v>0.125</v>
          </cell>
          <cell r="L2184" t="str">
            <v>ONEU0963706</v>
          </cell>
          <cell r="O2184" t="str">
            <v>VH-26/50179</v>
          </cell>
          <cell r="Q2184">
            <v>0</v>
          </cell>
        </row>
        <row r="2185">
          <cell r="I2185" t="str">
            <v>SNBU8270906</v>
          </cell>
          <cell r="J2185" t="str">
            <v>TRƯỜNG NHÂN PHÁT</v>
          </cell>
          <cell r="L2185" t="str">
            <v>SNBU8270906</v>
          </cell>
          <cell r="N2185" t="str">
            <v>NAM HẢI ĐÌNH VŨ</v>
          </cell>
          <cell r="O2185" t="str">
            <v>VH-26/50193</v>
          </cell>
          <cell r="P2185" t="str">
            <v>done</v>
          </cell>
          <cell r="Q2185">
            <v>308225764620</v>
          </cell>
        </row>
        <row r="2186">
          <cell r="I2186" t="str">
            <v>TCLU4869120</v>
          </cell>
          <cell r="O2186" t="str">
            <v>VS-26/50166</v>
          </cell>
          <cell r="Q2186">
            <v>0</v>
          </cell>
        </row>
        <row r="2187">
          <cell r="I2187" t="str">
            <v>TGBU5298320</v>
          </cell>
          <cell r="J2187" t="str">
            <v xml:space="preserve">XUYÊN  </v>
          </cell>
          <cell r="L2187" t="str">
            <v>TCLU4869120</v>
          </cell>
          <cell r="O2187" t="str">
            <v>VS-26/50167</v>
          </cell>
          <cell r="Q2187">
            <v>0</v>
          </cell>
        </row>
        <row r="2188">
          <cell r="I2188" t="str">
            <v>TXGU5640544</v>
          </cell>
          <cell r="J2188" t="str">
            <v>THANH</v>
          </cell>
          <cell r="K2188">
            <v>0.88541666666666663</v>
          </cell>
          <cell r="L2188" t="str">
            <v>CIPU5153000</v>
          </cell>
          <cell r="O2188" t="str">
            <v>VI-26/50988</v>
          </cell>
          <cell r="Q2188">
            <v>0</v>
          </cell>
        </row>
        <row r="2189">
          <cell r="I2189" t="str">
            <v>TRHU6898724</v>
          </cell>
          <cell r="J2189" t="str">
            <v>MẠNH</v>
          </cell>
          <cell r="K2189">
            <v>0.11458333333333333</v>
          </cell>
          <cell r="L2189" t="str">
            <v>CAAU9302551</v>
          </cell>
          <cell r="O2189" t="str">
            <v>VI-26/50956</v>
          </cell>
          <cell r="Q2189">
            <v>0</v>
          </cell>
        </row>
        <row r="2190">
          <cell r="I2190" t="str">
            <v>SEGU4862677</v>
          </cell>
          <cell r="J2190" t="str">
            <v>RU HỒNG TRANG</v>
          </cell>
          <cell r="L2190" t="str">
            <v>SEGU4862677</v>
          </cell>
          <cell r="N2190" t="str">
            <v>NAM ĐÌNH VŨ</v>
          </cell>
          <cell r="O2190" t="str">
            <v>VI-26/50973</v>
          </cell>
          <cell r="P2190" t="str">
            <v>done</v>
          </cell>
          <cell r="Q2190">
            <v>308224659100</v>
          </cell>
        </row>
        <row r="2191">
          <cell r="I2191" t="str">
            <v>CAIU8620376</v>
          </cell>
          <cell r="J2191" t="str">
            <v>PHƯƠNG</v>
          </cell>
          <cell r="L2191" t="str">
            <v>TXGU5640544</v>
          </cell>
          <cell r="N2191">
            <v>0</v>
          </cell>
          <cell r="O2191" t="str">
            <v>VI-26/50971</v>
          </cell>
          <cell r="Q2191">
            <v>0</v>
          </cell>
        </row>
        <row r="2192">
          <cell r="I2192" t="str">
            <v>TCLU6461878</v>
          </cell>
          <cell r="J2192" t="str">
            <v>THANH</v>
          </cell>
          <cell r="L2192" t="str">
            <v>TRHU4306019</v>
          </cell>
          <cell r="N2192">
            <v>0</v>
          </cell>
          <cell r="O2192" t="str">
            <v>VI-26/50972</v>
          </cell>
          <cell r="Q2192">
            <v>0</v>
          </cell>
        </row>
        <row r="2193">
          <cell r="I2193" t="str">
            <v>CAAU8475207</v>
          </cell>
          <cell r="J2193" t="str">
            <v>THÀNH
TÍN KÉO VỀ</v>
          </cell>
          <cell r="K2193">
            <v>0.33333333333333331</v>
          </cell>
          <cell r="L2193" t="str">
            <v>MRKU6370393</v>
          </cell>
          <cell r="N2193" t="str">
            <v>HATECO HICT</v>
          </cell>
          <cell r="O2193" t="str">
            <v>VI-26/50949</v>
          </cell>
          <cell r="P2193" t="str">
            <v>done</v>
          </cell>
          <cell r="Q2193">
            <v>308223936700</v>
          </cell>
        </row>
        <row r="2194">
          <cell r="I2194" t="str">
            <v>MRSU6016546</v>
          </cell>
          <cell r="J2194" t="str">
            <v>THỊNH</v>
          </cell>
          <cell r="K2194">
            <v>0.33333333333333331</v>
          </cell>
          <cell r="L2194" t="str">
            <v>FFAU6215328</v>
          </cell>
          <cell r="M2194" t="str">
            <v>TRI PHƯƠNG</v>
          </cell>
          <cell r="N2194" t="str">
            <v>HATECO HICT</v>
          </cell>
          <cell r="O2194" t="str">
            <v>VI-26/50950</v>
          </cell>
          <cell r="P2194" t="str">
            <v>done</v>
          </cell>
          <cell r="Q2194">
            <v>308224180740</v>
          </cell>
        </row>
        <row r="2195">
          <cell r="I2195" t="str">
            <v>MRSU3504249</v>
          </cell>
          <cell r="J2195" t="str">
            <v>HƯỜNG</v>
          </cell>
          <cell r="K2195">
            <v>0.34375</v>
          </cell>
          <cell r="L2195" t="str">
            <v>CAAU6857155</v>
          </cell>
          <cell r="M2195" t="str">
            <v>TRI PHƯƠNG</v>
          </cell>
          <cell r="N2195" t="str">
            <v>HATECO HICT</v>
          </cell>
          <cell r="O2195" t="str">
            <v>VI-26/50957</v>
          </cell>
          <cell r="P2195" t="str">
            <v>done</v>
          </cell>
          <cell r="Q2195">
            <v>308224087900</v>
          </cell>
        </row>
        <row r="2196">
          <cell r="I2196" t="str">
            <v>MRSU5217042</v>
          </cell>
          <cell r="J2196" t="str">
            <v>SÂM</v>
          </cell>
          <cell r="K2196">
            <v>0.38541666666666669</v>
          </cell>
          <cell r="L2196" t="str">
            <v>MRSU6016546</v>
          </cell>
          <cell r="M2196" t="str">
            <v>TRI PHƯƠNG</v>
          </cell>
          <cell r="N2196" t="str">
            <v>HATECO HICT</v>
          </cell>
          <cell r="O2196" t="str">
            <v>VI-26/50982</v>
          </cell>
          <cell r="P2196" t="str">
            <v>done</v>
          </cell>
          <cell r="Q2196">
            <v>308224242340</v>
          </cell>
        </row>
        <row r="2197">
          <cell r="I2197" t="str">
            <v>GCXU5546580</v>
          </cell>
          <cell r="J2197" t="str">
            <v>HƯỜNG</v>
          </cell>
          <cell r="K2197">
            <v>0.39583333333333331</v>
          </cell>
          <cell r="L2197" t="str">
            <v>UETU6798060</v>
          </cell>
          <cell r="M2197" t="str">
            <v>TRI PHƯƠNG</v>
          </cell>
          <cell r="N2197" t="str">
            <v>HATECO HICT</v>
          </cell>
          <cell r="O2197" t="str">
            <v>VI-26/50987</v>
          </cell>
          <cell r="P2197" t="str">
            <v>done</v>
          </cell>
          <cell r="Q2197">
            <v>308224225760</v>
          </cell>
        </row>
        <row r="2198">
          <cell r="I2198" t="str">
            <v>CIPU5153000</v>
          </cell>
          <cell r="J2198" t="str">
            <v>THI</v>
          </cell>
          <cell r="K2198">
            <v>0.42708333333333331</v>
          </cell>
          <cell r="L2198" t="str">
            <v>MRSU3504249</v>
          </cell>
          <cell r="M2198" t="str">
            <v>TRI PHƯƠNG</v>
          </cell>
          <cell r="N2198" t="str">
            <v>HATECO HICT</v>
          </cell>
          <cell r="O2198" t="str">
            <v>VI-26/50953</v>
          </cell>
          <cell r="P2198" t="str">
            <v>done</v>
          </cell>
          <cell r="Q2198">
            <v>308224268020</v>
          </cell>
        </row>
        <row r="2199">
          <cell r="I2199" t="str">
            <v>UETU6798060</v>
          </cell>
          <cell r="J2199" t="str">
            <v>TÍN</v>
          </cell>
          <cell r="K2199">
            <v>0.45833333333333331</v>
          </cell>
          <cell r="L2199" t="str">
            <v>CAAU8475207</v>
          </cell>
          <cell r="M2199" t="str">
            <v>TRI PHƯƠNG</v>
          </cell>
          <cell r="N2199" t="str">
            <v>HATECO HICT</v>
          </cell>
          <cell r="O2199" t="str">
            <v>VI-26/50960</v>
          </cell>
          <cell r="P2199" t="str">
            <v>done</v>
          </cell>
          <cell r="Q2199">
            <v>308224149610</v>
          </cell>
        </row>
        <row r="2200">
          <cell r="I2200" t="str">
            <v>CAAU9302551</v>
          </cell>
          <cell r="J2200" t="str">
            <v>THI</v>
          </cell>
          <cell r="K2200">
            <v>0.57291666666666663</v>
          </cell>
          <cell r="L2200" t="str">
            <v>MRSU5217042</v>
          </cell>
          <cell r="M2200" t="str">
            <v>TRI PHƯƠNG</v>
          </cell>
          <cell r="N2200" t="str">
            <v>HATECO HICT</v>
          </cell>
          <cell r="O2200" t="str">
            <v>VI-26/50984</v>
          </cell>
          <cell r="P2200" t="str">
            <v>done</v>
          </cell>
          <cell r="Q2200">
            <v>308224291450</v>
          </cell>
        </row>
        <row r="2201">
          <cell r="I2201" t="str">
            <v>MRSU6091149</v>
          </cell>
          <cell r="J2201" t="str">
            <v>THANH</v>
          </cell>
          <cell r="K2201">
            <v>0.58333333333333337</v>
          </cell>
          <cell r="L2201" t="str">
            <v>TRHU6898724</v>
          </cell>
          <cell r="M2201" t="str">
            <v>TRI PHƯƠNG</v>
          </cell>
          <cell r="N2201" t="str">
            <v>HATECO HICT</v>
          </cell>
          <cell r="O2201" t="str">
            <v>VI-26/50958</v>
          </cell>
          <cell r="P2201" t="str">
            <v>done</v>
          </cell>
          <cell r="Q2201">
            <v>308224110260</v>
          </cell>
        </row>
        <row r="2202">
          <cell r="I2202" t="str">
            <v>MRSU6287759</v>
          </cell>
          <cell r="J2202" t="str">
            <v>QUÂN</v>
          </cell>
          <cell r="K2202">
            <v>0.91666666666666663</v>
          </cell>
          <cell r="L2202" t="str">
            <v>MRSU6091149</v>
          </cell>
          <cell r="M2202" t="str">
            <v>TRI PHƯƠNG</v>
          </cell>
          <cell r="N2202" t="str">
            <v>HATECO HICT</v>
          </cell>
          <cell r="O2202" t="str">
            <v>VI-26/50959</v>
          </cell>
          <cell r="P2202" t="str">
            <v>done</v>
          </cell>
          <cell r="Q2202">
            <v>308224129530</v>
          </cell>
        </row>
        <row r="2203">
          <cell r="I2203" t="str">
            <v>CAAU8312745</v>
          </cell>
          <cell r="J2203" t="str">
            <v>THỊNH</v>
          </cell>
          <cell r="K2203">
            <v>8.3333333333333329E-2</v>
          </cell>
          <cell r="L2203" t="str">
            <v>GCXU5546580</v>
          </cell>
          <cell r="M2203" t="str">
            <v>TRI PHƯƠNG</v>
          </cell>
          <cell r="N2203" t="str">
            <v>HATECO HICT</v>
          </cell>
          <cell r="O2203" t="str">
            <v>VI-26/50980</v>
          </cell>
          <cell r="P2203" t="str">
            <v>done</v>
          </cell>
          <cell r="Q2203">
            <v>308224206530</v>
          </cell>
        </row>
        <row r="2204">
          <cell r="I2204" t="str">
            <v>TRHU4306019</v>
          </cell>
          <cell r="J2204" t="str">
            <v>MẠNH</v>
          </cell>
          <cell r="K2204">
            <v>0.10416666666666667</v>
          </cell>
          <cell r="L2204" t="str">
            <v>MRSU6287759</v>
          </cell>
          <cell r="M2204" t="str">
            <v>TRI PHƯƠNG</v>
          </cell>
          <cell r="N2204" t="str">
            <v>HATECO HICT</v>
          </cell>
          <cell r="O2204" t="str">
            <v>VI-26/50983</v>
          </cell>
          <cell r="P2204" t="str">
            <v>done</v>
          </cell>
          <cell r="Q2204">
            <v>308224253100</v>
          </cell>
        </row>
        <row r="2205">
          <cell r="I2205" t="str">
            <v>MNBU4384628</v>
          </cell>
          <cell r="J2205" t="str">
            <v>QUÂN</v>
          </cell>
          <cell r="K2205" t="str">
            <v>10:00</v>
          </cell>
          <cell r="L2205" t="str">
            <v>CAAU4913943</v>
          </cell>
          <cell r="M2205" t="str">
            <v>TRI PHƯƠNG</v>
          </cell>
          <cell r="N2205" t="str">
            <v>HATECO HICT</v>
          </cell>
          <cell r="P2205" t="str">
            <v>done</v>
          </cell>
          <cell r="Q2205">
            <v>308225704420</v>
          </cell>
        </row>
        <row r="2206">
          <cell r="I2206" t="str">
            <v>CAAU8347090</v>
          </cell>
          <cell r="J2206" t="str">
            <v>THANH</v>
          </cell>
          <cell r="K2206" t="str">
            <v>13:00</v>
          </cell>
          <cell r="L2206" t="str">
            <v>CAAU6316680</v>
          </cell>
          <cell r="M2206" t="str">
            <v>TRI PHƯƠNG</v>
          </cell>
          <cell r="N2206" t="str">
            <v>HATECO HICT</v>
          </cell>
          <cell r="P2206" t="str">
            <v>done</v>
          </cell>
          <cell r="Q2206">
            <v>308225817120</v>
          </cell>
        </row>
        <row r="2207">
          <cell r="I2207" t="str">
            <v>MNBU3541110</v>
          </cell>
          <cell r="J2207" t="str">
            <v>THỊNH</v>
          </cell>
          <cell r="K2207" t="str">
            <v>13:00</v>
          </cell>
          <cell r="L2207" t="str">
            <v>MNBU3541110</v>
          </cell>
          <cell r="M2207" t="str">
            <v>TRI PHƯƠNG</v>
          </cell>
          <cell r="N2207" t="str">
            <v>HATECO HICT</v>
          </cell>
          <cell r="P2207" t="str">
            <v>done</v>
          </cell>
          <cell r="Q2207">
            <v>308225880010</v>
          </cell>
        </row>
        <row r="2208">
          <cell r="I2208" t="str">
            <v>MNBU4489824</v>
          </cell>
          <cell r="J2208" t="str">
            <v>THI
MẠNH KÉO VỀ</v>
          </cell>
          <cell r="K2208" t="str">
            <v>22:00</v>
          </cell>
          <cell r="L2208" t="str">
            <v>CAIU8256583</v>
          </cell>
          <cell r="N2208" t="str">
            <v>HATECO HICT</v>
          </cell>
          <cell r="O2208" t="str">
            <v>VR-26/50339</v>
          </cell>
          <cell r="P2208" t="str">
            <v>done</v>
          </cell>
          <cell r="Q2208">
            <v>308224905020</v>
          </cell>
        </row>
        <row r="2209">
          <cell r="I2209" t="str">
            <v>OTPU6167594</v>
          </cell>
          <cell r="J2209" t="str">
            <v>THÀNH</v>
          </cell>
          <cell r="K2209" t="str">
            <v>09:00</v>
          </cell>
          <cell r="L2209" t="str">
            <v>ECMU7730395</v>
          </cell>
          <cell r="M2209" t="str">
            <v>TRI PHƯƠNG</v>
          </cell>
          <cell r="N2209" t="str">
            <v>LẠCH HUYỆN</v>
          </cell>
          <cell r="Q2209">
            <v>0</v>
          </cell>
        </row>
        <row r="2210">
          <cell r="I2210" t="str">
            <v>TRIU8112864</v>
          </cell>
          <cell r="J2210" t="str">
            <v>SÂM
THANH KÉO VỀ</v>
          </cell>
          <cell r="K2210" t="str">
            <v>11:00</v>
          </cell>
          <cell r="L2210" t="str">
            <v>SEKU9246494</v>
          </cell>
          <cell r="N2210" t="str">
            <v>TÂN VŨ</v>
          </cell>
          <cell r="O2210" t="str">
            <v>VP-26/50562</v>
          </cell>
          <cell r="P2210" t="str">
            <v>done</v>
          </cell>
          <cell r="Q2210">
            <v>308225956310</v>
          </cell>
        </row>
        <row r="2211">
          <cell r="I2211" t="str">
            <v>SEKU9246494</v>
          </cell>
          <cell r="J2211" t="str">
            <v>SÂM
KÉO VỀ</v>
          </cell>
          <cell r="K2211" t="str">
            <v>13:00</v>
          </cell>
          <cell r="L2211" t="str">
            <v>CAAU8347090</v>
          </cell>
          <cell r="N2211" t="str">
            <v>TÂN VŨ</v>
          </cell>
          <cell r="O2211" t="str">
            <v>VP-26/50556</v>
          </cell>
          <cell r="P2211" t="str">
            <v>done</v>
          </cell>
          <cell r="Q2211">
            <v>308225747010</v>
          </cell>
        </row>
        <row r="2212">
          <cell r="I2212" t="str">
            <v>SZLU9533111</v>
          </cell>
          <cell r="J2212" t="str">
            <v>HƯỜNG
SƠN KÉO VỀ</v>
          </cell>
          <cell r="K2212" t="str">
            <v>15:00</v>
          </cell>
          <cell r="L2212" t="str">
            <v>EGSU9867730</v>
          </cell>
          <cell r="N2212" t="str">
            <v>TÂN VŨ</v>
          </cell>
          <cell r="O2212" t="str">
            <v>VP-26/50548</v>
          </cell>
          <cell r="P2212" t="str">
            <v>done</v>
          </cell>
          <cell r="Q2212">
            <v>308225591020</v>
          </cell>
        </row>
        <row r="2213">
          <cell r="I2213" t="str">
            <v>CGMU5740960</v>
          </cell>
          <cell r="J2213" t="str">
            <v>DŨNG
KÉO VỀ</v>
          </cell>
          <cell r="K2213" t="str">
            <v>15:00</v>
          </cell>
          <cell r="L2213" t="str">
            <v>CGMU5740960</v>
          </cell>
          <cell r="N2213" t="str">
            <v>TÂN VŨ</v>
          </cell>
          <cell r="O2213" t="str">
            <v>VP-26/50559</v>
          </cell>
          <cell r="P2213" t="str">
            <v>done</v>
          </cell>
          <cell r="Q2213">
            <v>308225853150</v>
          </cell>
        </row>
        <row r="2214">
          <cell r="I2214" t="str">
            <v>CGMU5230190</v>
          </cell>
          <cell r="J2214" t="str">
            <v>TRỌNG
KÉO VỀ</v>
          </cell>
          <cell r="K2214" t="str">
            <v>15:00</v>
          </cell>
          <cell r="L2214" t="str">
            <v>CGMU5230190</v>
          </cell>
          <cell r="N2214" t="str">
            <v>TÂN VŨ</v>
          </cell>
          <cell r="O2214" t="str">
            <v>VR-26/50336</v>
          </cell>
          <cell r="P2214" t="str">
            <v>done</v>
          </cell>
          <cell r="Q2214">
            <v>308224739450</v>
          </cell>
        </row>
        <row r="2215">
          <cell r="I2215" t="str">
            <v>HAMU3968973</v>
          </cell>
          <cell r="J2215" t="str">
            <v>HƯỜNG
HƯNG KÉO VỀ</v>
          </cell>
          <cell r="K2215" t="str">
            <v>9:00</v>
          </cell>
          <cell r="L2215" t="str">
            <v>SEGU9531497</v>
          </cell>
          <cell r="N2215" t="str">
            <v>HATECO HICT</v>
          </cell>
          <cell r="O2215" t="str">
            <v>VR-26/50326</v>
          </cell>
          <cell r="P2215" t="str">
            <v>done</v>
          </cell>
          <cell r="Q2215">
            <v>308225405300</v>
          </cell>
        </row>
        <row r="2216">
          <cell r="I2216" t="str">
            <v>CAIU8256583</v>
          </cell>
          <cell r="J2216" t="str">
            <v>PHƯƠNG
THI KÉO VỀ</v>
          </cell>
          <cell r="K2216" t="str">
            <v>9:00</v>
          </cell>
          <cell r="L2216" t="str">
            <v>EGSU6261477</v>
          </cell>
          <cell r="N2216" t="str">
            <v>HATECO HICT</v>
          </cell>
          <cell r="O2216" t="str">
            <v>VR-26/50264</v>
          </cell>
          <cell r="P2216" t="str">
            <v>done</v>
          </cell>
          <cell r="Q2216">
            <v>308225541910</v>
          </cell>
        </row>
        <row r="2217">
          <cell r="I2217" t="str">
            <v>FANU1197890</v>
          </cell>
          <cell r="J2217" t="str">
            <v>HƯNG
HƯỜNG KÉO VỀ</v>
          </cell>
          <cell r="K2217" t="str">
            <v>10:00</v>
          </cell>
          <cell r="L2217" t="str">
            <v>HAMU3968973</v>
          </cell>
          <cell r="N2217" t="str">
            <v>HATECO HICT</v>
          </cell>
          <cell r="O2217" t="str">
            <v>VR-26/50327</v>
          </cell>
          <cell r="P2217" t="str">
            <v>done</v>
          </cell>
          <cell r="Q2217">
            <v>308225435840</v>
          </cell>
        </row>
        <row r="2218">
          <cell r="I2218" t="str">
            <v>ECMU7440924</v>
          </cell>
          <cell r="J2218" t="str">
            <v>THI</v>
          </cell>
          <cell r="K2218">
            <v>0.34375</v>
          </cell>
          <cell r="L2218" t="str">
            <v>MRSU6222275</v>
          </cell>
          <cell r="O2218" t="str">
            <v>VI-26/51016</v>
          </cell>
          <cell r="Q2218">
            <v>0</v>
          </cell>
        </row>
        <row r="2219">
          <cell r="I2219" t="str">
            <v>ECMU4862680</v>
          </cell>
          <cell r="J2219" t="str">
            <v>HƯỜNG</v>
          </cell>
          <cell r="K2219">
            <v>0.4375</v>
          </cell>
          <cell r="L2219" t="str">
            <v>MRSU6187894</v>
          </cell>
          <cell r="O2219" t="str">
            <v>VI-26/51017</v>
          </cell>
          <cell r="Q2219">
            <v>0</v>
          </cell>
        </row>
        <row r="2220">
          <cell r="I2220" t="str">
            <v>CMAU6422029</v>
          </cell>
          <cell r="J2220" t="str">
            <v>THÀNH</v>
          </cell>
          <cell r="K2220">
            <v>0.60416666666666663</v>
          </cell>
          <cell r="L2220" t="str">
            <v>MRSU6937730</v>
          </cell>
          <cell r="O2220" t="str">
            <v>VI-26/51021</v>
          </cell>
          <cell r="Q2220">
            <v>0</v>
          </cell>
        </row>
        <row r="2221">
          <cell r="I2221" t="str">
            <v>KKFU7848291</v>
          </cell>
          <cell r="J2221" t="str">
            <v>SƠN</v>
          </cell>
          <cell r="K2221">
            <v>8.3333333333333329E-2</v>
          </cell>
          <cell r="L2221" t="str">
            <v>MRSU6976911</v>
          </cell>
          <cell r="O2221" t="str">
            <v>VI-26/51015</v>
          </cell>
          <cell r="Q2221">
            <v>0</v>
          </cell>
        </row>
        <row r="2222">
          <cell r="I2222" t="str">
            <v>TCKU6377646</v>
          </cell>
          <cell r="J2222" t="str">
            <v>SÂM</v>
          </cell>
          <cell r="K2222">
            <v>9.375E-2</v>
          </cell>
          <cell r="L2222" t="str">
            <v>HASU4155136</v>
          </cell>
          <cell r="O2222" t="str">
            <v>VI-26/51018</v>
          </cell>
          <cell r="Q2222">
            <v>0</v>
          </cell>
        </row>
        <row r="2223">
          <cell r="I2223" t="str">
            <v>CMAU4347380</v>
          </cell>
          <cell r="K2223">
            <v>0.10416666666666667</v>
          </cell>
          <cell r="O2223" t="str">
            <v>VI-26/51019</v>
          </cell>
          <cell r="Q2223">
            <v>0</v>
          </cell>
        </row>
        <row r="2224">
          <cell r="I2224" t="str">
            <v>BHCU5017714</v>
          </cell>
          <cell r="J2224" t="str">
            <v>RU TÙNG LONG</v>
          </cell>
          <cell r="K2224">
            <v>0.125</v>
          </cell>
          <cell r="L2224" t="str">
            <v>BHCU5017714</v>
          </cell>
          <cell r="N2224" t="str">
            <v>HATECO HICT</v>
          </cell>
          <cell r="O2224" t="str">
            <v>VI-26/51026</v>
          </cell>
          <cell r="P2224" t="str">
            <v>x</v>
          </cell>
          <cell r="Q2224">
            <v>308228418060</v>
          </cell>
        </row>
        <row r="2225">
          <cell r="I2225" t="str">
            <v>TGBU4601685</v>
          </cell>
          <cell r="J2225" t="str">
            <v>PHƯƠNG</v>
          </cell>
          <cell r="K2225">
            <v>0.33333333333333331</v>
          </cell>
          <cell r="O2225" t="str">
            <v>HP</v>
          </cell>
          <cell r="Q2225">
            <v>0</v>
          </cell>
        </row>
        <row r="2226">
          <cell r="I2226" t="str">
            <v>EGSU1750027</v>
          </cell>
          <cell r="J2226" t="str">
            <v>SƠN</v>
          </cell>
          <cell r="K2226">
            <v>0.41666666666666669</v>
          </cell>
          <cell r="O2226" t="str">
            <v>RTB-26/0048</v>
          </cell>
          <cell r="Q2226">
            <v>0</v>
          </cell>
        </row>
        <row r="2227">
          <cell r="I2227" t="str">
            <v>EGSU1128820</v>
          </cell>
          <cell r="J2227" t="str">
            <v>THÀNH</v>
          </cell>
          <cell r="K2227">
            <v>0.41666666666666669</v>
          </cell>
          <cell r="L2227" t="str">
            <v>CAAU5213728</v>
          </cell>
          <cell r="Q2227">
            <v>0</v>
          </cell>
        </row>
        <row r="2228">
          <cell r="I2228" t="str">
            <v>BSIU8105005</v>
          </cell>
          <cell r="J2228" t="str">
            <v>QUÂN
TRỌNG KÉO VỀ</v>
          </cell>
          <cell r="K2228">
            <v>0.45833333333333331</v>
          </cell>
          <cell r="L2228" t="str">
            <v>SELU4418474</v>
          </cell>
          <cell r="N2228" t="str">
            <v>LẠCH HUYỆN</v>
          </cell>
          <cell r="O2228" t="str">
            <v>VP-26/50545</v>
          </cell>
          <cell r="P2228" t="str">
            <v>done</v>
          </cell>
          <cell r="Q2228">
            <v>308229209800</v>
          </cell>
        </row>
        <row r="2229">
          <cell r="I2229" t="str">
            <v>TRHU4712276</v>
          </cell>
          <cell r="J2229" t="str">
            <v>THỊNH KÉO VỀ</v>
          </cell>
          <cell r="K2229">
            <v>0.54166666666666663</v>
          </cell>
          <cell r="N2229" t="str">
            <v>LẠCH HUYỆN</v>
          </cell>
          <cell r="P2229" t="str">
            <v>done</v>
          </cell>
          <cell r="Q2229">
            <v>308229276520</v>
          </cell>
        </row>
        <row r="2230">
          <cell r="I2230" t="str">
            <v>FFAU2900283</v>
          </cell>
          <cell r="J2230" t="str">
            <v>THỊNH
DŨNG KÉO VỀ</v>
          </cell>
          <cell r="K2230">
            <v>0.54166666666666663</v>
          </cell>
          <cell r="L2230" t="str">
            <v>TRHU4712276</v>
          </cell>
          <cell r="N2230" t="str">
            <v>LẠCH HUYỆN</v>
          </cell>
          <cell r="O2230" t="str">
            <v>VP-26/50565</v>
          </cell>
          <cell r="P2230" t="str">
            <v>done</v>
          </cell>
          <cell r="Q2230">
            <v>308229232200</v>
          </cell>
        </row>
        <row r="2231">
          <cell r="I2231" t="str">
            <v>FFAU3595902</v>
          </cell>
          <cell r="J2231" t="str">
            <v>THỊNH</v>
          </cell>
          <cell r="K2231">
            <v>0.54166666666666663</v>
          </cell>
          <cell r="L2231" t="str">
            <v>BEAU5879841</v>
          </cell>
          <cell r="O2231" t="str">
            <v>HP</v>
          </cell>
          <cell r="Q2231">
            <v>0</v>
          </cell>
        </row>
        <row r="2232">
          <cell r="I2232" t="str">
            <v>FFAU2324470</v>
          </cell>
          <cell r="J2232" t="str">
            <v>HỒNG HƯNG</v>
          </cell>
          <cell r="K2232">
            <v>0.875</v>
          </cell>
          <cell r="L2232" t="str">
            <v>GCXU6226662</v>
          </cell>
          <cell r="O2232" t="str">
            <v>HP</v>
          </cell>
          <cell r="Q2232">
            <v>0</v>
          </cell>
        </row>
        <row r="2233">
          <cell r="I2233" t="str">
            <v>TRHU6441445</v>
          </cell>
          <cell r="J2233" t="str">
            <v>DŨ̃NG</v>
          </cell>
          <cell r="K2233">
            <v>0.91666666666666663</v>
          </cell>
          <cell r="L2233" t="str">
            <v>FFAU2900283</v>
          </cell>
          <cell r="O2233" t="str">
            <v>HP</v>
          </cell>
          <cell r="Q2233">
            <v>0</v>
          </cell>
        </row>
        <row r="2234">
          <cell r="I2234" t="str">
            <v>EGSU6400356</v>
          </cell>
          <cell r="J2234" t="str">
            <v>PHƯƠNG</v>
          </cell>
          <cell r="K2234">
            <v>0</v>
          </cell>
          <cell r="L2234" t="str">
            <v>TIIU4880193</v>
          </cell>
          <cell r="O2234" t="str">
            <v>RTB-26/0049</v>
          </cell>
          <cell r="Q2234">
            <v>0</v>
          </cell>
        </row>
        <row r="2235">
          <cell r="I2235" t="str">
            <v>TRHU6661440</v>
          </cell>
          <cell r="K2235">
            <v>0.41666666666666669</v>
          </cell>
          <cell r="O2235" t="str">
            <v>HP</v>
          </cell>
          <cell r="Q2235">
            <v>0</v>
          </cell>
        </row>
        <row r="2236">
          <cell r="I2236" t="str">
            <v>CAAU4835141</v>
          </cell>
          <cell r="K2236">
            <v>0.875</v>
          </cell>
          <cell r="O2236" t="str">
            <v>HP</v>
          </cell>
          <cell r="Q2236">
            <v>0</v>
          </cell>
        </row>
        <row r="2237">
          <cell r="I2237" t="str">
            <v>GAOU7262390</v>
          </cell>
          <cell r="K2237">
            <v>0.33333333333333331</v>
          </cell>
          <cell r="O2237" t="str">
            <v>VH-26/50185</v>
          </cell>
          <cell r="Q2237">
            <v>0</v>
          </cell>
        </row>
        <row r="2238">
          <cell r="I2238" t="str">
            <v>GAOU6942916</v>
          </cell>
          <cell r="K2238">
            <v>0.875</v>
          </cell>
          <cell r="O2238" t="str">
            <v>VH-26/50188</v>
          </cell>
          <cell r="Q2238">
            <v>0</v>
          </cell>
        </row>
        <row r="2239">
          <cell r="I2239" t="str">
            <v>EGSU9377898</v>
          </cell>
          <cell r="J2239" t="str">
            <v>THÀNH</v>
          </cell>
          <cell r="K2239">
            <v>0.875</v>
          </cell>
          <cell r="L2239" t="str">
            <v>TCNU6869810</v>
          </cell>
          <cell r="O2239" t="str">
            <v>VH-26/50183</v>
          </cell>
          <cell r="Q2239">
            <v>0</v>
          </cell>
        </row>
        <row r="2240">
          <cell r="I2240" t="str">
            <v>CAAU5321980</v>
          </cell>
          <cell r="J2240" t="str">
            <v>QUÂN</v>
          </cell>
          <cell r="K2240">
            <v>0.875</v>
          </cell>
          <cell r="L2240" t="str">
            <v>GAOU7262390</v>
          </cell>
          <cell r="O2240" t="str">
            <v>VH-26/50187</v>
          </cell>
          <cell r="Q2240">
            <v>0</v>
          </cell>
        </row>
        <row r="2241">
          <cell r="I2241" t="str">
            <v>EMCU8916574</v>
          </cell>
          <cell r="J2241" t="str">
            <v>TÍN</v>
          </cell>
          <cell r="K2241">
            <v>8.3333333333333329E-2</v>
          </cell>
          <cell r="O2241" t="str">
            <v>VH-26/50186</v>
          </cell>
          <cell r="Q2241">
            <v>0</v>
          </cell>
        </row>
        <row r="2242">
          <cell r="I2242" t="str">
            <v>EGHU9241212</v>
          </cell>
          <cell r="J2242" t="str">
            <v>HƯỜNG</v>
          </cell>
          <cell r="K2242">
            <v>0.125</v>
          </cell>
          <cell r="O2242" t="str">
            <v>VH-26/50184</v>
          </cell>
          <cell r="Q2242">
            <v>0</v>
          </cell>
        </row>
        <row r="2243">
          <cell r="I2243" t="str">
            <v>EMCU9928728</v>
          </cell>
          <cell r="J2243" t="str">
            <v>TRƯỜNG NHÂN PHÁT</v>
          </cell>
          <cell r="K2243">
            <v>0.54166666666666663</v>
          </cell>
          <cell r="L2243" t="str">
            <v>EMCU9928728</v>
          </cell>
          <cell r="N2243" t="str">
            <v>GIC</v>
          </cell>
          <cell r="O2243" t="str">
            <v>VS-26/50176</v>
          </cell>
          <cell r="P2243" t="str">
            <v>done</v>
          </cell>
          <cell r="Q2243">
            <v>308227361210</v>
          </cell>
        </row>
        <row r="2244">
          <cell r="I2244" t="str">
            <v>EGSU9423231</v>
          </cell>
          <cell r="J2244" t="str">
            <v>TÍN</v>
          </cell>
          <cell r="K2244">
            <v>0.625</v>
          </cell>
          <cell r="N2244" t="str">
            <v>GIC</v>
          </cell>
          <cell r="O2244" t="str">
            <v>VS-26/50174</v>
          </cell>
          <cell r="Q2244">
            <v>0</v>
          </cell>
        </row>
        <row r="2245">
          <cell r="I2245" t="str">
            <v>ONEU5769530</v>
          </cell>
          <cell r="J2245" t="str">
            <v>TRƯỜNG NHÂN PHÁT</v>
          </cell>
          <cell r="K2245">
            <v>0.54166666666666663</v>
          </cell>
          <cell r="L2245" t="str">
            <v>ONEU5769530</v>
          </cell>
          <cell r="N2245" t="str">
            <v>LẠCH HUYỆN</v>
          </cell>
          <cell r="O2245" t="str">
            <v>VH-26/50191</v>
          </cell>
          <cell r="P2245" t="str">
            <v>done</v>
          </cell>
          <cell r="Q2245">
            <v>308227339360</v>
          </cell>
        </row>
        <row r="2246">
          <cell r="I2246" t="str">
            <v>MRSU9087800</v>
          </cell>
          <cell r="J2246" t="str">
            <v>RU VIETLINK</v>
          </cell>
          <cell r="K2246">
            <v>0.33333333333333331</v>
          </cell>
          <cell r="L2246" t="str">
            <v>MRSU9087800</v>
          </cell>
          <cell r="N2246" t="str">
            <v>HATECO HICT</v>
          </cell>
          <cell r="O2246" t="str">
            <v>VI-26/50964</v>
          </cell>
          <cell r="P2246" t="str">
            <v>done</v>
          </cell>
          <cell r="Q2246">
            <v>308227902750</v>
          </cell>
        </row>
        <row r="2247">
          <cell r="I2247" t="str">
            <v>MRSU6222275</v>
          </cell>
          <cell r="J2247" t="str">
            <v>QUÂN</v>
          </cell>
          <cell r="K2247">
            <v>0.33333333333333331</v>
          </cell>
          <cell r="L2247" t="str">
            <v>CAAU8312745</v>
          </cell>
          <cell r="M2247" t="str">
            <v>TRI PHƯƠNG</v>
          </cell>
          <cell r="N2247" t="str">
            <v>HATECO HICT</v>
          </cell>
          <cell r="O2247" t="str">
            <v>VI-26/50981</v>
          </cell>
          <cell r="P2247" t="str">
            <v>done</v>
          </cell>
          <cell r="Q2247">
            <v>308228053400</v>
          </cell>
        </row>
        <row r="2248">
          <cell r="I2248" t="str">
            <v>MRSU6187894</v>
          </cell>
          <cell r="J2248" t="str">
            <v>THỊNH</v>
          </cell>
          <cell r="K2248">
            <v>0.35416666666666669</v>
          </cell>
          <cell r="L2248" t="str">
            <v>TCLU6461878</v>
          </cell>
          <cell r="M2248" t="str">
            <v>TRI PHƯƠNG</v>
          </cell>
          <cell r="N2248" t="str">
            <v>HATECO HICT</v>
          </cell>
          <cell r="O2248" t="str">
            <v>VI-26/50998</v>
          </cell>
          <cell r="P2248" t="str">
            <v>done</v>
          </cell>
          <cell r="Q2248">
            <v>308227876850</v>
          </cell>
        </row>
        <row r="2249">
          <cell r="I2249" t="str">
            <v>TCKU6514219</v>
          </cell>
          <cell r="J2249" t="str">
            <v>TÍN</v>
          </cell>
          <cell r="K2249">
            <v>0.375</v>
          </cell>
          <cell r="L2249" t="str">
            <v>CAIU8620376</v>
          </cell>
          <cell r="M2249" t="str">
            <v>TRI PHƯƠNG</v>
          </cell>
          <cell r="N2249" t="str">
            <v>HATECO HICT</v>
          </cell>
          <cell r="O2249" t="str">
            <v>VI-26/51024</v>
          </cell>
          <cell r="P2249" t="str">
            <v>done</v>
          </cell>
          <cell r="Q2249">
            <v>308228110060</v>
          </cell>
        </row>
        <row r="2250">
          <cell r="I2250" t="str">
            <v>MRKU4892104</v>
          </cell>
          <cell r="J2250" t="str">
            <v>RU DIỆP LÂM ANH</v>
          </cell>
          <cell r="K2250">
            <v>0.4236111111111111</v>
          </cell>
          <cell r="L2250" t="str">
            <v>MRKU4892104</v>
          </cell>
          <cell r="N2250" t="str">
            <v>HATECO HICT</v>
          </cell>
          <cell r="O2250" t="str">
            <v>VI-26/51022</v>
          </cell>
          <cell r="P2250" t="str">
            <v>done</v>
          </cell>
          <cell r="Q2250">
            <v>308228063310</v>
          </cell>
        </row>
        <row r="2251">
          <cell r="I2251" t="str">
            <v>CAAU9254181</v>
          </cell>
          <cell r="J2251" t="str">
            <v>RU DĐĂNG KHOA</v>
          </cell>
          <cell r="K2251">
            <v>0.52083333333333337</v>
          </cell>
          <cell r="L2251" t="str">
            <v>CAAU9254181</v>
          </cell>
          <cell r="N2251" t="str">
            <v>HATECO HICT</v>
          </cell>
          <cell r="O2251" t="str">
            <v>VI-26/50991</v>
          </cell>
          <cell r="P2251" t="str">
            <v>done</v>
          </cell>
          <cell r="Q2251">
            <v>308228135150</v>
          </cell>
        </row>
        <row r="2252">
          <cell r="I2252" t="str">
            <v>MRSU6621439</v>
          </cell>
          <cell r="J2252" t="str">
            <v>RU ANH KIỆT</v>
          </cell>
          <cell r="K2252">
            <v>0.63194444444444442</v>
          </cell>
          <cell r="L2252" t="str">
            <v>MRSU6621439</v>
          </cell>
          <cell r="N2252" t="str">
            <v>HATECO HICT</v>
          </cell>
          <cell r="O2252" t="str">
            <v>VI-26/50999</v>
          </cell>
          <cell r="P2252" t="str">
            <v>done</v>
          </cell>
          <cell r="Q2252">
            <v>308228161310</v>
          </cell>
        </row>
        <row r="2253">
          <cell r="I2253" t="str">
            <v>TCKU7302847</v>
          </cell>
          <cell r="J2253" t="str">
            <v>RU ANH KIỆT</v>
          </cell>
          <cell r="K2253">
            <v>0.64583333333333337</v>
          </cell>
          <cell r="L2253" t="str">
            <v>TCKU7302847</v>
          </cell>
          <cell r="N2253" t="str">
            <v>HATECO HICT</v>
          </cell>
          <cell r="O2253" t="str">
            <v>VI-26/50994</v>
          </cell>
          <cell r="P2253" t="str">
            <v>done</v>
          </cell>
          <cell r="Q2253">
            <v>308228025840</v>
          </cell>
        </row>
        <row r="2254">
          <cell r="I2254" t="str">
            <v>MRSU8849855</v>
          </cell>
          <cell r="J2254" t="str">
            <v>HƯỜNG</v>
          </cell>
          <cell r="K2254">
            <v>0.64583333333333337</v>
          </cell>
          <cell r="L2254" t="str">
            <v>ECMU4862680</v>
          </cell>
          <cell r="M2254" t="str">
            <v>TRI PHƯƠNG</v>
          </cell>
          <cell r="N2254" t="str">
            <v>HATECO HICT</v>
          </cell>
          <cell r="O2254" t="str">
            <v>VI-26/51023</v>
          </cell>
          <cell r="P2254" t="str">
            <v>done</v>
          </cell>
          <cell r="Q2254">
            <v>308228070420</v>
          </cell>
        </row>
        <row r="2255">
          <cell r="I2255" t="str">
            <v>MRSU9127219</v>
          </cell>
          <cell r="J2255" t="str">
            <v>RU TRỊNH VŨ</v>
          </cell>
          <cell r="K2255">
            <v>0.89583333333333337</v>
          </cell>
          <cell r="L2255" t="str">
            <v>MRSU9127219</v>
          </cell>
          <cell r="N2255" t="str">
            <v>HATECO HICT</v>
          </cell>
          <cell r="O2255" t="str">
            <v>VI-26/50990</v>
          </cell>
          <cell r="P2255" t="str">
            <v>done</v>
          </cell>
          <cell r="Q2255">
            <v>308228001450</v>
          </cell>
        </row>
        <row r="2256">
          <cell r="I2256" t="str">
            <v>MRSU6976911</v>
          </cell>
          <cell r="J2256" t="str">
            <v>THI</v>
          </cell>
          <cell r="K2256">
            <v>0.92708333333333337</v>
          </cell>
          <cell r="L2256" t="str">
            <v>UETU8544759</v>
          </cell>
          <cell r="M2256" t="str">
            <v>TRI PHƯƠNG</v>
          </cell>
          <cell r="N2256" t="str">
            <v>HATECO HICT</v>
          </cell>
          <cell r="O2256" t="str">
            <v>VI-26/51000</v>
          </cell>
          <cell r="P2256" t="str">
            <v>done</v>
          </cell>
          <cell r="Q2256">
            <v>308228172510</v>
          </cell>
        </row>
        <row r="2257">
          <cell r="I2257" t="str">
            <v>UETU8544759</v>
          </cell>
          <cell r="J2257" t="str">
            <v>TÍN</v>
          </cell>
          <cell r="K2257">
            <v>0.11458333333333333</v>
          </cell>
          <cell r="L2257" t="str">
            <v>ECMU7440924</v>
          </cell>
          <cell r="M2257" t="str">
            <v>TRI PHƯƠNG</v>
          </cell>
          <cell r="N2257" t="str">
            <v>HATECO HICT</v>
          </cell>
          <cell r="O2257" t="str">
            <v>VI-26/51020</v>
          </cell>
          <cell r="P2257" t="str">
            <v>done</v>
          </cell>
          <cell r="Q2257">
            <v>308228094700</v>
          </cell>
        </row>
        <row r="2258">
          <cell r="I2258" t="str">
            <v>MRSU6937730</v>
          </cell>
          <cell r="J2258" t="str">
            <v>THI</v>
          </cell>
          <cell r="K2258">
            <v>0.13541666666666666</v>
          </cell>
          <cell r="L2258" t="str">
            <v>MRSU8849855</v>
          </cell>
          <cell r="M2258" t="str">
            <v>TRI PHƯƠNG</v>
          </cell>
          <cell r="N2258" t="str">
            <v>HATECO HICT</v>
          </cell>
          <cell r="O2258" t="str">
            <v>VI-26/51025</v>
          </cell>
          <cell r="P2258" t="str">
            <v>done</v>
          </cell>
          <cell r="Q2258">
            <v>308228079630</v>
          </cell>
        </row>
        <row r="2259">
          <cell r="I2259" t="str">
            <v>TCNU7736508</v>
          </cell>
          <cell r="J2259" t="str">
            <v>PHƯƠNG</v>
          </cell>
          <cell r="K2259">
            <v>0.875</v>
          </cell>
          <cell r="L2259" t="str">
            <v>EGSU9423231</v>
          </cell>
          <cell r="M2259" t="str">
            <v>TRI PHƯƠNG</v>
          </cell>
          <cell r="N2259" t="str">
            <v>HATECO HICT</v>
          </cell>
          <cell r="O2259" t="str">
            <v>VS-26/50173</v>
          </cell>
          <cell r="Q2259">
            <v>308228536360</v>
          </cell>
        </row>
        <row r="2260">
          <cell r="I2260" t="str">
            <v>CAAU6776984</v>
          </cell>
          <cell r="J2260" t="str">
            <v>THÀNH</v>
          </cell>
          <cell r="K2260" t="str">
            <v>13:00</v>
          </cell>
          <cell r="L2260" t="str">
            <v>SELU4416532</v>
          </cell>
          <cell r="M2260" t="str">
            <v>TRI PHƯƠNG</v>
          </cell>
          <cell r="N2260" t="str">
            <v>HATECO HICT</v>
          </cell>
          <cell r="Q2260">
            <v>308229488250</v>
          </cell>
        </row>
        <row r="2261">
          <cell r="I2261" t="str">
            <v>MRKU5387323</v>
          </cell>
          <cell r="J2261" t="str">
            <v>THỤY</v>
          </cell>
          <cell r="K2261" t="str">
            <v>09:00</v>
          </cell>
          <cell r="L2261" t="str">
            <v>ECMU7290819</v>
          </cell>
          <cell r="M2261" t="str">
            <v>TRI PHƯƠNG</v>
          </cell>
          <cell r="N2261" t="str">
            <v>TÂN VŨ</v>
          </cell>
          <cell r="P2261" t="str">
            <v>x</v>
          </cell>
          <cell r="Q2261">
            <v>308229870120</v>
          </cell>
        </row>
        <row r="2262">
          <cell r="I2262" t="str">
            <v>MRKU3231202</v>
          </cell>
          <cell r="J2262" t="str">
            <v>THANH</v>
          </cell>
          <cell r="K2262" t="str">
            <v>10:00</v>
          </cell>
          <cell r="L2262" t="str">
            <v>TRIU8112864</v>
          </cell>
          <cell r="M2262" t="str">
            <v>TRI PHƯƠNG</v>
          </cell>
          <cell r="N2262" t="str">
            <v>TÂN VŨ</v>
          </cell>
          <cell r="P2262" t="str">
            <v>x</v>
          </cell>
          <cell r="Q2262">
            <v>308229881060</v>
          </cell>
        </row>
        <row r="2263">
          <cell r="I2263" t="str">
            <v>CAAU7128116</v>
          </cell>
          <cell r="J2263" t="str">
            <v>TRỌNG</v>
          </cell>
          <cell r="K2263" t="str">
            <v>21:00</v>
          </cell>
          <cell r="L2263" t="str">
            <v>BSIU8105005</v>
          </cell>
          <cell r="M2263" t="str">
            <v>TRI PHƯƠNG</v>
          </cell>
          <cell r="N2263" t="str">
            <v>TÂN VŨ</v>
          </cell>
          <cell r="P2263" t="str">
            <v>x</v>
          </cell>
          <cell r="Q2263">
            <v>308229898120</v>
          </cell>
        </row>
        <row r="2264">
          <cell r="I2264" t="str">
            <v>MNBU3694969</v>
          </cell>
          <cell r="J2264" t="str">
            <v>QUÂN</v>
          </cell>
          <cell r="K2264" t="str">
            <v>08:00</v>
          </cell>
          <cell r="L2264" t="str">
            <v>CAAU9895164</v>
          </cell>
          <cell r="M2264" t="str">
            <v>TRI PHƯƠNG</v>
          </cell>
          <cell r="N2264" t="str">
            <v>HATECO HICT</v>
          </cell>
          <cell r="Q2264">
            <v>308229516730</v>
          </cell>
        </row>
        <row r="2265">
          <cell r="I2265" t="str">
            <v>MORU1315231</v>
          </cell>
          <cell r="J2265" t="str">
            <v>MẠNH
QUÂN KÉO VỀ</v>
          </cell>
          <cell r="K2265">
            <v>0.375</v>
          </cell>
          <cell r="L2265" t="str">
            <v>MNBU4489824</v>
          </cell>
          <cell r="N2265" t="str">
            <v>TÂN VŨ</v>
          </cell>
          <cell r="P2265" t="str">
            <v>done</v>
          </cell>
          <cell r="Q2265">
            <v>308229371020</v>
          </cell>
        </row>
        <row r="2266">
          <cell r="I2266" t="str">
            <v>SZLU9433431</v>
          </cell>
          <cell r="K2266" t="str">
            <v>22:00</v>
          </cell>
          <cell r="M2266" t="str">
            <v>TRI PHƯƠNG</v>
          </cell>
          <cell r="N2266" t="str">
            <v>LẠCH HUYỆN</v>
          </cell>
          <cell r="Q2266">
            <v>0</v>
          </cell>
        </row>
        <row r="2267">
          <cell r="I2267" t="str">
            <v>ECMU7316641</v>
          </cell>
          <cell r="J2267" t="str">
            <v>RU TÙNG LONG</v>
          </cell>
          <cell r="K2267">
            <v>0.875</v>
          </cell>
          <cell r="N2267" t="str">
            <v>HATECO HICT</v>
          </cell>
          <cell r="O2267" t="str">
            <v>VI-26/51051</v>
          </cell>
          <cell r="P2267" t="str">
            <v>done</v>
          </cell>
          <cell r="Q2267">
            <v>308233765140</v>
          </cell>
        </row>
        <row r="2268">
          <cell r="I2268" t="str">
            <v>ECMU7026067</v>
          </cell>
          <cell r="J2268" t="str">
            <v>RU TÙNG LONG</v>
          </cell>
          <cell r="K2268">
            <v>8.3333333333333329E-2</v>
          </cell>
          <cell r="N2268" t="str">
            <v>HATECO HICT</v>
          </cell>
          <cell r="O2268" t="str">
            <v>VI-26/51066</v>
          </cell>
          <cell r="P2268" t="str">
            <v>done</v>
          </cell>
          <cell r="Q2268">
            <v>308233885760</v>
          </cell>
        </row>
        <row r="2269">
          <cell r="I2269" t="str">
            <v>GCXU5280648</v>
          </cell>
          <cell r="J2269" t="str">
            <v>RU KỶ NGUYÊN</v>
          </cell>
          <cell r="K2269">
            <v>0.4375</v>
          </cell>
          <cell r="N2269" t="str">
            <v>LẠCH HUYỆN</v>
          </cell>
          <cell r="O2269" t="str">
            <v>VI-26/51035</v>
          </cell>
          <cell r="P2269" t="str">
            <v>done</v>
          </cell>
          <cell r="Q2269">
            <v>308233719860</v>
          </cell>
        </row>
        <row r="2270">
          <cell r="I2270" t="str">
            <v>TLLU4603570</v>
          </cell>
          <cell r="J2270" t="str">
            <v>RU KỶ NGUYÊN</v>
          </cell>
          <cell r="K2270">
            <v>0.54166666666666663</v>
          </cell>
          <cell r="N2270" t="str">
            <v>LẠCH HUYỆN</v>
          </cell>
          <cell r="O2270" t="str">
            <v>VI-26/51039</v>
          </cell>
          <cell r="P2270" t="str">
            <v>done</v>
          </cell>
          <cell r="Q2270">
            <v>308233827550</v>
          </cell>
        </row>
        <row r="2271">
          <cell r="I2271" t="str">
            <v>MSMU7828992</v>
          </cell>
          <cell r="J2271" t="str">
            <v>THÀNH</v>
          </cell>
          <cell r="K2271">
            <v>0.41666666666666669</v>
          </cell>
          <cell r="L2271" t="str">
            <v>BMOU9896245</v>
          </cell>
          <cell r="Q2271">
            <v>0</v>
          </cell>
        </row>
        <row r="2272">
          <cell r="I2272" t="str">
            <v>KKFU8105731</v>
          </cell>
          <cell r="J2272" t="str">
            <v>THỊNH</v>
          </cell>
          <cell r="K2272">
            <v>0.54166666666666663</v>
          </cell>
          <cell r="L2272" t="str">
            <v>MRKU5387323</v>
          </cell>
          <cell r="Q2272">
            <v>0</v>
          </cell>
        </row>
        <row r="2273">
          <cell r="K2273">
            <v>0.875</v>
          </cell>
          <cell r="Q2273">
            <v>0</v>
          </cell>
        </row>
        <row r="2274">
          <cell r="I2274" t="str">
            <v>TRHU5431381</v>
          </cell>
          <cell r="J2274" t="str">
            <v>THI</v>
          </cell>
          <cell r="K2274">
            <v>0</v>
          </cell>
          <cell r="L2274" t="str">
            <v>MRSU7594045</v>
          </cell>
          <cell r="Q2274">
            <v>0</v>
          </cell>
        </row>
        <row r="2275">
          <cell r="I2275" t="str">
            <v>CAAU9604633</v>
          </cell>
          <cell r="K2275">
            <v>0.33333333333333331</v>
          </cell>
          <cell r="N2275" t="str">
            <v>ĐÌNH VŨ</v>
          </cell>
          <cell r="Q2275" t="str">
            <v>CHƯA CÓ TK</v>
          </cell>
        </row>
        <row r="2276">
          <cell r="I2276" t="str">
            <v>UETU7389025</v>
          </cell>
          <cell r="K2276">
            <v>0</v>
          </cell>
          <cell r="Q2276">
            <v>0</v>
          </cell>
        </row>
        <row r="2277">
          <cell r="I2277" t="str">
            <v>ONEU9096102</v>
          </cell>
          <cell r="J2277" t="str">
            <v>HỒNG HƯNG
KÉO VỀ</v>
          </cell>
          <cell r="K2277">
            <v>0.54166666666666663</v>
          </cell>
          <cell r="L2277" t="str">
            <v>GAOU7291378</v>
          </cell>
          <cell r="N2277" t="str">
            <v>LẠCH HUYỆN</v>
          </cell>
          <cell r="P2277" t="str">
            <v>done</v>
          </cell>
          <cell r="Q2277">
            <v>308234954220</v>
          </cell>
        </row>
        <row r="2278">
          <cell r="I2278" t="str">
            <v>TRHU8609857</v>
          </cell>
          <cell r="J2278" t="str">
            <v>THỤY
KÉO VỀ</v>
          </cell>
          <cell r="K2278">
            <v>0.875</v>
          </cell>
          <cell r="L2278" t="str">
            <v>FFAU6193189</v>
          </cell>
          <cell r="N2278" t="str">
            <v>LẠCH HUYỆN</v>
          </cell>
          <cell r="P2278" t="str">
            <v>done</v>
          </cell>
          <cell r="Q2278">
            <v>308234980710</v>
          </cell>
        </row>
        <row r="2279">
          <cell r="I2279" t="str">
            <v>GAOU7291378</v>
          </cell>
          <cell r="J2279" t="str">
            <v>TÍN</v>
          </cell>
          <cell r="L2279" t="str">
            <v>FFAU5630026</v>
          </cell>
          <cell r="N2279">
            <v>0</v>
          </cell>
          <cell r="Q2279">
            <v>0</v>
          </cell>
        </row>
        <row r="2280">
          <cell r="I2280" t="str">
            <v>EGSU1406285</v>
          </cell>
          <cell r="J2280" t="str">
            <v>THÀNH</v>
          </cell>
          <cell r="L2280" t="str">
            <v>MNBU3694969</v>
          </cell>
          <cell r="N2280">
            <v>0</v>
          </cell>
          <cell r="Q2280">
            <v>0</v>
          </cell>
        </row>
        <row r="2281">
          <cell r="I2281" t="str">
            <v>EGSU1767971</v>
          </cell>
          <cell r="J2281" t="str">
            <v>HƯNG 
KÉO VỀ</v>
          </cell>
          <cell r="K2281">
            <v>0.33333333333333331</v>
          </cell>
          <cell r="L2281" t="str">
            <v>EGSU1767971</v>
          </cell>
          <cell r="N2281" t="str">
            <v>GIC</v>
          </cell>
          <cell r="O2281" t="str">
            <v>VH-26/50197</v>
          </cell>
          <cell r="P2281" t="str">
            <v>done</v>
          </cell>
          <cell r="Q2281">
            <v>308233006820</v>
          </cell>
        </row>
        <row r="2282">
          <cell r="I2282" t="str">
            <v>EGHU8316929</v>
          </cell>
          <cell r="J2282" t="str">
            <v>VINH
KÉO VỀ</v>
          </cell>
          <cell r="K2282">
            <v>0.54166666666666663</v>
          </cell>
          <cell r="L2282" t="str">
            <v>EGHU8316929</v>
          </cell>
          <cell r="N2282" t="str">
            <v>GIC</v>
          </cell>
          <cell r="O2282" t="str">
            <v>VH-26/50198</v>
          </cell>
          <cell r="P2282" t="str">
            <v>done</v>
          </cell>
          <cell r="Q2282">
            <v>308233069120</v>
          </cell>
        </row>
        <row r="2283">
          <cell r="I2283" t="str">
            <v>EGHU9614018</v>
          </cell>
          <cell r="J2283" t="str">
            <v>HƯNG
KÉO VỀ</v>
          </cell>
          <cell r="L2283" t="str">
            <v>CAAU5321980</v>
          </cell>
          <cell r="N2283" t="str">
            <v>GIC</v>
          </cell>
          <cell r="O2283" t="str">
            <v>VH-26/50195</v>
          </cell>
          <cell r="P2283" t="str">
            <v>done</v>
          </cell>
          <cell r="Q2283">
            <v>308233110200</v>
          </cell>
        </row>
        <row r="2284">
          <cell r="I2284" t="str">
            <v>EITU9280760</v>
          </cell>
          <cell r="J2284" t="str">
            <v>XUYÊN 
KÉO VỀ</v>
          </cell>
          <cell r="N2284" t="str">
            <v>GIC</v>
          </cell>
          <cell r="O2284" t="str">
            <v>VH-26/50196</v>
          </cell>
          <cell r="P2284" t="str">
            <v>done</v>
          </cell>
          <cell r="Q2284">
            <v>308233149510</v>
          </cell>
        </row>
        <row r="2285">
          <cell r="I2285" t="str">
            <v>CAAU6270234</v>
          </cell>
          <cell r="J2285" t="str">
            <v>QUÂN</v>
          </cell>
          <cell r="K2285">
            <v>0.33333333333333331</v>
          </cell>
          <cell r="L2285" t="str">
            <v>TCKU6514219</v>
          </cell>
          <cell r="M2285" t="str">
            <v>TRI PHƯƠNG</v>
          </cell>
          <cell r="N2285" t="str">
            <v>HATECO HICT</v>
          </cell>
          <cell r="O2285" t="str">
            <v>VI-26/51033</v>
          </cell>
          <cell r="P2285" t="str">
            <v>done</v>
          </cell>
          <cell r="Q2285">
            <v>308233365000</v>
          </cell>
        </row>
        <row r="2286">
          <cell r="I2286" t="str">
            <v>GCXU6227972</v>
          </cell>
          <cell r="J2286" t="str">
            <v>THỊNH</v>
          </cell>
          <cell r="K2286">
            <v>0.33333333333333331</v>
          </cell>
          <cell r="L2286" t="str">
            <v>KKFU7848291</v>
          </cell>
          <cell r="M2286" t="str">
            <v>TRI PHƯƠNG</v>
          </cell>
          <cell r="N2286" t="str">
            <v>HATECO HICT</v>
          </cell>
          <cell r="O2286" t="str">
            <v>VI-26/51037</v>
          </cell>
          <cell r="P2286" t="str">
            <v>done</v>
          </cell>
          <cell r="Q2286">
            <v>308233350300</v>
          </cell>
        </row>
        <row r="2287">
          <cell r="I2287" t="str">
            <v>HASU4155136</v>
          </cell>
          <cell r="J2287" t="str">
            <v>MẠNH</v>
          </cell>
          <cell r="K2287">
            <v>0.34375</v>
          </cell>
          <cell r="L2287" t="str">
            <v>CAAU6270234</v>
          </cell>
          <cell r="M2287" t="str">
            <v>TRI PHƯƠNG</v>
          </cell>
          <cell r="N2287" t="str">
            <v>HATECO HICT</v>
          </cell>
          <cell r="O2287" t="str">
            <v>VI-26/51038</v>
          </cell>
          <cell r="P2287" t="str">
            <v>done</v>
          </cell>
          <cell r="Q2287">
            <v>308233284130</v>
          </cell>
        </row>
        <row r="2288">
          <cell r="I2288" t="str">
            <v>CAAU9124362</v>
          </cell>
          <cell r="J2288" t="str">
            <v>SƠN</v>
          </cell>
          <cell r="K2288">
            <v>0.39583333333333331</v>
          </cell>
          <cell r="L2288" t="str">
            <v>CMAU6422029</v>
          </cell>
          <cell r="M2288" t="str">
            <v>TRI PHƯƠNG</v>
          </cell>
          <cell r="N2288" t="str">
            <v>HATECO HICT</v>
          </cell>
          <cell r="O2288" t="str">
            <v>VI-26/51072</v>
          </cell>
          <cell r="P2288" t="str">
            <v>done</v>
          </cell>
          <cell r="Q2288">
            <v>308233110640</v>
          </cell>
        </row>
        <row r="2289">
          <cell r="I2289" t="str">
            <v>MRKU4305927</v>
          </cell>
          <cell r="J2289" t="str">
            <v>PHƯƠNG</v>
          </cell>
          <cell r="K2289">
            <v>0.53125</v>
          </cell>
          <cell r="L2289" t="str">
            <v>GCXU6227972</v>
          </cell>
          <cell r="M2289" t="str">
            <v>TRI PHƯƠNG</v>
          </cell>
          <cell r="N2289" t="str">
            <v>HATECO HICT</v>
          </cell>
          <cell r="O2289" t="str">
            <v>VI-26/51044</v>
          </cell>
          <cell r="P2289" t="str">
            <v>done</v>
          </cell>
          <cell r="Q2289">
            <v>308233325800</v>
          </cell>
        </row>
        <row r="2290">
          <cell r="I2290" t="str">
            <v>MRKU5994369</v>
          </cell>
          <cell r="J2290" t="str">
            <v>HƯỜNG</v>
          </cell>
          <cell r="K2290">
            <v>0.58333333333333337</v>
          </cell>
          <cell r="L2290" t="str">
            <v>MRKU5994369</v>
          </cell>
          <cell r="M2290" t="str">
            <v>TRI PHƯƠNG</v>
          </cell>
          <cell r="N2290" t="str">
            <v>HATECO HICT</v>
          </cell>
          <cell r="O2290" t="str">
            <v>VI-26/51046</v>
          </cell>
          <cell r="P2290" t="str">
            <v>done</v>
          </cell>
          <cell r="Q2290">
            <v>308233141330</v>
          </cell>
        </row>
        <row r="2291">
          <cell r="I2291" t="str">
            <v>MRSU3380770</v>
          </cell>
          <cell r="J2291" t="str">
            <v>THI</v>
          </cell>
          <cell r="K2291">
            <v>0.59375</v>
          </cell>
          <cell r="L2291" t="str">
            <v>TCKU6377646</v>
          </cell>
          <cell r="M2291" t="str">
            <v>TRI PHƯƠNG</v>
          </cell>
          <cell r="N2291" t="str">
            <v>HATECO HICT</v>
          </cell>
          <cell r="O2291" t="str">
            <v>VI-26/51047</v>
          </cell>
          <cell r="P2291" t="str">
            <v>done</v>
          </cell>
          <cell r="Q2291">
            <v>308233186350</v>
          </cell>
        </row>
        <row r="2292">
          <cell r="I2292" t="str">
            <v>TCKU6894741</v>
          </cell>
          <cell r="J2292" t="str">
            <v>PHƯƠNG</v>
          </cell>
          <cell r="K2292">
            <v>0.60416666666666663</v>
          </cell>
          <cell r="L2292" t="str">
            <v>CAAU9124362</v>
          </cell>
          <cell r="M2292" t="str">
            <v>TRI PHƯƠNG</v>
          </cell>
          <cell r="N2292" t="str">
            <v>HATECO HICT</v>
          </cell>
          <cell r="O2292" t="str">
            <v>VI-26/51048</v>
          </cell>
          <cell r="P2292" t="str">
            <v>done</v>
          </cell>
          <cell r="Q2292">
            <v>308233399410</v>
          </cell>
        </row>
        <row r="2293">
          <cell r="I2293" t="str">
            <v>MRSU8604913</v>
          </cell>
          <cell r="J2293" t="str">
            <v>THỊNH</v>
          </cell>
          <cell r="K2293">
            <v>0.875</v>
          </cell>
          <cell r="L2293" t="str">
            <v>MRKU4305927</v>
          </cell>
          <cell r="M2293" t="str">
            <v>TRI PHƯƠNG</v>
          </cell>
          <cell r="N2293" t="str">
            <v>HATECO HICT</v>
          </cell>
          <cell r="O2293" t="str">
            <v>VI-26/51073</v>
          </cell>
          <cell r="P2293" t="str">
            <v>done</v>
          </cell>
          <cell r="Q2293">
            <v>308233086360</v>
          </cell>
        </row>
        <row r="2294">
          <cell r="I2294" t="str">
            <v>CAAU4910760</v>
          </cell>
          <cell r="J2294" t="str">
            <v>MẠNH</v>
          </cell>
          <cell r="K2294">
            <v>0.88541666666666663</v>
          </cell>
          <cell r="L2294" t="str">
            <v>MRSU3380770</v>
          </cell>
          <cell r="M2294" t="str">
            <v>TRI PHƯƠNG</v>
          </cell>
          <cell r="N2294" t="str">
            <v>HATECO HICT</v>
          </cell>
          <cell r="O2294" t="str">
            <v>VI-26/51054</v>
          </cell>
          <cell r="P2294" t="str">
            <v>done</v>
          </cell>
          <cell r="Q2294">
            <v>308233921240</v>
          </cell>
        </row>
        <row r="2295">
          <cell r="I2295" t="str">
            <v>TCKU7175737</v>
          </cell>
          <cell r="J2295" t="str">
            <v>HƯỜNG</v>
          </cell>
          <cell r="K2295">
            <v>0.13541666666666666</v>
          </cell>
          <cell r="L2295" t="str">
            <v>TCKU6894741</v>
          </cell>
          <cell r="M2295" t="str">
            <v>TRI PHƯƠNG</v>
          </cell>
          <cell r="N2295" t="str">
            <v>HATECO HICT</v>
          </cell>
          <cell r="O2295" t="str">
            <v>VI-26/51062</v>
          </cell>
          <cell r="P2295" t="str">
            <v>done</v>
          </cell>
          <cell r="Q2295">
            <v>308233201160</v>
          </cell>
        </row>
        <row r="2296">
          <cell r="I2296" t="str">
            <v>MSKU1812827</v>
          </cell>
          <cell r="J2296" t="str">
            <v>SƠN</v>
          </cell>
          <cell r="K2296">
            <v>0.14583333333333334</v>
          </cell>
          <cell r="L2296" t="str">
            <v>CAAU4910760</v>
          </cell>
          <cell r="M2296" t="str">
            <v>TRI PHƯƠNG</v>
          </cell>
          <cell r="N2296" t="str">
            <v>HATECO HICT</v>
          </cell>
          <cell r="O2296" t="str">
            <v>VI-26/51063</v>
          </cell>
          <cell r="P2296" t="str">
            <v>done</v>
          </cell>
          <cell r="Q2296">
            <v>308233333240</v>
          </cell>
        </row>
        <row r="2297">
          <cell r="I2297" t="str">
            <v>MRSU3062764</v>
          </cell>
          <cell r="J2297" t="str">
            <v>THÀNH</v>
          </cell>
          <cell r="K2297">
            <v>0.33333333333333331</v>
          </cell>
          <cell r="L2297" t="str">
            <v>EGSU9377898</v>
          </cell>
          <cell r="M2297" t="str">
            <v>TRI PHƯƠNG</v>
          </cell>
          <cell r="N2297" t="str">
            <v>HATECO HICT</v>
          </cell>
          <cell r="O2297" t="str">
            <v>VS-26/50178</v>
          </cell>
          <cell r="Q2297">
            <v>308233036000</v>
          </cell>
        </row>
        <row r="2298">
          <cell r="I2298" t="str">
            <v>MRKU4000830</v>
          </cell>
          <cell r="J2298" t="str">
            <v>SÂM</v>
          </cell>
          <cell r="K2298">
            <v>0.875</v>
          </cell>
          <cell r="L2298" t="str">
            <v>EGHU9241212</v>
          </cell>
          <cell r="M2298" t="str">
            <v>TRI PHƯƠNG</v>
          </cell>
          <cell r="N2298" t="str">
            <v>HATECO HICT</v>
          </cell>
          <cell r="O2298" t="str">
            <v>VS-26/50195</v>
          </cell>
          <cell r="P2298" t="str">
            <v>done</v>
          </cell>
          <cell r="Q2298">
            <v>308233196960</v>
          </cell>
        </row>
        <row r="2299">
          <cell r="I2299" t="str">
            <v>BMOU9896245</v>
          </cell>
          <cell r="J2299" t="str">
            <v>THI</v>
          </cell>
          <cell r="K2299" t="str">
            <v>08:00</v>
          </cell>
          <cell r="L2299" t="str">
            <v>CAAU6776984</v>
          </cell>
          <cell r="M2299" t="str">
            <v>TRI PHƯƠNG</v>
          </cell>
          <cell r="N2299" t="str">
            <v>HATECO HICT</v>
          </cell>
          <cell r="Q2299">
            <v>0</v>
          </cell>
        </row>
        <row r="2300">
          <cell r="I2300" t="str">
            <v>CGMU5533237</v>
          </cell>
          <cell r="J2300" t="str">
            <v>QUÂN</v>
          </cell>
          <cell r="K2300" t="str">
            <v>14:00</v>
          </cell>
          <cell r="L2300" t="str">
            <v>MORU1315231</v>
          </cell>
          <cell r="M2300" t="str">
            <v>TRI PHƯƠNG</v>
          </cell>
          <cell r="N2300" t="str">
            <v>HATECO HICT</v>
          </cell>
          <cell r="Q2300">
            <v>0</v>
          </cell>
        </row>
        <row r="2301">
          <cell r="I2301" t="str">
            <v>CGMU5316442</v>
          </cell>
          <cell r="K2301" t="str">
            <v>21:00</v>
          </cell>
          <cell r="M2301" t="str">
            <v>TRI PHƯƠNG</v>
          </cell>
          <cell r="N2301" t="str">
            <v>HATECO HICT</v>
          </cell>
          <cell r="Q2301">
            <v>0</v>
          </cell>
        </row>
        <row r="2302">
          <cell r="I2302" t="str">
            <v>MRSU5726013</v>
          </cell>
          <cell r="J2302" t="str">
            <v>MẠNH</v>
          </cell>
          <cell r="K2302" t="str">
            <v>14:00</v>
          </cell>
          <cell r="L2302" t="str">
            <v>SZLU9433431</v>
          </cell>
          <cell r="M2302" t="str">
            <v>TRI PHƯƠNG</v>
          </cell>
          <cell r="N2302" t="str">
            <v>TÂN VŨ</v>
          </cell>
          <cell r="P2302" t="str">
            <v>X</v>
          </cell>
          <cell r="Q2302">
            <v>308234570840</v>
          </cell>
        </row>
        <row r="2303">
          <cell r="I2303" t="str">
            <v>TCKU7556327</v>
          </cell>
          <cell r="J2303" t="str">
            <v>THÀNH</v>
          </cell>
          <cell r="K2303" t="str">
            <v>15:00</v>
          </cell>
          <cell r="L2303" t="str">
            <v>EGSU1128820</v>
          </cell>
          <cell r="M2303" t="str">
            <v>TRI PHƯƠNG</v>
          </cell>
          <cell r="N2303" t="str">
            <v>TÂN VŨ</v>
          </cell>
          <cell r="P2303" t="str">
            <v>X</v>
          </cell>
          <cell r="Q2303">
            <v>308234581230</v>
          </cell>
        </row>
        <row r="2304">
          <cell r="I2304" t="str">
            <v>MRKU3943721</v>
          </cell>
          <cell r="J2304" t="str">
            <v>THỊNH</v>
          </cell>
          <cell r="K2304">
            <v>0.625</v>
          </cell>
          <cell r="L2304" t="str">
            <v>MRSU5726013</v>
          </cell>
          <cell r="M2304" t="str">
            <v>TRI PHƯƠNG</v>
          </cell>
          <cell r="N2304" t="str">
            <v>HATECO HICT</v>
          </cell>
          <cell r="P2304" t="str">
            <v>done</v>
          </cell>
          <cell r="Q2304">
            <v>308234268550</v>
          </cell>
        </row>
        <row r="2305">
          <cell r="I2305" t="str">
            <v>MRSU7594045</v>
          </cell>
          <cell r="J2305" t="str">
            <v>HƯỜNG</v>
          </cell>
          <cell r="K2305" t="str">
            <v>22:00</v>
          </cell>
          <cell r="L2305" t="str">
            <v>TCKU7556327</v>
          </cell>
          <cell r="M2305" t="str">
            <v>TRI PHƯƠNG</v>
          </cell>
          <cell r="N2305" t="str">
            <v>TÂN VŨ</v>
          </cell>
          <cell r="P2305" t="str">
            <v>X</v>
          </cell>
          <cell r="Q2305">
            <v>308234599910</v>
          </cell>
        </row>
        <row r="2306">
          <cell r="I2306" t="str">
            <v>CAAU9837189</v>
          </cell>
          <cell r="J2306" t="str">
            <v>QUÂN</v>
          </cell>
          <cell r="K2306" t="str">
            <v>22:00</v>
          </cell>
          <cell r="L2306" t="str">
            <v>CAAU9837189</v>
          </cell>
          <cell r="M2306" t="str">
            <v>TRI PHƯƠNG</v>
          </cell>
          <cell r="N2306" t="str">
            <v>TÂN VŨ</v>
          </cell>
          <cell r="P2306" t="str">
            <v>X</v>
          </cell>
          <cell r="Q2306">
            <v>308234624040</v>
          </cell>
        </row>
        <row r="2307">
          <cell r="I2307" t="str">
            <v>UETU7745168</v>
          </cell>
          <cell r="J2307" t="str">
            <v>RU HỒNG TRANG</v>
          </cell>
          <cell r="K2307">
            <v>0.35416666666666669</v>
          </cell>
          <cell r="L2307" t="str">
            <v>UETU7745168</v>
          </cell>
          <cell r="N2307" t="str">
            <v>TÂN VŨ</v>
          </cell>
          <cell r="O2307" t="str">
            <v>VI-26/51079</v>
          </cell>
          <cell r="P2307" t="str">
            <v>X</v>
          </cell>
          <cell r="Q2307">
            <v>308236415560</v>
          </cell>
        </row>
        <row r="2308">
          <cell r="I2308" t="str">
            <v>EMCU1629485</v>
          </cell>
          <cell r="K2308">
            <v>0.58333333333333337</v>
          </cell>
          <cell r="O2308" t="str">
            <v>VI-26/51053</v>
          </cell>
          <cell r="Q2308">
            <v>0</v>
          </cell>
        </row>
        <row r="2309">
          <cell r="K2309">
            <v>6.25E-2</v>
          </cell>
          <cell r="O2309" t="str">
            <v>VI-26/51097</v>
          </cell>
          <cell r="Q2309">
            <v>0</v>
          </cell>
        </row>
        <row r="2310">
          <cell r="I2310" t="str">
            <v>SELU4139572</v>
          </cell>
          <cell r="J2310" t="str">
            <v>THI</v>
          </cell>
          <cell r="K2310">
            <v>9.375E-2</v>
          </cell>
          <cell r="L2310" t="str">
            <v>MRKU3303642</v>
          </cell>
          <cell r="O2310" t="str">
            <v>VI-26/51100</v>
          </cell>
          <cell r="Q2310">
            <v>0</v>
          </cell>
        </row>
        <row r="2311">
          <cell r="I2311" t="str">
            <v>SEKU4321168</v>
          </cell>
          <cell r="J2311" t="str">
            <v>HƯỜNG</v>
          </cell>
          <cell r="K2311">
            <v>0.125</v>
          </cell>
          <cell r="L2311" t="str">
            <v>MRSU6603327</v>
          </cell>
          <cell r="O2311" t="str">
            <v>VI-26/51102</v>
          </cell>
          <cell r="Q2311">
            <v>0</v>
          </cell>
        </row>
        <row r="2312">
          <cell r="I2312" t="str">
            <v>EGSU9308670</v>
          </cell>
          <cell r="K2312">
            <v>0.33333333333333331</v>
          </cell>
          <cell r="O2312" t="str">
            <v>VS-26/50187</v>
          </cell>
          <cell r="Q2312">
            <v>0</v>
          </cell>
        </row>
        <row r="2313">
          <cell r="I2313" t="str">
            <v>EITU1232771</v>
          </cell>
          <cell r="K2313">
            <v>0.33333333333333331</v>
          </cell>
          <cell r="O2313" t="str">
            <v>VS-26/50188</v>
          </cell>
          <cell r="Q2313">
            <v>0</v>
          </cell>
        </row>
        <row r="2314">
          <cell r="I2314" t="str">
            <v>EGSU9150538</v>
          </cell>
          <cell r="J2314" t="str">
            <v>TÍN 
KÉO VỀ</v>
          </cell>
          <cell r="K2314">
            <v>0.33333333333333331</v>
          </cell>
          <cell r="N2314" t="str">
            <v>GIC</v>
          </cell>
          <cell r="O2314" t="str">
            <v>VS-26/50189</v>
          </cell>
          <cell r="P2314" t="str">
            <v>done</v>
          </cell>
          <cell r="Q2314">
            <v>308238120910</v>
          </cell>
        </row>
        <row r="2315">
          <cell r="I2315" t="str">
            <v>EITU1959230</v>
          </cell>
          <cell r="K2315">
            <v>0.58333333333333337</v>
          </cell>
          <cell r="O2315" t="str">
            <v>VS-26/50191</v>
          </cell>
          <cell r="Q2315">
            <v>0</v>
          </cell>
        </row>
        <row r="2316">
          <cell r="I2316" t="str">
            <v>TXGU7196104</v>
          </cell>
          <cell r="J2316" t="str">
            <v>HƯNG
SÂM KÉO VỀ</v>
          </cell>
          <cell r="K2316">
            <v>0.875</v>
          </cell>
          <cell r="N2316" t="str">
            <v>GIC</v>
          </cell>
          <cell r="O2316" t="str">
            <v>VH-26/50200</v>
          </cell>
          <cell r="P2316" t="str">
            <v>done</v>
          </cell>
          <cell r="Q2316">
            <v>308238251330</v>
          </cell>
        </row>
        <row r="2317">
          <cell r="I2317" t="str">
            <v>TLLU5854230</v>
          </cell>
          <cell r="J2317" t="str">
            <v>THÀNH</v>
          </cell>
          <cell r="K2317">
            <v>8.3333333333333329E-2</v>
          </cell>
          <cell r="L2317" t="str">
            <v>EGSU9308670</v>
          </cell>
          <cell r="O2317" t="str">
            <v>VS-26/50198</v>
          </cell>
          <cell r="Q2317">
            <v>0</v>
          </cell>
        </row>
        <row r="2318">
          <cell r="I2318" t="str">
            <v>EISU8370085</v>
          </cell>
          <cell r="J2318" t="str">
            <v>THÀNH</v>
          </cell>
          <cell r="K2318" t="str">
            <v>9:00</v>
          </cell>
          <cell r="L2318" t="str">
            <v>FFAU7693698</v>
          </cell>
          <cell r="Q2318">
            <v>0</v>
          </cell>
        </row>
        <row r="2319">
          <cell r="I2319" t="str">
            <v>EITU9385381</v>
          </cell>
          <cell r="J2319" t="str">
            <v>THỤY</v>
          </cell>
          <cell r="K2319" t="str">
            <v>9:00</v>
          </cell>
          <cell r="L2319" t="str">
            <v>TRHU8609857</v>
          </cell>
          <cell r="Q2319">
            <v>0</v>
          </cell>
        </row>
        <row r="2320">
          <cell r="I2320" t="str">
            <v>TXGU5577966</v>
          </cell>
          <cell r="K2320">
            <v>0.375</v>
          </cell>
          <cell r="O2320" t="str">
            <v>SERVICE</v>
          </cell>
          <cell r="Q2320">
            <v>0</v>
          </cell>
        </row>
        <row r="2321">
          <cell r="I2321" t="str">
            <v>CAAU9872560</v>
          </cell>
          <cell r="J2321" t="str">
            <v>SÂM</v>
          </cell>
          <cell r="K2321">
            <v>0.375</v>
          </cell>
          <cell r="L2321" t="str">
            <v>CAAU7128116</v>
          </cell>
          <cell r="O2321" t="str">
            <v>VZ-26/50154+VZ-26/50154R+VZ-26/50154R-01</v>
          </cell>
          <cell r="Q2321">
            <v>0</v>
          </cell>
        </row>
        <row r="2322">
          <cell r="I2322" t="str">
            <v>SELU4340376</v>
          </cell>
          <cell r="J2322" t="str">
            <v>HỒNG HƯNG</v>
          </cell>
          <cell r="K2322">
            <v>0.41666666666666669</v>
          </cell>
          <cell r="L2322" t="str">
            <v>CGMU5316442</v>
          </cell>
          <cell r="O2322" t="str">
            <v>RTB-26/0052</v>
          </cell>
          <cell r="Q2322">
            <v>0</v>
          </cell>
        </row>
        <row r="2323">
          <cell r="I2323" t="str">
            <v>FFAU7695514</v>
          </cell>
          <cell r="J2323" t="str">
            <v>QUÂN</v>
          </cell>
          <cell r="K2323">
            <v>0.45833333333333331</v>
          </cell>
          <cell r="L2323" t="str">
            <v>TCKU7093182</v>
          </cell>
          <cell r="O2323" t="str">
            <v>HP</v>
          </cell>
          <cell r="Q2323">
            <v>0</v>
          </cell>
        </row>
        <row r="2324">
          <cell r="I2324" t="str">
            <v>TIIU6192883</v>
          </cell>
          <cell r="J2324" t="str">
            <v>HƯNG</v>
          </cell>
          <cell r="K2324">
            <v>0.45833333333333331</v>
          </cell>
          <cell r="L2324" t="str">
            <v>FFAU3595902</v>
          </cell>
          <cell r="O2324" t="str">
            <v>VZ-26/50148+VZ-26/50148R+VZ-26/50148R-01</v>
          </cell>
          <cell r="Q2324">
            <v>0</v>
          </cell>
        </row>
        <row r="2325">
          <cell r="I2325" t="str">
            <v>TRHU5525599</v>
          </cell>
          <cell r="K2325" t="str">
            <v>11:00</v>
          </cell>
          <cell r="Q2325">
            <v>0</v>
          </cell>
        </row>
        <row r="2326">
          <cell r="I2326" t="str">
            <v>EMCU8570861</v>
          </cell>
          <cell r="J2326" t="str">
            <v>HƯỜNG</v>
          </cell>
          <cell r="K2326" t="str">
            <v>13:00</v>
          </cell>
          <cell r="L2326" t="str">
            <v>SEGU9936160</v>
          </cell>
          <cell r="Q2326">
            <v>0</v>
          </cell>
        </row>
        <row r="2327">
          <cell r="I2327" t="str">
            <v>SITU9225392</v>
          </cell>
          <cell r="J2327" t="str">
            <v>THI</v>
          </cell>
          <cell r="K2327">
            <v>0.54166666666666663</v>
          </cell>
          <cell r="L2327" t="str">
            <v>CAAU4048552</v>
          </cell>
          <cell r="O2327" t="str">
            <v>VZ-26/50149+VZ-26/50149R+VZ-26/50149R-01</v>
          </cell>
          <cell r="Q2327">
            <v>0</v>
          </cell>
        </row>
        <row r="2328">
          <cell r="I2328" t="str">
            <v>FFAU5944829</v>
          </cell>
          <cell r="J2328" t="str">
            <v>PHƯƠNG</v>
          </cell>
          <cell r="K2328">
            <v>0.625</v>
          </cell>
          <cell r="L2328" t="str">
            <v>EITU9385381</v>
          </cell>
          <cell r="O2328" t="str">
            <v>VZ-26/50150+VZ-26/50150R+VZ-26/50150R-01</v>
          </cell>
          <cell r="Q2328">
            <v>0</v>
          </cell>
        </row>
        <row r="2329">
          <cell r="I2329" t="str">
            <v>EMCU8713448</v>
          </cell>
          <cell r="J2329" t="str">
            <v>PHƯƠNG
SƠN KÉO VỀ</v>
          </cell>
          <cell r="K2329">
            <v>0.875</v>
          </cell>
          <cell r="L2329" t="str">
            <v>HAMU4038077</v>
          </cell>
          <cell r="N2329" t="str">
            <v>GIC</v>
          </cell>
          <cell r="O2329" t="str">
            <v>HP</v>
          </cell>
          <cell r="P2329" t="str">
            <v>done</v>
          </cell>
          <cell r="Q2329" t="str">
            <v>308237142050
308237142310
308237142530</v>
          </cell>
        </row>
        <row r="2330">
          <cell r="I2330" t="str">
            <v>TIIU6422327</v>
          </cell>
          <cell r="J2330" t="str">
            <v>THÀNH</v>
          </cell>
          <cell r="K2330">
            <v>0.875</v>
          </cell>
          <cell r="L2330" t="str">
            <v>FFAU2324470</v>
          </cell>
          <cell r="O2330" t="str">
            <v>VZ-26/50151+VZ-26/50151R+VZ-26/50151R-01</v>
          </cell>
          <cell r="Q2330">
            <v>0</v>
          </cell>
        </row>
        <row r="2331">
          <cell r="I2331" t="str">
            <v>FFAU7697348</v>
          </cell>
          <cell r="J2331" t="str">
            <v>THỊNH</v>
          </cell>
          <cell r="K2331">
            <v>0.91666666666666663</v>
          </cell>
          <cell r="L2331" t="str">
            <v>TRHU6661440</v>
          </cell>
          <cell r="O2331" t="str">
            <v>VZ-26/50152+VZ-26/50152R+VZ-26/50152R-01</v>
          </cell>
          <cell r="Q2331">
            <v>0</v>
          </cell>
        </row>
        <row r="2332">
          <cell r="I2332" t="str">
            <v>SITU9220744</v>
          </cell>
          <cell r="J2332" t="str">
            <v>SÂM</v>
          </cell>
          <cell r="K2332">
            <v>0.95833333333333337</v>
          </cell>
          <cell r="L2332" t="str">
            <v>TGBU5910652</v>
          </cell>
          <cell r="O2332" t="str">
            <v>VZ-26/50153+VZ-26/50153R+VZ-26/50153R-01</v>
          </cell>
          <cell r="Q2332">
            <v>0</v>
          </cell>
        </row>
        <row r="2333">
          <cell r="I2333" t="str">
            <v>TIIU6572137</v>
          </cell>
          <cell r="J2333" t="str">
            <v>SƠN</v>
          </cell>
          <cell r="K2333">
            <v>0</v>
          </cell>
          <cell r="L2333" t="str">
            <v>EMCU8570861</v>
          </cell>
          <cell r="O2333" t="str">
            <v>RTB-26/0053</v>
          </cell>
          <cell r="Q2333">
            <v>0</v>
          </cell>
        </row>
        <row r="2334">
          <cell r="K2334">
            <v>0</v>
          </cell>
          <cell r="O2334" t="str">
            <v>HP</v>
          </cell>
          <cell r="Q2334">
            <v>0</v>
          </cell>
        </row>
        <row r="2335">
          <cell r="I2335" t="str">
            <v>CAAU4506022</v>
          </cell>
          <cell r="K2335">
            <v>0.41666666666666669</v>
          </cell>
          <cell r="O2335" t="str">
            <v>HP</v>
          </cell>
          <cell r="Q2335">
            <v>0</v>
          </cell>
        </row>
        <row r="2336">
          <cell r="I2336" t="str">
            <v>TIIU6627250</v>
          </cell>
          <cell r="K2336">
            <v>0.875</v>
          </cell>
          <cell r="O2336" t="str">
            <v>HP</v>
          </cell>
          <cell r="Q2336">
            <v>0</v>
          </cell>
        </row>
        <row r="2337">
          <cell r="I2337" t="str">
            <v>CSGU6526930</v>
          </cell>
          <cell r="J2337" t="str">
            <v>RU TRỊNH VŨ</v>
          </cell>
          <cell r="K2337">
            <v>0.875</v>
          </cell>
          <cell r="L2337" t="str">
            <v>CSGU6526930</v>
          </cell>
          <cell r="N2337" t="str">
            <v>LẠCH HUYỆN</v>
          </cell>
          <cell r="O2337" t="str">
            <v>VP-2650602</v>
          </cell>
          <cell r="P2337" t="str">
            <v>done</v>
          </cell>
          <cell r="Q2337">
            <v>308237143230</v>
          </cell>
        </row>
        <row r="2338">
          <cell r="I2338" t="str">
            <v>HASU5055131</v>
          </cell>
          <cell r="J2338" t="str">
            <v>THÀNH</v>
          </cell>
          <cell r="K2338">
            <v>0.33333333333333331</v>
          </cell>
          <cell r="L2338" t="str">
            <v>MRSU8604913</v>
          </cell>
          <cell r="M2338" t="str">
            <v>TRI PHƯƠNG</v>
          </cell>
          <cell r="N2338" t="str">
            <v>HATECO HICT</v>
          </cell>
          <cell r="O2338" t="str">
            <v>VI-26/51075</v>
          </cell>
          <cell r="P2338" t="str">
            <v>done</v>
          </cell>
          <cell r="Q2338">
            <v>308235782540</v>
          </cell>
        </row>
        <row r="2339">
          <cell r="I2339" t="str">
            <v>TRHU6825857</v>
          </cell>
          <cell r="J2339" t="str">
            <v>THI</v>
          </cell>
          <cell r="K2339">
            <v>0.34375</v>
          </cell>
          <cell r="L2339" t="str">
            <v>TCKU7175737</v>
          </cell>
          <cell r="M2339" t="str">
            <v>TRI PHƯƠNG</v>
          </cell>
          <cell r="N2339" t="str">
            <v>HATECO HICT</v>
          </cell>
          <cell r="O2339" t="str">
            <v>VI-26/51078</v>
          </cell>
          <cell r="P2339" t="str">
            <v>done</v>
          </cell>
          <cell r="Q2339">
            <v>308235869010</v>
          </cell>
        </row>
        <row r="2340">
          <cell r="I2340" t="str">
            <v>MRSU3102363</v>
          </cell>
          <cell r="J2340" t="str">
            <v>PHƯƠNG</v>
          </cell>
          <cell r="K2340">
            <v>0.375</v>
          </cell>
          <cell r="L2340" t="str">
            <v>MSKU1812827</v>
          </cell>
          <cell r="M2340" t="str">
            <v>TRI PHƯƠNG</v>
          </cell>
          <cell r="N2340" t="str">
            <v>HATECO HICT</v>
          </cell>
          <cell r="O2340" t="str">
            <v>VI-26/51103</v>
          </cell>
          <cell r="P2340" t="str">
            <v>done</v>
          </cell>
          <cell r="Q2340">
            <v>308235846610</v>
          </cell>
        </row>
        <row r="2341">
          <cell r="I2341" t="str">
            <v>HASU4356721</v>
          </cell>
          <cell r="J2341" t="str">
            <v>THỊNH</v>
          </cell>
          <cell r="K2341">
            <v>0.39583333333333331</v>
          </cell>
          <cell r="L2341" t="str">
            <v>HASU4356721</v>
          </cell>
          <cell r="M2341" t="str">
            <v>TRI PHƯƠNG</v>
          </cell>
          <cell r="N2341" t="str">
            <v>HATECO HICT</v>
          </cell>
          <cell r="O2341" t="str">
            <v>VI-26/51081</v>
          </cell>
          <cell r="Q2341">
            <v>308236062800</v>
          </cell>
        </row>
        <row r="2342">
          <cell r="I2342" t="str">
            <v>MRKU4963039</v>
          </cell>
          <cell r="J2342" t="str">
            <v>SƠN</v>
          </cell>
          <cell r="K2342">
            <v>0.41666666666666669</v>
          </cell>
          <cell r="L2342" t="str">
            <v>MRKU4963039</v>
          </cell>
          <cell r="M2342" t="str">
            <v>TRI PHƯƠNG</v>
          </cell>
          <cell r="N2342" t="str">
            <v>HATECO HICT</v>
          </cell>
          <cell r="O2342" t="str">
            <v>VI-26/51082</v>
          </cell>
          <cell r="Q2342">
            <v>308236083650</v>
          </cell>
        </row>
        <row r="2343">
          <cell r="I2343" t="str">
            <v>MRKU3303642</v>
          </cell>
          <cell r="J2343" t="str">
            <v>SƠN</v>
          </cell>
          <cell r="K2343">
            <v>0.52083333333333337</v>
          </cell>
          <cell r="L2343" t="str">
            <v>HASU5055131</v>
          </cell>
          <cell r="M2343" t="str">
            <v>TRI PHƯƠNG</v>
          </cell>
          <cell r="N2343" t="str">
            <v>HATECO HICT</v>
          </cell>
          <cell r="O2343" t="str">
            <v>VI-26/51085</v>
          </cell>
          <cell r="Q2343">
            <v>308235994050</v>
          </cell>
        </row>
        <row r="2344">
          <cell r="I2344" t="str">
            <v>HASU4626977</v>
          </cell>
          <cell r="J2344" t="str">
            <v>THỊNH</v>
          </cell>
          <cell r="K2344">
            <v>0.61458333333333337</v>
          </cell>
          <cell r="L2344" t="str">
            <v>TRHU6825857</v>
          </cell>
          <cell r="M2344" t="str">
            <v>TRI PHƯƠNG</v>
          </cell>
          <cell r="N2344" t="str">
            <v>HATECO HICT</v>
          </cell>
          <cell r="O2344" t="str">
            <v>VI-26/51088</v>
          </cell>
          <cell r="P2344" t="str">
            <v>done</v>
          </cell>
          <cell r="Q2344">
            <v>308235804240</v>
          </cell>
        </row>
        <row r="2345">
          <cell r="I2345" t="str">
            <v>MRKU3297998</v>
          </cell>
          <cell r="J2345" t="str">
            <v>SÂM</v>
          </cell>
          <cell r="K2345">
            <v>0.88541666666666663</v>
          </cell>
          <cell r="L2345" t="str">
            <v>HASU4626977</v>
          </cell>
          <cell r="M2345" t="str">
            <v>TRI PHƯƠNG</v>
          </cell>
          <cell r="N2345" t="str">
            <v>HATECO HICT</v>
          </cell>
          <cell r="O2345" t="str">
            <v>VI-26/51090</v>
          </cell>
          <cell r="Q2345">
            <v>308235878550</v>
          </cell>
        </row>
        <row r="2346">
          <cell r="I2346" t="str">
            <v>MRSU6603327</v>
          </cell>
          <cell r="J2346" t="str">
            <v>ĐỨC</v>
          </cell>
          <cell r="K2346">
            <v>0.91666666666666663</v>
          </cell>
          <cell r="L2346" t="str">
            <v>MRKU3297998</v>
          </cell>
          <cell r="M2346" t="str">
            <v>TRI PHƯƠNG</v>
          </cell>
          <cell r="N2346" t="str">
            <v>HATECO HICT</v>
          </cell>
          <cell r="O2346" t="str">
            <v>VI-26/51092</v>
          </cell>
          <cell r="Q2346">
            <v>308236025000</v>
          </cell>
        </row>
        <row r="2347">
          <cell r="I2347" t="str">
            <v>MRSU9290289</v>
          </cell>
          <cell r="J2347" t="str">
            <v>RU VIETLINK</v>
          </cell>
          <cell r="K2347">
            <v>0.9375</v>
          </cell>
          <cell r="L2347" t="str">
            <v>MRSU9290289</v>
          </cell>
          <cell r="N2347" t="str">
            <v>HATECO HICT</v>
          </cell>
          <cell r="O2347" t="str">
            <v>VI-26/51094</v>
          </cell>
          <cell r="P2347" t="str">
            <v>done</v>
          </cell>
          <cell r="Q2347">
            <v>308235910640</v>
          </cell>
        </row>
        <row r="2348">
          <cell r="I2348" t="str">
            <v>HASU4974782</v>
          </cell>
          <cell r="J2348" t="str">
            <v>PHƯƠNG
chưa vêề</v>
          </cell>
          <cell r="K2348">
            <v>0.97916666666666663</v>
          </cell>
          <cell r="L2348" t="str">
            <v>EMCU1629485</v>
          </cell>
          <cell r="N2348" t="str">
            <v>HATECO HICT</v>
          </cell>
          <cell r="O2348" t="str">
            <v>VI-26/51106</v>
          </cell>
          <cell r="P2348" t="str">
            <v>không phơi, mình chịu</v>
          </cell>
          <cell r="Q2348">
            <v>308235825830</v>
          </cell>
        </row>
        <row r="2349">
          <cell r="I2349" t="str">
            <v>CAAU4048552</v>
          </cell>
          <cell r="J2349" t="str">
            <v>HƯỜNG</v>
          </cell>
          <cell r="K2349" t="str">
            <v>8:00</v>
          </cell>
          <cell r="L2349" t="str">
            <v>EGSU1406285</v>
          </cell>
          <cell r="M2349" t="str">
            <v>TRI PHƯƠNG</v>
          </cell>
          <cell r="N2349" t="str">
            <v>LẠCH HUYỆN</v>
          </cell>
          <cell r="Q2349">
            <v>0</v>
          </cell>
        </row>
        <row r="2350">
          <cell r="I2350" t="str">
            <v>SEGU9936160</v>
          </cell>
          <cell r="J2350" t="str">
            <v>THI</v>
          </cell>
          <cell r="K2350" t="str">
            <v>09:00</v>
          </cell>
          <cell r="L2350" t="str">
            <v>EGSU6400356</v>
          </cell>
          <cell r="M2350" t="str">
            <v>TRI PHƯƠNG</v>
          </cell>
          <cell r="N2350" t="str">
            <v>LẠCH HUYỆN</v>
          </cell>
          <cell r="Q2350">
            <v>0</v>
          </cell>
        </row>
        <row r="2351">
          <cell r="I2351" t="str">
            <v>CGMU5565091</v>
          </cell>
          <cell r="J2351" t="str">
            <v>PHƯƠNG</v>
          </cell>
          <cell r="K2351" t="str">
            <v>11:00</v>
          </cell>
          <cell r="L2351" t="str">
            <v>MSMU7828992</v>
          </cell>
          <cell r="M2351" t="str">
            <v>TRI PHƯƠNG</v>
          </cell>
          <cell r="N2351" t="str">
            <v>HATECO HICT</v>
          </cell>
          <cell r="Q2351">
            <v>0</v>
          </cell>
        </row>
        <row r="2352">
          <cell r="I2352" t="str">
            <v>OERU4325214</v>
          </cell>
          <cell r="K2352" t="str">
            <v>15:00</v>
          </cell>
          <cell r="M2352" t="str">
            <v>TRI PHƯƠNG</v>
          </cell>
          <cell r="N2352" t="str">
            <v>LẠCH HUYỆN</v>
          </cell>
          <cell r="Q2352">
            <v>0</v>
          </cell>
        </row>
        <row r="2353">
          <cell r="I2353" t="str">
            <v>OERU4278154</v>
          </cell>
          <cell r="K2353" t="str">
            <v>21:00</v>
          </cell>
          <cell r="M2353" t="str">
            <v>TRI PHƯƠNG</v>
          </cell>
          <cell r="N2353" t="str">
            <v>LẠCH HUYỆN</v>
          </cell>
          <cell r="Q2353">
            <v>0</v>
          </cell>
        </row>
        <row r="2354">
          <cell r="I2354" t="str">
            <v>OTPU6156901</v>
          </cell>
          <cell r="K2354" t="str">
            <v>22:00</v>
          </cell>
          <cell r="M2354" t="str">
            <v>TRI PHƯƠNG</v>
          </cell>
          <cell r="N2354" t="str">
            <v>LẠCH HUYỆN</v>
          </cell>
          <cell r="Q2354">
            <v>0</v>
          </cell>
        </row>
        <row r="2355">
          <cell r="I2355" t="str">
            <v>SEGU9812600</v>
          </cell>
          <cell r="K2355" t="str">
            <v>23:00</v>
          </cell>
          <cell r="M2355" t="str">
            <v>TRI PHƯƠNG</v>
          </cell>
          <cell r="N2355" t="str">
            <v>LẠCH HUYỆN</v>
          </cell>
          <cell r="Q2355">
            <v>0</v>
          </cell>
        </row>
        <row r="2356">
          <cell r="I2356" t="str">
            <v>TCNU4995125</v>
          </cell>
          <cell r="J2356" t="str">
            <v>THÀNH</v>
          </cell>
          <cell r="K2356" t="str">
            <v>9:00</v>
          </cell>
          <cell r="L2356" t="str">
            <v>TGBU4601685</v>
          </cell>
          <cell r="M2356" t="str">
            <v>TRI PHƯƠNG</v>
          </cell>
          <cell r="N2356" t="str">
            <v>HATECO HICT</v>
          </cell>
          <cell r="P2356" t="str">
            <v>done</v>
          </cell>
          <cell r="Q2356" t="str">
            <v>308238656300
308238622810</v>
          </cell>
        </row>
        <row r="2357">
          <cell r="I2357" t="str">
            <v>TCKU7520978</v>
          </cell>
          <cell r="J2357" t="str">
            <v>THI</v>
          </cell>
          <cell r="K2357">
            <v>0.54166666666666663</v>
          </cell>
          <cell r="M2357" t="str">
            <v>TRI PHƯƠNG</v>
          </cell>
          <cell r="N2357" t="str">
            <v>HATECO HICT</v>
          </cell>
          <cell r="P2357" t="str">
            <v>done</v>
          </cell>
          <cell r="Q2357">
            <v>308239608040</v>
          </cell>
        </row>
        <row r="2358">
          <cell r="I2358" t="str">
            <v>TCKU7093182</v>
          </cell>
          <cell r="J2358" t="str">
            <v>QUÂN</v>
          </cell>
          <cell r="K2358" t="str">
            <v>14:00</v>
          </cell>
          <cell r="L2358" t="str">
            <v>TRHU5431381</v>
          </cell>
          <cell r="M2358" t="str">
            <v>TRI PHƯƠNG</v>
          </cell>
          <cell r="N2358" t="str">
            <v>TÂN VŨ</v>
          </cell>
          <cell r="P2358" t="str">
            <v>x</v>
          </cell>
          <cell r="Q2358">
            <v>308239776410</v>
          </cell>
        </row>
        <row r="2359">
          <cell r="I2359" t="str">
            <v>MSKU0976106</v>
          </cell>
          <cell r="J2359" t="str">
            <v>HỒNG HƯNG</v>
          </cell>
          <cell r="K2359" t="str">
            <v>15:00</v>
          </cell>
          <cell r="M2359" t="str">
            <v>TRI PHƯƠNG</v>
          </cell>
          <cell r="N2359" t="str">
            <v>TÂN VŨ</v>
          </cell>
          <cell r="Q2359" t="str">
            <v>CHƯA CÓ TK</v>
          </cell>
        </row>
        <row r="2360">
          <cell r="I2360" t="str">
            <v>HAMU4038077</v>
          </cell>
          <cell r="J2360" t="str">
            <v>XUYÊN</v>
          </cell>
          <cell r="K2360" t="str">
            <v>13:00</v>
          </cell>
          <cell r="L2360" t="str">
            <v>TCNU4995125</v>
          </cell>
          <cell r="M2360" t="str">
            <v>TRI PHƯƠNG</v>
          </cell>
          <cell r="N2360" t="str">
            <v>HATECO HICT</v>
          </cell>
          <cell r="Q2360">
            <v>0</v>
          </cell>
        </row>
        <row r="2361">
          <cell r="K2361" t="str">
            <v>15:00</v>
          </cell>
          <cell r="M2361" t="str">
            <v>TRI PHƯƠNG</v>
          </cell>
          <cell r="N2361" t="str">
            <v>HATECO HICT</v>
          </cell>
          <cell r="Q2361">
            <v>0</v>
          </cell>
        </row>
        <row r="2362">
          <cell r="I2362" t="str">
            <v>FFAU7694143</v>
          </cell>
          <cell r="J2362" t="str">
            <v>SƠN</v>
          </cell>
          <cell r="K2362">
            <v>0.54166666666666663</v>
          </cell>
          <cell r="L2362" t="str">
            <v>EMCU8713448</v>
          </cell>
          <cell r="O2362" t="str">
            <v>RTB-26/0054+SCN-26/05</v>
          </cell>
          <cell r="Q2362">
            <v>0</v>
          </cell>
        </row>
        <row r="2363">
          <cell r="I2363" t="str">
            <v>TIIU4820635</v>
          </cell>
          <cell r="J2363" t="str">
            <v>ĐỨC</v>
          </cell>
          <cell r="K2363">
            <v>0.58333333333333337</v>
          </cell>
          <cell r="L2363" t="str">
            <v>OERU4278154</v>
          </cell>
          <cell r="O2363" t="str">
            <v>RTB-26/0055</v>
          </cell>
          <cell r="Q2363">
            <v>0</v>
          </cell>
        </row>
        <row r="2364">
          <cell r="K2364">
            <v>0.54166666666666663</v>
          </cell>
          <cell r="O2364" t="str">
            <v>HP</v>
          </cell>
          <cell r="Q2364">
            <v>0</v>
          </cell>
        </row>
        <row r="2365">
          <cell r="K2365">
            <v>0.625</v>
          </cell>
          <cell r="O2365" t="str">
            <v>HP</v>
          </cell>
          <cell r="Q2365">
            <v>0</v>
          </cell>
        </row>
        <row r="2366">
          <cell r="I2366" t="str">
            <v>GCXU5498898</v>
          </cell>
          <cell r="J2366" t="str">
            <v>MẠNH</v>
          </cell>
          <cell r="K2366">
            <v>0.625</v>
          </cell>
          <cell r="L2366" t="str">
            <v>TRHU6441445</v>
          </cell>
          <cell r="Q2366">
            <v>0</v>
          </cell>
        </row>
        <row r="2367">
          <cell r="K2367">
            <v>0.91666666666666663</v>
          </cell>
          <cell r="O2367" t="str">
            <v>HP</v>
          </cell>
          <cell r="Q2367">
            <v>0</v>
          </cell>
        </row>
        <row r="2368">
          <cell r="I2368" t="str">
            <v>FFAU7032996</v>
          </cell>
          <cell r="K2368">
            <v>0</v>
          </cell>
          <cell r="O2368" t="str">
            <v>RTB-26/0056</v>
          </cell>
          <cell r="Q2368">
            <v>0</v>
          </cell>
        </row>
        <row r="2369">
          <cell r="K2369">
            <v>0</v>
          </cell>
          <cell r="O2369" t="str">
            <v>HP</v>
          </cell>
          <cell r="Q2369">
            <v>0</v>
          </cell>
        </row>
        <row r="2370">
          <cell r="I2370" t="str">
            <v>FFAU7119695</v>
          </cell>
          <cell r="K2370">
            <v>0.58333333333333337</v>
          </cell>
          <cell r="O2370" t="str">
            <v>HP</v>
          </cell>
          <cell r="Q2370">
            <v>0</v>
          </cell>
        </row>
        <row r="2371">
          <cell r="I2371" t="str">
            <v>TIIU5684446</v>
          </cell>
          <cell r="K2371">
            <v>0.625</v>
          </cell>
          <cell r="O2371" t="str">
            <v>HP</v>
          </cell>
          <cell r="Q2371">
            <v>0</v>
          </cell>
        </row>
        <row r="2372">
          <cell r="I2372" t="str">
            <v>CAAU9604633</v>
          </cell>
          <cell r="K2372">
            <v>0.41666666666666669</v>
          </cell>
          <cell r="O2372" t="str">
            <v>HP</v>
          </cell>
          <cell r="Q2372">
            <v>0</v>
          </cell>
        </row>
        <row r="2373">
          <cell r="I2373" t="str">
            <v>TXGU8412281</v>
          </cell>
          <cell r="K2373">
            <v>0.41666666666666669</v>
          </cell>
          <cell r="Q2373">
            <v>0</v>
          </cell>
        </row>
        <row r="2374">
          <cell r="I2374" t="str">
            <v>TRHU5752571</v>
          </cell>
          <cell r="K2374">
            <v>0.54166666666666663</v>
          </cell>
          <cell r="Q2374">
            <v>0</v>
          </cell>
        </row>
        <row r="2375">
          <cell r="I2375" t="str">
            <v>CAAU6343644</v>
          </cell>
          <cell r="J2375" t="str">
            <v>THỊNH</v>
          </cell>
          <cell r="K2375">
            <v>0.33333333333333331</v>
          </cell>
          <cell r="L2375" t="str">
            <v>CAAU6343644</v>
          </cell>
          <cell r="O2375" t="str">
            <v>VI-26/51110</v>
          </cell>
          <cell r="Q2375">
            <v>0</v>
          </cell>
        </row>
        <row r="2376">
          <cell r="I2376" t="str">
            <v>CMAU7102523</v>
          </cell>
          <cell r="K2376">
            <v>0.38541666666666669</v>
          </cell>
          <cell r="O2376" t="str">
            <v>VI-26/51115</v>
          </cell>
          <cell r="Q2376">
            <v>0</v>
          </cell>
        </row>
        <row r="2377">
          <cell r="I2377" t="str">
            <v>OOLU9742040</v>
          </cell>
          <cell r="J2377" t="str">
            <v>THỊNH</v>
          </cell>
          <cell r="K2377">
            <v>0.64583333333333337</v>
          </cell>
          <cell r="L2377" t="str">
            <v>SEKU4321168</v>
          </cell>
          <cell r="O2377" t="str">
            <v>VI-26/51125</v>
          </cell>
          <cell r="Q2377">
            <v>0</v>
          </cell>
        </row>
        <row r="2378">
          <cell r="K2378">
            <v>0.875</v>
          </cell>
          <cell r="O2378" t="str">
            <v>VI-26/51128</v>
          </cell>
          <cell r="Q2378">
            <v>0</v>
          </cell>
        </row>
        <row r="2379">
          <cell r="K2379">
            <v>0.33333333333333331</v>
          </cell>
          <cell r="O2379" t="str">
            <v>VH-26/50218</v>
          </cell>
          <cell r="Q2379">
            <v>0</v>
          </cell>
        </row>
        <row r="2380">
          <cell r="K2380">
            <v>0.33333333333333331</v>
          </cell>
          <cell r="O2380" t="str">
            <v>VH-26/50219</v>
          </cell>
          <cell r="Q2380">
            <v>0</v>
          </cell>
        </row>
        <row r="2381">
          <cell r="K2381">
            <v>0.33333333333333331</v>
          </cell>
          <cell r="O2381" t="str">
            <v>VH-26/50220</v>
          </cell>
          <cell r="Q2381">
            <v>0</v>
          </cell>
        </row>
        <row r="2382">
          <cell r="I2382" t="str">
            <v>EGSU6273400</v>
          </cell>
          <cell r="J2382" t="str">
            <v>THỤY</v>
          </cell>
          <cell r="K2382">
            <v>0.33333333333333331</v>
          </cell>
          <cell r="N2382" t="str">
            <v>GIC</v>
          </cell>
          <cell r="O2382" t="str">
            <v>VS-26/50202</v>
          </cell>
          <cell r="Q2382">
            <v>0</v>
          </cell>
        </row>
        <row r="2383">
          <cell r="I2383" t="str">
            <v>TIIU4250701</v>
          </cell>
          <cell r="J2383" t="str">
            <v xml:space="preserve">VINH </v>
          </cell>
          <cell r="K2383">
            <v>0.33333333333333331</v>
          </cell>
          <cell r="N2383" t="str">
            <v>GIC</v>
          </cell>
          <cell r="O2383" t="str">
            <v>VS-26/50199</v>
          </cell>
          <cell r="Q2383">
            <v>308240533000</v>
          </cell>
        </row>
        <row r="2384">
          <cell r="N2384" t="str">
            <v>HATECO</v>
          </cell>
          <cell r="O2384" t="str">
            <v>VH-26/50205</v>
          </cell>
          <cell r="Q2384">
            <v>0</v>
          </cell>
        </row>
        <row r="2385">
          <cell r="K2385">
            <v>0.45833333333333331</v>
          </cell>
          <cell r="N2385" t="str">
            <v>LẠCH HUYỆN</v>
          </cell>
          <cell r="O2385" t="str">
            <v>VH-26/50209</v>
          </cell>
          <cell r="Q2385">
            <v>0</v>
          </cell>
        </row>
        <row r="2386">
          <cell r="K2386">
            <v>8.3333333333333329E-2</v>
          </cell>
          <cell r="N2386" t="str">
            <v>GIC</v>
          </cell>
          <cell r="O2386" t="str">
            <v>VH-26/50207</v>
          </cell>
          <cell r="Q2386">
            <v>0</v>
          </cell>
        </row>
        <row r="2387">
          <cell r="K2387">
            <v>0.875</v>
          </cell>
          <cell r="N2387" t="str">
            <v>NAM ĐÌNH VŨ</v>
          </cell>
          <cell r="O2387" t="str">
            <v>VH-26/50203</v>
          </cell>
          <cell r="Q2387">
            <v>0</v>
          </cell>
        </row>
        <row r="2388">
          <cell r="I2388" t="str">
            <v>TRHU5024257</v>
          </cell>
          <cell r="J2388" t="str">
            <v>THI</v>
          </cell>
          <cell r="K2388" t="str">
            <v>14:00</v>
          </cell>
          <cell r="L2388" t="str">
            <v>SEGU9812600</v>
          </cell>
          <cell r="M2388" t="str">
            <v>TRI PHƯƠNG</v>
          </cell>
          <cell r="N2388" t="str">
            <v>HATECO HICT</v>
          </cell>
          <cell r="O2388">
            <v>3</v>
          </cell>
          <cell r="Q2388">
            <v>0</v>
          </cell>
        </row>
        <row r="2389">
          <cell r="I2389" t="str">
            <v>CAIU8383227</v>
          </cell>
          <cell r="J2389" t="str">
            <v>HƯỜNG</v>
          </cell>
          <cell r="K2389" t="str">
            <v>11:00</v>
          </cell>
          <cell r="L2389" t="str">
            <v>MRKU2476812</v>
          </cell>
          <cell r="M2389" t="str">
            <v>TRI PHƯƠNG</v>
          </cell>
          <cell r="N2389" t="str">
            <v>HATECO HICT</v>
          </cell>
          <cell r="O2389">
            <v>2</v>
          </cell>
          <cell r="Q2389">
            <v>308242405830</v>
          </cell>
        </row>
        <row r="2390">
          <cell r="K2390" t="str">
            <v>21:00</v>
          </cell>
          <cell r="M2390" t="str">
            <v>TRI PHƯƠNG</v>
          </cell>
          <cell r="N2390" t="str">
            <v>HATECO HICT</v>
          </cell>
          <cell r="O2390">
            <v>1</v>
          </cell>
          <cell r="Q2390">
            <v>0</v>
          </cell>
        </row>
        <row r="2391">
          <cell r="I2391" t="str">
            <v>FSCU7242068</v>
          </cell>
          <cell r="J2391" t="str">
            <v>QUÂN</v>
          </cell>
          <cell r="K2391" t="str">
            <v>10:00</v>
          </cell>
          <cell r="L2391" t="str">
            <v>EISU8370085</v>
          </cell>
          <cell r="M2391" t="str">
            <v>TRI PHƯƠNG</v>
          </cell>
          <cell r="N2391" t="str">
            <v>HATECO HICT</v>
          </cell>
          <cell r="O2391" t="str">
            <v>1,2</v>
          </cell>
          <cell r="Q2391">
            <v>0</v>
          </cell>
        </row>
        <row r="2392">
          <cell r="I2392" t="str">
            <v>TLLU1072001</v>
          </cell>
          <cell r="J2392" t="str">
            <v>THI</v>
          </cell>
          <cell r="K2392" t="str">
            <v>21:00</v>
          </cell>
          <cell r="L2392" t="str">
            <v>TIIU4766473</v>
          </cell>
          <cell r="M2392" t="str">
            <v>TRI PHƯƠNG</v>
          </cell>
          <cell r="N2392" t="str">
            <v>TÂN VŨ</v>
          </cell>
          <cell r="O2392" t="str">
            <v>1,2,3</v>
          </cell>
          <cell r="Q2392">
            <v>0</v>
          </cell>
        </row>
        <row r="2393">
          <cell r="I2393" t="str">
            <v>OERU4023549</v>
          </cell>
          <cell r="K2393" t="str">
            <v>21:00</v>
          </cell>
          <cell r="M2393" t="str">
            <v>TRI PHƯƠNG</v>
          </cell>
          <cell r="N2393" t="str">
            <v>LẠCH HUYỆN</v>
          </cell>
          <cell r="O2393">
            <v>1</v>
          </cell>
          <cell r="Q2393">
            <v>0</v>
          </cell>
        </row>
        <row r="2394">
          <cell r="I2394" t="str">
            <v>TXGU9018708</v>
          </cell>
          <cell r="K2394" t="str">
            <v>22:00</v>
          </cell>
          <cell r="M2394" t="str">
            <v>TRI PHƯƠNG</v>
          </cell>
          <cell r="N2394" t="str">
            <v>LẠCH HUYỆN</v>
          </cell>
          <cell r="O2394">
            <v>1</v>
          </cell>
          <cell r="Q2394">
            <v>0</v>
          </cell>
        </row>
        <row r="2395">
          <cell r="I2395" t="str">
            <v>GCXU5761577</v>
          </cell>
          <cell r="J2395" t="str">
            <v>XUYÊN</v>
          </cell>
          <cell r="K2395">
            <v>0.875</v>
          </cell>
          <cell r="L2395" t="str">
            <v>EITU9280760</v>
          </cell>
          <cell r="M2395" t="str">
            <v>TRI PHƯƠNG</v>
          </cell>
          <cell r="N2395" t="str">
            <v>HATECO HICT</v>
          </cell>
          <cell r="O2395" t="str">
            <v>VS-26/50196</v>
          </cell>
          <cell r="Q2395">
            <v>308240537530</v>
          </cell>
        </row>
        <row r="2396">
          <cell r="I2396" t="str">
            <v>HASU4189959</v>
          </cell>
          <cell r="J2396" t="str">
            <v>PHƯƠNG</v>
          </cell>
          <cell r="K2396">
            <v>0.33333333333333331</v>
          </cell>
          <cell r="L2396" t="str">
            <v>HASU4974782</v>
          </cell>
          <cell r="M2396" t="str">
            <v>TRI PHƯƠNG</v>
          </cell>
          <cell r="N2396" t="str">
            <v>HATECO HICT</v>
          </cell>
          <cell r="O2396" t="str">
            <v>VI-26/51111</v>
          </cell>
          <cell r="Q2396">
            <v>0</v>
          </cell>
        </row>
        <row r="2397">
          <cell r="I2397" t="str">
            <v>MRSU7174572</v>
          </cell>
          <cell r="J2397" t="str">
            <v>MẠNH</v>
          </cell>
          <cell r="K2397">
            <v>0.63194444444444442</v>
          </cell>
          <cell r="L2397" t="str">
            <v>CMAU7102523</v>
          </cell>
          <cell r="M2397" t="str">
            <v>TRI PHƯƠNG</v>
          </cell>
          <cell r="N2397" t="str">
            <v>HATECO HICT</v>
          </cell>
          <cell r="O2397" t="str">
            <v>VI-26/51123</v>
          </cell>
          <cell r="Q2397">
            <v>0</v>
          </cell>
        </row>
        <row r="2398">
          <cell r="K2398">
            <v>0.92708333333333337</v>
          </cell>
          <cell r="M2398" t="str">
            <v>TRI PHƯƠNG</v>
          </cell>
          <cell r="N2398" t="str">
            <v>HATECO HICT</v>
          </cell>
          <cell r="O2398" t="str">
            <v>VI-26/51137</v>
          </cell>
          <cell r="Q2398">
            <v>0</v>
          </cell>
        </row>
        <row r="2399">
          <cell r="K2399">
            <v>8.3333333333333329E-2</v>
          </cell>
          <cell r="M2399" t="str">
            <v>TRI PHƯƠNG</v>
          </cell>
          <cell r="N2399" t="str">
            <v>HATECO HICT</v>
          </cell>
          <cell r="O2399" t="str">
            <v>VI-26/51136</v>
          </cell>
          <cell r="Q2399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DN XUẤT-ICD"/>
      <sheetName val="XUẤT- ICD"/>
      <sheetName val="COVER BTB XUẤT"/>
      <sheetName val="CSHT XUẤT"/>
      <sheetName val="web CSHT"/>
    </sheetNames>
    <sheetDataSet>
      <sheetData sheetId="0" refreshError="1"/>
      <sheetData sheetId="1">
        <row r="22">
          <cell r="R22">
            <v>1362715</v>
          </cell>
        </row>
        <row r="100">
          <cell r="M100">
            <v>0</v>
          </cell>
          <cell r="N100">
            <v>0</v>
          </cell>
          <cell r="O100">
            <v>0</v>
          </cell>
          <cell r="Q100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.25 SW"/>
      <sheetName val="T8.25 SW"/>
      <sheetName val="T9.25 SW "/>
      <sheetName val="lũ sà lan"/>
      <sheetName val="T10"/>
      <sheetName val="T11"/>
      <sheetName val="báo giá MSK"/>
      <sheetName val="Sheet1"/>
      <sheetName val="check đợt 15.10"/>
      <sheetName val="TRUCKING-SOWATCO-TRIPHUONG 2025"/>
    </sheetNames>
    <sheetDataSet>
      <sheetData sheetId="0">
        <row r="3">
          <cell r="AE3">
            <v>13000000</v>
          </cell>
        </row>
      </sheetData>
      <sheetData sheetId="1"/>
      <sheetData sheetId="2">
        <row r="432">
          <cell r="Q432" t="str">
            <v>SEKU5896594</v>
          </cell>
          <cell r="R432">
            <v>0.65277777777777779</v>
          </cell>
          <cell r="S432">
            <v>45925</v>
          </cell>
        </row>
        <row r="433">
          <cell r="Q433" t="str">
            <v>EISU8272751</v>
          </cell>
          <cell r="R433">
            <v>0.69444444444444442</v>
          </cell>
          <cell r="S433">
            <v>45925</v>
          </cell>
        </row>
        <row r="434">
          <cell r="Q434" t="str">
            <v>MRKU3927525</v>
          </cell>
          <cell r="R434">
            <v>0.89583333333333337</v>
          </cell>
          <cell r="S434">
            <v>45925</v>
          </cell>
        </row>
        <row r="435">
          <cell r="Q435" t="str">
            <v>HASU5055933</v>
          </cell>
          <cell r="R435">
            <v>0.98611111111111116</v>
          </cell>
          <cell r="S435">
            <v>45926</v>
          </cell>
        </row>
        <row r="436">
          <cell r="Q436" t="str">
            <v>EITU9061886</v>
          </cell>
          <cell r="R436">
            <v>0.99305555555555558</v>
          </cell>
          <cell r="S436">
            <v>45925</v>
          </cell>
        </row>
        <row r="437">
          <cell r="Q437" t="str">
            <v>EITU9084789</v>
          </cell>
          <cell r="R437">
            <v>2.7777777777777776E-2</v>
          </cell>
          <cell r="S437">
            <v>45926</v>
          </cell>
        </row>
        <row r="438">
          <cell r="Q438" t="str">
            <v>SUDU6742407</v>
          </cell>
          <cell r="R438">
            <v>0.1875</v>
          </cell>
          <cell r="S438">
            <v>45926</v>
          </cell>
        </row>
        <row r="439">
          <cell r="Q439" t="str">
            <v>TEMU6187152</v>
          </cell>
        </row>
        <row r="440">
          <cell r="Q440" t="str">
            <v>ONEU9170344</v>
          </cell>
          <cell r="R440">
            <v>0.5625</v>
          </cell>
          <cell r="S440">
            <v>45926</v>
          </cell>
        </row>
        <row r="441">
          <cell r="Q441" t="str">
            <v>CAAU4026980</v>
          </cell>
          <cell r="R441">
            <v>0.58333333333333337</v>
          </cell>
          <cell r="S441">
            <v>45926</v>
          </cell>
        </row>
        <row r="442">
          <cell r="Q442" t="str">
            <v>TTNU8539954</v>
          </cell>
          <cell r="R442">
            <v>0.61111111111111116</v>
          </cell>
          <cell r="S442">
            <v>45926</v>
          </cell>
        </row>
        <row r="443">
          <cell r="Q443" t="str">
            <v>ONEU9383099</v>
          </cell>
          <cell r="R443">
            <v>0.6875</v>
          </cell>
          <cell r="S443">
            <v>45926</v>
          </cell>
        </row>
        <row r="444">
          <cell r="Q444" t="str">
            <v>MRKU9842955</v>
          </cell>
          <cell r="R444">
            <v>0.41666666666666669</v>
          </cell>
          <cell r="S444">
            <v>45925</v>
          </cell>
        </row>
        <row r="445">
          <cell r="Q445" t="str">
            <v>TTNU8486520</v>
          </cell>
          <cell r="R445">
            <v>0.54166666666666663</v>
          </cell>
          <cell r="S445">
            <v>45925</v>
          </cell>
        </row>
        <row r="446">
          <cell r="Q446" t="str">
            <v>MRKU3627451</v>
          </cell>
          <cell r="R446">
            <v>0.89583333333333337</v>
          </cell>
          <cell r="S446">
            <v>45925</v>
          </cell>
        </row>
        <row r="447">
          <cell r="Q447" t="str">
            <v>MRSU3102548</v>
          </cell>
          <cell r="R447">
            <v>0.91666666666666663</v>
          </cell>
          <cell r="S447">
            <v>45925</v>
          </cell>
        </row>
        <row r="448">
          <cell r="Q448" t="str">
            <v>ONEU9100326</v>
          </cell>
          <cell r="R448">
            <v>0.95833333333333337</v>
          </cell>
          <cell r="S448">
            <v>45925</v>
          </cell>
        </row>
        <row r="449">
          <cell r="Q449" t="str">
            <v>MSKU1202969</v>
          </cell>
        </row>
        <row r="450">
          <cell r="Q450" t="str">
            <v>CGMU5458149</v>
          </cell>
          <cell r="R450">
            <v>0</v>
          </cell>
          <cell r="S450">
            <v>45926</v>
          </cell>
        </row>
        <row r="451">
          <cell r="Q451" t="str">
            <v>CGMU5390558</v>
          </cell>
          <cell r="R451">
            <v>1.7361111111111112E-2</v>
          </cell>
          <cell r="S451">
            <v>45926</v>
          </cell>
        </row>
        <row r="453">
          <cell r="Q453" t="str">
            <v>MRKU5683829</v>
          </cell>
          <cell r="R453">
            <v>0.46875</v>
          </cell>
          <cell r="S453">
            <v>45926</v>
          </cell>
        </row>
        <row r="454">
          <cell r="Q454" t="str">
            <v>TCNU5294665</v>
          </cell>
          <cell r="R454">
            <v>0.64583333333333337</v>
          </cell>
          <cell r="S454">
            <v>45926</v>
          </cell>
        </row>
        <row r="455">
          <cell r="Q455" t="str">
            <v>SUDU8580898</v>
          </cell>
          <cell r="R455">
            <v>0.66666666666666663</v>
          </cell>
          <cell r="S455">
            <v>45926</v>
          </cell>
        </row>
        <row r="456">
          <cell r="Q456" t="str">
            <v>TCNU5170495</v>
          </cell>
          <cell r="R456">
            <v>0.9375</v>
          </cell>
          <cell r="S456">
            <v>45926</v>
          </cell>
        </row>
        <row r="457">
          <cell r="Q457" t="str">
            <v>TCNU2867526</v>
          </cell>
          <cell r="R457">
            <v>0.86805555555555558</v>
          </cell>
          <cell r="S457">
            <v>45926</v>
          </cell>
        </row>
        <row r="458">
          <cell r="Q458" t="str">
            <v>MRSU5226912</v>
          </cell>
          <cell r="R458">
            <v>0.875</v>
          </cell>
          <cell r="S458">
            <v>45926</v>
          </cell>
        </row>
        <row r="459">
          <cell r="Q459" t="str">
            <v>MRSU5544132</v>
          </cell>
          <cell r="R459">
            <v>1</v>
          </cell>
          <cell r="S459">
            <v>45926</v>
          </cell>
        </row>
        <row r="460">
          <cell r="Q460" t="str">
            <v>GCXU5592121</v>
          </cell>
          <cell r="R460">
            <v>4.1666666666666664E-2</v>
          </cell>
          <cell r="S460">
            <v>45927</v>
          </cell>
        </row>
        <row r="461">
          <cell r="Q461" t="str">
            <v>CAAU7022314</v>
          </cell>
          <cell r="S461">
            <v>45926</v>
          </cell>
        </row>
        <row r="462">
          <cell r="Q462" t="str">
            <v>CAAU7856364</v>
          </cell>
          <cell r="S462">
            <v>45926</v>
          </cell>
        </row>
        <row r="463">
          <cell r="Q463" t="str">
            <v>CAAU4726984</v>
          </cell>
          <cell r="S463">
            <v>45926</v>
          </cell>
        </row>
        <row r="464">
          <cell r="Q464" t="str">
            <v>HASU4017142</v>
          </cell>
          <cell r="S464">
            <v>45927</v>
          </cell>
        </row>
        <row r="465">
          <cell r="Q465" t="str">
            <v>MRKU4458145</v>
          </cell>
          <cell r="R465">
            <v>0.45833333333333331</v>
          </cell>
          <cell r="S465">
            <v>45926</v>
          </cell>
        </row>
        <row r="466">
          <cell r="Q466" t="str">
            <v>MRKU2388619</v>
          </cell>
          <cell r="R466">
            <v>0.45833333333333331</v>
          </cell>
          <cell r="S466">
            <v>45926</v>
          </cell>
        </row>
        <row r="467">
          <cell r="Q467" t="str">
            <v>MRKU2842110</v>
          </cell>
          <cell r="R467">
            <v>0.59027777777777779</v>
          </cell>
          <cell r="S467">
            <v>45926</v>
          </cell>
        </row>
        <row r="468">
          <cell r="Q468" t="str">
            <v>TCNU5465182</v>
          </cell>
          <cell r="R468">
            <v>0.71527777777777779</v>
          </cell>
          <cell r="S468">
            <v>45926</v>
          </cell>
        </row>
        <row r="469">
          <cell r="Q469" t="str">
            <v>MSKU1689230</v>
          </cell>
          <cell r="R469">
            <v>0.91666666666666663</v>
          </cell>
          <cell r="S469">
            <v>45926</v>
          </cell>
        </row>
        <row r="470">
          <cell r="Q470" t="str">
            <v>MSKU0818883</v>
          </cell>
        </row>
        <row r="471">
          <cell r="Q471" t="str">
            <v>CAIU8232149</v>
          </cell>
          <cell r="R471">
            <v>9.375E-2</v>
          </cell>
          <cell r="S471">
            <v>45927</v>
          </cell>
        </row>
        <row r="472">
          <cell r="Q472" t="str">
            <v>TCLU9238019</v>
          </cell>
          <cell r="R472">
            <v>0.1388888888888889</v>
          </cell>
          <cell r="S472">
            <v>45927</v>
          </cell>
        </row>
        <row r="473">
          <cell r="Q473" t="str">
            <v>HPCU9473126</v>
          </cell>
          <cell r="R473">
            <v>0.44791666666666669</v>
          </cell>
          <cell r="S473">
            <v>45926</v>
          </cell>
        </row>
        <row r="474">
          <cell r="Q474" t="str">
            <v>FFAU4172736</v>
          </cell>
          <cell r="R474">
            <v>0.66666666666666663</v>
          </cell>
          <cell r="S474">
            <v>45926</v>
          </cell>
        </row>
        <row r="475">
          <cell r="Q475" t="str">
            <v>FANU1454690</v>
          </cell>
          <cell r="R475">
            <v>0.44444444444444442</v>
          </cell>
          <cell r="S475">
            <v>45926</v>
          </cell>
        </row>
        <row r="476">
          <cell r="Q476" t="str">
            <v>SUDU6921573</v>
          </cell>
          <cell r="R476">
            <v>0.61805555555555558</v>
          </cell>
          <cell r="S476">
            <v>45926</v>
          </cell>
        </row>
        <row r="477">
          <cell r="Q477" t="str">
            <v>MRSU6537570</v>
          </cell>
          <cell r="R477">
            <v>0.94791666666666663</v>
          </cell>
          <cell r="S477">
            <v>45926</v>
          </cell>
        </row>
        <row r="478">
          <cell r="Q478" t="str">
            <v>AXIU6105617</v>
          </cell>
          <cell r="R478">
            <v>6.9444444444444441E-3</v>
          </cell>
          <cell r="S478">
            <v>45927</v>
          </cell>
        </row>
        <row r="480">
          <cell r="Q480" t="str">
            <v>HASU4112896</v>
          </cell>
          <cell r="R480">
            <v>0.125</v>
          </cell>
          <cell r="S480">
            <v>45927</v>
          </cell>
        </row>
        <row r="481">
          <cell r="Q481" t="str">
            <v>CAAU7954930</v>
          </cell>
          <cell r="R481">
            <v>0.1388888888888889</v>
          </cell>
          <cell r="S481">
            <v>45927</v>
          </cell>
        </row>
        <row r="482">
          <cell r="Q482" t="str">
            <v>GAOU7121793</v>
          </cell>
          <cell r="R482">
            <v>0.21875</v>
          </cell>
          <cell r="S482">
            <v>45927</v>
          </cell>
        </row>
        <row r="483">
          <cell r="Q483" t="str">
            <v>CAAU8272920</v>
          </cell>
          <cell r="R483">
            <v>0.41666666666666669</v>
          </cell>
          <cell r="S483">
            <v>45927</v>
          </cell>
        </row>
        <row r="484">
          <cell r="Q484" t="str">
            <v>MRSU5626328</v>
          </cell>
          <cell r="R484">
            <v>0.40625</v>
          </cell>
          <cell r="S484">
            <v>45927</v>
          </cell>
        </row>
        <row r="485">
          <cell r="Q485" t="str">
            <v>CAAU7179540</v>
          </cell>
          <cell r="R485">
            <v>0.55555555555555558</v>
          </cell>
          <cell r="S485">
            <v>45927</v>
          </cell>
        </row>
        <row r="486">
          <cell r="Q486" t="str">
            <v>SEKU6995903</v>
          </cell>
          <cell r="R486">
            <v>0.98263888888888884</v>
          </cell>
          <cell r="S486">
            <v>45927</v>
          </cell>
        </row>
        <row r="487">
          <cell r="Q487" t="str">
            <v>MRSU5834717</v>
          </cell>
          <cell r="R487">
            <v>0.99305555555555558</v>
          </cell>
          <cell r="S487">
            <v>45927</v>
          </cell>
        </row>
        <row r="488">
          <cell r="Q488" t="str">
            <v>MRSU4198225</v>
          </cell>
          <cell r="S488">
            <v>45927</v>
          </cell>
        </row>
        <row r="489">
          <cell r="Q489" t="str">
            <v>MRSU5021580</v>
          </cell>
          <cell r="S489">
            <v>45927</v>
          </cell>
        </row>
        <row r="490">
          <cell r="Q490" t="str">
            <v>EITU9076607</v>
          </cell>
          <cell r="R490">
            <v>0.4513888888888889</v>
          </cell>
          <cell r="S490">
            <v>45927</v>
          </cell>
        </row>
        <row r="491">
          <cell r="Q491" t="str">
            <v>TXGU5819036</v>
          </cell>
          <cell r="R491">
            <v>0.43402777777777779</v>
          </cell>
          <cell r="S491">
            <v>45927</v>
          </cell>
        </row>
        <row r="492">
          <cell r="Q492" t="str">
            <v>MRKU5131136</v>
          </cell>
          <cell r="R492">
            <v>0.70138888888888884</v>
          </cell>
          <cell r="S492">
            <v>45927</v>
          </cell>
        </row>
        <row r="494">
          <cell r="Q494" t="str">
            <v>MRSU5896350</v>
          </cell>
          <cell r="R494">
            <v>0.52083333333333337</v>
          </cell>
          <cell r="S494">
            <v>45929</v>
          </cell>
        </row>
        <row r="495">
          <cell r="Q495" t="str">
            <v>MRSU4621825</v>
          </cell>
          <cell r="R495">
            <v>0.47916666666666669</v>
          </cell>
          <cell r="S495">
            <v>45929</v>
          </cell>
        </row>
        <row r="496">
          <cell r="Q496" t="str">
            <v>CAAU7000418</v>
          </cell>
          <cell r="R496">
            <v>0.43055555555555558</v>
          </cell>
          <cell r="S496">
            <v>45929</v>
          </cell>
        </row>
        <row r="497">
          <cell r="Q497" t="str">
            <v>MRSU4381410</v>
          </cell>
          <cell r="R497">
            <v>0.5625</v>
          </cell>
          <cell r="S497">
            <v>45929</v>
          </cell>
        </row>
        <row r="498">
          <cell r="Q498" t="str">
            <v>HASU4468378</v>
          </cell>
          <cell r="R498">
            <v>0.67361111111111116</v>
          </cell>
          <cell r="S498">
            <v>45929</v>
          </cell>
        </row>
        <row r="499">
          <cell r="Q499" t="str">
            <v>MRSU4287683</v>
          </cell>
          <cell r="R499">
            <v>0.69444444444444442</v>
          </cell>
          <cell r="S499">
            <v>45929</v>
          </cell>
        </row>
        <row r="500">
          <cell r="Q500" t="str">
            <v>GAOU7346531</v>
          </cell>
          <cell r="R500">
            <v>0.71875</v>
          </cell>
          <cell r="S500">
            <v>45929</v>
          </cell>
        </row>
        <row r="501">
          <cell r="Q501" t="str">
            <v>TIIU5281651</v>
          </cell>
          <cell r="R501">
            <v>0.91666666666666663</v>
          </cell>
          <cell r="S501">
            <v>45929</v>
          </cell>
        </row>
        <row r="502">
          <cell r="Q502" t="str">
            <v>OOCU6446747</v>
          </cell>
          <cell r="R502">
            <v>0.63888888888888884</v>
          </cell>
          <cell r="S502">
            <v>45927</v>
          </cell>
        </row>
        <row r="503">
          <cell r="Q503" t="str">
            <v>GAOU7484417</v>
          </cell>
          <cell r="R503">
            <v>0.56944444444444442</v>
          </cell>
          <cell r="S503">
            <v>45927</v>
          </cell>
        </row>
        <row r="504">
          <cell r="Q504" t="str">
            <v>MSKU1122400</v>
          </cell>
          <cell r="R504">
            <v>0.59027777777777779</v>
          </cell>
          <cell r="S504">
            <v>45927</v>
          </cell>
        </row>
        <row r="505">
          <cell r="Q505" t="str">
            <v>HASU5183873</v>
          </cell>
          <cell r="R505">
            <v>0.65277777777777779</v>
          </cell>
          <cell r="S505">
            <v>45927</v>
          </cell>
        </row>
        <row r="506">
          <cell r="Q506" t="str">
            <v>MRKU2940712</v>
          </cell>
          <cell r="R506">
            <v>3.4722222222222224E-2</v>
          </cell>
          <cell r="S506">
            <v>45930</v>
          </cell>
        </row>
        <row r="507">
          <cell r="Q507" t="str">
            <v>MRKU4491143</v>
          </cell>
          <cell r="R507">
            <v>0.16666666666666666</v>
          </cell>
          <cell r="S507">
            <v>45930</v>
          </cell>
        </row>
        <row r="508">
          <cell r="Q508" t="str">
            <v>TRHU6744694</v>
          </cell>
          <cell r="R508">
            <v>0.63541666666666663</v>
          </cell>
          <cell r="S508">
            <v>45929</v>
          </cell>
        </row>
        <row r="509">
          <cell r="Q509" t="str">
            <v>CAAU9451709</v>
          </cell>
          <cell r="R509">
            <v>0.69444444444444442</v>
          </cell>
          <cell r="S509">
            <v>45929</v>
          </cell>
        </row>
        <row r="510">
          <cell r="Q510" t="str">
            <v>FANU1030120</v>
          </cell>
          <cell r="R510">
            <v>0.39652777777777776</v>
          </cell>
          <cell r="S510">
            <v>45930</v>
          </cell>
        </row>
        <row r="511">
          <cell r="Q511" t="str">
            <v>TIIU5536639</v>
          </cell>
          <cell r="R511">
            <v>0.95833333333333337</v>
          </cell>
          <cell r="S511">
            <v>45929</v>
          </cell>
        </row>
        <row r="512">
          <cell r="Q512" t="str">
            <v>SELU4391352</v>
          </cell>
          <cell r="R512">
            <v>0.6875</v>
          </cell>
          <cell r="S512">
            <v>45931</v>
          </cell>
        </row>
        <row r="513">
          <cell r="Q513" t="str">
            <v>MSMU6632367</v>
          </cell>
          <cell r="R513">
            <v>6.9444444444444441E-3</v>
          </cell>
          <cell r="S513">
            <v>45930</v>
          </cell>
        </row>
        <row r="514">
          <cell r="Q514" t="str">
            <v>MRKU2826870</v>
          </cell>
          <cell r="R514">
            <v>0.41666666666666669</v>
          </cell>
          <cell r="S514">
            <v>45929</v>
          </cell>
        </row>
        <row r="515">
          <cell r="Q515" t="str">
            <v>MRSU3992204</v>
          </cell>
          <cell r="R515">
            <v>0.4375</v>
          </cell>
          <cell r="S515">
            <v>45929</v>
          </cell>
        </row>
        <row r="516">
          <cell r="Q516" t="str">
            <v>TCNU3272667</v>
          </cell>
          <cell r="R516">
            <v>0.90972222222222221</v>
          </cell>
          <cell r="S516">
            <v>45929</v>
          </cell>
        </row>
        <row r="517">
          <cell r="Q517" t="str">
            <v>BSIU8084129</v>
          </cell>
          <cell r="R517">
            <v>0.91666666666666663</v>
          </cell>
          <cell r="S517">
            <v>45929</v>
          </cell>
        </row>
        <row r="518">
          <cell r="Q518" t="str">
            <v>MRSU3437650</v>
          </cell>
          <cell r="R518">
            <v>0.99305555555555558</v>
          </cell>
          <cell r="S518">
            <v>45929</v>
          </cell>
        </row>
        <row r="520">
          <cell r="Q520" t="str">
            <v>CAAU7752544</v>
          </cell>
          <cell r="R520">
            <v>0.40972222222222221</v>
          </cell>
          <cell r="S520">
            <v>45930</v>
          </cell>
        </row>
        <row r="521">
          <cell r="Q521" t="str">
            <v>TCLU1658606</v>
          </cell>
          <cell r="R521">
            <v>0.56944444444444442</v>
          </cell>
          <cell r="S521">
            <v>45930</v>
          </cell>
        </row>
        <row r="522">
          <cell r="Q522" t="str">
            <v>MRSU4078831</v>
          </cell>
          <cell r="R522">
            <v>0.3888888888888889</v>
          </cell>
          <cell r="S522">
            <v>45930</v>
          </cell>
        </row>
        <row r="523">
          <cell r="Q523" t="str">
            <v>EITU1710628</v>
          </cell>
          <cell r="R523">
            <v>0.67708333333333337</v>
          </cell>
          <cell r="S523">
            <v>45930</v>
          </cell>
        </row>
        <row r="524">
          <cell r="Q524" t="str">
            <v>MRSU3141713</v>
          </cell>
          <cell r="R524">
            <v>0.68055555555555558</v>
          </cell>
          <cell r="S524">
            <v>45930</v>
          </cell>
        </row>
        <row r="525">
          <cell r="Q525" t="str">
            <v>FFAU6208458</v>
          </cell>
          <cell r="R525">
            <v>0.59722222222222221</v>
          </cell>
          <cell r="S525">
            <v>45930</v>
          </cell>
        </row>
        <row r="526">
          <cell r="Q526" t="str">
            <v>MORU0607394</v>
          </cell>
          <cell r="R526">
            <v>0.89583333333333337</v>
          </cell>
          <cell r="S526">
            <v>45931</v>
          </cell>
        </row>
        <row r="527">
          <cell r="Q527" t="str">
            <v>TRHU4048969</v>
          </cell>
          <cell r="R527">
            <v>0.4375</v>
          </cell>
          <cell r="S527">
            <v>45930</v>
          </cell>
        </row>
        <row r="528">
          <cell r="Q528" t="str">
            <v>TEMU8393363</v>
          </cell>
          <cell r="R528">
            <v>0.89583333333333337</v>
          </cell>
          <cell r="S528">
            <v>45930</v>
          </cell>
        </row>
        <row r="529">
          <cell r="Q529" t="str">
            <v>MRSU6200363</v>
          </cell>
          <cell r="S529">
            <v>45930</v>
          </cell>
        </row>
      </sheetData>
      <sheetData sheetId="3"/>
      <sheetData sheetId="4">
        <row r="6">
          <cell r="Q6" t="str">
            <v>SỐ CONTAINER RA</v>
          </cell>
          <cell r="R6" t="str">
            <v>GIỜ XE RA</v>
          </cell>
          <cell r="S6" t="str">
            <v>NGÀY RA</v>
          </cell>
        </row>
        <row r="7">
          <cell r="Q7" t="str">
            <v>MRSU5017450</v>
          </cell>
        </row>
        <row r="8">
          <cell r="Q8" t="str">
            <v>GAOU7348410</v>
          </cell>
        </row>
        <row r="9">
          <cell r="Q9" t="str">
            <v>MRKU4262050</v>
          </cell>
        </row>
        <row r="10">
          <cell r="Q10" t="str">
            <v>SEKU4594136</v>
          </cell>
          <cell r="S10">
            <v>45932</v>
          </cell>
        </row>
        <row r="11">
          <cell r="Q11" t="str">
            <v>MRSU3441876</v>
          </cell>
        </row>
        <row r="12">
          <cell r="Q12" t="str">
            <v>MSKU9912020</v>
          </cell>
          <cell r="R12">
            <v>1.7361111111111112E-2</v>
          </cell>
          <cell r="S12">
            <v>45932</v>
          </cell>
        </row>
        <row r="13">
          <cell r="Q13" t="str">
            <v>FFAU7105259</v>
          </cell>
        </row>
        <row r="14">
          <cell r="Q14" t="str">
            <v>SUDU6856478</v>
          </cell>
          <cell r="R14">
            <v>0.13194444444444445</v>
          </cell>
          <cell r="S14">
            <v>45932</v>
          </cell>
        </row>
        <row r="15">
          <cell r="Q15" t="str">
            <v>MSKU9920941</v>
          </cell>
          <cell r="R15">
            <v>0.16666666666666666</v>
          </cell>
          <cell r="S15">
            <v>45932</v>
          </cell>
        </row>
        <row r="16">
          <cell r="Q16" t="str">
            <v>TEMU6181220</v>
          </cell>
          <cell r="R16">
            <v>0.15972222222222221</v>
          </cell>
          <cell r="S16">
            <v>45932</v>
          </cell>
        </row>
        <row r="17">
          <cell r="Q17" t="str">
            <v>MRSU3891322</v>
          </cell>
          <cell r="R17">
            <v>0.18402777777777779</v>
          </cell>
          <cell r="S17">
            <v>45932</v>
          </cell>
        </row>
        <row r="18">
          <cell r="Q18" t="str">
            <v>CAAU9351181</v>
          </cell>
          <cell r="S18">
            <v>45931</v>
          </cell>
        </row>
        <row r="19">
          <cell r="Q19" t="str">
            <v>TRHU4869990</v>
          </cell>
          <cell r="S19">
            <v>45931</v>
          </cell>
        </row>
        <row r="20">
          <cell r="Q20" t="str">
            <v>TGBU4127494</v>
          </cell>
          <cell r="R20">
            <v>3.4722222222222224E-2</v>
          </cell>
          <cell r="S20">
            <v>45932</v>
          </cell>
        </row>
        <row r="21">
          <cell r="Q21" t="str">
            <v>MNBU4064460</v>
          </cell>
          <cell r="R21">
            <v>0.19791666666666666</v>
          </cell>
          <cell r="S21">
            <v>45932</v>
          </cell>
        </row>
        <row r="22">
          <cell r="Q22" t="str">
            <v>BEAU5734703</v>
          </cell>
          <cell r="S22">
            <v>45931</v>
          </cell>
        </row>
        <row r="23">
          <cell r="Q23" t="str">
            <v>MNBU4474193</v>
          </cell>
          <cell r="R23">
            <v>0.4375</v>
          </cell>
          <cell r="S23">
            <v>45931</v>
          </cell>
        </row>
        <row r="24">
          <cell r="Q24" t="str">
            <v>MRSU7916183</v>
          </cell>
          <cell r="R24">
            <v>0.44791666666666669</v>
          </cell>
          <cell r="S24">
            <v>45931</v>
          </cell>
        </row>
        <row r="25">
          <cell r="Q25" t="str">
            <v>MRSU4500572</v>
          </cell>
          <cell r="R25">
            <v>0.4375</v>
          </cell>
          <cell r="S25">
            <v>45931</v>
          </cell>
        </row>
        <row r="27">
          <cell r="Q27" t="str">
            <v>UETU8513980</v>
          </cell>
          <cell r="S27">
            <v>45932</v>
          </cell>
        </row>
        <row r="28">
          <cell r="Q28" t="str">
            <v>MRSU6399661</v>
          </cell>
          <cell r="S28">
            <v>45932</v>
          </cell>
        </row>
        <row r="29">
          <cell r="Q29" t="str">
            <v>CAAU4889908</v>
          </cell>
          <cell r="S29">
            <v>45932</v>
          </cell>
        </row>
        <row r="30">
          <cell r="Q30" t="str">
            <v>CAAU7950811</v>
          </cell>
          <cell r="R30">
            <v>0.91319444444444442</v>
          </cell>
          <cell r="S30">
            <v>45932</v>
          </cell>
        </row>
        <row r="31">
          <cell r="Q31" t="str">
            <v>GCXU5218430</v>
          </cell>
          <cell r="R31">
            <v>0.63541666666666663</v>
          </cell>
          <cell r="S31">
            <v>45932</v>
          </cell>
        </row>
        <row r="32">
          <cell r="Q32" t="str">
            <v>FDCU0525339</v>
          </cell>
          <cell r="S32">
            <v>45932</v>
          </cell>
        </row>
        <row r="33">
          <cell r="Q33" t="str">
            <v>MRSU8553971</v>
          </cell>
          <cell r="S33">
            <v>45932</v>
          </cell>
        </row>
        <row r="34">
          <cell r="Q34" t="str">
            <v>CAAU4733617</v>
          </cell>
          <cell r="S34">
            <v>45932</v>
          </cell>
        </row>
        <row r="35">
          <cell r="Q35" t="str">
            <v>SEKU4702781</v>
          </cell>
          <cell r="S35">
            <v>45932</v>
          </cell>
        </row>
        <row r="36">
          <cell r="Q36" t="str">
            <v>MRSU8564580</v>
          </cell>
          <cell r="S36">
            <v>45932</v>
          </cell>
        </row>
        <row r="37">
          <cell r="Q37" t="str">
            <v>MRKU5147301</v>
          </cell>
          <cell r="R37">
            <v>0.60416666666666663</v>
          </cell>
          <cell r="S37">
            <v>45932</v>
          </cell>
        </row>
        <row r="38">
          <cell r="Q38" t="str">
            <v>TCKU7656347</v>
          </cell>
          <cell r="S38">
            <v>45933</v>
          </cell>
        </row>
        <row r="39">
          <cell r="Q39" t="str">
            <v>TRHU7103102</v>
          </cell>
          <cell r="R39">
            <v>0.41666666666666669</v>
          </cell>
          <cell r="S39">
            <v>45933</v>
          </cell>
        </row>
        <row r="40">
          <cell r="Q40" t="str">
            <v>MRSU8581443</v>
          </cell>
          <cell r="S40">
            <v>45933</v>
          </cell>
        </row>
        <row r="41">
          <cell r="Q41" t="str">
            <v>MRSU5018210</v>
          </cell>
          <cell r="S41">
            <v>45933</v>
          </cell>
        </row>
        <row r="42">
          <cell r="Q42" t="str">
            <v>CAAU7689170</v>
          </cell>
          <cell r="S42">
            <v>45933</v>
          </cell>
        </row>
        <row r="43">
          <cell r="Q43" t="str">
            <v>CAAU4775799</v>
          </cell>
          <cell r="S43">
            <v>45933</v>
          </cell>
        </row>
        <row r="44">
          <cell r="Q44" t="str">
            <v>MRSU5174383</v>
          </cell>
          <cell r="S44">
            <v>45933</v>
          </cell>
        </row>
        <row r="45">
          <cell r="Q45" t="str">
            <v>MRSU6859263</v>
          </cell>
          <cell r="S45">
            <v>45933</v>
          </cell>
        </row>
        <row r="46">
          <cell r="Q46" t="str">
            <v>CAAU7581781</v>
          </cell>
          <cell r="S46">
            <v>45933</v>
          </cell>
        </row>
        <row r="47">
          <cell r="Q47" t="str">
            <v>SELU4083072</v>
          </cell>
          <cell r="S47">
            <v>45933</v>
          </cell>
        </row>
        <row r="48">
          <cell r="Q48" t="str">
            <v>TIIU5554951</v>
          </cell>
          <cell r="S48">
            <v>45933</v>
          </cell>
        </row>
        <row r="49">
          <cell r="Q49" t="str">
            <v>TGBU5359684</v>
          </cell>
          <cell r="S49">
            <v>45933</v>
          </cell>
        </row>
        <row r="50">
          <cell r="Q50" t="str">
            <v>GESU6233180</v>
          </cell>
          <cell r="R50">
            <v>0.35416666666666669</v>
          </cell>
          <cell r="S50">
            <v>45933</v>
          </cell>
        </row>
        <row r="51">
          <cell r="Q51" t="str">
            <v>MRSU5620839</v>
          </cell>
          <cell r="R51">
            <v>0.4861111111111111</v>
          </cell>
          <cell r="S51">
            <v>45933</v>
          </cell>
        </row>
        <row r="52">
          <cell r="Q52" t="str">
            <v>MRSU3191191</v>
          </cell>
          <cell r="R52">
            <v>0.20833333333333334</v>
          </cell>
          <cell r="S52">
            <v>45934</v>
          </cell>
        </row>
        <row r="53">
          <cell r="Q53" t="str">
            <v>EMCU8864151</v>
          </cell>
          <cell r="R53">
            <v>0.54513888888888884</v>
          </cell>
          <cell r="S53">
            <v>45934</v>
          </cell>
        </row>
        <row r="54">
          <cell r="Q54" t="str">
            <v>TCNU1844700</v>
          </cell>
          <cell r="S54">
            <v>45934</v>
          </cell>
        </row>
        <row r="55">
          <cell r="Q55" t="str">
            <v>MSKU9274008</v>
          </cell>
          <cell r="S55">
            <v>45934</v>
          </cell>
        </row>
        <row r="56">
          <cell r="Q56" t="str">
            <v>CAAU6560110</v>
          </cell>
          <cell r="S56">
            <v>45934</v>
          </cell>
        </row>
        <row r="57">
          <cell r="Q57" t="str">
            <v>MRSU8783700</v>
          </cell>
          <cell r="S57">
            <v>45934</v>
          </cell>
        </row>
        <row r="58">
          <cell r="Q58" t="str">
            <v>MRSU4693189</v>
          </cell>
          <cell r="S58">
            <v>45934</v>
          </cell>
        </row>
        <row r="59">
          <cell r="Q59" t="str">
            <v>CAJU5046186</v>
          </cell>
          <cell r="S59">
            <v>45934</v>
          </cell>
        </row>
        <row r="60">
          <cell r="Q60" t="str">
            <v>CAJU5046421</v>
          </cell>
          <cell r="S60">
            <v>45934</v>
          </cell>
        </row>
        <row r="61">
          <cell r="Q61" t="str">
            <v>MRSU7349773</v>
          </cell>
          <cell r="S61">
            <v>45934</v>
          </cell>
        </row>
        <row r="62">
          <cell r="Q62" t="str">
            <v>MRSU5647070</v>
          </cell>
          <cell r="R62">
            <v>0.1111111111111111</v>
          </cell>
          <cell r="S62">
            <v>45934</v>
          </cell>
        </row>
        <row r="63">
          <cell r="Q63" t="str">
            <v>CAIU7237193</v>
          </cell>
          <cell r="R63">
            <v>0.16666666666666666</v>
          </cell>
        </row>
        <row r="64">
          <cell r="Q64" t="str">
            <v>TXGU5609698</v>
          </cell>
          <cell r="R64">
            <v>0.97916666666666663</v>
          </cell>
          <cell r="S64">
            <v>45936</v>
          </cell>
        </row>
        <row r="65">
          <cell r="Q65" t="str">
            <v>UETU6684670</v>
          </cell>
        </row>
        <row r="66">
          <cell r="Q66" t="str">
            <v>EITU1807407</v>
          </cell>
          <cell r="R66">
            <v>0.99305555555555558</v>
          </cell>
          <cell r="S66">
            <v>45936</v>
          </cell>
        </row>
        <row r="67">
          <cell r="Q67" t="str">
            <v>MRSU6159254</v>
          </cell>
          <cell r="R67">
            <v>0.41666666666666669</v>
          </cell>
          <cell r="S67">
            <v>45936</v>
          </cell>
        </row>
        <row r="68">
          <cell r="Q68" t="str">
            <v>EGSU9829555</v>
          </cell>
          <cell r="R68">
            <v>0.58333333333333337</v>
          </cell>
          <cell r="S68">
            <v>45936</v>
          </cell>
        </row>
        <row r="69">
          <cell r="Q69" t="str">
            <v>CAAU4721540</v>
          </cell>
          <cell r="S69">
            <v>45936</v>
          </cell>
        </row>
        <row r="70">
          <cell r="Q70" t="str">
            <v>CAAU9317680</v>
          </cell>
          <cell r="R70">
            <v>0.4375</v>
          </cell>
          <cell r="S70">
            <v>45936</v>
          </cell>
        </row>
        <row r="71">
          <cell r="Q71" t="str">
            <v>MRSU6430469</v>
          </cell>
        </row>
        <row r="72">
          <cell r="Q72" t="str">
            <v>CAAU6632462</v>
          </cell>
        </row>
        <row r="73">
          <cell r="Q73" t="str">
            <v>MRKU4881080</v>
          </cell>
        </row>
        <row r="74">
          <cell r="Q74" t="str">
            <v>HAMU2221010</v>
          </cell>
          <cell r="R74">
            <v>0.64583333333333337</v>
          </cell>
          <cell r="S74">
            <v>45936</v>
          </cell>
        </row>
        <row r="75">
          <cell r="Q75" t="str">
            <v>CAAU5472360</v>
          </cell>
        </row>
        <row r="76">
          <cell r="Q76" t="str">
            <v>CAAU4697525</v>
          </cell>
          <cell r="S76">
            <v>45937</v>
          </cell>
        </row>
        <row r="77">
          <cell r="Q77" t="str">
            <v>TIIU4958814</v>
          </cell>
          <cell r="R77">
            <v>0.9375</v>
          </cell>
          <cell r="S77">
            <v>45937</v>
          </cell>
        </row>
        <row r="78">
          <cell r="Q78" t="str">
            <v>CAAU9188984</v>
          </cell>
          <cell r="S78">
            <v>45937</v>
          </cell>
        </row>
        <row r="79">
          <cell r="Q79" t="str">
            <v>HASU4843782</v>
          </cell>
          <cell r="S79">
            <v>45937</v>
          </cell>
        </row>
        <row r="80">
          <cell r="Q80" t="str">
            <v>TCNU4679066</v>
          </cell>
          <cell r="R80">
            <v>0</v>
          </cell>
          <cell r="S80">
            <v>45938</v>
          </cell>
        </row>
        <row r="81">
          <cell r="Q81" t="str">
            <v>GCXU5822970</v>
          </cell>
          <cell r="S81">
            <v>45937</v>
          </cell>
        </row>
        <row r="82">
          <cell r="Q82" t="str">
            <v>TRHU4293122</v>
          </cell>
          <cell r="S82">
            <v>45937</v>
          </cell>
        </row>
        <row r="83">
          <cell r="Q83" t="str">
            <v xml:space="preserve">CAAU4696010 </v>
          </cell>
          <cell r="S83">
            <v>45937</v>
          </cell>
        </row>
        <row r="84">
          <cell r="Q84" t="str">
            <v>UETU2984236</v>
          </cell>
          <cell r="R84">
            <v>0.99305555555555558</v>
          </cell>
          <cell r="S84">
            <v>45937</v>
          </cell>
        </row>
        <row r="85">
          <cell r="Q85" t="str">
            <v>CIPU5003756</v>
          </cell>
          <cell r="S85">
            <v>45937</v>
          </cell>
        </row>
        <row r="86">
          <cell r="Q86" t="str">
            <v>MRSU4874340</v>
          </cell>
          <cell r="R86">
            <v>0.48958333333333331</v>
          </cell>
          <cell r="S86">
            <v>45937</v>
          </cell>
        </row>
        <row r="87">
          <cell r="Q87" t="str">
            <v>FANU3003859</v>
          </cell>
          <cell r="R87">
            <v>0.58333333333333337</v>
          </cell>
          <cell r="S87">
            <v>45937</v>
          </cell>
        </row>
        <row r="88">
          <cell r="Q88" t="str">
            <v>UETU6207240</v>
          </cell>
          <cell r="R88">
            <v>0.58333333333333337</v>
          </cell>
          <cell r="S88">
            <v>45937</v>
          </cell>
        </row>
        <row r="91">
          <cell r="Q91" t="str">
            <v>UETU8525173</v>
          </cell>
          <cell r="S91">
            <v>45938</v>
          </cell>
        </row>
        <row r="92">
          <cell r="Q92" t="str">
            <v>SUDU8506416</v>
          </cell>
          <cell r="S92">
            <v>45938</v>
          </cell>
        </row>
        <row r="93">
          <cell r="Q93" t="str">
            <v>CAAU5646836</v>
          </cell>
          <cell r="S93">
            <v>45938</v>
          </cell>
        </row>
        <row r="94">
          <cell r="Q94" t="str">
            <v xml:space="preserve">MRSU4283029 </v>
          </cell>
          <cell r="S94">
            <v>45938</v>
          </cell>
        </row>
        <row r="95">
          <cell r="Q95" t="str">
            <v>TRHU4873732</v>
          </cell>
          <cell r="S95">
            <v>45938</v>
          </cell>
        </row>
        <row r="96">
          <cell r="Q96" t="str">
            <v>SELU4003138</v>
          </cell>
          <cell r="S96">
            <v>45939</v>
          </cell>
        </row>
        <row r="97">
          <cell r="Q97" t="str">
            <v>FFAU7199324</v>
          </cell>
          <cell r="R97">
            <v>0.47916666666666669</v>
          </cell>
          <cell r="S97">
            <v>45939</v>
          </cell>
        </row>
        <row r="98">
          <cell r="Q98" t="str">
            <v>MRSU7512690</v>
          </cell>
          <cell r="R98">
            <v>0.11805555555555555</v>
          </cell>
          <cell r="S98">
            <v>45939</v>
          </cell>
        </row>
        <row r="99">
          <cell r="Q99" t="str">
            <v>CAAU8349810</v>
          </cell>
          <cell r="R99">
            <v>0.18055555555555555</v>
          </cell>
          <cell r="S99">
            <v>45939</v>
          </cell>
        </row>
        <row r="100">
          <cell r="Q100" t="str">
            <v>MRKU2901228</v>
          </cell>
        </row>
        <row r="101">
          <cell r="Q101" t="str">
            <v>MRKU5708275</v>
          </cell>
        </row>
        <row r="102">
          <cell r="Q102" t="str">
            <v>MRSU8075194</v>
          </cell>
        </row>
        <row r="103">
          <cell r="Q103" t="str">
            <v>MRSU8122887</v>
          </cell>
        </row>
        <row r="104">
          <cell r="Q104" t="str">
            <v>MRSU4189100</v>
          </cell>
        </row>
        <row r="105">
          <cell r="Q105" t="str">
            <v>CAAU8011295</v>
          </cell>
          <cell r="R105">
            <v>0.95138888888888884</v>
          </cell>
          <cell r="S105">
            <v>45938</v>
          </cell>
        </row>
        <row r="106">
          <cell r="Q106" t="str">
            <v>EGSU1625452</v>
          </cell>
          <cell r="R106">
            <v>0.63611111111111107</v>
          </cell>
          <cell r="S106">
            <v>45938</v>
          </cell>
        </row>
        <row r="107">
          <cell r="Q107" t="str">
            <v>CMAU3645332</v>
          </cell>
          <cell r="R107">
            <v>0.70833333333333337</v>
          </cell>
          <cell r="S107">
            <v>45938</v>
          </cell>
        </row>
        <row r="108">
          <cell r="Q108" t="str">
            <v>MNBU9165155</v>
          </cell>
          <cell r="R108">
            <v>0.97916666666666663</v>
          </cell>
          <cell r="S108">
            <v>45938</v>
          </cell>
        </row>
        <row r="109">
          <cell r="Q109" t="str">
            <v>MRKU9162829</v>
          </cell>
          <cell r="R109">
            <v>0</v>
          </cell>
          <cell r="S109">
            <v>45939</v>
          </cell>
        </row>
        <row r="110">
          <cell r="Q110" t="str">
            <v>MRSU8418971</v>
          </cell>
          <cell r="S110">
            <v>45939</v>
          </cell>
        </row>
        <row r="111">
          <cell r="Q111" t="str">
            <v>MRSU7424331</v>
          </cell>
          <cell r="S111">
            <v>45939</v>
          </cell>
        </row>
        <row r="112">
          <cell r="Q112" t="str">
            <v>MRSU8564889</v>
          </cell>
          <cell r="S112">
            <v>45939</v>
          </cell>
        </row>
        <row r="113">
          <cell r="Q113" t="str">
            <v>CAAU9351324</v>
          </cell>
          <cell r="S113">
            <v>45939</v>
          </cell>
        </row>
        <row r="114">
          <cell r="Q114" t="str">
            <v>MRSU8263864</v>
          </cell>
          <cell r="S114">
            <v>45939</v>
          </cell>
        </row>
        <row r="115">
          <cell r="Q115" t="str">
            <v>CAJU5040613</v>
          </cell>
          <cell r="S115">
            <v>45939</v>
          </cell>
        </row>
        <row r="116">
          <cell r="Q116" t="str">
            <v>MRSU7889030</v>
          </cell>
          <cell r="S116">
            <v>45939</v>
          </cell>
        </row>
        <row r="117">
          <cell r="Q117" t="str">
            <v>MRSU4988071</v>
          </cell>
          <cell r="S117">
            <v>45939</v>
          </cell>
        </row>
        <row r="118">
          <cell r="Q118" t="str">
            <v>MRSU8143431</v>
          </cell>
          <cell r="S118">
            <v>45939</v>
          </cell>
        </row>
        <row r="119">
          <cell r="Q119" t="str">
            <v>MRSU3862068</v>
          </cell>
          <cell r="R119">
            <v>0.70138888888888884</v>
          </cell>
          <cell r="S119">
            <v>45939</v>
          </cell>
        </row>
        <row r="120">
          <cell r="Q120" t="str">
            <v>MRSU6158670</v>
          </cell>
          <cell r="S120">
            <v>45939</v>
          </cell>
        </row>
        <row r="121">
          <cell r="Q121" t="str">
            <v>UETU8167233</v>
          </cell>
          <cell r="S121">
            <v>45940</v>
          </cell>
        </row>
        <row r="122">
          <cell r="Q122" t="str">
            <v>CAAU7090068</v>
          </cell>
          <cell r="S122">
            <v>45940</v>
          </cell>
        </row>
        <row r="123">
          <cell r="Q123" t="str">
            <v>MRSU8297484</v>
          </cell>
          <cell r="S123">
            <v>45940</v>
          </cell>
        </row>
        <row r="124">
          <cell r="Q124" t="str">
            <v>GCXU5678591</v>
          </cell>
          <cell r="R124">
            <v>0.69444444444444442</v>
          </cell>
          <cell r="S124">
            <v>45939</v>
          </cell>
        </row>
        <row r="125">
          <cell r="Q125" t="str">
            <v>FSCU8234806</v>
          </cell>
          <cell r="R125">
            <v>6.9444444444444441E-3</v>
          </cell>
          <cell r="S125">
            <v>45940</v>
          </cell>
        </row>
        <row r="126">
          <cell r="Q126" t="str">
            <v>TRHU8308175</v>
          </cell>
          <cell r="R126">
            <v>1.3888888888888888E-2</v>
          </cell>
          <cell r="S126">
            <v>45940</v>
          </cell>
        </row>
        <row r="130">
          <cell r="Q130" t="str">
            <v>MRKU6466598</v>
          </cell>
          <cell r="R130">
            <v>0.2361111111111111</v>
          </cell>
          <cell r="S130">
            <v>45941</v>
          </cell>
        </row>
        <row r="131">
          <cell r="Q131" t="str">
            <v>MRKU5618000</v>
          </cell>
          <cell r="R131">
            <v>0.50694444444444442</v>
          </cell>
          <cell r="S131">
            <v>45940</v>
          </cell>
        </row>
        <row r="132">
          <cell r="Q132" t="str">
            <v>MRKU5053898</v>
          </cell>
        </row>
        <row r="133">
          <cell r="Q133" t="str">
            <v>MRKU5450046</v>
          </cell>
        </row>
        <row r="134">
          <cell r="Q134" t="str">
            <v>MRSU7518657</v>
          </cell>
        </row>
        <row r="135">
          <cell r="Q135" t="str">
            <v>MRSU8473325</v>
          </cell>
          <cell r="S135">
            <v>45940</v>
          </cell>
        </row>
        <row r="136">
          <cell r="Q136" t="str">
            <v>UETU8482528</v>
          </cell>
          <cell r="S136">
            <v>45940</v>
          </cell>
        </row>
        <row r="137">
          <cell r="Q137" t="str">
            <v>FFAU7271650</v>
          </cell>
          <cell r="S137">
            <v>45940</v>
          </cell>
        </row>
        <row r="138">
          <cell r="Q138" t="str">
            <v>CAAU6655088</v>
          </cell>
        </row>
        <row r="139">
          <cell r="Q139" t="str">
            <v>UETU7596450</v>
          </cell>
        </row>
        <row r="140">
          <cell r="Q140" t="str">
            <v>CAAU8311820</v>
          </cell>
        </row>
        <row r="141">
          <cell r="Q141" t="str">
            <v>MRSU8433955</v>
          </cell>
        </row>
        <row r="142">
          <cell r="Q142" t="str">
            <v>MRSU5562162</v>
          </cell>
          <cell r="R142">
            <v>0.10416666666666667</v>
          </cell>
          <cell r="S142">
            <v>45941</v>
          </cell>
        </row>
        <row r="143">
          <cell r="Q143" t="str">
            <v>TGBU8891670</v>
          </cell>
        </row>
        <row r="144">
          <cell r="Q144" t="str">
            <v>TIIU4607656</v>
          </cell>
          <cell r="R144">
            <v>0.27777777777777779</v>
          </cell>
          <cell r="S144">
            <v>45941</v>
          </cell>
        </row>
        <row r="145">
          <cell r="Q145" t="str">
            <v>TRHU7290195</v>
          </cell>
        </row>
        <row r="146">
          <cell r="Q146" t="str">
            <v>GAOU7204619</v>
          </cell>
        </row>
        <row r="147">
          <cell r="Q147" t="str">
            <v>SELU4064880</v>
          </cell>
        </row>
        <row r="148">
          <cell r="Q148" t="str">
            <v>TEMU6380346</v>
          </cell>
          <cell r="R148">
            <v>0.70833333333333337</v>
          </cell>
          <cell r="S148">
            <v>45941</v>
          </cell>
        </row>
        <row r="149">
          <cell r="Q149" t="str">
            <v>HLBU2060359</v>
          </cell>
          <cell r="R149">
            <v>0.13194444444444445</v>
          </cell>
          <cell r="S149">
            <v>45942</v>
          </cell>
        </row>
        <row r="150">
          <cell r="Q150" t="str">
            <v>MRSU6264938</v>
          </cell>
        </row>
        <row r="151">
          <cell r="Q151" t="str">
            <v>TGCU5176748</v>
          </cell>
          <cell r="R151">
            <v>0.375</v>
          </cell>
          <cell r="S151">
            <v>45941</v>
          </cell>
        </row>
        <row r="152">
          <cell r="Q152" t="str">
            <v>CAAU8319190</v>
          </cell>
          <cell r="R152">
            <v>0.97916666666666663</v>
          </cell>
          <cell r="S152">
            <v>45941</v>
          </cell>
        </row>
        <row r="153">
          <cell r="Q153" t="str">
            <v>MRKU6376160</v>
          </cell>
        </row>
        <row r="154">
          <cell r="Q154" t="str">
            <v>MAGU5400658</v>
          </cell>
          <cell r="R154">
            <v>0.47222222222222221</v>
          </cell>
          <cell r="S154">
            <v>45943</v>
          </cell>
        </row>
        <row r="155">
          <cell r="Q155" t="str">
            <v>MRSU5185182</v>
          </cell>
          <cell r="S155">
            <v>45943</v>
          </cell>
        </row>
        <row r="156">
          <cell r="Q156" t="str">
            <v>HASU4911995</v>
          </cell>
          <cell r="S156">
            <v>45943</v>
          </cell>
        </row>
        <row r="157">
          <cell r="Q157" t="str">
            <v>HPCU4976151</v>
          </cell>
          <cell r="R157">
            <v>0.22916666666666666</v>
          </cell>
          <cell r="S157">
            <v>45944</v>
          </cell>
        </row>
        <row r="158">
          <cell r="Q158" t="str">
            <v>TXGU5739861</v>
          </cell>
          <cell r="R158">
            <v>0.4236111111111111</v>
          </cell>
          <cell r="S158">
            <v>45943</v>
          </cell>
        </row>
        <row r="159">
          <cell r="Q159" t="str">
            <v>MRSU3429248</v>
          </cell>
          <cell r="R159">
            <v>0.58333333333333337</v>
          </cell>
          <cell r="S159">
            <v>45943</v>
          </cell>
        </row>
        <row r="160">
          <cell r="Q160" t="str">
            <v>FFAU7213314</v>
          </cell>
          <cell r="S160">
            <v>45943</v>
          </cell>
        </row>
        <row r="161">
          <cell r="Q161" t="str">
            <v>GCXU5741879</v>
          </cell>
          <cell r="S161">
            <v>45943</v>
          </cell>
        </row>
        <row r="162">
          <cell r="Q162" t="str">
            <v>SEKU4632468</v>
          </cell>
          <cell r="R162">
            <v>0.98611111111111116</v>
          </cell>
          <cell r="S162">
            <v>45943</v>
          </cell>
        </row>
        <row r="163">
          <cell r="Q163" t="str">
            <v>MRKU2546458</v>
          </cell>
          <cell r="R163">
            <v>0.89583333333333337</v>
          </cell>
          <cell r="S163">
            <v>45943</v>
          </cell>
        </row>
        <row r="164">
          <cell r="Q164" t="str">
            <v>TRHU7773531</v>
          </cell>
          <cell r="R164">
            <v>0.125</v>
          </cell>
          <cell r="S164">
            <v>45944</v>
          </cell>
        </row>
        <row r="165">
          <cell r="Q165" t="str">
            <v>TRHU4627180</v>
          </cell>
          <cell r="R165">
            <v>0.16666666666666666</v>
          </cell>
          <cell r="S165">
            <v>45944</v>
          </cell>
        </row>
        <row r="166">
          <cell r="Q166" t="str">
            <v>HLBU1687684</v>
          </cell>
          <cell r="R166">
            <v>0.59375</v>
          </cell>
          <cell r="S166">
            <v>45943</v>
          </cell>
        </row>
        <row r="167">
          <cell r="Q167" t="str">
            <v>MRKU5214740</v>
          </cell>
          <cell r="R167">
            <v>0.44791666666666669</v>
          </cell>
          <cell r="S167">
            <v>45944</v>
          </cell>
        </row>
        <row r="168">
          <cell r="Q168" t="str">
            <v>MRKU3521541</v>
          </cell>
          <cell r="S168">
            <v>45944</v>
          </cell>
        </row>
        <row r="169">
          <cell r="Q169" t="str">
            <v>MRKU4542127</v>
          </cell>
          <cell r="R169">
            <v>0.9375</v>
          </cell>
          <cell r="S169">
            <v>45944</v>
          </cell>
        </row>
        <row r="170">
          <cell r="Q170" t="str">
            <v>MRKU4890117</v>
          </cell>
          <cell r="R170">
            <v>0.13194444444444445</v>
          </cell>
          <cell r="S170">
            <v>45945</v>
          </cell>
        </row>
        <row r="171">
          <cell r="Q171" t="str">
            <v>TIIU4667953</v>
          </cell>
          <cell r="R171">
            <v>0.5</v>
          </cell>
          <cell r="S171">
            <v>45944</v>
          </cell>
        </row>
        <row r="172">
          <cell r="Q172" t="str">
            <v>CAAU6744689</v>
          </cell>
          <cell r="S172">
            <v>45944</v>
          </cell>
        </row>
        <row r="173">
          <cell r="Q173" t="str">
            <v>TRHU4987150</v>
          </cell>
          <cell r="S173">
            <v>45944</v>
          </cell>
        </row>
        <row r="174">
          <cell r="Q174" t="str">
            <v>TCNU2850879</v>
          </cell>
          <cell r="S174">
            <v>45944</v>
          </cell>
        </row>
        <row r="175">
          <cell r="Q175" t="str">
            <v>MRSU6230434</v>
          </cell>
          <cell r="R175">
            <v>0.40625</v>
          </cell>
          <cell r="S175">
            <v>45944</v>
          </cell>
        </row>
        <row r="176">
          <cell r="Q176" t="str">
            <v>MSKU1803321</v>
          </cell>
          <cell r="R176">
            <v>0.64930555555555558</v>
          </cell>
          <cell r="S176">
            <v>45944</v>
          </cell>
        </row>
        <row r="177">
          <cell r="Q177" t="str">
            <v>CAAU8297173</v>
          </cell>
          <cell r="R177">
            <v>0.125</v>
          </cell>
          <cell r="S177">
            <v>45945</v>
          </cell>
        </row>
        <row r="178">
          <cell r="Q178" t="str">
            <v>MRSU7415957</v>
          </cell>
          <cell r="R178">
            <v>0.17708333333333334</v>
          </cell>
          <cell r="S178">
            <v>45945</v>
          </cell>
        </row>
        <row r="179">
          <cell r="Q179" t="str">
            <v>CAAU6993700</v>
          </cell>
          <cell r="S179">
            <v>45944</v>
          </cell>
        </row>
        <row r="180">
          <cell r="Q180" t="str">
            <v>CAAU9278706</v>
          </cell>
          <cell r="S180">
            <v>45944</v>
          </cell>
        </row>
        <row r="181">
          <cell r="Q181" t="str">
            <v>MRSU3717270</v>
          </cell>
          <cell r="S181">
            <v>45944</v>
          </cell>
        </row>
        <row r="182">
          <cell r="Q182" t="str">
            <v>TRHU6537526</v>
          </cell>
          <cell r="S182">
            <v>45944</v>
          </cell>
        </row>
        <row r="183">
          <cell r="Q183" t="str">
            <v>MRSU6061150</v>
          </cell>
          <cell r="R183">
            <v>0.10416666666666667</v>
          </cell>
          <cell r="S183">
            <v>45945</v>
          </cell>
        </row>
        <row r="184">
          <cell r="Q184" t="str">
            <v>MRKU4714334</v>
          </cell>
          <cell r="S184">
            <v>45945</v>
          </cell>
        </row>
        <row r="185">
          <cell r="Q185" t="str">
            <v>MSKU1633502</v>
          </cell>
          <cell r="R185">
            <v>0.65972222222222221</v>
          </cell>
          <cell r="S185">
            <v>45944</v>
          </cell>
        </row>
        <row r="186">
          <cell r="Q186" t="str">
            <v>TIIU5334392</v>
          </cell>
          <cell r="R186">
            <v>0.38541666666666669</v>
          </cell>
          <cell r="S186">
            <v>45945</v>
          </cell>
        </row>
        <row r="187">
          <cell r="Q187" t="str">
            <v>CAAU9613764</v>
          </cell>
          <cell r="R187">
            <v>0.38541666666666669</v>
          </cell>
          <cell r="S187">
            <v>45945</v>
          </cell>
        </row>
        <row r="188">
          <cell r="Q188" t="str">
            <v>MRSU7483020</v>
          </cell>
          <cell r="R188">
            <v>0.46527777777777779</v>
          </cell>
          <cell r="S188">
            <v>45945</v>
          </cell>
        </row>
        <row r="189">
          <cell r="Q189" t="str">
            <v>CAAU6650867</v>
          </cell>
          <cell r="S189">
            <v>45945</v>
          </cell>
        </row>
        <row r="190">
          <cell r="Q190" t="str">
            <v>CAAU7214050</v>
          </cell>
          <cell r="R190">
            <v>0.64583333333333337</v>
          </cell>
          <cell r="S190">
            <v>45945</v>
          </cell>
        </row>
        <row r="191">
          <cell r="Q191" t="str">
            <v>EMCU8367324</v>
          </cell>
          <cell r="R191">
            <v>0.98611111111111116</v>
          </cell>
          <cell r="S191">
            <v>45945</v>
          </cell>
        </row>
        <row r="192">
          <cell r="Q192" t="str">
            <v>MRSU4261919</v>
          </cell>
          <cell r="S192">
            <v>45945</v>
          </cell>
        </row>
        <row r="193">
          <cell r="Q193" t="str">
            <v>TRHU5301921</v>
          </cell>
          <cell r="R193">
            <v>0.91666666666666663</v>
          </cell>
          <cell r="S193">
            <v>45945</v>
          </cell>
        </row>
        <row r="194">
          <cell r="Q194" t="str">
            <v>CAAU6622016</v>
          </cell>
          <cell r="R194">
            <v>0.47916666666666669</v>
          </cell>
          <cell r="S194">
            <v>45945</v>
          </cell>
        </row>
        <row r="195">
          <cell r="Q195" t="str">
            <v>FFAU5313870</v>
          </cell>
          <cell r="R195">
            <v>0.47222222222222221</v>
          </cell>
          <cell r="S195">
            <v>45945</v>
          </cell>
        </row>
        <row r="196">
          <cell r="Q196" t="str">
            <v>HASU1346490</v>
          </cell>
          <cell r="R196">
            <v>0.10416666666666667</v>
          </cell>
          <cell r="S196">
            <v>45946</v>
          </cell>
        </row>
        <row r="197">
          <cell r="Q197" t="str">
            <v>MRSU5768425</v>
          </cell>
          <cell r="R197">
            <v>0.65277777777777779</v>
          </cell>
          <cell r="S197">
            <v>45945</v>
          </cell>
        </row>
        <row r="198">
          <cell r="Q198" t="str">
            <v>CAAU8611432</v>
          </cell>
          <cell r="S198">
            <v>45945</v>
          </cell>
        </row>
        <row r="199">
          <cell r="Q199" t="str">
            <v>CAAU4700439</v>
          </cell>
          <cell r="S199">
            <v>45945</v>
          </cell>
        </row>
        <row r="200">
          <cell r="Q200" t="str">
            <v>MRSU8677139</v>
          </cell>
          <cell r="S200">
            <v>45945</v>
          </cell>
        </row>
        <row r="201">
          <cell r="Q201" t="str">
            <v>MRSU4529982</v>
          </cell>
          <cell r="S201">
            <v>45945</v>
          </cell>
        </row>
        <row r="202">
          <cell r="Q202" t="str">
            <v>MRSU6447559</v>
          </cell>
          <cell r="R202">
            <v>0.1875</v>
          </cell>
          <cell r="S202">
            <v>45946</v>
          </cell>
        </row>
        <row r="203">
          <cell r="Q203" t="str">
            <v>SUDU1455180</v>
          </cell>
          <cell r="R203">
            <v>0.72916666666666663</v>
          </cell>
          <cell r="S203">
            <v>45945</v>
          </cell>
        </row>
        <row r="204">
          <cell r="Q204" t="str">
            <v>MRSU5574029</v>
          </cell>
          <cell r="S204">
            <v>45945</v>
          </cell>
        </row>
        <row r="205">
          <cell r="Q205" t="str">
            <v>MRSU5827024</v>
          </cell>
          <cell r="S205">
            <v>45945</v>
          </cell>
        </row>
        <row r="206">
          <cell r="Q206" t="str">
            <v>TRHU4939568</v>
          </cell>
          <cell r="R206">
            <v>0.47222222222222221</v>
          </cell>
          <cell r="S206">
            <v>45945</v>
          </cell>
        </row>
        <row r="207">
          <cell r="Q207" t="str">
            <v>TXGU7199905</v>
          </cell>
          <cell r="R207">
            <v>0.63541666666666663</v>
          </cell>
          <cell r="S207">
            <v>45945</v>
          </cell>
        </row>
        <row r="208">
          <cell r="Q208" t="str">
            <v>FDCU0468774</v>
          </cell>
          <cell r="R208">
            <v>0.69444444444444442</v>
          </cell>
          <cell r="S208">
            <v>45945</v>
          </cell>
        </row>
        <row r="209">
          <cell r="Q209" t="str">
            <v>CMAU6391099</v>
          </cell>
          <cell r="R209">
            <v>0</v>
          </cell>
          <cell r="S209">
            <v>45946</v>
          </cell>
        </row>
        <row r="210">
          <cell r="Q210" t="str">
            <v>MRKU4421716</v>
          </cell>
          <cell r="R210">
            <v>0.56944444444444442</v>
          </cell>
          <cell r="S210">
            <v>45945</v>
          </cell>
        </row>
        <row r="211">
          <cell r="Q211" t="str">
            <v>MRSU7865260</v>
          </cell>
          <cell r="R211">
            <v>0.21527777777777779</v>
          </cell>
          <cell r="S211">
            <v>45946</v>
          </cell>
        </row>
        <row r="214">
          <cell r="Q214" t="str">
            <v>MRSU4560910</v>
          </cell>
          <cell r="R214">
            <v>0.375</v>
          </cell>
          <cell r="S214">
            <v>45946</v>
          </cell>
        </row>
        <row r="215">
          <cell r="Q215" t="str">
            <v>HASU4694903</v>
          </cell>
          <cell r="R215">
            <v>0.40972222222222221</v>
          </cell>
          <cell r="S215">
            <v>45946</v>
          </cell>
        </row>
        <row r="216">
          <cell r="Q216" t="str">
            <v>SELU4027361</v>
          </cell>
          <cell r="R216">
            <v>0.48958333333333331</v>
          </cell>
          <cell r="S216">
            <v>45946</v>
          </cell>
        </row>
        <row r="217">
          <cell r="Q217" t="str">
            <v>CAAU8645094</v>
          </cell>
          <cell r="R217">
            <v>0.58333333333333337</v>
          </cell>
          <cell r="S217">
            <v>45946</v>
          </cell>
        </row>
        <row r="218">
          <cell r="Q218" t="str">
            <v>CAAU7233343</v>
          </cell>
          <cell r="R218">
            <v>0.58333333333333337</v>
          </cell>
          <cell r="S218">
            <v>45946</v>
          </cell>
        </row>
        <row r="219">
          <cell r="Q219" t="str">
            <v>MRSU7252839</v>
          </cell>
          <cell r="R219">
            <v>0.68055555555555558</v>
          </cell>
          <cell r="S219">
            <v>45946</v>
          </cell>
        </row>
        <row r="220">
          <cell r="Q220" t="str">
            <v>ECMU4789208</v>
          </cell>
          <cell r="R220">
            <v>0.65972222222222221</v>
          </cell>
          <cell r="S220">
            <v>45946</v>
          </cell>
        </row>
        <row r="221">
          <cell r="Q221" t="str">
            <v>MRSU5356768</v>
          </cell>
          <cell r="R221">
            <v>0.20833333333333334</v>
          </cell>
          <cell r="S221">
            <v>45946</v>
          </cell>
        </row>
        <row r="222">
          <cell r="Q222" t="str">
            <v>GCXU6259500</v>
          </cell>
          <cell r="R222">
            <v>4.1666666666666664E-2</v>
          </cell>
          <cell r="S222">
            <v>45947</v>
          </cell>
        </row>
        <row r="223">
          <cell r="Q223" t="str">
            <v>CAAU8132759</v>
          </cell>
          <cell r="R223">
            <v>0.16666666666666666</v>
          </cell>
          <cell r="S223">
            <v>45946</v>
          </cell>
        </row>
        <row r="224">
          <cell r="Q224" t="str">
            <v>EITU9133184</v>
          </cell>
          <cell r="R224">
            <v>0.35416666666666669</v>
          </cell>
          <cell r="S224">
            <v>45946</v>
          </cell>
        </row>
        <row r="225">
          <cell r="Q225" t="str">
            <v>CAAU6387262</v>
          </cell>
          <cell r="R225">
            <v>0.5</v>
          </cell>
          <cell r="S225">
            <v>45946</v>
          </cell>
        </row>
        <row r="226">
          <cell r="Q226" t="str">
            <v>SELU4375264</v>
          </cell>
          <cell r="R226">
            <v>0.60416666666666663</v>
          </cell>
          <cell r="S226">
            <v>45946</v>
          </cell>
        </row>
        <row r="227">
          <cell r="Q227" t="str">
            <v>EMCU8883700</v>
          </cell>
          <cell r="R227">
            <v>0.61805555555555558</v>
          </cell>
          <cell r="S227">
            <v>45946</v>
          </cell>
        </row>
        <row r="228">
          <cell r="Q228" t="str">
            <v>MRKU4822560</v>
          </cell>
          <cell r="R228">
            <v>0.68055555555555558</v>
          </cell>
          <cell r="S228">
            <v>45946</v>
          </cell>
        </row>
        <row r="229">
          <cell r="Q229" t="str">
            <v>MSKU1258361</v>
          </cell>
          <cell r="R229">
            <v>0.68055555555555558</v>
          </cell>
          <cell r="S229">
            <v>45946</v>
          </cell>
        </row>
        <row r="230">
          <cell r="Q230" t="str">
            <v>MNBU4208866</v>
          </cell>
          <cell r="R230">
            <v>0.3923611111111111</v>
          </cell>
          <cell r="S230">
            <v>45946</v>
          </cell>
        </row>
        <row r="231">
          <cell r="Q231" t="str">
            <v>MRSU7865260</v>
          </cell>
          <cell r="R231">
            <v>0.20833333333333334</v>
          </cell>
          <cell r="S231">
            <v>45946</v>
          </cell>
        </row>
        <row r="232">
          <cell r="Q232" t="str">
            <v>MRKU2261774</v>
          </cell>
          <cell r="R232">
            <v>0.5</v>
          </cell>
          <cell r="S232">
            <v>45946</v>
          </cell>
        </row>
        <row r="233">
          <cell r="Q233" t="str">
            <v>TCKU7050690</v>
          </cell>
          <cell r="R233">
            <v>0.97916666666666663</v>
          </cell>
          <cell r="S233">
            <v>45946</v>
          </cell>
        </row>
        <row r="234">
          <cell r="Q234" t="str">
            <v>TCKU7701256</v>
          </cell>
          <cell r="R234">
            <v>0.99305555555555558</v>
          </cell>
          <cell r="S234">
            <v>45946</v>
          </cell>
        </row>
        <row r="235">
          <cell r="Q235" t="str">
            <v>MRSU7508746</v>
          </cell>
          <cell r="R235">
            <v>0.15625</v>
          </cell>
          <cell r="S235">
            <v>45947</v>
          </cell>
        </row>
        <row r="238">
          <cell r="Q238" t="str">
            <v>TGBU8889348</v>
          </cell>
          <cell r="R238">
            <v>0.25</v>
          </cell>
          <cell r="S238">
            <v>45947</v>
          </cell>
        </row>
        <row r="239">
          <cell r="Q239" t="str">
            <v>CAAU8134181</v>
          </cell>
          <cell r="R239">
            <v>0.45833333333333331</v>
          </cell>
          <cell r="S239">
            <v>45947</v>
          </cell>
        </row>
        <row r="240">
          <cell r="Q240" t="str">
            <v>EGHU9700728</v>
          </cell>
          <cell r="R240">
            <v>0.47916666666666669</v>
          </cell>
          <cell r="S240">
            <v>45947</v>
          </cell>
        </row>
        <row r="241">
          <cell r="Q241" t="str">
            <v>TRHU4537825</v>
          </cell>
          <cell r="R241">
            <v>0.47916666666666669</v>
          </cell>
          <cell r="S241">
            <v>45947</v>
          </cell>
        </row>
        <row r="242">
          <cell r="Q242" t="str">
            <v>TCLU6323185</v>
          </cell>
          <cell r="R242">
            <v>0.67361111111111116</v>
          </cell>
          <cell r="S242">
            <v>45947</v>
          </cell>
        </row>
        <row r="243">
          <cell r="Q243" t="str">
            <v>CAAU6598922</v>
          </cell>
          <cell r="R243">
            <v>0.25</v>
          </cell>
          <cell r="S243">
            <v>45948</v>
          </cell>
        </row>
        <row r="244">
          <cell r="Q244" t="str">
            <v>MRSU4501579</v>
          </cell>
          <cell r="R244">
            <v>0.22222222222222221</v>
          </cell>
          <cell r="S244">
            <v>45948</v>
          </cell>
        </row>
        <row r="245">
          <cell r="Q245" t="str">
            <v>CAAU6545943</v>
          </cell>
          <cell r="R245">
            <v>1</v>
          </cell>
          <cell r="S245">
            <v>45948</v>
          </cell>
        </row>
        <row r="246">
          <cell r="Q246" t="str">
            <v>TCNU4615328</v>
          </cell>
          <cell r="R246">
            <v>0.125</v>
          </cell>
          <cell r="S246">
            <v>45948</v>
          </cell>
        </row>
        <row r="247">
          <cell r="Q247" t="str">
            <v>MRSU7493353</v>
          </cell>
          <cell r="R247">
            <v>0.11805555555555555</v>
          </cell>
          <cell r="S247">
            <v>45947</v>
          </cell>
        </row>
        <row r="248">
          <cell r="Q248" t="str">
            <v>SEKU6726967</v>
          </cell>
          <cell r="R248">
            <v>0.61458333333333337</v>
          </cell>
          <cell r="S248">
            <v>45947</v>
          </cell>
        </row>
        <row r="249">
          <cell r="Q249" t="str">
            <v>TIIU6412720</v>
          </cell>
          <cell r="R249">
            <v>0.125</v>
          </cell>
          <cell r="S249">
            <v>45947</v>
          </cell>
        </row>
        <row r="250">
          <cell r="Q250" t="str">
            <v>GCXU5390347</v>
          </cell>
          <cell r="R250">
            <v>0.3888888888888889</v>
          </cell>
          <cell r="S250">
            <v>45947</v>
          </cell>
        </row>
        <row r="251">
          <cell r="Q251" t="str">
            <v>CAIU5680480</v>
          </cell>
          <cell r="R251">
            <v>0.3888888888888889</v>
          </cell>
          <cell r="S251">
            <v>45947</v>
          </cell>
        </row>
        <row r="252">
          <cell r="Q252" t="str">
            <v>ONEU1232877</v>
          </cell>
          <cell r="R252">
            <v>0.3923611111111111</v>
          </cell>
          <cell r="S252">
            <v>45947</v>
          </cell>
        </row>
        <row r="253">
          <cell r="Q253" t="str">
            <v>HASU4688325</v>
          </cell>
          <cell r="S253">
            <v>45947</v>
          </cell>
        </row>
        <row r="254">
          <cell r="Q254" t="str">
            <v>SUDU6981248</v>
          </cell>
          <cell r="R254">
            <v>0.70833333333333337</v>
          </cell>
          <cell r="S254">
            <v>45947</v>
          </cell>
        </row>
        <row r="255">
          <cell r="Q255" t="str">
            <v>MRKU9811189</v>
          </cell>
          <cell r="S255">
            <v>45947</v>
          </cell>
        </row>
        <row r="256">
          <cell r="Q256" t="str">
            <v>TCLU8237281</v>
          </cell>
          <cell r="R256">
            <v>0.89583333333333337</v>
          </cell>
          <cell r="S256">
            <v>45947</v>
          </cell>
        </row>
        <row r="257">
          <cell r="Q257" t="str">
            <v>SEGU9835308</v>
          </cell>
          <cell r="R257">
            <v>0.92708333333333337</v>
          </cell>
          <cell r="S257">
            <v>45947</v>
          </cell>
        </row>
        <row r="260">
          <cell r="Q260" t="str">
            <v>TTNU8895220</v>
          </cell>
          <cell r="R260">
            <v>0.43055555555555558</v>
          </cell>
          <cell r="S260">
            <v>45948</v>
          </cell>
        </row>
        <row r="261">
          <cell r="Q261" t="str">
            <v>CGMU5666950</v>
          </cell>
          <cell r="R261">
            <v>0.49305555555555558</v>
          </cell>
          <cell r="S261">
            <v>45948</v>
          </cell>
        </row>
        <row r="262">
          <cell r="S262">
            <v>45948</v>
          </cell>
        </row>
        <row r="263">
          <cell r="Q263" t="str">
            <v>OTPU6392445</v>
          </cell>
          <cell r="R263">
            <v>0.51388888888888884</v>
          </cell>
          <cell r="S263">
            <v>45948</v>
          </cell>
        </row>
        <row r="264">
          <cell r="Q264" t="str">
            <v>ONEU9130439</v>
          </cell>
          <cell r="R264">
            <v>0.3888888888888889</v>
          </cell>
          <cell r="S264">
            <v>45948</v>
          </cell>
        </row>
        <row r="265">
          <cell r="Q265" t="str">
            <v>HAMU2685135</v>
          </cell>
          <cell r="R265">
            <v>0.40972222222222221</v>
          </cell>
          <cell r="S265">
            <v>45948</v>
          </cell>
        </row>
        <row r="266">
          <cell r="Q266" t="str">
            <v>BEAU4171312</v>
          </cell>
          <cell r="R266">
            <v>0.625</v>
          </cell>
          <cell r="S266">
            <v>45948</v>
          </cell>
        </row>
        <row r="267">
          <cell r="Q267" t="str">
            <v>CGMU6569390</v>
          </cell>
          <cell r="R267">
            <v>0.40277777777777779</v>
          </cell>
          <cell r="S267">
            <v>45948</v>
          </cell>
        </row>
        <row r="271">
          <cell r="Q271" t="str">
            <v>EGHU8340000</v>
          </cell>
          <cell r="R271">
            <v>0.42708333333333331</v>
          </cell>
          <cell r="S271">
            <v>45950</v>
          </cell>
        </row>
        <row r="272">
          <cell r="Q272" t="str">
            <v>TCKU7692806</v>
          </cell>
          <cell r="R272">
            <v>0.4513888888888889</v>
          </cell>
          <cell r="S272">
            <v>45950</v>
          </cell>
        </row>
        <row r="273">
          <cell r="Q273" t="str">
            <v>HASU4994541</v>
          </cell>
          <cell r="S273">
            <v>45950</v>
          </cell>
        </row>
        <row r="274">
          <cell r="Q274" t="str">
            <v>TLLU5270155</v>
          </cell>
          <cell r="R274">
            <v>0.53680555555555554</v>
          </cell>
          <cell r="S274">
            <v>45950</v>
          </cell>
        </row>
        <row r="275">
          <cell r="Q275" t="str">
            <v>MRSU5955431</v>
          </cell>
          <cell r="R275">
            <v>0.59027777777777779</v>
          </cell>
          <cell r="S275">
            <v>45950</v>
          </cell>
        </row>
        <row r="276">
          <cell r="Q276" t="str">
            <v>SUDU6754692</v>
          </cell>
          <cell r="R276">
            <v>0.65625</v>
          </cell>
          <cell r="S276">
            <v>45950</v>
          </cell>
        </row>
        <row r="277">
          <cell r="Q277" t="str">
            <v>MRSU3688207</v>
          </cell>
          <cell r="R277">
            <v>1.0069444444444444</v>
          </cell>
          <cell r="S277">
            <v>45950</v>
          </cell>
        </row>
        <row r="278">
          <cell r="Q278" t="str">
            <v>TRHU4836195</v>
          </cell>
          <cell r="R278">
            <v>0.88194444444444453</v>
          </cell>
          <cell r="S278">
            <v>45950</v>
          </cell>
        </row>
        <row r="279">
          <cell r="Q279" t="str">
            <v>MRKU5594790</v>
          </cell>
          <cell r="R279">
            <v>8.3333333333333329E-2</v>
          </cell>
          <cell r="S279">
            <v>45951</v>
          </cell>
        </row>
        <row r="280">
          <cell r="Q280" t="str">
            <v>TLLU5354410</v>
          </cell>
          <cell r="R280">
            <v>0.23611111111111113</v>
          </cell>
          <cell r="S280">
            <v>45951</v>
          </cell>
        </row>
        <row r="281">
          <cell r="Q281" t="str">
            <v>MRSU3223468</v>
          </cell>
          <cell r="R281">
            <v>0.39583333333333331</v>
          </cell>
          <cell r="S281">
            <v>45950</v>
          </cell>
        </row>
        <row r="282">
          <cell r="Q282" t="str">
            <v>FFAU7497437</v>
          </cell>
          <cell r="R282">
            <v>0.55555555555555558</v>
          </cell>
          <cell r="S282">
            <v>45950</v>
          </cell>
        </row>
        <row r="283">
          <cell r="Q283" t="str">
            <v>EMCU8349790</v>
          </cell>
          <cell r="R283">
            <v>0.39583333333333331</v>
          </cell>
          <cell r="S283">
            <v>45950</v>
          </cell>
        </row>
        <row r="284">
          <cell r="Q284" t="str">
            <v>UETU6017240</v>
          </cell>
          <cell r="R284">
            <v>0.16666666666666666</v>
          </cell>
          <cell r="S284">
            <v>45951</v>
          </cell>
        </row>
        <row r="285">
          <cell r="Q285" t="str">
            <v>EGSU9436624</v>
          </cell>
          <cell r="R285">
            <v>0.39583333333333331</v>
          </cell>
          <cell r="S285">
            <v>45950</v>
          </cell>
        </row>
        <row r="286">
          <cell r="Q286" t="str">
            <v>EGHU8483870</v>
          </cell>
        </row>
        <row r="287">
          <cell r="Q287" t="str">
            <v>TCNU8108039</v>
          </cell>
          <cell r="R287">
            <v>0.89583333333333337</v>
          </cell>
          <cell r="S287">
            <v>45947</v>
          </cell>
        </row>
        <row r="288">
          <cell r="Q288" t="str">
            <v>MRKU2410292</v>
          </cell>
          <cell r="R288">
            <v>0.15277777777777779</v>
          </cell>
          <cell r="S288">
            <v>45948</v>
          </cell>
        </row>
        <row r="289">
          <cell r="Q289" t="str">
            <v>SELU4179791</v>
          </cell>
          <cell r="R289">
            <v>0.47916666666666669</v>
          </cell>
          <cell r="S289">
            <v>45950</v>
          </cell>
        </row>
        <row r="290">
          <cell r="Q290" t="str">
            <v>EMCU8414339</v>
          </cell>
          <cell r="R290">
            <v>0.125</v>
          </cell>
          <cell r="S290">
            <v>45948</v>
          </cell>
        </row>
        <row r="291">
          <cell r="Q291" t="str">
            <v>MRSU5399902</v>
          </cell>
          <cell r="R291">
            <v>0.65625</v>
          </cell>
          <cell r="S291">
            <v>45950</v>
          </cell>
        </row>
        <row r="292">
          <cell r="Q292" t="str">
            <v>MRSU3647635</v>
          </cell>
          <cell r="R292">
            <v>0.39583333333333331</v>
          </cell>
          <cell r="S292">
            <v>45950</v>
          </cell>
        </row>
        <row r="293">
          <cell r="Q293" t="str">
            <v>MRSU4558893</v>
          </cell>
          <cell r="R293">
            <v>0.44097222222222221</v>
          </cell>
          <cell r="S293">
            <v>45950</v>
          </cell>
        </row>
        <row r="294">
          <cell r="Q294" t="str">
            <v>ONEU9416280</v>
          </cell>
          <cell r="R294">
            <v>0.9375</v>
          </cell>
          <cell r="S294">
            <v>45950</v>
          </cell>
        </row>
        <row r="295">
          <cell r="Q295" t="str">
            <v>MRSU6440174</v>
          </cell>
          <cell r="R295">
            <v>1</v>
          </cell>
          <cell r="S295">
            <v>45950</v>
          </cell>
        </row>
        <row r="296">
          <cell r="Q296" t="str">
            <v>OTPU6311248</v>
          </cell>
          <cell r="R296">
            <v>6.9444444444444434E-2</v>
          </cell>
          <cell r="S296">
            <v>45951</v>
          </cell>
        </row>
        <row r="298">
          <cell r="Q298" t="str">
            <v>FSCU5740267</v>
          </cell>
          <cell r="R298">
            <v>1.0138888888888888</v>
          </cell>
          <cell r="S298">
            <v>45950</v>
          </cell>
        </row>
        <row r="299">
          <cell r="Q299" t="str">
            <v>SUDU5961400</v>
          </cell>
          <cell r="R299">
            <v>0.125</v>
          </cell>
          <cell r="S299">
            <v>45951</v>
          </cell>
        </row>
        <row r="300">
          <cell r="Q300" t="str">
            <v>EMCU1511532</v>
          </cell>
          <cell r="R300">
            <v>0.3611111111111111</v>
          </cell>
          <cell r="S300">
            <v>45951</v>
          </cell>
        </row>
        <row r="301">
          <cell r="Q301" t="str">
            <v>TCLU1594570</v>
          </cell>
          <cell r="R301">
            <v>0.375</v>
          </cell>
          <cell r="S301">
            <v>45951</v>
          </cell>
        </row>
        <row r="302">
          <cell r="Q302" t="str">
            <v>TCNU3030920</v>
          </cell>
          <cell r="R302">
            <v>0.69444444444444442</v>
          </cell>
          <cell r="S302">
            <v>45951</v>
          </cell>
        </row>
        <row r="303">
          <cell r="Q303" t="str">
            <v>CAAU6530218</v>
          </cell>
          <cell r="R303">
            <v>0.44444444444444442</v>
          </cell>
          <cell r="S303">
            <v>45951</v>
          </cell>
        </row>
        <row r="304">
          <cell r="Q304" t="str">
            <v>MRKU4942592</v>
          </cell>
          <cell r="R304">
            <v>0.375</v>
          </cell>
          <cell r="S304">
            <v>45951</v>
          </cell>
        </row>
        <row r="305">
          <cell r="Q305" t="str">
            <v>BEAU6385442</v>
          </cell>
          <cell r="R305">
            <v>0.4236111111111111</v>
          </cell>
          <cell r="S305">
            <v>45951</v>
          </cell>
        </row>
        <row r="306">
          <cell r="Q306" t="str">
            <v>MRSU4902648</v>
          </cell>
          <cell r="R306">
            <v>0.59027777777777779</v>
          </cell>
          <cell r="S306">
            <v>45951</v>
          </cell>
        </row>
        <row r="307">
          <cell r="Q307" t="str">
            <v>TCNU1499158</v>
          </cell>
          <cell r="R307">
            <v>0.61805555555555558</v>
          </cell>
          <cell r="S307">
            <v>45951</v>
          </cell>
        </row>
        <row r="308">
          <cell r="Q308" t="str">
            <v>MRKU4590594</v>
          </cell>
          <cell r="R308">
            <v>0.71875</v>
          </cell>
          <cell r="S308">
            <v>45951</v>
          </cell>
        </row>
        <row r="309">
          <cell r="Q309" t="str">
            <v>TIIU5908470</v>
          </cell>
          <cell r="S309">
            <v>45951</v>
          </cell>
        </row>
        <row r="310">
          <cell r="Q310" t="str">
            <v>MRSU5546428</v>
          </cell>
          <cell r="R310">
            <v>0.60763888888888884</v>
          </cell>
          <cell r="S310">
            <v>45951</v>
          </cell>
        </row>
        <row r="311">
          <cell r="Q311" t="str">
            <v>TIIU4728513</v>
          </cell>
          <cell r="S311">
            <v>45951</v>
          </cell>
        </row>
        <row r="312">
          <cell r="Q312" t="str">
            <v>MRSU7688890</v>
          </cell>
          <cell r="S312">
            <v>45951</v>
          </cell>
        </row>
        <row r="313">
          <cell r="Q313" t="str">
            <v>MRSU5665453</v>
          </cell>
          <cell r="R313">
            <v>0.6875</v>
          </cell>
          <cell r="S313">
            <v>45951</v>
          </cell>
        </row>
        <row r="314">
          <cell r="Q314" t="str">
            <v>UETU8152845</v>
          </cell>
          <cell r="S314">
            <v>45951</v>
          </cell>
        </row>
        <row r="315">
          <cell r="Q315" t="str">
            <v>SEGU9894553</v>
          </cell>
          <cell r="R315">
            <v>0.4513888888888889</v>
          </cell>
          <cell r="S315">
            <v>45951</v>
          </cell>
        </row>
        <row r="316">
          <cell r="Q316" t="str">
            <v>CGMU6570615</v>
          </cell>
          <cell r="R316">
            <v>0.47916666666666669</v>
          </cell>
          <cell r="S316">
            <v>45951</v>
          </cell>
        </row>
        <row r="317">
          <cell r="Q317" t="str">
            <v>EMCU8275188</v>
          </cell>
          <cell r="R317">
            <v>0.93055555555555547</v>
          </cell>
          <cell r="S317">
            <v>45951</v>
          </cell>
        </row>
        <row r="318">
          <cell r="Q318" t="str">
            <v>ONEU9071824</v>
          </cell>
          <cell r="R318">
            <v>0.65625</v>
          </cell>
          <cell r="S318">
            <v>45951</v>
          </cell>
        </row>
        <row r="319">
          <cell r="Q319" t="str">
            <v xml:space="preserve">SELU4345085 </v>
          </cell>
          <cell r="R319">
            <v>0.40972222222222221</v>
          </cell>
          <cell r="S319">
            <v>45951</v>
          </cell>
        </row>
        <row r="320">
          <cell r="Q320" t="str">
            <v>CGMU5112515</v>
          </cell>
          <cell r="R320">
            <v>0.70833333333333337</v>
          </cell>
          <cell r="S320">
            <v>45951</v>
          </cell>
        </row>
        <row r="321">
          <cell r="Q321" t="str">
            <v>ONEU9404503</v>
          </cell>
          <cell r="R321">
            <v>0.43055555555555558</v>
          </cell>
          <cell r="S321">
            <v>45951</v>
          </cell>
        </row>
        <row r="322">
          <cell r="Q322" t="str">
            <v>TCKU7425625</v>
          </cell>
          <cell r="R322">
            <v>0.92361111111111116</v>
          </cell>
          <cell r="S322">
            <v>45951</v>
          </cell>
        </row>
        <row r="323">
          <cell r="Q323" t="str">
            <v>CAAU6569797</v>
          </cell>
          <cell r="R323">
            <v>0.95833333333333337</v>
          </cell>
          <cell r="S323">
            <v>45951</v>
          </cell>
        </row>
        <row r="324">
          <cell r="Q324" t="str">
            <v>ONEU9340158</v>
          </cell>
          <cell r="R324">
            <v>0.16666666666666666</v>
          </cell>
          <cell r="S324">
            <v>45952</v>
          </cell>
        </row>
        <row r="326">
          <cell r="Q326" t="str">
            <v>EMCU82833413</v>
          </cell>
          <cell r="R326">
            <v>0.41666666666666669</v>
          </cell>
          <cell r="S326">
            <v>45952</v>
          </cell>
        </row>
        <row r="327">
          <cell r="Q327" t="str">
            <v>EGSU1587326</v>
          </cell>
          <cell r="R327">
            <v>0.25</v>
          </cell>
          <cell r="S327">
            <v>45952</v>
          </cell>
        </row>
        <row r="328">
          <cell r="Q328" t="str">
            <v>MRSU5153375</v>
          </cell>
          <cell r="R328">
            <v>0.45833333333333331</v>
          </cell>
          <cell r="S328">
            <v>45952</v>
          </cell>
        </row>
        <row r="329">
          <cell r="Q329" t="str">
            <v>CAAU8562338</v>
          </cell>
          <cell r="R329">
            <v>0.53472222222222221</v>
          </cell>
          <cell r="S329">
            <v>45952</v>
          </cell>
        </row>
        <row r="330">
          <cell r="Q330" t="str">
            <v>CAAU7070014</v>
          </cell>
          <cell r="R330">
            <v>0.65972222222222221</v>
          </cell>
          <cell r="S330">
            <v>45952</v>
          </cell>
        </row>
        <row r="331">
          <cell r="Q331" t="str">
            <v>TIIU4876763</v>
          </cell>
          <cell r="R331">
            <v>0.67361111111111116</v>
          </cell>
          <cell r="S331">
            <v>45952</v>
          </cell>
        </row>
        <row r="332">
          <cell r="Q332" t="str">
            <v>MRSU7733900</v>
          </cell>
          <cell r="S332">
            <v>45952</v>
          </cell>
        </row>
        <row r="333">
          <cell r="Q333" t="str">
            <v>CAAU9782580</v>
          </cell>
          <cell r="S333">
            <v>45952</v>
          </cell>
        </row>
        <row r="334">
          <cell r="Q334" t="str">
            <v>SELU4072822</v>
          </cell>
          <cell r="S334">
            <v>45952</v>
          </cell>
        </row>
        <row r="335">
          <cell r="Q335" t="str">
            <v>GAOU7673750</v>
          </cell>
          <cell r="S335">
            <v>45952</v>
          </cell>
        </row>
        <row r="336">
          <cell r="Q336" t="str">
            <v>TIIU4708728</v>
          </cell>
          <cell r="S336">
            <v>45952</v>
          </cell>
        </row>
        <row r="337">
          <cell r="Q337" t="str">
            <v>UETU8513439</v>
          </cell>
          <cell r="S337">
            <v>45952</v>
          </cell>
        </row>
        <row r="338">
          <cell r="Q338" t="str">
            <v>MRSU7338784</v>
          </cell>
          <cell r="R338">
            <v>0.27083333333333331</v>
          </cell>
          <cell r="S338">
            <v>45952</v>
          </cell>
        </row>
        <row r="339">
          <cell r="Q339" t="str">
            <v>CAAU4508318</v>
          </cell>
          <cell r="R339">
            <v>0.89583333333333337</v>
          </cell>
          <cell r="S339">
            <v>45951</v>
          </cell>
        </row>
        <row r="340">
          <cell r="Q340" t="str">
            <v>TCNU3953207</v>
          </cell>
          <cell r="R340">
            <v>0.89583333333333337</v>
          </cell>
          <cell r="S340">
            <v>45951</v>
          </cell>
        </row>
        <row r="341">
          <cell r="Q341" t="str">
            <v>HAMU2421699</v>
          </cell>
          <cell r="R341">
            <v>0.64583333333333337</v>
          </cell>
          <cell r="S341">
            <v>45952</v>
          </cell>
        </row>
        <row r="342">
          <cell r="Q342" t="str">
            <v>MRKU2434289</v>
          </cell>
          <cell r="R342">
            <v>0.5</v>
          </cell>
          <cell r="S342">
            <v>45952</v>
          </cell>
        </row>
        <row r="343">
          <cell r="Q343" t="str">
            <v>TCLU4941733</v>
          </cell>
          <cell r="R343">
            <v>0.64583333333333337</v>
          </cell>
          <cell r="S343">
            <v>45952</v>
          </cell>
        </row>
        <row r="344">
          <cell r="Q344" t="str">
            <v>HAMU2567240</v>
          </cell>
          <cell r="R344">
            <v>0.91666666666666663</v>
          </cell>
          <cell r="S344">
            <v>45952</v>
          </cell>
        </row>
        <row r="345">
          <cell r="Q345" t="str">
            <v>CMAU3537981</v>
          </cell>
          <cell r="R345">
            <v>0.95833333333333337</v>
          </cell>
          <cell r="S345">
            <v>45952</v>
          </cell>
        </row>
        <row r="346">
          <cell r="Q346" t="str">
            <v>BEAU6270865</v>
          </cell>
          <cell r="S346">
            <v>45952</v>
          </cell>
        </row>
        <row r="347">
          <cell r="Q347" t="str">
            <v>MNBU3563969</v>
          </cell>
          <cell r="S347">
            <v>45952</v>
          </cell>
        </row>
        <row r="348">
          <cell r="Q348" t="str">
            <v>MRSU8191363</v>
          </cell>
          <cell r="S348">
            <v>45952</v>
          </cell>
        </row>
        <row r="349">
          <cell r="Q349" t="str">
            <v>FSCU5922045</v>
          </cell>
          <cell r="R349">
            <v>0.55555555555555558</v>
          </cell>
          <cell r="S349">
            <v>45952</v>
          </cell>
        </row>
        <row r="350">
          <cell r="Q350" t="str">
            <v>HAMU4083733</v>
          </cell>
          <cell r="R350">
            <v>0.91666666666666663</v>
          </cell>
          <cell r="S350">
            <v>45952</v>
          </cell>
        </row>
        <row r="351">
          <cell r="Q351" t="str">
            <v>FSCU7175735</v>
          </cell>
          <cell r="R351">
            <v>0.94444444444444453</v>
          </cell>
          <cell r="S351">
            <v>45952</v>
          </cell>
        </row>
        <row r="352">
          <cell r="Q352" t="str">
            <v>TCNU5536115</v>
          </cell>
          <cell r="R352">
            <v>0.97916666666666663</v>
          </cell>
          <cell r="S352">
            <v>45952</v>
          </cell>
        </row>
        <row r="353">
          <cell r="Q353" t="str">
            <v>PCIU8682735</v>
          </cell>
          <cell r="R353">
            <v>1.0208333333333333</v>
          </cell>
          <cell r="S353">
            <v>45952</v>
          </cell>
        </row>
        <row r="354">
          <cell r="Q354" t="str">
            <v>GAOU6472978</v>
          </cell>
          <cell r="R354">
            <v>0.58333333333333337</v>
          </cell>
          <cell r="S354" t="str">
            <v>23/10/2025</v>
          </cell>
        </row>
        <row r="355">
          <cell r="Q355" t="str">
            <v>TLLU4754509</v>
          </cell>
          <cell r="S355" t="str">
            <v>23/10/2025</v>
          </cell>
        </row>
        <row r="356">
          <cell r="Q356" t="str">
            <v>UACU5696060</v>
          </cell>
          <cell r="R356">
            <v>0.3611111111111111</v>
          </cell>
          <cell r="S356" t="str">
            <v>23/10/2025</v>
          </cell>
        </row>
        <row r="357">
          <cell r="Q357" t="str">
            <v>UETU6398383</v>
          </cell>
          <cell r="R357">
            <v>0.58333333333333337</v>
          </cell>
          <cell r="S357" t="str">
            <v>23/10/2025</v>
          </cell>
        </row>
        <row r="358">
          <cell r="Q358" t="str">
            <v>CAAU7233153</v>
          </cell>
          <cell r="R358">
            <v>8.3333333333333329E-2</v>
          </cell>
          <cell r="S358" t="str">
            <v>23/10/2025</v>
          </cell>
        </row>
        <row r="359">
          <cell r="Q359" t="str">
            <v>MRSU6341607</v>
          </cell>
          <cell r="R359">
            <v>0.25</v>
          </cell>
          <cell r="S359" t="str">
            <v>23/10/2025</v>
          </cell>
        </row>
        <row r="360">
          <cell r="Q360" t="str">
            <v>GAOU7532855</v>
          </cell>
          <cell r="R360">
            <v>0.16666666666666666</v>
          </cell>
          <cell r="S360" t="str">
            <v>23/10/2025</v>
          </cell>
        </row>
        <row r="361">
          <cell r="Q361" t="str">
            <v>CAAU9313962</v>
          </cell>
          <cell r="R361">
            <v>0.56944444444444442</v>
          </cell>
          <cell r="S361" t="str">
            <v>23/10/2025</v>
          </cell>
        </row>
        <row r="362">
          <cell r="Q362" t="str">
            <v>MRSU5703255</v>
          </cell>
          <cell r="R362">
            <v>0.67361111111111116</v>
          </cell>
          <cell r="S362" t="str">
            <v>23/10/2025</v>
          </cell>
        </row>
        <row r="363">
          <cell r="Q363" t="str">
            <v>MRSU5471566</v>
          </cell>
          <cell r="R363">
            <v>0.46527777777777779</v>
          </cell>
          <cell r="S363" t="str">
            <v>23/10/2025</v>
          </cell>
        </row>
        <row r="364">
          <cell r="Q364" t="str">
            <v>TLLU6896415</v>
          </cell>
          <cell r="R364">
            <v>1.0069444444444444</v>
          </cell>
          <cell r="S364" t="str">
            <v>23/10/2025</v>
          </cell>
        </row>
        <row r="365">
          <cell r="Q365" t="str">
            <v>TCNU2563349</v>
          </cell>
          <cell r="R365">
            <v>0.92013888888888884</v>
          </cell>
          <cell r="S365" t="str">
            <v>23/10/2025</v>
          </cell>
        </row>
        <row r="366">
          <cell r="Q366" t="str">
            <v>GCXU5700062</v>
          </cell>
          <cell r="R366">
            <v>0.9375</v>
          </cell>
          <cell r="S366" t="str">
            <v>23/10/2025</v>
          </cell>
        </row>
        <row r="367">
          <cell r="Q367" t="str">
            <v>MRSU3897130</v>
          </cell>
          <cell r="R367">
            <v>0.15972222222222224</v>
          </cell>
          <cell r="S367" t="str">
            <v>24/10/2025</v>
          </cell>
        </row>
        <row r="368">
          <cell r="Q368" t="str">
            <v>MRSU3846703</v>
          </cell>
          <cell r="R368">
            <v>9.7222222222222224E-2</v>
          </cell>
          <cell r="S368" t="str">
            <v>24/10/2025</v>
          </cell>
        </row>
        <row r="369">
          <cell r="Q369" t="str">
            <v>HASU4848212</v>
          </cell>
          <cell r="R369">
            <v>0.39930555555555558</v>
          </cell>
          <cell r="S369" t="str">
            <v>23/10/2025</v>
          </cell>
        </row>
        <row r="370">
          <cell r="Q370" t="str">
            <v>TCKU7626358</v>
          </cell>
          <cell r="R370">
            <v>0.22916666666666666</v>
          </cell>
          <cell r="S370" t="str">
            <v>24/10/2025</v>
          </cell>
        </row>
        <row r="371">
          <cell r="Q371" t="str">
            <v>CMAU3771238</v>
          </cell>
          <cell r="R371">
            <v>0.92361111111111116</v>
          </cell>
          <cell r="S371" t="str">
            <v>23/10/2025</v>
          </cell>
        </row>
        <row r="372">
          <cell r="Q372" t="str">
            <v>FFAU7172494</v>
          </cell>
          <cell r="R372">
            <v>0.6875</v>
          </cell>
          <cell r="S372" t="str">
            <v>23/10/2025</v>
          </cell>
        </row>
        <row r="373">
          <cell r="Q373" t="str">
            <v>MRKU5803230</v>
          </cell>
          <cell r="R373">
            <v>0.41666666666666669</v>
          </cell>
          <cell r="S373" t="str">
            <v>23/10/2025</v>
          </cell>
        </row>
        <row r="374">
          <cell r="Q374" t="str">
            <v>TCNU2733379</v>
          </cell>
          <cell r="R374">
            <v>0.39583333333333331</v>
          </cell>
          <cell r="S374" t="str">
            <v>23/10/2025</v>
          </cell>
        </row>
        <row r="375">
          <cell r="Q375" t="str">
            <v>DRYU6057840</v>
          </cell>
          <cell r="R375">
            <v>0.54166666666666663</v>
          </cell>
          <cell r="S375" t="str">
            <v>23/10/2025</v>
          </cell>
        </row>
        <row r="376">
          <cell r="Q376" t="str">
            <v>NYKU4736880</v>
          </cell>
          <cell r="R376">
            <v>0.5625</v>
          </cell>
          <cell r="S376" t="str">
            <v>23/10/2025</v>
          </cell>
        </row>
        <row r="377">
          <cell r="Q377" t="str">
            <v>CGMU6560704</v>
          </cell>
          <cell r="R377">
            <v>0.58333333333333337</v>
          </cell>
          <cell r="S377" t="str">
            <v>23/10/2025</v>
          </cell>
        </row>
        <row r="378">
          <cell r="Q378" t="str">
            <v>MRSU3477919</v>
          </cell>
          <cell r="R378">
            <v>0.69791666666666663</v>
          </cell>
          <cell r="S378" t="str">
            <v>23/10/2025</v>
          </cell>
        </row>
        <row r="379">
          <cell r="Q379" t="str">
            <v>FSCU7245998</v>
          </cell>
          <cell r="R379">
            <v>0.9375</v>
          </cell>
          <cell r="S379" t="str">
            <v>23/10/2025</v>
          </cell>
        </row>
        <row r="380">
          <cell r="Q380" t="str">
            <v>TCLU4896315</v>
          </cell>
          <cell r="R380">
            <v>0.94444444444444453</v>
          </cell>
          <cell r="S380" t="str">
            <v>23/10/2025</v>
          </cell>
        </row>
        <row r="381">
          <cell r="Q381" t="str">
            <v>MRKU7549320</v>
          </cell>
          <cell r="R381">
            <v>0.97916666666666663</v>
          </cell>
          <cell r="S381" t="str">
            <v>23/10/2025</v>
          </cell>
        </row>
        <row r="382">
          <cell r="Q382" t="str">
            <v>MRSU5450877</v>
          </cell>
        </row>
        <row r="383">
          <cell r="Q383" t="str">
            <v>MRSU5122266</v>
          </cell>
          <cell r="R383">
            <v>0.20833333333333334</v>
          </cell>
          <cell r="S383" t="str">
            <v>24/10/2025</v>
          </cell>
        </row>
        <row r="384">
          <cell r="Q384" t="str">
            <v>MRKU5877423</v>
          </cell>
          <cell r="R384">
            <v>0.46527777777777779</v>
          </cell>
          <cell r="S384">
            <v>45954</v>
          </cell>
        </row>
        <row r="385">
          <cell r="Q385" t="str">
            <v>MRSU4925432</v>
          </cell>
          <cell r="S385">
            <v>45954</v>
          </cell>
        </row>
        <row r="386">
          <cell r="Q386" t="str">
            <v>SUDU6969480</v>
          </cell>
          <cell r="R386">
            <v>0.54166666666666663</v>
          </cell>
          <cell r="S386">
            <v>45954</v>
          </cell>
        </row>
        <row r="387">
          <cell r="Q387" t="str">
            <v>TLLU5921220</v>
          </cell>
          <cell r="R387">
            <v>0.61111111111111116</v>
          </cell>
          <cell r="S387">
            <v>45954</v>
          </cell>
        </row>
        <row r="388">
          <cell r="Q388" t="str">
            <v>TCNU1341901</v>
          </cell>
          <cell r="R388">
            <v>0.97222222222222221</v>
          </cell>
          <cell r="S388">
            <v>45954</v>
          </cell>
        </row>
        <row r="389">
          <cell r="Q389" t="str">
            <v>EGSU9916449</v>
          </cell>
          <cell r="R389">
            <v>0.98611111111111116</v>
          </cell>
          <cell r="S389">
            <v>45954</v>
          </cell>
        </row>
        <row r="390">
          <cell r="Q390" t="str">
            <v>MRSU4723703</v>
          </cell>
          <cell r="R390">
            <v>0.125</v>
          </cell>
          <cell r="S390">
            <v>45955</v>
          </cell>
        </row>
        <row r="391">
          <cell r="Q391" t="str">
            <v>TRHU5018974</v>
          </cell>
          <cell r="R391">
            <v>0.94444444444444453</v>
          </cell>
          <cell r="S391">
            <v>45954</v>
          </cell>
        </row>
        <row r="392">
          <cell r="Q392" t="str">
            <v>MRSU4042335</v>
          </cell>
          <cell r="R392">
            <v>0.11805555555555555</v>
          </cell>
          <cell r="S392">
            <v>45955</v>
          </cell>
        </row>
        <row r="393">
          <cell r="Q393" t="str">
            <v>TXGU7809248</v>
          </cell>
          <cell r="R393">
            <v>0.375</v>
          </cell>
          <cell r="S393">
            <v>45954</v>
          </cell>
        </row>
        <row r="394">
          <cell r="Q394" t="str">
            <v>TIIU5741335</v>
          </cell>
          <cell r="R394">
            <v>0.5625</v>
          </cell>
          <cell r="S394">
            <v>45954</v>
          </cell>
        </row>
        <row r="395">
          <cell r="Q395" t="str">
            <v>CAAU9309561</v>
          </cell>
          <cell r="R395">
            <v>0.65277777777777779</v>
          </cell>
          <cell r="S395">
            <v>45954</v>
          </cell>
        </row>
        <row r="396">
          <cell r="Q396" t="str">
            <v>TRHU8412750</v>
          </cell>
          <cell r="R396">
            <v>0.66319444444444442</v>
          </cell>
          <cell r="S396">
            <v>45954</v>
          </cell>
        </row>
        <row r="397">
          <cell r="Q397" t="str">
            <v>ECMU7049020</v>
          </cell>
          <cell r="R397">
            <v>0.65972222222222221</v>
          </cell>
          <cell r="S397">
            <v>45954</v>
          </cell>
        </row>
        <row r="398">
          <cell r="Q398" t="str">
            <v>IKSU4002605</v>
          </cell>
          <cell r="R398">
            <v>0.4375</v>
          </cell>
          <cell r="S398">
            <v>45954</v>
          </cell>
        </row>
        <row r="399">
          <cell r="Q399" t="str">
            <v>TCKU7597990</v>
          </cell>
          <cell r="R399">
            <v>0.69444444444444442</v>
          </cell>
          <cell r="S399">
            <v>45954</v>
          </cell>
        </row>
        <row r="400">
          <cell r="Q400" t="str">
            <v>MRSU4596445</v>
          </cell>
          <cell r="R400">
            <v>0.20833333333333334</v>
          </cell>
          <cell r="S400">
            <v>45955</v>
          </cell>
        </row>
        <row r="401">
          <cell r="Q401" t="str">
            <v>TRHU4980176</v>
          </cell>
          <cell r="R401">
            <v>0.47916666666666669</v>
          </cell>
          <cell r="S401">
            <v>45955</v>
          </cell>
        </row>
        <row r="402">
          <cell r="Q402" t="str">
            <v>MRSU5520125</v>
          </cell>
          <cell r="R402">
            <v>0.68055555555555547</v>
          </cell>
          <cell r="S402">
            <v>45955</v>
          </cell>
        </row>
        <row r="403">
          <cell r="Q403" t="str">
            <v>MRKU3206067</v>
          </cell>
          <cell r="R403">
            <v>0.625</v>
          </cell>
          <cell r="S403">
            <v>45955</v>
          </cell>
        </row>
        <row r="404">
          <cell r="Q404" t="str">
            <v>TRHU8414325</v>
          </cell>
          <cell r="R404">
            <v>0.56944444444444442</v>
          </cell>
          <cell r="S404">
            <v>45955</v>
          </cell>
        </row>
        <row r="405">
          <cell r="Q405" t="str">
            <v>EMCU8252011</v>
          </cell>
          <cell r="R405">
            <v>0.47916666666666669</v>
          </cell>
          <cell r="S405">
            <v>45955</v>
          </cell>
        </row>
        <row r="406">
          <cell r="Q406" t="str">
            <v>TRHU7233750</v>
          </cell>
          <cell r="R406">
            <v>0.9375</v>
          </cell>
          <cell r="S406">
            <v>45955</v>
          </cell>
        </row>
        <row r="407">
          <cell r="Q407" t="str">
            <v>MRSU4301903</v>
          </cell>
          <cell r="R407">
            <v>0.73611111111111116</v>
          </cell>
          <cell r="S407">
            <v>45955</v>
          </cell>
        </row>
        <row r="408">
          <cell r="Q408" t="str">
            <v>MRSU3476039</v>
          </cell>
          <cell r="R408">
            <v>0.40625</v>
          </cell>
          <cell r="S408">
            <v>45955</v>
          </cell>
        </row>
        <row r="409">
          <cell r="Q409" t="str">
            <v>BSIU8032531</v>
          </cell>
          <cell r="R409">
            <v>0.40625</v>
          </cell>
          <cell r="S409">
            <v>45955</v>
          </cell>
        </row>
        <row r="410">
          <cell r="Q410" t="str">
            <v>MRSU4928025</v>
          </cell>
          <cell r="R410">
            <v>0.48958333333333331</v>
          </cell>
          <cell r="S410">
            <v>45955</v>
          </cell>
        </row>
        <row r="411">
          <cell r="Q411" t="str">
            <v>TRHU4894210</v>
          </cell>
          <cell r="R411">
            <v>0.40972222222222221</v>
          </cell>
          <cell r="S411">
            <v>45957</v>
          </cell>
        </row>
        <row r="412">
          <cell r="Q412" t="str">
            <v>FCIU7611927</v>
          </cell>
          <cell r="R412">
            <v>0.39930555555555558</v>
          </cell>
          <cell r="S412">
            <v>45957</v>
          </cell>
        </row>
        <row r="413">
          <cell r="Q413" t="str">
            <v>EMCU8462717</v>
          </cell>
          <cell r="R413">
            <v>0.64930555555555558</v>
          </cell>
          <cell r="S413">
            <v>45957</v>
          </cell>
        </row>
        <row r="414">
          <cell r="Q414" t="str">
            <v>SNBU8306104</v>
          </cell>
          <cell r="R414">
            <v>0.65625</v>
          </cell>
          <cell r="S414">
            <v>45957</v>
          </cell>
        </row>
        <row r="415">
          <cell r="Q415" t="str">
            <v>EITU9147151</v>
          </cell>
          <cell r="R415">
            <v>0.70833333333333337</v>
          </cell>
          <cell r="S415">
            <v>45957</v>
          </cell>
        </row>
        <row r="416">
          <cell r="Q416" t="str">
            <v>TIIU4513475</v>
          </cell>
          <cell r="R416">
            <v>3.4722222222222224E-2</v>
          </cell>
          <cell r="S416">
            <v>45958</v>
          </cell>
        </row>
        <row r="417">
          <cell r="Q417" t="str">
            <v>UETU5869534</v>
          </cell>
          <cell r="R417">
            <v>0.10416666666666667</v>
          </cell>
          <cell r="S417">
            <v>45958</v>
          </cell>
        </row>
        <row r="418">
          <cell r="Q418" t="str">
            <v>FSCU5903528</v>
          </cell>
          <cell r="R418">
            <v>0.65625</v>
          </cell>
          <cell r="S418">
            <v>45957</v>
          </cell>
        </row>
        <row r="419">
          <cell r="Q419" t="str">
            <v>EMCU8925560</v>
          </cell>
          <cell r="R419">
            <v>0.57638888888888884</v>
          </cell>
          <cell r="S419">
            <v>45957</v>
          </cell>
        </row>
        <row r="420">
          <cell r="Q420" t="str">
            <v>TLLU1127254</v>
          </cell>
          <cell r="R420">
            <v>0.63888888888888884</v>
          </cell>
          <cell r="S420">
            <v>45957</v>
          </cell>
        </row>
        <row r="421">
          <cell r="Q421" t="str">
            <v>KKFU6785603</v>
          </cell>
          <cell r="R421">
            <v>0.64583333333333337</v>
          </cell>
          <cell r="S421">
            <v>45957</v>
          </cell>
        </row>
        <row r="422">
          <cell r="Q422" t="str">
            <v>OTPU6045169</v>
          </cell>
          <cell r="R422">
            <v>0.44444444444444442</v>
          </cell>
          <cell r="S422">
            <v>45957</v>
          </cell>
        </row>
        <row r="423">
          <cell r="Q423" t="str">
            <v>BMOU6400794</v>
          </cell>
          <cell r="R423">
            <v>0.46527777777777779</v>
          </cell>
          <cell r="S423">
            <v>45957</v>
          </cell>
        </row>
        <row r="424">
          <cell r="Q424" t="str">
            <v>CAAU4012040</v>
          </cell>
          <cell r="R424">
            <v>0.55902777777777779</v>
          </cell>
          <cell r="S424">
            <v>45957</v>
          </cell>
        </row>
        <row r="425">
          <cell r="Q425" t="str">
            <v>SZLU9713556</v>
          </cell>
          <cell r="R425">
            <v>0.3888888888888889</v>
          </cell>
          <cell r="S425">
            <v>45957</v>
          </cell>
        </row>
        <row r="426">
          <cell r="Q426" t="str">
            <v>TCKU6527068</v>
          </cell>
          <cell r="R426">
            <v>0.3888888888888889</v>
          </cell>
          <cell r="S426">
            <v>45957</v>
          </cell>
        </row>
        <row r="427">
          <cell r="Q427" t="str">
            <v>TGBU6941072</v>
          </cell>
          <cell r="R427">
            <v>1.0069444444444444</v>
          </cell>
          <cell r="S427">
            <v>45957</v>
          </cell>
        </row>
        <row r="428">
          <cell r="Q428" t="str">
            <v>SEGU9254140</v>
          </cell>
          <cell r="R428">
            <v>0.54861111111111116</v>
          </cell>
          <cell r="S428">
            <v>45957</v>
          </cell>
        </row>
        <row r="429">
          <cell r="Q429" t="str">
            <v>SZLU9556821</v>
          </cell>
          <cell r="R429">
            <v>0.5625</v>
          </cell>
          <cell r="S429">
            <v>45957</v>
          </cell>
        </row>
        <row r="430">
          <cell r="Q430" t="str">
            <v>SEGU9060205</v>
          </cell>
          <cell r="R430">
            <v>0.56944444444444442</v>
          </cell>
          <cell r="S430">
            <v>45957</v>
          </cell>
        </row>
        <row r="431">
          <cell r="Q431" t="str">
            <v>MRSU6426704</v>
          </cell>
          <cell r="R431">
            <v>0.44444444444444442</v>
          </cell>
          <cell r="S431">
            <v>45957</v>
          </cell>
        </row>
        <row r="432">
          <cell r="Q432" t="str">
            <v>ONEU9058859</v>
          </cell>
          <cell r="R432">
            <v>0.69444444444444442</v>
          </cell>
          <cell r="S432">
            <v>45957</v>
          </cell>
        </row>
        <row r="433">
          <cell r="Q433" t="str">
            <v>FSCU5899080</v>
          </cell>
          <cell r="R433">
            <v>0.89583333333333337</v>
          </cell>
          <cell r="S433">
            <v>45957</v>
          </cell>
        </row>
        <row r="434">
          <cell r="Q434" t="str">
            <v>SEGU9316344</v>
          </cell>
          <cell r="R434">
            <v>0.65277777777777779</v>
          </cell>
          <cell r="S434">
            <v>45957</v>
          </cell>
        </row>
        <row r="435">
          <cell r="Q435" t="str">
            <v>ONEU9035391</v>
          </cell>
          <cell r="R435">
            <v>0.96527777777777779</v>
          </cell>
          <cell r="S435">
            <v>45957</v>
          </cell>
        </row>
        <row r="436">
          <cell r="Q436" t="str">
            <v>CAAU8325790</v>
          </cell>
          <cell r="R436">
            <v>9.7916666666666666E-2</v>
          </cell>
          <cell r="S436">
            <v>45958</v>
          </cell>
        </row>
        <row r="437">
          <cell r="Q437" t="str">
            <v>GAOU7527798</v>
          </cell>
          <cell r="R437">
            <v>9.0277777777777776E-2</v>
          </cell>
          <cell r="S437">
            <v>45958</v>
          </cell>
        </row>
        <row r="438">
          <cell r="Q438" t="str">
            <v>TRHU6537418</v>
          </cell>
          <cell r="R438">
            <v>0.14583333333333334</v>
          </cell>
          <cell r="S438">
            <v>45958</v>
          </cell>
        </row>
        <row r="439">
          <cell r="Q439" t="str">
            <v>MRSU4931008</v>
          </cell>
          <cell r="R439">
            <v>0.55555555555555558</v>
          </cell>
          <cell r="S439">
            <v>45958</v>
          </cell>
        </row>
        <row r="440">
          <cell r="Q440" t="str">
            <v>TCKU7457962</v>
          </cell>
          <cell r="R440">
            <v>0.4375</v>
          </cell>
          <cell r="S440">
            <v>45958</v>
          </cell>
        </row>
        <row r="441">
          <cell r="Q441" t="str">
            <v>MRKU5391067</v>
          </cell>
          <cell r="R441">
            <v>0.62152777777777779</v>
          </cell>
          <cell r="S441">
            <v>45958</v>
          </cell>
        </row>
        <row r="442">
          <cell r="Q442" t="str">
            <v>MRSU3665285</v>
          </cell>
          <cell r="R442">
            <v>9.0277777777777776E-2</v>
          </cell>
          <cell r="S442">
            <v>45958</v>
          </cell>
        </row>
        <row r="443">
          <cell r="Q443" t="str">
            <v>TRHU4273595</v>
          </cell>
          <cell r="R443">
            <v>0.58333333333333337</v>
          </cell>
          <cell r="S443">
            <v>45958</v>
          </cell>
        </row>
        <row r="444">
          <cell r="Q444" t="str">
            <v>SELU4101730</v>
          </cell>
          <cell r="S444">
            <v>45958</v>
          </cell>
        </row>
        <row r="445">
          <cell r="Q445" t="str">
            <v>CAAU8265812</v>
          </cell>
          <cell r="R445">
            <v>0.6875</v>
          </cell>
          <cell r="S445">
            <v>45958</v>
          </cell>
        </row>
        <row r="446">
          <cell r="Q446" t="str">
            <v>TRHU5915719</v>
          </cell>
          <cell r="R446">
            <v>0.16666666666666666</v>
          </cell>
          <cell r="S446">
            <v>45959</v>
          </cell>
        </row>
        <row r="447">
          <cell r="Q447" t="str">
            <v>MRSU6123626</v>
          </cell>
          <cell r="S447">
            <v>45958</v>
          </cell>
        </row>
        <row r="448">
          <cell r="Q448" t="str">
            <v>ONEU9089905</v>
          </cell>
          <cell r="R448">
            <v>0.94444444444444453</v>
          </cell>
          <cell r="S448">
            <v>45957</v>
          </cell>
        </row>
        <row r="449">
          <cell r="Q449" t="str">
            <v>ONEU9460322</v>
          </cell>
          <cell r="R449">
            <v>0.91666666666666663</v>
          </cell>
          <cell r="S449">
            <v>45958</v>
          </cell>
        </row>
        <row r="450">
          <cell r="Q450" t="str">
            <v>MNBU3939932</v>
          </cell>
          <cell r="R450">
            <v>0.46527777777777773</v>
          </cell>
          <cell r="S450">
            <v>45960</v>
          </cell>
        </row>
        <row r="451">
          <cell r="Q451" t="str">
            <v>ONEU5588779</v>
          </cell>
          <cell r="S451">
            <v>45958</v>
          </cell>
        </row>
        <row r="452">
          <cell r="Q452" t="str">
            <v>TCNU6842819</v>
          </cell>
          <cell r="R452">
            <v>0.41666666666666669</v>
          </cell>
          <cell r="S452">
            <v>45958</v>
          </cell>
        </row>
        <row r="453">
          <cell r="Q453" t="str">
            <v>CGMU5666862</v>
          </cell>
          <cell r="R453">
            <v>0.60416666666666663</v>
          </cell>
          <cell r="S453">
            <v>45958</v>
          </cell>
        </row>
        <row r="454">
          <cell r="Q454" t="str">
            <v>SZLU9448004</v>
          </cell>
          <cell r="R454">
            <v>0.93055555555555558</v>
          </cell>
          <cell r="S454">
            <v>45958</v>
          </cell>
        </row>
        <row r="455">
          <cell r="Q455" t="str">
            <v>SZLU9715610</v>
          </cell>
          <cell r="R455">
            <v>0.90277777777777779</v>
          </cell>
          <cell r="S455">
            <v>45957</v>
          </cell>
        </row>
        <row r="456">
          <cell r="Q456" t="str">
            <v>TRHU4798731</v>
          </cell>
          <cell r="R456">
            <v>0.37847222222222221</v>
          </cell>
          <cell r="S456">
            <v>45958</v>
          </cell>
        </row>
        <row r="457">
          <cell r="Q457" t="str">
            <v>TGBU7871093</v>
          </cell>
          <cell r="R457">
            <v>0.41319444444444442</v>
          </cell>
          <cell r="S457">
            <v>45958</v>
          </cell>
        </row>
        <row r="458">
          <cell r="Q458" t="str">
            <v>CGMU8014153</v>
          </cell>
          <cell r="R458">
            <v>0.40972222222222221</v>
          </cell>
          <cell r="S458">
            <v>45958</v>
          </cell>
        </row>
        <row r="459">
          <cell r="Q459" t="str">
            <v>ONEU9171464</v>
          </cell>
          <cell r="R459">
            <v>0.76388888888888884</v>
          </cell>
          <cell r="S459">
            <v>45958</v>
          </cell>
        </row>
        <row r="460">
          <cell r="Q460" t="str">
            <v>ONEU9148166</v>
          </cell>
          <cell r="R460">
            <v>0.98611111111111116</v>
          </cell>
          <cell r="S460">
            <v>45957</v>
          </cell>
        </row>
        <row r="461">
          <cell r="Q461" t="str">
            <v>CXRU1615242</v>
          </cell>
          <cell r="R461">
            <v>0.90277777777777779</v>
          </cell>
          <cell r="S461">
            <v>45958</v>
          </cell>
        </row>
        <row r="462">
          <cell r="Q462" t="str">
            <v>AMCU9310951</v>
          </cell>
          <cell r="R462">
            <v>0.375</v>
          </cell>
          <cell r="S462">
            <v>45958</v>
          </cell>
        </row>
        <row r="463">
          <cell r="Q463" t="str">
            <v>TXGU7161936</v>
          </cell>
          <cell r="R463">
            <v>0.65277777777777779</v>
          </cell>
          <cell r="S463">
            <v>45958</v>
          </cell>
        </row>
        <row r="464">
          <cell r="Q464" t="str">
            <v>OTPU6285220</v>
          </cell>
          <cell r="R464">
            <v>0.69444444444444442</v>
          </cell>
          <cell r="S464">
            <v>45958</v>
          </cell>
        </row>
        <row r="465">
          <cell r="Q465" t="str">
            <v>FFAU5355285</v>
          </cell>
          <cell r="R465">
            <v>0.73888888888888893</v>
          </cell>
          <cell r="S465">
            <v>45958</v>
          </cell>
        </row>
        <row r="466">
          <cell r="Q466" t="str">
            <v>CAAU7659200</v>
          </cell>
          <cell r="R466">
            <v>0.76388888888888884</v>
          </cell>
          <cell r="S466">
            <v>45958</v>
          </cell>
        </row>
        <row r="467">
          <cell r="Q467" t="str">
            <v>HASU5013748</v>
          </cell>
          <cell r="R467">
            <v>0.90972222222222221</v>
          </cell>
          <cell r="S467">
            <v>45958</v>
          </cell>
        </row>
        <row r="468">
          <cell r="Q468" t="str">
            <v>TRHU4142300</v>
          </cell>
          <cell r="R468">
            <v>1</v>
          </cell>
          <cell r="S468">
            <v>45958</v>
          </cell>
        </row>
        <row r="469">
          <cell r="Q469" t="str">
            <v>MRSU6636315</v>
          </cell>
          <cell r="R469">
            <v>0.19444444444444445</v>
          </cell>
          <cell r="S469">
            <v>45959</v>
          </cell>
        </row>
        <row r="470">
          <cell r="Q470" t="str">
            <v>FSCU5733627</v>
          </cell>
        </row>
        <row r="471">
          <cell r="Q471" t="str">
            <v>TRHU6304186</v>
          </cell>
          <cell r="R471">
            <v>0.90972222222222221</v>
          </cell>
          <cell r="S471">
            <v>45958</v>
          </cell>
        </row>
        <row r="472">
          <cell r="Q472" t="str">
            <v>TGBU4359798</v>
          </cell>
          <cell r="R472">
            <v>0.20833333333333334</v>
          </cell>
          <cell r="S472">
            <v>45959</v>
          </cell>
        </row>
        <row r="473">
          <cell r="Q473" t="str">
            <v>TGBU7151030</v>
          </cell>
          <cell r="S473">
            <v>45959</v>
          </cell>
        </row>
        <row r="474">
          <cell r="Q474" t="str">
            <v>SEKU6903912</v>
          </cell>
          <cell r="R474">
            <v>0.90277777777777779</v>
          </cell>
          <cell r="S474">
            <v>45959</v>
          </cell>
        </row>
        <row r="475">
          <cell r="Q475" t="str">
            <v>MRSU5426546</v>
          </cell>
          <cell r="R475">
            <v>0.20833333333333334</v>
          </cell>
          <cell r="S475">
            <v>45959</v>
          </cell>
        </row>
        <row r="476">
          <cell r="S476">
            <v>45959</v>
          </cell>
        </row>
        <row r="477">
          <cell r="Q477" t="str">
            <v>MRSU5309200</v>
          </cell>
          <cell r="R477">
            <v>0.47916666666666669</v>
          </cell>
          <cell r="S477">
            <v>45959</v>
          </cell>
        </row>
        <row r="478">
          <cell r="Q478" t="str">
            <v>TGBU4597097</v>
          </cell>
          <cell r="R478">
            <v>0.49305555555555558</v>
          </cell>
          <cell r="S478">
            <v>45959</v>
          </cell>
        </row>
        <row r="479">
          <cell r="Q479" t="str">
            <v>TRHU5675069</v>
          </cell>
          <cell r="R479">
            <v>0.64583333333333337</v>
          </cell>
          <cell r="S479">
            <v>45959</v>
          </cell>
        </row>
        <row r="480">
          <cell r="Q480" t="str">
            <v>CAAU7249606</v>
          </cell>
          <cell r="R480">
            <v>0.9375</v>
          </cell>
          <cell r="S480">
            <v>45959</v>
          </cell>
        </row>
        <row r="481">
          <cell r="Q481" t="str">
            <v>GAOU7182063</v>
          </cell>
          <cell r="R481">
            <v>1</v>
          </cell>
          <cell r="S481">
            <v>45959</v>
          </cell>
        </row>
        <row r="482">
          <cell r="Q482" t="str">
            <v>MRSU5857651</v>
          </cell>
          <cell r="S482">
            <v>45959</v>
          </cell>
        </row>
        <row r="483">
          <cell r="Q483" t="str">
            <v>CAAU6601501</v>
          </cell>
          <cell r="R483">
            <v>8.3333333333333329E-2</v>
          </cell>
          <cell r="S483">
            <v>45960</v>
          </cell>
        </row>
        <row r="484">
          <cell r="Q484" t="str">
            <v>SEKU6884772</v>
          </cell>
          <cell r="R484">
            <v>0.13194444444444445</v>
          </cell>
          <cell r="S484">
            <v>45960</v>
          </cell>
        </row>
        <row r="485">
          <cell r="Q485" t="str">
            <v>MRSU7104282</v>
          </cell>
          <cell r="R485">
            <v>0.20833333333333334</v>
          </cell>
          <cell r="S485">
            <v>45960</v>
          </cell>
        </row>
        <row r="486">
          <cell r="Q486" t="str">
            <v>CAIU4928571</v>
          </cell>
          <cell r="S486">
            <v>45959</v>
          </cell>
        </row>
        <row r="487">
          <cell r="Q487" t="str">
            <v>TEMU9333944</v>
          </cell>
          <cell r="R487">
            <v>0.3888888888888889</v>
          </cell>
          <cell r="S487">
            <v>45959</v>
          </cell>
        </row>
        <row r="488">
          <cell r="Q488" t="str">
            <v>ONEU9239374</v>
          </cell>
          <cell r="R488">
            <v>0.94444444444444442</v>
          </cell>
          <cell r="S488">
            <v>45958</v>
          </cell>
        </row>
        <row r="489">
          <cell r="Q489" t="str">
            <v>ECMU7469609</v>
          </cell>
          <cell r="S489">
            <v>45959</v>
          </cell>
        </row>
        <row r="490">
          <cell r="Q490" t="str">
            <v>TCLU1254646</v>
          </cell>
          <cell r="R490">
            <v>0.40972222222222221</v>
          </cell>
          <cell r="S490">
            <v>45959</v>
          </cell>
        </row>
        <row r="491">
          <cell r="Q491" t="str">
            <v>ONEU9126399</v>
          </cell>
          <cell r="S491">
            <v>45959</v>
          </cell>
        </row>
        <row r="492">
          <cell r="Q492" t="str">
            <v>CAAU7642830</v>
          </cell>
          <cell r="R492">
            <v>0.6875</v>
          </cell>
          <cell r="S492">
            <v>45959</v>
          </cell>
        </row>
        <row r="493">
          <cell r="Q493" t="str">
            <v>MRSU5482323</v>
          </cell>
          <cell r="R493">
            <v>0.39583333333333331</v>
          </cell>
          <cell r="S493">
            <v>45960</v>
          </cell>
        </row>
        <row r="494">
          <cell r="Q494" t="str">
            <v>MRSU6616577</v>
          </cell>
          <cell r="R494">
            <v>0.47916666666666669</v>
          </cell>
          <cell r="S494">
            <v>45960</v>
          </cell>
        </row>
        <row r="495">
          <cell r="Q495" t="str">
            <v>MRSU5865180</v>
          </cell>
          <cell r="R495">
            <v>0.58333333333333337</v>
          </cell>
          <cell r="S495">
            <v>45960</v>
          </cell>
        </row>
        <row r="496">
          <cell r="Q496" t="str">
            <v>CAJU5048893</v>
          </cell>
          <cell r="R496">
            <v>0.61458333333333337</v>
          </cell>
          <cell r="S496">
            <v>45960</v>
          </cell>
        </row>
        <row r="497">
          <cell r="Q497" t="str">
            <v>HASU4149046</v>
          </cell>
          <cell r="R497">
            <v>1</v>
          </cell>
          <cell r="S497">
            <v>45960</v>
          </cell>
        </row>
        <row r="498">
          <cell r="Q498" t="str">
            <v>UETU6547321</v>
          </cell>
          <cell r="R498">
            <v>0.22222222222222221</v>
          </cell>
          <cell r="S498">
            <v>45961</v>
          </cell>
        </row>
        <row r="499">
          <cell r="Q499" t="str">
            <v>ECMU7176745</v>
          </cell>
          <cell r="R499">
            <v>1.0208333333333333</v>
          </cell>
          <cell r="S499">
            <v>45960</v>
          </cell>
        </row>
        <row r="500">
          <cell r="Q500" t="str">
            <v>CAJU5049117</v>
          </cell>
          <cell r="R500">
            <v>9.0277777777777776E-2</v>
          </cell>
          <cell r="S500">
            <v>45961</v>
          </cell>
        </row>
        <row r="501">
          <cell r="Q501" t="str">
            <v>MRSU6637538</v>
          </cell>
          <cell r="R501">
            <v>0.45833333333333331</v>
          </cell>
          <cell r="S501">
            <v>45961</v>
          </cell>
        </row>
        <row r="502">
          <cell r="Q502" t="str">
            <v>FFAU5614431</v>
          </cell>
          <cell r="R502">
            <v>0.24305555555555555</v>
          </cell>
          <cell r="S502">
            <v>45961</v>
          </cell>
        </row>
        <row r="503">
          <cell r="Q503" t="str">
            <v>EMCU7539162</v>
          </cell>
          <cell r="R503">
            <v>0.15972222222222224</v>
          </cell>
          <cell r="S503">
            <v>45961</v>
          </cell>
        </row>
        <row r="504">
          <cell r="Q504" t="str">
            <v>CGMU5414048</v>
          </cell>
          <cell r="R504">
            <v>0.92361111111111116</v>
          </cell>
          <cell r="S504">
            <v>45959</v>
          </cell>
        </row>
        <row r="505">
          <cell r="Q505" t="str">
            <v>CGMU5191263</v>
          </cell>
          <cell r="R505">
            <v>0.4236111111111111</v>
          </cell>
          <cell r="S505">
            <v>45960</v>
          </cell>
        </row>
        <row r="506">
          <cell r="Q506" t="str">
            <v>SEGU9045495</v>
          </cell>
          <cell r="R506">
            <v>0.3888888888888889</v>
          </cell>
          <cell r="S506">
            <v>45960</v>
          </cell>
        </row>
        <row r="507">
          <cell r="Q507" t="str">
            <v>SITU9185176</v>
          </cell>
          <cell r="R507">
            <v>0.70138888888888884</v>
          </cell>
          <cell r="S507">
            <v>45960</v>
          </cell>
        </row>
        <row r="508">
          <cell r="Q508" t="str">
            <v>CAAU8446960</v>
          </cell>
          <cell r="R508">
            <v>4.1666666666666664E-2</v>
          </cell>
          <cell r="S508">
            <v>45961</v>
          </cell>
        </row>
        <row r="509">
          <cell r="Q509" t="str">
            <v>MNBU4375122</v>
          </cell>
          <cell r="R509">
            <v>0.3923611111111111</v>
          </cell>
          <cell r="S509">
            <v>45960</v>
          </cell>
        </row>
        <row r="510">
          <cell r="Q510" t="str">
            <v>EGSU1717245</v>
          </cell>
          <cell r="R510">
            <v>1.6527777777777777</v>
          </cell>
          <cell r="S510">
            <v>45960</v>
          </cell>
        </row>
        <row r="511">
          <cell r="Q511" t="str">
            <v>CGMU5263023</v>
          </cell>
          <cell r="R511">
            <v>0.4236111111111111</v>
          </cell>
          <cell r="S511">
            <v>45960</v>
          </cell>
        </row>
        <row r="512">
          <cell r="Q512" t="str">
            <v>MRSU4109510</v>
          </cell>
          <cell r="R512">
            <v>0.94444444444444453</v>
          </cell>
          <cell r="S512">
            <v>45960</v>
          </cell>
        </row>
        <row r="513">
          <cell r="Q513" t="str">
            <v>CAAU6554971</v>
          </cell>
          <cell r="R513">
            <v>0.95138888888888884</v>
          </cell>
          <cell r="S513">
            <v>45960</v>
          </cell>
        </row>
        <row r="514">
          <cell r="Q514" t="str">
            <v>CGMU5170640</v>
          </cell>
          <cell r="R514">
            <v>0.9375</v>
          </cell>
          <cell r="S514">
            <v>45960</v>
          </cell>
        </row>
        <row r="515">
          <cell r="Q515" t="str">
            <v>MRSU3719740</v>
          </cell>
          <cell r="R515">
            <v>2.7777777777777776E-2</v>
          </cell>
          <cell r="S515">
            <v>45961</v>
          </cell>
        </row>
        <row r="516">
          <cell r="Q516" t="str">
            <v>TCNU4713772</v>
          </cell>
          <cell r="R516">
            <v>2.7777777777777776E-2</v>
          </cell>
          <cell r="S516">
            <v>45961</v>
          </cell>
        </row>
        <row r="517">
          <cell r="Q517" t="str">
            <v>GCXU6218271</v>
          </cell>
          <cell r="R517">
            <v>0.13194444444444445</v>
          </cell>
          <cell r="S517">
            <v>45961</v>
          </cell>
        </row>
        <row r="518">
          <cell r="Q518" t="str">
            <v>GCXU6497622</v>
          </cell>
          <cell r="R518">
            <v>0.5</v>
          </cell>
          <cell r="S518">
            <v>45961</v>
          </cell>
        </row>
        <row r="519">
          <cell r="Q519" t="str">
            <v>MRSU7512371</v>
          </cell>
          <cell r="R519">
            <v>0.46875</v>
          </cell>
          <cell r="S519">
            <v>45961</v>
          </cell>
        </row>
        <row r="520">
          <cell r="Q520" t="str">
            <v>TXGU5266270</v>
          </cell>
          <cell r="R520">
            <v>0.66666666666666663</v>
          </cell>
          <cell r="S520">
            <v>45961</v>
          </cell>
        </row>
        <row r="521">
          <cell r="Q521" t="str">
            <v>EGSU9525608</v>
          </cell>
          <cell r="R521">
            <v>0.59027777777777779</v>
          </cell>
          <cell r="S521">
            <v>45961</v>
          </cell>
        </row>
        <row r="522">
          <cell r="Q522" t="str">
            <v>CAAU8999781</v>
          </cell>
          <cell r="R522">
            <v>0.76388888888888884</v>
          </cell>
          <cell r="S522">
            <v>45961</v>
          </cell>
        </row>
        <row r="523">
          <cell r="Q523" t="str">
            <v>MRSU4242061</v>
          </cell>
          <cell r="R523">
            <v>0.125</v>
          </cell>
          <cell r="S523">
            <v>45962</v>
          </cell>
        </row>
        <row r="524">
          <cell r="Q524" t="str">
            <v>MRSU5005779</v>
          </cell>
          <cell r="R524">
            <v>1.0069444444444444</v>
          </cell>
          <cell r="S524">
            <v>45961</v>
          </cell>
        </row>
        <row r="525">
          <cell r="Q525" t="str">
            <v>TRHU5135055</v>
          </cell>
          <cell r="R525">
            <v>0.42708333333333331</v>
          </cell>
          <cell r="S525">
            <v>45961</v>
          </cell>
        </row>
        <row r="526">
          <cell r="Q526" t="str">
            <v>ONEU5932924</v>
          </cell>
          <cell r="R526">
            <v>0.4375</v>
          </cell>
          <cell r="S526">
            <v>45961</v>
          </cell>
        </row>
        <row r="527">
          <cell r="Q527" t="str">
            <v>FFAU6908298</v>
          </cell>
          <cell r="R527">
            <v>0.625</v>
          </cell>
          <cell r="S527">
            <v>45961</v>
          </cell>
        </row>
        <row r="528">
          <cell r="Q528" t="str">
            <v>TLLU4130143</v>
          </cell>
          <cell r="R528">
            <v>0.6875</v>
          </cell>
          <cell r="S528">
            <v>45961</v>
          </cell>
        </row>
        <row r="529">
          <cell r="Q529" t="str">
            <v>KKFU7926558</v>
          </cell>
          <cell r="R529">
            <v>0.91666666666666663</v>
          </cell>
          <cell r="S529">
            <v>45961</v>
          </cell>
        </row>
        <row r="530">
          <cell r="Q530" t="str">
            <v>MRSU7167336</v>
          </cell>
          <cell r="R530">
            <v>0.54166666666666663</v>
          </cell>
          <cell r="S530">
            <v>45961</v>
          </cell>
        </row>
        <row r="531">
          <cell r="Q531" t="str">
            <v>MRSU7505958</v>
          </cell>
          <cell r="R531">
            <v>0.56944444444444442</v>
          </cell>
          <cell r="S531">
            <v>45961</v>
          </cell>
        </row>
        <row r="532">
          <cell r="Q532" t="str">
            <v>FFAU5500017</v>
          </cell>
          <cell r="R532">
            <v>0.1111111111111111</v>
          </cell>
          <cell r="S532">
            <v>45962</v>
          </cell>
        </row>
        <row r="533">
          <cell r="Q533" t="str">
            <v>GCXU6262588</v>
          </cell>
          <cell r="R533">
            <v>0.67361111111111116</v>
          </cell>
          <cell r="S533">
            <v>45961</v>
          </cell>
        </row>
      </sheetData>
      <sheetData sheetId="5"/>
      <sheetData sheetId="6"/>
      <sheetData sheetId="7"/>
      <sheetData sheetId="8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88">
          <cell r="I188" t="str">
            <v>FCIU9954864</v>
          </cell>
          <cell r="J188" t="str">
            <v>SƠN
KÉO VỀ</v>
          </cell>
          <cell r="K188">
            <v>0.91666666666666663</v>
          </cell>
          <cell r="N188" t="str">
            <v>GIC</v>
          </cell>
          <cell r="P188" t="str">
            <v>done</v>
          </cell>
          <cell r="Q188">
            <v>307832196140</v>
          </cell>
        </row>
        <row r="189">
          <cell r="I189" t="str">
            <v>TCNU4679066</v>
          </cell>
          <cell r="J189" t="str">
            <v>ĐỨC
ĐỨC KÉO VỀ</v>
          </cell>
          <cell r="K189">
            <v>0.95833333333333337</v>
          </cell>
          <cell r="L189" t="str">
            <v>CAAU5472360</v>
          </cell>
          <cell r="N189" t="str">
            <v>GIC</v>
          </cell>
          <cell r="O189" t="str">
            <v>VI-25/56814</v>
          </cell>
          <cell r="P189" t="str">
            <v>done</v>
          </cell>
          <cell r="Q189">
            <v>307832229260</v>
          </cell>
        </row>
        <row r="190">
          <cell r="I190" t="str">
            <v>MRSU4874340</v>
          </cell>
          <cell r="J190" t="str">
            <v>HƯỜNG
QUÂN KÉO VỀ</v>
          </cell>
          <cell r="K190">
            <v>0.35416666666666669</v>
          </cell>
          <cell r="L190" t="str">
            <v>MRSU6159254</v>
          </cell>
          <cell r="N190" t="str">
            <v>HATECO HICT</v>
          </cell>
          <cell r="O190" t="str">
            <v>VI-25/56821</v>
          </cell>
          <cell r="P190" t="str">
            <v>done</v>
          </cell>
          <cell r="Q190">
            <v>307832321220</v>
          </cell>
        </row>
        <row r="191">
          <cell r="I191" t="str">
            <v>CAAU5472360</v>
          </cell>
          <cell r="J191" t="str">
            <v>QUÂN
DĐỨC KÉO VỀ</v>
          </cell>
          <cell r="K191">
            <v>0.375</v>
          </cell>
          <cell r="L191" t="str">
            <v>EGSU9829555</v>
          </cell>
          <cell r="N191" t="str">
            <v>HATECO HICT</v>
          </cell>
          <cell r="O191" t="str">
            <v>VI-25/56796</v>
          </cell>
          <cell r="P191" t="str">
            <v>done</v>
          </cell>
          <cell r="Q191">
            <v>307832249560</v>
          </cell>
        </row>
        <row r="192">
          <cell r="I192" t="str">
            <v xml:space="preserve">CAAU4721540 </v>
          </cell>
          <cell r="J192" t="str">
            <v xml:space="preserve">RU MH </v>
          </cell>
          <cell r="K192">
            <v>0.4375</v>
          </cell>
          <cell r="L192" t="str">
            <v xml:space="preserve">CAAU4721540 </v>
          </cell>
          <cell r="N192" t="str">
            <v>HATECO HICT</v>
          </cell>
          <cell r="O192" t="str">
            <v>VI-25/56798</v>
          </cell>
          <cell r="P192" t="str">
            <v>done</v>
          </cell>
          <cell r="Q192">
            <v>307832278630</v>
          </cell>
        </row>
        <row r="193">
          <cell r="I193" t="str">
            <v>MRSU6430469</v>
          </cell>
          <cell r="J193" t="str">
            <v>RU Anh Kiệt</v>
          </cell>
          <cell r="K193">
            <v>0.89583333333333337</v>
          </cell>
          <cell r="L193" t="str">
            <v>MRSU6430469</v>
          </cell>
          <cell r="N193" t="str">
            <v>HATECO HICT</v>
          </cell>
          <cell r="O193" t="str">
            <v>VI-25/56811</v>
          </cell>
          <cell r="P193" t="str">
            <v>done</v>
          </cell>
          <cell r="Q193">
            <v>307832136310</v>
          </cell>
        </row>
        <row r="194">
          <cell r="I194" t="str">
            <v xml:space="preserve">CAAU6632462 </v>
          </cell>
          <cell r="J194" t="str">
            <v xml:space="preserve">RU MH </v>
          </cell>
          <cell r="K194">
            <v>6.25E-2</v>
          </cell>
          <cell r="L194" t="str">
            <v xml:space="preserve">CAAU6632462 </v>
          </cell>
          <cell r="N194" t="str">
            <v>HATECO HICT</v>
          </cell>
          <cell r="O194" t="str">
            <v>VI-25/56815</v>
          </cell>
          <cell r="P194" t="str">
            <v>done</v>
          </cell>
          <cell r="Q194">
            <v>307832170610</v>
          </cell>
        </row>
        <row r="195">
          <cell r="I195" t="str">
            <v>MRKU4881080</v>
          </cell>
          <cell r="J195" t="str">
            <v>RU VIETLINK</v>
          </cell>
          <cell r="K195">
            <v>8.3333333333333329E-2</v>
          </cell>
          <cell r="L195" t="str">
            <v>MRKU4881080</v>
          </cell>
          <cell r="N195" t="str">
            <v>HATECO HICT</v>
          </cell>
          <cell r="O195" t="str">
            <v>VI-25/56816</v>
          </cell>
          <cell r="P195" t="str">
            <v>done</v>
          </cell>
          <cell r="Q195">
            <v>307832263230</v>
          </cell>
        </row>
        <row r="196">
          <cell r="I196" t="str">
            <v>MRSU7512690</v>
          </cell>
          <cell r="J196" t="str">
            <v>THI
HƯỜNG KÉO VỀ</v>
          </cell>
          <cell r="K196">
            <v>0.20833333333333334</v>
          </cell>
          <cell r="L196" t="str">
            <v>CAAU9317680</v>
          </cell>
          <cell r="N196" t="str">
            <v>HATECO HICT</v>
          </cell>
          <cell r="O196" t="str">
            <v xml:space="preserve"> VI-25/56807</v>
          </cell>
          <cell r="P196" t="str">
            <v>done</v>
          </cell>
          <cell r="Q196">
            <v>307832303940</v>
          </cell>
        </row>
        <row r="197">
          <cell r="I197" t="str">
            <v>UETU6684670</v>
          </cell>
          <cell r="J197" t="str">
            <v>RU TRƯỜNG NHÂN PHÁT</v>
          </cell>
          <cell r="K197">
            <v>0.875</v>
          </cell>
          <cell r="N197" t="str">
            <v>HATECO HICT</v>
          </cell>
          <cell r="O197" t="str">
            <v>VB-25/52444</v>
          </cell>
          <cell r="P197" t="str">
            <v>done</v>
          </cell>
          <cell r="Q197">
            <v>307831404220</v>
          </cell>
        </row>
        <row r="198">
          <cell r="I198" t="str">
            <v>FSCU8234806</v>
          </cell>
          <cell r="J198" t="str">
            <v>HƯỜNG
SÂM KÉO VỀ</v>
          </cell>
          <cell r="K198">
            <v>0.875</v>
          </cell>
          <cell r="L198" t="str">
            <v>TXGU5609699</v>
          </cell>
          <cell r="N198" t="str">
            <v>HATECO HICT</v>
          </cell>
          <cell r="O198" t="str">
            <v>VB-25/52445</v>
          </cell>
          <cell r="P198" t="str">
            <v>done</v>
          </cell>
          <cell r="Q198">
            <v>307831332230</v>
          </cell>
        </row>
        <row r="199">
          <cell r="I199" t="str">
            <v>TRHU8308175</v>
          </cell>
          <cell r="J199" t="str">
            <v>THI
MẠNH MIN KÉO VỀ</v>
          </cell>
          <cell r="K199">
            <v>0.125</v>
          </cell>
          <cell r="L199" t="str">
            <v>EITU1807407</v>
          </cell>
          <cell r="N199" t="str">
            <v>HATECO HICT</v>
          </cell>
          <cell r="O199" t="str">
            <v>VB-25/52442</v>
          </cell>
          <cell r="P199" t="str">
            <v>done</v>
          </cell>
          <cell r="Q199">
            <v>307831403630</v>
          </cell>
        </row>
        <row r="200">
          <cell r="I200" t="str">
            <v>TIIU4958814</v>
          </cell>
          <cell r="J200" t="str">
            <v>QUÂN
SƠN KÉO VỀ</v>
          </cell>
          <cell r="K200">
            <v>0.34375</v>
          </cell>
          <cell r="L200" t="str">
            <v>MRSU4874340</v>
          </cell>
          <cell r="N200" t="str">
            <v>HẠ GIC</v>
          </cell>
          <cell r="O200" t="str">
            <v>VI-25/56825</v>
          </cell>
          <cell r="P200" t="str">
            <v>done</v>
          </cell>
          <cell r="Q200">
            <v>307835990030</v>
          </cell>
        </row>
        <row r="201">
          <cell r="I201" t="str">
            <v>TRHU7569852</v>
          </cell>
          <cell r="J201" t="str">
            <v>VINH
kéo về</v>
          </cell>
          <cell r="K201">
            <v>0.875</v>
          </cell>
          <cell r="L201" t="str">
            <v>TRHU7569852</v>
          </cell>
          <cell r="N201" t="str">
            <v>HẠ GIC</v>
          </cell>
          <cell r="O201" t="str">
            <v>PCVN-25/00486</v>
          </cell>
          <cell r="P201" t="str">
            <v>done</v>
          </cell>
          <cell r="Q201">
            <v>307836562300</v>
          </cell>
        </row>
        <row r="202">
          <cell r="I202" t="str">
            <v>CMAU4643226</v>
          </cell>
          <cell r="J202" t="str">
            <v>XUYÊN
KÉO VỀ</v>
          </cell>
          <cell r="K202">
            <v>8.3333333333333329E-2</v>
          </cell>
          <cell r="L202" t="str">
            <v>CMAU4643226</v>
          </cell>
          <cell r="N202" t="str">
            <v xml:space="preserve"> HẠ TÂN VŨ</v>
          </cell>
          <cell r="O202" t="str">
            <v>VI-25/56843</v>
          </cell>
          <cell r="P202" t="str">
            <v>done</v>
          </cell>
          <cell r="Q202">
            <v>307836446650</v>
          </cell>
        </row>
        <row r="203">
          <cell r="I203" t="str">
            <v>CAAU6047637</v>
          </cell>
          <cell r="J203" t="str">
            <v>TRỌNG
kéo về</v>
          </cell>
          <cell r="K203">
            <v>9.375E-2</v>
          </cell>
          <cell r="L203" t="str">
            <v>CAAU6047637</v>
          </cell>
          <cell r="N203" t="str">
            <v xml:space="preserve"> HẠ TÂN VŨ</v>
          </cell>
          <cell r="O203" t="str">
            <v>VI-25/56844</v>
          </cell>
          <cell r="P203" t="str">
            <v>done</v>
          </cell>
          <cell r="Q203">
            <v>307836469310</v>
          </cell>
        </row>
        <row r="204">
          <cell r="I204" t="str">
            <v>TRHU8373519</v>
          </cell>
          <cell r="J204" t="str">
            <v>HỒNG HƯNG
KÉO VỀ</v>
          </cell>
          <cell r="K204">
            <v>0.125</v>
          </cell>
          <cell r="L204" t="str">
            <v>TRHU8373519</v>
          </cell>
          <cell r="N204" t="str">
            <v>HẠ GIC</v>
          </cell>
          <cell r="O204" t="str">
            <v>VI-25/56847</v>
          </cell>
          <cell r="P204" t="str">
            <v>done</v>
          </cell>
          <cell r="Q204">
            <v>307836024550</v>
          </cell>
        </row>
        <row r="205">
          <cell r="I205" t="str">
            <v>TIIU6442067</v>
          </cell>
          <cell r="J205" t="str">
            <v>VINH
SƠN KÉO VỀ</v>
          </cell>
          <cell r="K205">
            <v>0.42708333333333331</v>
          </cell>
          <cell r="L205" t="str">
            <v>TIIU6442067</v>
          </cell>
          <cell r="N205" t="str">
            <v>ĐÌNH VŨ</v>
          </cell>
          <cell r="O205" t="str">
            <v>VI-25/56833</v>
          </cell>
          <cell r="P205" t="str">
            <v>done</v>
          </cell>
          <cell r="Q205">
            <v>307836199220</v>
          </cell>
        </row>
        <row r="206">
          <cell r="I206" t="str">
            <v>CAAU8011295</v>
          </cell>
          <cell r="J206" t="str">
            <v>QUÂN
KÉO VỀ</v>
          </cell>
          <cell r="K206">
            <v>0.875</v>
          </cell>
          <cell r="L206" t="str">
            <v>EMCU8669005</v>
          </cell>
          <cell r="N206" t="str">
            <v>HẠ GIC</v>
          </cell>
          <cell r="O206" t="str">
            <v>VB-25/52447</v>
          </cell>
          <cell r="P206" t="str">
            <v>done</v>
          </cell>
          <cell r="Q206">
            <v>307836482130</v>
          </cell>
        </row>
        <row r="207">
          <cell r="I207" t="str">
            <v>TXGU6580943</v>
          </cell>
          <cell r="J207" t="str">
            <v>HƯỜNG
KÉO VỀ</v>
          </cell>
          <cell r="K207">
            <v>0.45833333333333331</v>
          </cell>
          <cell r="L207" t="str">
            <v>FANU3003859</v>
          </cell>
          <cell r="N207" t="str">
            <v>GIC</v>
          </cell>
          <cell r="P207" t="str">
            <v>done</v>
          </cell>
          <cell r="Q207">
            <v>307836609160</v>
          </cell>
        </row>
        <row r="208">
          <cell r="I208" t="str">
            <v>EMCU8752830</v>
          </cell>
          <cell r="J208" t="str">
            <v>MẠNH
KÉO VỀ</v>
          </cell>
          <cell r="K208">
            <v>0.58333333333333337</v>
          </cell>
          <cell r="L208" t="str">
            <v>TTNU8753056</v>
          </cell>
          <cell r="N208" t="str">
            <v>GIC</v>
          </cell>
          <cell r="P208" t="str">
            <v>done</v>
          </cell>
          <cell r="Q208" t="str">
            <v>307836380630 </v>
          </cell>
        </row>
        <row r="209">
          <cell r="I209" t="str">
            <v>FDCU0634094</v>
          </cell>
          <cell r="J209" t="str">
            <v>RU KỶ NGUYÊN</v>
          </cell>
          <cell r="K209">
            <v>0.58333333333333337</v>
          </cell>
          <cell r="L209" t="str">
            <v>FDCU0634094</v>
          </cell>
          <cell r="N209" t="str">
            <v>HẠ TÂN VŨ</v>
          </cell>
          <cell r="P209" t="str">
            <v>done</v>
          </cell>
          <cell r="Q209">
            <v>307836733320</v>
          </cell>
        </row>
        <row r="210">
          <cell r="I210" t="str">
            <v>TXGU8968028</v>
          </cell>
          <cell r="J210" t="str">
            <v>THI
THI KÉO VỀ</v>
          </cell>
          <cell r="K210">
            <v>0.66666666666666663</v>
          </cell>
          <cell r="L210" t="str">
            <v>ONEU9005421</v>
          </cell>
          <cell r="N210" t="str">
            <v>HẠ TÂN VŨ</v>
          </cell>
          <cell r="O210" t="str">
            <v>VP-25/53097</v>
          </cell>
          <cell r="P210" t="str">
            <v>done</v>
          </cell>
          <cell r="Q210">
            <v>307836769130</v>
          </cell>
        </row>
        <row r="211">
          <cell r="I211" t="str">
            <v>ONEU1612542</v>
          </cell>
          <cell r="J211" t="str">
            <v>SÂM
KÉO VỀ</v>
          </cell>
          <cell r="K211">
            <v>0.875</v>
          </cell>
          <cell r="L211" t="str">
            <v>ONEU1612542</v>
          </cell>
          <cell r="N211" t="str">
            <v>HẠ TÂN VŨ</v>
          </cell>
          <cell r="O211" t="str">
            <v>VP-25/53098</v>
          </cell>
          <cell r="P211" t="str">
            <v>done</v>
          </cell>
          <cell r="Q211">
            <v>307836803910</v>
          </cell>
        </row>
        <row r="212">
          <cell r="I212" t="str">
            <v>CMAU6915684</v>
          </cell>
          <cell r="J212" t="str">
            <v>HƯỜNG
THI KÉO VỀ</v>
          </cell>
          <cell r="K212">
            <v>0.95833333333333337</v>
          </cell>
          <cell r="L212" t="str">
            <v>TXGU6580943</v>
          </cell>
          <cell r="N212" t="str">
            <v>HẠ HATECO</v>
          </cell>
          <cell r="O212" t="str">
            <v>VP-25/53092
cb VV-25/50125</v>
          </cell>
          <cell r="P212" t="str">
            <v>done</v>
          </cell>
          <cell r="Q212" t="str">
            <v>307836542220
307836479440</v>
          </cell>
        </row>
        <row r="213">
          <cell r="I213" t="str">
            <v>CMAU3645332</v>
          </cell>
          <cell r="J213" t="str">
            <v>THI
SƠN KÉO VỀ</v>
          </cell>
          <cell r="K213">
            <v>0.95833333333333337</v>
          </cell>
          <cell r="L213" t="str">
            <v>CMAU6915684</v>
          </cell>
          <cell r="N213" t="str">
            <v>HẠ HATECO</v>
          </cell>
          <cell r="P213" t="str">
            <v>done</v>
          </cell>
          <cell r="Q213">
            <v>307836330450</v>
          </cell>
        </row>
        <row r="214">
          <cell r="I214" t="str">
            <v>EGSU1625452</v>
          </cell>
          <cell r="J214" t="str">
            <v>MẠNH 
SÂM KÉO VỀ</v>
          </cell>
          <cell r="K214">
            <v>0</v>
          </cell>
          <cell r="L214" t="str">
            <v>ONEU0834210</v>
          </cell>
          <cell r="N214" t="str">
            <v>HẠ GIC</v>
          </cell>
          <cell r="P214" t="str">
            <v>done</v>
          </cell>
          <cell r="Q214">
            <v>307836951130</v>
          </cell>
        </row>
        <row r="215">
          <cell r="I215" t="str">
            <v>TTNU8435820</v>
          </cell>
          <cell r="J215" t="str">
            <v>HỒNG HƯNG
XUYÊN KÉO VỀ</v>
          </cell>
          <cell r="K215">
            <v>0.41666666666666669</v>
          </cell>
          <cell r="L215" t="str">
            <v>SZLU9908239</v>
          </cell>
          <cell r="M215">
            <v>0</v>
          </cell>
          <cell r="N215" t="str">
            <v>NAM HẢI ĐÌNH VŨ</v>
          </cell>
          <cell r="O215" t="str">
            <v>VP-25/53080-03</v>
          </cell>
          <cell r="P215" t="str">
            <v>done</v>
          </cell>
          <cell r="Q215">
            <v>307836149040</v>
          </cell>
        </row>
        <row r="216">
          <cell r="I216" t="str">
            <v>TTNU8740655</v>
          </cell>
          <cell r="J216" t="str">
            <v>TÍN  
THANH KÉO VỀ</v>
          </cell>
          <cell r="K216">
            <v>0.54166666666666663</v>
          </cell>
          <cell r="L216" t="str">
            <v>UETU6207240</v>
          </cell>
          <cell r="N216" t="str">
            <v>TÂN VŨ</v>
          </cell>
          <cell r="O216" t="str">
            <v>VP-25/53100</v>
          </cell>
          <cell r="P216" t="str">
            <v>done</v>
          </cell>
          <cell r="Q216">
            <v>307836628320</v>
          </cell>
        </row>
        <row r="217">
          <cell r="I217" t="str">
            <v>CAAU4697525</v>
          </cell>
          <cell r="J217" t="str">
            <v xml:space="preserve">RU MH </v>
          </cell>
          <cell r="K217">
            <v>0.33333333333333331</v>
          </cell>
          <cell r="N217" t="str">
            <v>HATECO HICT</v>
          </cell>
          <cell r="O217" t="str">
            <v>VI-25/56849</v>
          </cell>
          <cell r="P217" t="str">
            <v>done</v>
          </cell>
          <cell r="Q217">
            <v>307835949540</v>
          </cell>
        </row>
        <row r="218">
          <cell r="I218" t="str">
            <v>MRSU3429248</v>
          </cell>
          <cell r="J218" t="str">
            <v>ĐỨC
HƯỜNG KÉO VỀ</v>
          </cell>
          <cell r="K218">
            <v>0.625</v>
          </cell>
          <cell r="L218" t="str">
            <v>TCNU4679066</v>
          </cell>
          <cell r="N218" t="str">
            <v>HATECO HICT</v>
          </cell>
          <cell r="O218" t="str">
            <v>VI-25/56837</v>
          </cell>
          <cell r="P218" t="str">
            <v>done</v>
          </cell>
          <cell r="Q218">
            <v>307836147530</v>
          </cell>
        </row>
        <row r="219">
          <cell r="I219" t="str">
            <v>MRSU3862068</v>
          </cell>
          <cell r="J219" t="str">
            <v>SƠN
ĐỨC KÉO VỀ</v>
          </cell>
          <cell r="K219">
            <v>0.63541666666666663</v>
          </cell>
          <cell r="L219" t="str">
            <v>TIIU4958814</v>
          </cell>
          <cell r="N219" t="str">
            <v>HATECO HICT</v>
          </cell>
          <cell r="O219" t="str">
            <v>VI-25/56852</v>
          </cell>
          <cell r="P219" t="str">
            <v>done</v>
          </cell>
          <cell r="Q219">
            <v>307836120340</v>
          </cell>
        </row>
        <row r="220">
          <cell r="I220" t="str">
            <v>CAAU9188984</v>
          </cell>
          <cell r="J220" t="str">
            <v>RU Vietlink</v>
          </cell>
          <cell r="K220">
            <v>0.97916666666666663</v>
          </cell>
          <cell r="L220" t="str">
            <v>CAAU9188984</v>
          </cell>
          <cell r="N220" t="str">
            <v>HATECO HICT</v>
          </cell>
          <cell r="O220" t="str">
            <v>VI-25/56835</v>
          </cell>
          <cell r="P220" t="str">
            <v>done</v>
          </cell>
          <cell r="Q220">
            <v>307836085120</v>
          </cell>
        </row>
        <row r="221">
          <cell r="I221" t="str">
            <v>HASU4843782</v>
          </cell>
          <cell r="J221" t="str">
            <v>RU Vietlink</v>
          </cell>
          <cell r="K221">
            <v>0.10416666666666667</v>
          </cell>
          <cell r="L221" t="str">
            <v>HASU4843782</v>
          </cell>
          <cell r="N221" t="str">
            <v>HATECO HICT</v>
          </cell>
          <cell r="O221" t="str">
            <v>VI-25/56848</v>
          </cell>
          <cell r="P221" t="str">
            <v>done</v>
          </cell>
          <cell r="Q221">
            <v>307835923160</v>
          </cell>
        </row>
        <row r="222">
          <cell r="I222" t="str">
            <v>GCXU5822970</v>
          </cell>
          <cell r="J222" t="str">
            <v xml:space="preserve">RU MH </v>
          </cell>
          <cell r="K222">
            <v>0.33333333333333331</v>
          </cell>
          <cell r="L222" t="str">
            <v>GCXU5822970</v>
          </cell>
          <cell r="N222" t="str">
            <v>HATECO HICT</v>
          </cell>
          <cell r="O222" t="str">
            <v>VB-25/52453</v>
          </cell>
          <cell r="P222" t="str">
            <v>done</v>
          </cell>
          <cell r="Q222">
            <v>307836133310</v>
          </cell>
        </row>
        <row r="223">
          <cell r="I223" t="str">
            <v>TRHU4293122</v>
          </cell>
          <cell r="J223" t="str">
            <v xml:space="preserve">RU ANH KIỆT </v>
          </cell>
          <cell r="K223">
            <v>0.41666666666666669</v>
          </cell>
          <cell r="L223" t="str">
            <v>TRHU4293122</v>
          </cell>
          <cell r="N223" t="str">
            <v>HATECO HICT</v>
          </cell>
          <cell r="O223" t="str">
            <v>VB-25/52449</v>
          </cell>
          <cell r="P223" t="str">
            <v>done</v>
          </cell>
          <cell r="Q223">
            <v>307836178920</v>
          </cell>
        </row>
        <row r="224">
          <cell r="I224" t="str">
            <v>CAAU4696010</v>
          </cell>
          <cell r="J224" t="str">
            <v xml:space="preserve">RU MH </v>
          </cell>
          <cell r="K224">
            <v>0.875</v>
          </cell>
          <cell r="L224" t="str">
            <v>CAAU4696010</v>
          </cell>
          <cell r="N224" t="str">
            <v>HATECO HICT</v>
          </cell>
          <cell r="O224" t="str">
            <v>VB-25/52450</v>
          </cell>
          <cell r="P224" t="str">
            <v>done</v>
          </cell>
          <cell r="Q224">
            <v>307836282520</v>
          </cell>
        </row>
        <row r="225">
          <cell r="I225" t="str">
            <v>UETU2984236</v>
          </cell>
          <cell r="J225" t="str">
            <v>THANH
kéo vê</v>
          </cell>
          <cell r="K225">
            <v>0.875</v>
          </cell>
          <cell r="L225" t="str">
            <v>UETU2984236</v>
          </cell>
          <cell r="N225" t="str">
            <v>HATECO HICT</v>
          </cell>
          <cell r="O225" t="str">
            <v>VB-25/52464</v>
          </cell>
          <cell r="P225" t="str">
            <v>done</v>
          </cell>
          <cell r="Q225">
            <v>307836639300</v>
          </cell>
        </row>
        <row r="226">
          <cell r="I226" t="str">
            <v>CIPU5003756</v>
          </cell>
          <cell r="J226" t="str">
            <v>RU Anh Kiệt</v>
          </cell>
          <cell r="K226">
            <v>0.41666666666666669</v>
          </cell>
          <cell r="L226" t="str">
            <v>CIPU5003756</v>
          </cell>
          <cell r="N226" t="str">
            <v>HATECO HICT</v>
          </cell>
          <cell r="P226" t="str">
            <v>done</v>
          </cell>
          <cell r="Q226">
            <v>307836259530</v>
          </cell>
        </row>
        <row r="227">
          <cell r="I227" t="str">
            <v>EMCU1549841</v>
          </cell>
          <cell r="J227" t="str">
            <v>HƯỜNG
THANH KÉO VỀ</v>
          </cell>
          <cell r="K227">
            <v>0.41666666666666669</v>
          </cell>
          <cell r="L227" t="str">
            <v>FFAU6947606</v>
          </cell>
          <cell r="N227" t="str">
            <v>HẠ SAO Á</v>
          </cell>
          <cell r="O227" t="str">
            <v>SV-25/20322</v>
          </cell>
          <cell r="P227" t="str">
            <v>done</v>
          </cell>
          <cell r="Q227">
            <v>307839850860</v>
          </cell>
        </row>
        <row r="228">
          <cell r="I228" t="str">
            <v>CMAU8497325</v>
          </cell>
          <cell r="J228" t="str">
            <v>THI
HƯNG KÉO VỀ</v>
          </cell>
          <cell r="K228">
            <v>0.91666666666666663</v>
          </cell>
          <cell r="L228" t="str">
            <v>MNBU9165155</v>
          </cell>
          <cell r="N228" t="str">
            <v>HẠ HATECO</v>
          </cell>
          <cell r="O228" t="str">
            <v>VP-25/53117</v>
          </cell>
          <cell r="P228" t="str">
            <v>done</v>
          </cell>
          <cell r="Q228">
            <v>307840363260</v>
          </cell>
        </row>
        <row r="229">
          <cell r="I229" t="str">
            <v>ECMU7354338</v>
          </cell>
          <cell r="J229" t="str">
            <v>MẠNH
TÍN KÉO VỀ</v>
          </cell>
          <cell r="K229">
            <v>0</v>
          </cell>
          <cell r="L229" t="str">
            <v>MRKU9162829</v>
          </cell>
          <cell r="N229" t="str">
            <v>HẠ HATECO</v>
          </cell>
          <cell r="O229" t="str">
            <v>VP-25/53107</v>
          </cell>
          <cell r="P229" t="str">
            <v>done</v>
          </cell>
          <cell r="Q229">
            <v>307839854510</v>
          </cell>
        </row>
        <row r="230">
          <cell r="I230" t="str">
            <v>FBIU5245909</v>
          </cell>
          <cell r="J230" t="str">
            <v>THỤY
TRỌNG KÉO VỀ</v>
          </cell>
          <cell r="K230">
            <v>0.375</v>
          </cell>
          <cell r="L230" t="str">
            <v>AMCU9385478</v>
          </cell>
          <cell r="N230" t="str">
            <v>HÀ HƯNG HẢI</v>
          </cell>
          <cell r="O230" t="str">
            <v>VP-25/53101</v>
          </cell>
          <cell r="P230" t="str">
            <v>done</v>
          </cell>
          <cell r="Q230">
            <v>307839770360</v>
          </cell>
        </row>
        <row r="231">
          <cell r="I231" t="str">
            <v>GESU9539338</v>
          </cell>
          <cell r="J231" t="str">
            <v>THANH
VINH KÉO VỀ</v>
          </cell>
          <cell r="K231">
            <v>0.58333333333333337</v>
          </cell>
          <cell r="L231" t="str">
            <v>TTNU8740655</v>
          </cell>
          <cell r="N231" t="str">
            <v>HATECO</v>
          </cell>
          <cell r="O231" t="str">
            <v>VP-25/53102</v>
          </cell>
          <cell r="P231" t="str">
            <v>done</v>
          </cell>
          <cell r="Q231">
            <v>307840021810</v>
          </cell>
        </row>
        <row r="232">
          <cell r="I232" t="str">
            <v>EMCU8838126</v>
          </cell>
          <cell r="J232" t="str">
            <v>ĐỨC
THI KÉO VỀ</v>
          </cell>
          <cell r="K232">
            <v>0.125</v>
          </cell>
          <cell r="L232" t="str">
            <v>TLLU7543599</v>
          </cell>
          <cell r="N232" t="str">
            <v>HẠ GIC</v>
          </cell>
          <cell r="O232" t="str">
            <v>VB-25/52463</v>
          </cell>
          <cell r="P232" t="str">
            <v>done</v>
          </cell>
          <cell r="Q232">
            <v>307839850310</v>
          </cell>
        </row>
        <row r="233">
          <cell r="I233" t="str">
            <v>CAAU4562704</v>
          </cell>
          <cell r="J233" t="str">
            <v>DŨNG
KÉO VỀ</v>
          </cell>
          <cell r="K233">
            <v>0.95833333333333337</v>
          </cell>
          <cell r="L233" t="str">
            <v>CAAU4562704</v>
          </cell>
          <cell r="N233" t="str">
            <v>TÂN CẢNG 189</v>
          </cell>
          <cell r="O233" t="str">
            <v xml:space="preserve">VI-25/56865	</v>
          </cell>
          <cell r="P233" t="str">
            <v>done</v>
          </cell>
          <cell r="Q233">
            <v>307840002760</v>
          </cell>
        </row>
        <row r="234">
          <cell r="I234" t="str">
            <v>MRKU2901228</v>
          </cell>
          <cell r="J234" t="str">
            <v xml:space="preserve">RU MH </v>
          </cell>
          <cell r="K234">
            <v>0.33333333333333331</v>
          </cell>
          <cell r="L234" t="str">
            <v>MRKU2901228</v>
          </cell>
          <cell r="N234" t="str">
            <v>HATECO HICT</v>
          </cell>
          <cell r="O234" t="str">
            <v>VB-25/52456</v>
          </cell>
          <cell r="P234" t="str">
            <v>done</v>
          </cell>
          <cell r="Q234">
            <v>307839336250</v>
          </cell>
        </row>
        <row r="235">
          <cell r="I235" t="str">
            <v>MRKU5708275</v>
          </cell>
          <cell r="J235" t="str">
            <v>RU KỶ NGUYÊN</v>
          </cell>
          <cell r="K235">
            <v>0.33333333333333331</v>
          </cell>
          <cell r="L235" t="str">
            <v>MRKU5708275</v>
          </cell>
          <cell r="N235" t="str">
            <v>HATECO HICT</v>
          </cell>
          <cell r="O235" t="str">
            <v>VB-25/52462</v>
          </cell>
          <cell r="P235" t="str">
            <v>done</v>
          </cell>
          <cell r="Q235">
            <v>307839381750</v>
          </cell>
        </row>
        <row r="236">
          <cell r="I236" t="str">
            <v>MRSU8075194</v>
          </cell>
          <cell r="J236" t="str">
            <v>RU TÙNG DŨNG</v>
          </cell>
          <cell r="K236">
            <v>0.41666666666666669</v>
          </cell>
          <cell r="L236" t="str">
            <v>MRSU8075194</v>
          </cell>
          <cell r="N236" t="str">
            <v>HATECO HICT</v>
          </cell>
          <cell r="O236" t="str">
            <v>VB-25/52457</v>
          </cell>
          <cell r="P236" t="str">
            <v>done</v>
          </cell>
          <cell r="Q236">
            <v>307839467410</v>
          </cell>
        </row>
        <row r="237">
          <cell r="I237" t="str">
            <v>MRSU8122887</v>
          </cell>
          <cell r="J237" t="str">
            <v>RU TRƯỜNG NHÂN PHÁT</v>
          </cell>
          <cell r="K237">
            <v>0.58333333333333337</v>
          </cell>
          <cell r="L237" t="str">
            <v>MRSU8122887</v>
          </cell>
          <cell r="N237" t="str">
            <v>HATECO HICT</v>
          </cell>
          <cell r="O237" t="str">
            <v>VB-25/52459</v>
          </cell>
          <cell r="P237" t="str">
            <v>done</v>
          </cell>
          <cell r="Q237">
            <v>307839508820</v>
          </cell>
        </row>
        <row r="238">
          <cell r="I238" t="str">
            <v>MRSU4189100</v>
          </cell>
          <cell r="J238" t="str">
            <v>RU ANH KIỆT</v>
          </cell>
          <cell r="K238">
            <v>0.95833333333333337</v>
          </cell>
          <cell r="L238" t="str">
            <v>MRSU4189100</v>
          </cell>
          <cell r="N238" t="str">
            <v>HATECO HICT</v>
          </cell>
          <cell r="O238" t="str">
            <v>VB-25/52460</v>
          </cell>
          <cell r="P238" t="str">
            <v>done</v>
          </cell>
          <cell r="Q238">
            <v>307839620230</v>
          </cell>
        </row>
        <row r="239">
          <cell r="I239" t="str">
            <v>MRKU5618000</v>
          </cell>
          <cell r="J239" t="str">
            <v>QUÂN
KÉO VỀ</v>
          </cell>
          <cell r="K239">
            <v>0.125</v>
          </cell>
          <cell r="L239" t="str">
            <v>CAAU8011295</v>
          </cell>
          <cell r="N239" t="str">
            <v>HATECO HICT</v>
          </cell>
          <cell r="O239" t="str">
            <v>VB-25/52461</v>
          </cell>
          <cell r="P239" t="str">
            <v>done</v>
          </cell>
          <cell r="Q239">
            <v>307839662710</v>
          </cell>
        </row>
        <row r="240">
          <cell r="I240" t="str">
            <v>MNBU9165155</v>
          </cell>
          <cell r="J240" t="str">
            <v>SÂM
THI KÉO VỀ</v>
          </cell>
          <cell r="K240">
            <v>0.54166666666666663</v>
          </cell>
          <cell r="L240" t="str">
            <v>EGSU1625452</v>
          </cell>
          <cell r="N240" t="str">
            <v>HATECO HICT</v>
          </cell>
          <cell r="O240" t="str">
            <v>VP-25/53108</v>
          </cell>
          <cell r="P240" t="str">
            <v>done</v>
          </cell>
          <cell r="Q240">
            <v>307839922740</v>
          </cell>
        </row>
        <row r="241">
          <cell r="I241" t="str">
            <v>MRKU9162829</v>
          </cell>
          <cell r="J241" t="str">
            <v>SƠN
MẠNH KÉO VỀ</v>
          </cell>
          <cell r="K241">
            <v>0.58333333333333337</v>
          </cell>
          <cell r="L241" t="str">
            <v>CMAU3645332</v>
          </cell>
          <cell r="N241" t="str">
            <v>HATECO HICT</v>
          </cell>
          <cell r="O241" t="str">
            <v>VR-25/52269</v>
          </cell>
          <cell r="P241" t="str">
            <v>done</v>
          </cell>
          <cell r="Q241">
            <v>307839981430</v>
          </cell>
        </row>
        <row r="242">
          <cell r="I242" t="str">
            <v>UETU8525173</v>
          </cell>
          <cell r="J242" t="str">
            <v>RU Vietlink</v>
          </cell>
          <cell r="K242">
            <v>0.4375</v>
          </cell>
          <cell r="L242" t="str">
            <v>UETU8525173</v>
          </cell>
          <cell r="N242" t="str">
            <v>HATECO HICT</v>
          </cell>
          <cell r="O242" t="str">
            <v>VI-25/56857</v>
          </cell>
          <cell r="P242" t="str">
            <v>done</v>
          </cell>
          <cell r="Q242">
            <v>307839639350</v>
          </cell>
        </row>
        <row r="243">
          <cell r="I243" t="str">
            <v>SUDU8506416</v>
          </cell>
          <cell r="J243" t="str">
            <v xml:space="preserve">RU MH </v>
          </cell>
          <cell r="K243">
            <v>0.61458333333333337</v>
          </cell>
          <cell r="L243" t="str">
            <v>SUDU8506416</v>
          </cell>
          <cell r="N243" t="str">
            <v>HATECO HICT</v>
          </cell>
          <cell r="O243" t="str">
            <v>VI-25/56863</v>
          </cell>
          <cell r="P243" t="str">
            <v>done</v>
          </cell>
          <cell r="Q243">
            <v>307839819360</v>
          </cell>
        </row>
        <row r="244">
          <cell r="I244" t="str">
            <v>CAAU5646836</v>
          </cell>
          <cell r="J244" t="str">
            <v>RU Vietlink</v>
          </cell>
          <cell r="K244">
            <v>0.625</v>
          </cell>
          <cell r="L244" t="str">
            <v>CAAU5646836</v>
          </cell>
          <cell r="N244" t="str">
            <v>HATECO HICT</v>
          </cell>
          <cell r="O244" t="str">
            <v>VI-25/56864</v>
          </cell>
          <cell r="P244" t="str">
            <v>done</v>
          </cell>
          <cell r="Q244">
            <v>307839866520</v>
          </cell>
        </row>
        <row r="245">
          <cell r="I245" t="str">
            <v>MRSU4283029</v>
          </cell>
          <cell r="J245" t="str">
            <v>RU Vietlink</v>
          </cell>
          <cell r="K245">
            <v>0.875</v>
          </cell>
          <cell r="L245" t="str">
            <v>MRSU4283029</v>
          </cell>
          <cell r="N245" t="str">
            <v>HATECO HICT</v>
          </cell>
          <cell r="O245" t="str">
            <v>VI-25/56877</v>
          </cell>
          <cell r="P245" t="str">
            <v>done</v>
          </cell>
          <cell r="Q245">
            <v>307840059240</v>
          </cell>
        </row>
        <row r="246">
          <cell r="I246" t="str">
            <v>TRHU4873732</v>
          </cell>
          <cell r="J246" t="str">
            <v>RU Vietlink</v>
          </cell>
          <cell r="K246">
            <v>0.875</v>
          </cell>
          <cell r="L246" t="str">
            <v>TRHU4873732</v>
          </cell>
          <cell r="N246" t="str">
            <v>HATECO HICT</v>
          </cell>
          <cell r="O246" t="str">
            <v>VI-25/56887</v>
          </cell>
          <cell r="P246" t="str">
            <v>done</v>
          </cell>
          <cell r="Q246">
            <v>307840763110</v>
          </cell>
        </row>
        <row r="247">
          <cell r="I247" t="str">
            <v>SELU4003138</v>
          </cell>
          <cell r="J247" t="str">
            <v>RU Vietlink</v>
          </cell>
          <cell r="K247">
            <v>0.95833333333333337</v>
          </cell>
          <cell r="L247" t="str">
            <v>SELU4003138</v>
          </cell>
          <cell r="N247" t="str">
            <v>HATECO HICT</v>
          </cell>
          <cell r="O247" t="str">
            <v>VI-25/56868</v>
          </cell>
          <cell r="P247" t="str">
            <v>done</v>
          </cell>
          <cell r="Q247">
            <v>307839758720</v>
          </cell>
        </row>
        <row r="248">
          <cell r="I248" t="str">
            <v>FFAU7199324</v>
          </cell>
          <cell r="J248" t="str">
            <v>SÂM 
KÉO VỀ</v>
          </cell>
          <cell r="K248">
            <v>0.96875</v>
          </cell>
          <cell r="L248" t="str">
            <v>MRKU4060552</v>
          </cell>
          <cell r="N248" t="str">
            <v>HATECO HICT</v>
          </cell>
          <cell r="O248" t="str">
            <v>VI-25/56867</v>
          </cell>
          <cell r="P248" t="str">
            <v>done</v>
          </cell>
          <cell r="Q248">
            <v>307840215230</v>
          </cell>
        </row>
        <row r="249">
          <cell r="I249" t="str">
            <v>GCXU5678591</v>
          </cell>
          <cell r="J249" t="str">
            <v>HƯỜNG
QUÂN KÉO VỀ</v>
          </cell>
          <cell r="K249">
            <v>8.3333333333333329E-2</v>
          </cell>
          <cell r="L249" t="str">
            <v>MRSU7512690</v>
          </cell>
          <cell r="N249" t="str">
            <v>HATECO HICT</v>
          </cell>
          <cell r="O249" t="str">
            <v>VI-25/56878</v>
          </cell>
          <cell r="P249" t="str">
            <v>done</v>
          </cell>
          <cell r="Q249">
            <v>307840296540</v>
          </cell>
        </row>
        <row r="250">
          <cell r="I250" t="str">
            <v>CAAU8349810</v>
          </cell>
          <cell r="J250" t="str">
            <v>HƯNG
KÉO VỀ</v>
          </cell>
          <cell r="K250">
            <v>0.10416666666666667</v>
          </cell>
          <cell r="L250" t="str">
            <v>CAAU8349810</v>
          </cell>
          <cell r="N250" t="str">
            <v>HATECO HICT</v>
          </cell>
          <cell r="O250" t="str">
            <v>VI-25/56879</v>
          </cell>
          <cell r="P250" t="str">
            <v>done</v>
          </cell>
          <cell r="Q250">
            <v>307840349410</v>
          </cell>
        </row>
        <row r="251">
          <cell r="I251" t="str">
            <v>EITU1329000</v>
          </cell>
          <cell r="J251" t="str">
            <v>HƯỜNG
KÉO VỀ</v>
          </cell>
          <cell r="K251">
            <v>0.54166666666666663</v>
          </cell>
          <cell r="L251" t="str">
            <v>EISU8319308</v>
          </cell>
          <cell r="N251" t="str">
            <v>HẠ GIC</v>
          </cell>
          <cell r="O251" t="str">
            <v>VS-25/51524</v>
          </cell>
          <cell r="P251" t="str">
            <v>done</v>
          </cell>
          <cell r="Q251">
            <v>307842979160</v>
          </cell>
        </row>
        <row r="252">
          <cell r="I252" t="str">
            <v>MAGU5400658</v>
          </cell>
          <cell r="J252" t="str">
            <v>SÂM
CHƯA VỀ</v>
          </cell>
          <cell r="K252">
            <v>0.875</v>
          </cell>
          <cell r="L252" t="str">
            <v>FSCU8234806</v>
          </cell>
          <cell r="O252" t="str">
            <v>VH-25/50580</v>
          </cell>
          <cell r="Q252">
            <v>307842243940</v>
          </cell>
        </row>
        <row r="253">
          <cell r="I253" t="str">
            <v>TXGU8322568</v>
          </cell>
          <cell r="J253" t="str">
            <v>MẠNH MIN
KÉO VỀ</v>
          </cell>
          <cell r="K253">
            <v>0.95833333333333337</v>
          </cell>
          <cell r="L253" t="str">
            <v>TRHU8308175</v>
          </cell>
          <cell r="O253" t="str">
            <v>VB-25/52469</v>
          </cell>
          <cell r="Q253">
            <v>307842240220</v>
          </cell>
        </row>
        <row r="254">
          <cell r="I254" t="str">
            <v>BEAU5638649</v>
          </cell>
          <cell r="J254" t="str">
            <v>AN TRANG</v>
          </cell>
          <cell r="K254">
            <v>0.625</v>
          </cell>
          <cell r="L254" t="str">
            <v>BEAU5638649</v>
          </cell>
          <cell r="N254" t="str">
            <v>TÂN VŨ</v>
          </cell>
          <cell r="O254" t="str">
            <v>VS-25/51517</v>
          </cell>
          <cell r="P254" t="str">
            <v>done</v>
          </cell>
          <cell r="Q254">
            <v>307842246740</v>
          </cell>
        </row>
        <row r="255">
          <cell r="I255" t="str">
            <v>MSNU8571916</v>
          </cell>
          <cell r="J255" t="str">
            <v>DĐỨC
QUÂN KÉO VỀ</v>
          </cell>
          <cell r="K255">
            <v>0.875</v>
          </cell>
          <cell r="L255" t="str">
            <v xml:space="preserve">EGHU9293582 </v>
          </cell>
          <cell r="N255" t="str">
            <v>NAM ĐÌNH VŨ</v>
          </cell>
          <cell r="O255" t="str">
            <v>VP-25/53119</v>
          </cell>
          <cell r="P255" t="str">
            <v>done</v>
          </cell>
          <cell r="Q255">
            <v>307844012030</v>
          </cell>
        </row>
        <row r="256">
          <cell r="I256" t="str">
            <v>CAIU7626512</v>
          </cell>
          <cell r="J256" t="str">
            <v>AN TRANG</v>
          </cell>
          <cell r="K256">
            <v>0.45833333333333331</v>
          </cell>
          <cell r="L256" t="str">
            <v>CAIU7626512</v>
          </cell>
          <cell r="N256" t="str">
            <v>HẠ HATECO</v>
          </cell>
          <cell r="P256" t="str">
            <v>done</v>
          </cell>
          <cell r="Q256">
            <v>307843639960</v>
          </cell>
        </row>
        <row r="257">
          <cell r="I257" t="str">
            <v>TIIU5448970</v>
          </cell>
          <cell r="J257" t="str">
            <v>MẠNH
SÂM KÉO VỀ</v>
          </cell>
          <cell r="K257">
            <v>0.625</v>
          </cell>
          <cell r="L257" t="str">
            <v>SELU4393036</v>
          </cell>
          <cell r="O257" t="str">
            <v>VR-25/52280</v>
          </cell>
          <cell r="Q257">
            <v>307843425540</v>
          </cell>
        </row>
        <row r="258">
          <cell r="I258" t="str">
            <v>UETU5843566</v>
          </cell>
          <cell r="J258" t="str">
            <v>THI
HƯỜNG KÉO VỀ</v>
          </cell>
          <cell r="K258">
            <v>0.625</v>
          </cell>
          <cell r="L258" t="str">
            <v>TXGU8968028</v>
          </cell>
          <cell r="N258" t="str">
            <v>HẠ TÂN VŨ</v>
          </cell>
          <cell r="O258" t="str">
            <v>VP-25/53095</v>
          </cell>
          <cell r="P258" t="str">
            <v>done</v>
          </cell>
          <cell r="Q258">
            <v>307843770860</v>
          </cell>
        </row>
        <row r="259">
          <cell r="I259" t="str">
            <v>APHU6734374</v>
          </cell>
          <cell r="J259" t="str">
            <v>AN TRANG</v>
          </cell>
          <cell r="K259">
            <v>0.625</v>
          </cell>
          <cell r="L259" t="str">
            <v>APHU6734374</v>
          </cell>
          <cell r="N259" t="str">
            <v>HẠ HATECO</v>
          </cell>
          <cell r="O259" t="str">
            <v>VP-25/53127</v>
          </cell>
          <cell r="P259" t="str">
            <v>done</v>
          </cell>
          <cell r="Q259">
            <v>307843615500</v>
          </cell>
        </row>
        <row r="260">
          <cell r="I260" t="str">
            <v>TGBU7882272</v>
          </cell>
          <cell r="J260" t="str">
            <v>HƯNG
VINH KÉO VỀ</v>
          </cell>
          <cell r="K260">
            <v>0.875</v>
          </cell>
          <cell r="L260" t="str">
            <v>EGSU2189287</v>
          </cell>
          <cell r="N260" t="str">
            <v>HẠ GIC</v>
          </cell>
          <cell r="O260" t="str">
            <v>VR-25/52279</v>
          </cell>
          <cell r="P260" t="str">
            <v>done</v>
          </cell>
          <cell r="Q260">
            <v>307843988710</v>
          </cell>
        </row>
        <row r="261">
          <cell r="I261" t="str">
            <v>TRHU6753947</v>
          </cell>
          <cell r="J261" t="str">
            <v>HƯỜNG
SÂM KÉO VỀ</v>
          </cell>
          <cell r="K261">
            <v>0.95833333333333337</v>
          </cell>
          <cell r="L261" t="str">
            <v>UETU5843566</v>
          </cell>
          <cell r="N261" t="str">
            <v>HẠ TÂN VŨ</v>
          </cell>
          <cell r="O261" t="str">
            <v>VR-25/52278</v>
          </cell>
          <cell r="P261" t="str">
            <v>done</v>
          </cell>
          <cell r="Q261">
            <v>307843380630</v>
          </cell>
        </row>
        <row r="262">
          <cell r="I262" t="str">
            <v>EGSU2189287</v>
          </cell>
          <cell r="J262" t="str">
            <v>VINH
HƯNG KÉO VỀ</v>
          </cell>
          <cell r="K262">
            <v>0.41666666666666669</v>
          </cell>
          <cell r="L262" t="str">
            <v>GESU9539338</v>
          </cell>
          <cell r="N262" t="str">
            <v>GIC</v>
          </cell>
          <cell r="P262" t="str">
            <v>done</v>
          </cell>
          <cell r="Q262">
            <v>307843643610</v>
          </cell>
        </row>
        <row r="263">
          <cell r="I263" t="str">
            <v>CGMU5482485</v>
          </cell>
          <cell r="J263" t="str">
            <v>TÍN
HƯỜNG KÉO VỀ</v>
          </cell>
          <cell r="K263">
            <v>0.54166666666666663</v>
          </cell>
          <cell r="L263" t="str">
            <v>ECMU7354338</v>
          </cell>
          <cell r="N263" t="str">
            <v>TÂN VŨ</v>
          </cell>
          <cell r="P263" t="str">
            <v>done</v>
          </cell>
          <cell r="Q263">
            <v>307843812050</v>
          </cell>
        </row>
        <row r="264">
          <cell r="I264" t="str">
            <v>CGMU5328470</v>
          </cell>
          <cell r="J264" t="str">
            <v>XUYÊN
HỒNG HƯNG KÉO VỀ</v>
          </cell>
          <cell r="K264">
            <v>0.58333333333333337</v>
          </cell>
          <cell r="L264" t="str">
            <v>TTNU8435820</v>
          </cell>
          <cell r="N264" t="str">
            <v>TÂN VŨ</v>
          </cell>
          <cell r="P264" t="str">
            <v>done</v>
          </cell>
          <cell r="Q264">
            <v>307843853500</v>
          </cell>
        </row>
        <row r="265">
          <cell r="I265" t="str">
            <v>TRHU7379615</v>
          </cell>
          <cell r="J265" t="str">
            <v>DŨNG
KÉO VỀ</v>
          </cell>
          <cell r="K265">
            <v>0.9375</v>
          </cell>
          <cell r="L265" t="str">
            <v>TRHU7379615</v>
          </cell>
          <cell r="N265" t="str">
            <v>HẠ GIC</v>
          </cell>
          <cell r="O265" t="str">
            <v>VI-25/56915</v>
          </cell>
          <cell r="P265" t="str">
            <v>done</v>
          </cell>
          <cell r="Q265">
            <v>307844059520</v>
          </cell>
        </row>
        <row r="266">
          <cell r="I266" t="str">
            <v>EGSU1354999</v>
          </cell>
          <cell r="J266" t="str">
            <v>THỤY
KÉO VỀ</v>
          </cell>
          <cell r="K266">
            <v>0.125</v>
          </cell>
          <cell r="L266" t="str">
            <v>EGSU1354999</v>
          </cell>
          <cell r="N266" t="str">
            <v>HẠ GIC</v>
          </cell>
          <cell r="O266" t="str">
            <v>VI-25/56912</v>
          </cell>
          <cell r="P266" t="str">
            <v>done</v>
          </cell>
          <cell r="Q266">
            <v>307844191930</v>
          </cell>
        </row>
        <row r="267">
          <cell r="I267" t="str">
            <v>MRSU8418971</v>
          </cell>
          <cell r="J267" t="str">
            <v>RU TRƯỜNG NHÂN PHÁT</v>
          </cell>
          <cell r="K267">
            <v>0.54166666666666663</v>
          </cell>
          <cell r="L267" t="str">
            <v>MRSU8418971</v>
          </cell>
          <cell r="N267" t="str">
            <v>HATECO HICT</v>
          </cell>
          <cell r="O267" t="str">
            <v>VB-25/52466</v>
          </cell>
          <cell r="P267" t="str">
            <v>done</v>
          </cell>
          <cell r="Q267">
            <v>307842801250</v>
          </cell>
        </row>
        <row r="268">
          <cell r="I268" t="str">
            <v>MRSU7424331</v>
          </cell>
          <cell r="J268" t="str">
            <v>RU ĐĂNG KHOA</v>
          </cell>
          <cell r="K268">
            <v>0.875</v>
          </cell>
          <cell r="L268" t="str">
            <v>MRSU7424331</v>
          </cell>
          <cell r="N268" t="str">
            <v>HATECO HICT</v>
          </cell>
          <cell r="O268" t="str">
            <v>VB-25/52467</v>
          </cell>
          <cell r="P268" t="str">
            <v>done</v>
          </cell>
          <cell r="Q268">
            <v>307842827150</v>
          </cell>
        </row>
        <row r="269">
          <cell r="I269" t="str">
            <v>CAAU9351324</v>
          </cell>
          <cell r="J269" t="str">
            <v>RU ĐĂNG KHOA</v>
          </cell>
          <cell r="K269">
            <v>0.875</v>
          </cell>
          <cell r="L269" t="str">
            <v>CAAU9351324</v>
          </cell>
          <cell r="N269" t="str">
            <v>HATECO HICT</v>
          </cell>
          <cell r="O269" t="str">
            <v>VB-25/52465</v>
          </cell>
          <cell r="P269" t="str">
            <v>done</v>
          </cell>
          <cell r="Q269">
            <v>307842851210</v>
          </cell>
        </row>
        <row r="270">
          <cell r="I270" t="str">
            <v>MRSU8564889</v>
          </cell>
          <cell r="J270" t="str">
            <v>RU TÙNG DŨNG</v>
          </cell>
          <cell r="K270">
            <v>0.95833333333333337</v>
          </cell>
          <cell r="L270" t="str">
            <v>MRSU8564889</v>
          </cell>
          <cell r="N270" t="str">
            <v>HATECO HICT</v>
          </cell>
          <cell r="O270" t="str">
            <v>VB-25/52470</v>
          </cell>
          <cell r="P270" t="str">
            <v>done</v>
          </cell>
          <cell r="Q270">
            <v>307842896560</v>
          </cell>
        </row>
        <row r="271">
          <cell r="I271" t="str">
            <v>MRSU8263864</v>
          </cell>
          <cell r="J271" t="str">
            <v>RU ĐĂNG KHOA</v>
          </cell>
          <cell r="K271">
            <v>0.375</v>
          </cell>
          <cell r="L271" t="str">
            <v>MRSU8263864</v>
          </cell>
          <cell r="N271" t="str">
            <v>HATECO HICT</v>
          </cell>
          <cell r="O271">
            <v>3</v>
          </cell>
          <cell r="P271" t="str">
            <v>done</v>
          </cell>
          <cell r="Q271">
            <v>307843330820</v>
          </cell>
        </row>
        <row r="272">
          <cell r="I272" t="str">
            <v>CAJU5040613</v>
          </cell>
          <cell r="J272" t="str">
            <v>RU HỒNG TRANG</v>
          </cell>
          <cell r="K272">
            <v>0.33333333333333331</v>
          </cell>
          <cell r="L272" t="str">
            <v>CAJU5040613</v>
          </cell>
          <cell r="N272" t="str">
            <v>HATECO HICT</v>
          </cell>
          <cell r="O272" t="str">
            <v>VI-25/56888</v>
          </cell>
          <cell r="P272" t="str">
            <v>done</v>
          </cell>
          <cell r="Q272">
            <v>307843530060</v>
          </cell>
        </row>
        <row r="273">
          <cell r="I273" t="str">
            <v>MRSU7889030</v>
          </cell>
          <cell r="J273" t="str">
            <v>RU VIETLINK</v>
          </cell>
          <cell r="K273">
            <v>0.33333333333333331</v>
          </cell>
          <cell r="L273" t="str">
            <v>MRSU7889030</v>
          </cell>
          <cell r="N273" t="str">
            <v>HATECO HICT</v>
          </cell>
          <cell r="O273" t="str">
            <v>VI-25/56892</v>
          </cell>
          <cell r="P273" t="str">
            <v>done</v>
          </cell>
          <cell r="Q273">
            <v>307843591550</v>
          </cell>
        </row>
        <row r="274">
          <cell r="I274" t="str">
            <v>MRSU4988071</v>
          </cell>
          <cell r="J274" t="str">
            <v>RU ĐĂNG KHOA</v>
          </cell>
          <cell r="K274">
            <v>0.39583333333333331</v>
          </cell>
          <cell r="L274" t="str">
            <v>MRSU4988071</v>
          </cell>
          <cell r="N274" t="str">
            <v>HATECO HICT</v>
          </cell>
          <cell r="O274" t="str">
            <v>VI-25/56895</v>
          </cell>
          <cell r="P274" t="str">
            <v>done</v>
          </cell>
          <cell r="Q274">
            <v>307843671020</v>
          </cell>
        </row>
        <row r="275">
          <cell r="I275" t="str">
            <v>MRSU8143431</v>
          </cell>
          <cell r="J275" t="str">
            <v>RU VIETLINK</v>
          </cell>
          <cell r="K275">
            <v>0.4236111111111111</v>
          </cell>
          <cell r="L275" t="str">
            <v>MRSU8143431</v>
          </cell>
          <cell r="N275" t="str">
            <v>HATECO HICT</v>
          </cell>
          <cell r="O275" t="str">
            <v>VI-25/56855</v>
          </cell>
          <cell r="P275" t="str">
            <v>done</v>
          </cell>
          <cell r="Q275">
            <v>307840381350</v>
          </cell>
        </row>
        <row r="276">
          <cell r="I276" t="str">
            <v>MRSU5562162</v>
          </cell>
          <cell r="J276" t="str">
            <v>ĐỨC
MẠNH MIN KÉO VỀ</v>
          </cell>
          <cell r="K276">
            <v>0.58333333333333337</v>
          </cell>
          <cell r="L276" t="str">
            <v>MRSU3862068</v>
          </cell>
          <cell r="N276" t="str">
            <v>HATECO HICT</v>
          </cell>
          <cell r="O276" t="str">
            <v>VI-25/56898</v>
          </cell>
          <cell r="P276" t="str">
            <v>done</v>
          </cell>
          <cell r="Q276">
            <v>307843835520</v>
          </cell>
        </row>
        <row r="277">
          <cell r="I277" t="str">
            <v>MRSU6158670</v>
          </cell>
          <cell r="J277" t="str">
            <v>RU VIETLINK</v>
          </cell>
          <cell r="K277">
            <v>0.63194444444444442</v>
          </cell>
          <cell r="L277" t="str">
            <v>MRSU6158670</v>
          </cell>
          <cell r="N277" t="str">
            <v>HATECO HICT</v>
          </cell>
          <cell r="O277" t="str">
            <v>VI-25/56900</v>
          </cell>
          <cell r="P277" t="str">
            <v>done</v>
          </cell>
          <cell r="Q277">
            <v>307843910530</v>
          </cell>
        </row>
        <row r="278">
          <cell r="I278" t="str">
            <v>UETU8167233</v>
          </cell>
          <cell r="J278" t="str">
            <v>RU VIETLINK</v>
          </cell>
          <cell r="K278">
            <v>0.97916666666666663</v>
          </cell>
          <cell r="L278" t="str">
            <v>UETU8167233</v>
          </cell>
          <cell r="N278" t="str">
            <v>HATECO HICT</v>
          </cell>
          <cell r="O278" t="str">
            <v>VI-25/56907</v>
          </cell>
          <cell r="P278" t="str">
            <v>done</v>
          </cell>
          <cell r="Q278">
            <v>307844090540</v>
          </cell>
        </row>
        <row r="279">
          <cell r="I279" t="str">
            <v>CAAU7090068</v>
          </cell>
          <cell r="J279" t="str">
            <v>RU VIETLINK</v>
          </cell>
          <cell r="K279">
            <v>6.25E-2</v>
          </cell>
          <cell r="L279" t="str">
            <v>CAAU7090068</v>
          </cell>
          <cell r="N279" t="str">
            <v>HATECO HICT</v>
          </cell>
          <cell r="O279" t="str">
            <v>VI-25/56908</v>
          </cell>
          <cell r="P279" t="str">
            <v>done</v>
          </cell>
          <cell r="Q279">
            <v>307844119610</v>
          </cell>
        </row>
        <row r="280">
          <cell r="I280" t="str">
            <v>MRSU8297484</v>
          </cell>
          <cell r="J280" t="str">
            <v>RU VIETLINK</v>
          </cell>
          <cell r="K280">
            <v>9.375E-2</v>
          </cell>
          <cell r="L280" t="str">
            <v>MRSU8297484</v>
          </cell>
          <cell r="N280" t="str">
            <v>HATECO HICT</v>
          </cell>
          <cell r="O280" t="str">
            <v>VI-25/56910</v>
          </cell>
          <cell r="P280" t="str">
            <v>done</v>
          </cell>
          <cell r="Q280">
            <v>307844180620</v>
          </cell>
        </row>
        <row r="281">
          <cell r="I281" t="str">
            <v>TIIU4607656</v>
          </cell>
          <cell r="J281" t="str">
            <v>QUÂN
THI KÉO VỀ</v>
          </cell>
          <cell r="K281">
            <v>0.14583333333333334</v>
          </cell>
          <cell r="L281" t="str">
            <v>GCXU5678591</v>
          </cell>
          <cell r="N281" t="str">
            <v>HATECO HICT</v>
          </cell>
          <cell r="O281" t="str">
            <v>VI-25/56856</v>
          </cell>
          <cell r="P281" t="str">
            <v>done</v>
          </cell>
          <cell r="Q281">
            <v>307844199410</v>
          </cell>
        </row>
        <row r="282">
          <cell r="I282" t="str">
            <v>TEMU6380346</v>
          </cell>
          <cell r="J282" t="str">
            <v>HƯỜNG
KÉO VỀ</v>
          </cell>
          <cell r="K282">
            <v>0.875</v>
          </cell>
          <cell r="L282" t="str">
            <v>EITU1329000</v>
          </cell>
          <cell r="N282" t="str">
            <v>HẠ GIC</v>
          </cell>
          <cell r="O282" t="str">
            <v>VF-25/50080</v>
          </cell>
          <cell r="P282" t="str">
            <v>done</v>
          </cell>
          <cell r="Q282">
            <v>307845892340</v>
          </cell>
        </row>
        <row r="283">
          <cell r="I283" t="str">
            <v>EISU8567840</v>
          </cell>
          <cell r="J283" t="str">
            <v>ĐĂNG KHOA</v>
          </cell>
          <cell r="K283">
            <v>0.875</v>
          </cell>
          <cell r="L283" t="str">
            <v>EISU8567840</v>
          </cell>
          <cell r="N283" t="str">
            <v>HẠ SAO Á</v>
          </cell>
          <cell r="O283" t="str">
            <v>VB-25/52474
VS-25/51520</v>
          </cell>
          <cell r="P283" t="str">
            <v>done</v>
          </cell>
          <cell r="Q283" t="str">
            <v>307845917540
307845925350</v>
          </cell>
        </row>
        <row r="284">
          <cell r="I284" t="str">
            <v>TLLU5910294</v>
          </cell>
          <cell r="J284" t="str">
            <v>THI
ĐỨC KÉO VỀ</v>
          </cell>
          <cell r="K284">
            <v>0</v>
          </cell>
          <cell r="L284" t="str">
            <v>EMCU8838126</v>
          </cell>
          <cell r="N284" t="str">
            <v>HẠ GIC</v>
          </cell>
          <cell r="O284" t="str">
            <v>VB-25/52482</v>
          </cell>
          <cell r="P284" t="str">
            <v>done</v>
          </cell>
          <cell r="Q284">
            <v>307845854800</v>
          </cell>
        </row>
        <row r="285">
          <cell r="I285" t="str">
            <v>GCXU5390347</v>
          </cell>
          <cell r="J285" t="str">
            <v>MẠNH
CHƯA VỀ</v>
          </cell>
          <cell r="K285">
            <v>0.41666666666666669</v>
          </cell>
          <cell r="L285" t="str">
            <v>EMCU8752830</v>
          </cell>
          <cell r="N285" t="str">
            <v>HẠ LẠCH HUYỆN</v>
          </cell>
          <cell r="Q285">
            <v>307847246250</v>
          </cell>
        </row>
        <row r="286">
          <cell r="I286" t="str">
            <v>CMAU6828867</v>
          </cell>
          <cell r="J286" t="str">
            <v>SÂM
KÉO VỀ</v>
          </cell>
          <cell r="K286">
            <v>0.875</v>
          </cell>
          <cell r="L286" t="str">
            <v>TRHU6753947</v>
          </cell>
          <cell r="N286" t="str">
            <v>TÂN VŨ</v>
          </cell>
          <cell r="O286" t="str">
            <v>VR-25/52290</v>
          </cell>
          <cell r="P286" t="str">
            <v>done</v>
          </cell>
          <cell r="Q286">
            <v>307847405150</v>
          </cell>
        </row>
        <row r="287">
          <cell r="I287" t="str">
            <v>EGSU1242941</v>
          </cell>
          <cell r="J287" t="str">
            <v>MẠNH MIN 
SÂM KÉO VỀ</v>
          </cell>
          <cell r="K287">
            <v>0.875</v>
          </cell>
          <cell r="L287" t="str">
            <v>EITU9158829</v>
          </cell>
          <cell r="N287" t="str">
            <v>HẠ TÂN VŨ</v>
          </cell>
          <cell r="O287" t="str">
            <v>VR-25/52291</v>
          </cell>
          <cell r="P287" t="str">
            <v>done</v>
          </cell>
          <cell r="Q287">
            <v>307847465460</v>
          </cell>
        </row>
        <row r="288">
          <cell r="I288" t="str">
            <v xml:space="preserve">CAAU6882040 </v>
          </cell>
          <cell r="J288" t="str">
            <v>THANH
CHƯA VỀ</v>
          </cell>
          <cell r="K288">
            <v>0</v>
          </cell>
          <cell r="L288" t="str">
            <v>EMCU1549841</v>
          </cell>
          <cell r="N288" t="str">
            <v>HẠ SAO Á</v>
          </cell>
          <cell r="O288" t="str">
            <v>RTB-25/0354</v>
          </cell>
          <cell r="Q288" t="str">
            <v>307851007020
307851055060</v>
          </cell>
        </row>
        <row r="289">
          <cell r="I289" t="str">
            <v>CGMU5289460</v>
          </cell>
          <cell r="J289" t="str">
            <v>VINH
CHƯA VỀ</v>
          </cell>
          <cell r="K289">
            <v>0.375</v>
          </cell>
          <cell r="L289" t="str">
            <v>TGBU7882272</v>
          </cell>
          <cell r="N289" t="str">
            <v>TÂN VŨ</v>
          </cell>
          <cell r="Q289">
            <v>307847718750</v>
          </cell>
        </row>
        <row r="290">
          <cell r="I290" t="str">
            <v>CGMU6973077</v>
          </cell>
          <cell r="J290" t="str">
            <v>HỒNG HƯNG
KÉO VỀ</v>
          </cell>
          <cell r="K290">
            <v>0</v>
          </cell>
          <cell r="L290" t="str">
            <v>CGMU6973077</v>
          </cell>
          <cell r="N290" t="str">
            <v>TÂN VŨ</v>
          </cell>
          <cell r="O290" t="str">
            <v>VP-25/53148</v>
          </cell>
          <cell r="P290" t="str">
            <v>done</v>
          </cell>
          <cell r="Q290">
            <v>307847696460</v>
          </cell>
        </row>
        <row r="291">
          <cell r="I291" t="str">
            <v>CGMU5243916</v>
          </cell>
          <cell r="J291" t="str">
            <v>THỤY
KÉO VỀ</v>
          </cell>
          <cell r="K291">
            <v>4.1666666666666664E-2</v>
          </cell>
          <cell r="L291" t="str">
            <v>CGMU5243916</v>
          </cell>
          <cell r="N291" t="str">
            <v>TÂN VŨ</v>
          </cell>
          <cell r="O291" t="str">
            <v>VP-25/53146</v>
          </cell>
          <cell r="P291" t="str">
            <v>done</v>
          </cell>
          <cell r="Q291">
            <v>307847627640</v>
          </cell>
        </row>
        <row r="292">
          <cell r="I292" t="str">
            <v>CAAU9587346</v>
          </cell>
          <cell r="J292" t="str">
            <v>VINH
kéo về</v>
          </cell>
          <cell r="K292">
            <v>0.875</v>
          </cell>
          <cell r="L292" t="str">
            <v>CAAU9587346</v>
          </cell>
          <cell r="N292" t="str">
            <v>GIC</v>
          </cell>
          <cell r="O292" t="str">
            <v>VI-25/56933</v>
          </cell>
          <cell r="P292" t="str">
            <v>done</v>
          </cell>
          <cell r="Q292">
            <v>307848986010</v>
          </cell>
        </row>
        <row r="293">
          <cell r="I293" t="str">
            <v>MRKU6466598</v>
          </cell>
          <cell r="J293" t="str">
            <v>QUÂN
QUÂN KÉO VỀ</v>
          </cell>
          <cell r="K293">
            <v>0.33333333333333331</v>
          </cell>
          <cell r="N293" t="str">
            <v>HATECO HICT</v>
          </cell>
          <cell r="O293" t="str">
            <v>VB-25/52468</v>
          </cell>
          <cell r="P293" t="str">
            <v>done</v>
          </cell>
          <cell r="Q293">
            <v>307847070440</v>
          </cell>
        </row>
        <row r="294">
          <cell r="I294" t="str">
            <v>MRKU5053898</v>
          </cell>
          <cell r="J294" t="str">
            <v>RU TÙNG DŨNG</v>
          </cell>
          <cell r="K294">
            <v>0.58333333333333337</v>
          </cell>
          <cell r="L294" t="str">
            <v>MRKU5053898</v>
          </cell>
          <cell r="N294" t="str">
            <v>HATECO HICT</v>
          </cell>
          <cell r="O294" t="str">
            <v>VB-25/52479</v>
          </cell>
          <cell r="P294" t="str">
            <v>done</v>
          </cell>
          <cell r="Q294">
            <v>307847149430</v>
          </cell>
        </row>
        <row r="295">
          <cell r="I295" t="str">
            <v>MRKU5450046</v>
          </cell>
          <cell r="J295" t="str">
            <v>RU Vietlink</v>
          </cell>
          <cell r="K295">
            <v>0.625</v>
          </cell>
          <cell r="L295" t="str">
            <v>MRKU5450046</v>
          </cell>
          <cell r="N295" t="str">
            <v>HATECO HICT</v>
          </cell>
          <cell r="O295" t="str">
            <v>VB-25/52478</v>
          </cell>
          <cell r="P295" t="str">
            <v>done</v>
          </cell>
          <cell r="Q295">
            <v>307847100760</v>
          </cell>
        </row>
        <row r="296">
          <cell r="I296" t="str">
            <v>MRSU7518657</v>
          </cell>
          <cell r="J296" t="str">
            <v>RU KỶ NGUYÊN</v>
          </cell>
          <cell r="K296">
            <v>0</v>
          </cell>
          <cell r="L296" t="str">
            <v>MRSU7518657</v>
          </cell>
          <cell r="N296" t="str">
            <v>HATECO HICT</v>
          </cell>
          <cell r="O296" t="str">
            <v>VB-25/52481</v>
          </cell>
          <cell r="P296" t="str">
            <v>done</v>
          </cell>
          <cell r="Q296">
            <v>307847202850</v>
          </cell>
        </row>
        <row r="297">
          <cell r="I297" t="str">
            <v>TGCU5176748</v>
          </cell>
          <cell r="J297" t="str">
            <v>QUÂN
HƯỜNG KÉO VỀ</v>
          </cell>
          <cell r="K297">
            <v>0.125</v>
          </cell>
          <cell r="L297" t="str">
            <v>MRKU6466598</v>
          </cell>
          <cell r="N297" t="str">
            <v>HATECO HICT</v>
          </cell>
          <cell r="O297" t="str">
            <v>VB-25/52480</v>
          </cell>
          <cell r="P297" t="str">
            <v>done</v>
          </cell>
          <cell r="Q297">
            <v>307845870530</v>
          </cell>
        </row>
        <row r="298">
          <cell r="I298" t="str">
            <v>CAAU6655088</v>
          </cell>
          <cell r="J298" t="str">
            <v>RU Vietlink</v>
          </cell>
          <cell r="K298">
            <v>0.34375</v>
          </cell>
          <cell r="L298" t="str">
            <v>CAAU6655088</v>
          </cell>
          <cell r="N298" t="str">
            <v>HATECO HICT</v>
          </cell>
          <cell r="O298" t="str">
            <v>VI-25/56921</v>
          </cell>
          <cell r="P298" t="str">
            <v>done</v>
          </cell>
          <cell r="Q298">
            <v>307847122020</v>
          </cell>
        </row>
        <row r="299">
          <cell r="I299" t="str">
            <v>UETU7596450</v>
          </cell>
          <cell r="J299" t="str">
            <v>RU Vietlink</v>
          </cell>
          <cell r="K299">
            <v>0.39583333333333331</v>
          </cell>
          <cell r="L299" t="str">
            <v>UETU7596450</v>
          </cell>
          <cell r="N299" t="str">
            <v>HATECO HICT</v>
          </cell>
          <cell r="O299" t="str">
            <v>VI-25/56924</v>
          </cell>
          <cell r="P299" t="str">
            <v>done</v>
          </cell>
          <cell r="Q299">
            <v>307847221050</v>
          </cell>
        </row>
        <row r="300">
          <cell r="I300" t="str">
            <v>CAAU8311820</v>
          </cell>
          <cell r="J300" t="str">
            <v>RU ĐĂNG KHOA</v>
          </cell>
          <cell r="K300">
            <v>0.45833333333333331</v>
          </cell>
          <cell r="L300" t="str">
            <v>CAAU8311820</v>
          </cell>
          <cell r="N300" t="str">
            <v>HATECO HICT</v>
          </cell>
          <cell r="O300" t="str">
            <v>VI-25/56928</v>
          </cell>
          <cell r="P300" t="str">
            <v>done</v>
          </cell>
          <cell r="Q300">
            <v>307847390710</v>
          </cell>
        </row>
        <row r="301">
          <cell r="I301" t="str">
            <v>MRSU8433955</v>
          </cell>
          <cell r="J301" t="str">
            <v>RU Vietlink</v>
          </cell>
          <cell r="K301">
            <v>0.57291666666666663</v>
          </cell>
          <cell r="L301" t="str">
            <v>MRSU8433955</v>
          </cell>
          <cell r="N301" t="str">
            <v>HATECO HICT</v>
          </cell>
          <cell r="O301" t="str">
            <v>VI-25/56929</v>
          </cell>
          <cell r="P301" t="str">
            <v>done</v>
          </cell>
          <cell r="Q301">
            <v>307847502560</v>
          </cell>
        </row>
        <row r="302">
          <cell r="I302" t="str">
            <v>CAAU8319190</v>
          </cell>
          <cell r="J302" t="str">
            <v>MẠNH
ĐỨC KÉO VỀ</v>
          </cell>
          <cell r="K302">
            <v>0.60416666666666663</v>
          </cell>
          <cell r="L302" t="str">
            <v>MRSU5562162</v>
          </cell>
          <cell r="N302" t="str">
            <v>HATECO HICT</v>
          </cell>
          <cell r="O302" t="str">
            <v>VI-25/56931</v>
          </cell>
          <cell r="P302" t="str">
            <v>done</v>
          </cell>
          <cell r="Q302">
            <v>307847538260</v>
          </cell>
        </row>
        <row r="303">
          <cell r="I303" t="str">
            <v>TGBU8891670</v>
          </cell>
          <cell r="J303" t="str">
            <v>RU Vietlink</v>
          </cell>
          <cell r="K303">
            <v>0.94791666666666663</v>
          </cell>
          <cell r="L303" t="str">
            <v>TGBU8891670</v>
          </cell>
          <cell r="N303" t="str">
            <v>HATECO HICT</v>
          </cell>
          <cell r="O303" t="str">
            <v>VI-25/56939</v>
          </cell>
          <cell r="P303" t="str">
            <v>done</v>
          </cell>
          <cell r="Q303">
            <v>307847729510</v>
          </cell>
        </row>
        <row r="304">
          <cell r="I304" t="str">
            <v>MRKU6376160</v>
          </cell>
          <cell r="J304" t="str">
            <v>THI
THANH KÉO VỀ</v>
          </cell>
          <cell r="K304">
            <v>0.125</v>
          </cell>
          <cell r="L304" t="str">
            <v>TIIU4607656</v>
          </cell>
          <cell r="N304" t="str">
            <v>HATECO HICT</v>
          </cell>
          <cell r="O304" t="str">
            <v>VI-25/56945</v>
          </cell>
          <cell r="P304" t="str">
            <v>done</v>
          </cell>
          <cell r="Q304">
            <v>307847765650</v>
          </cell>
        </row>
        <row r="305">
          <cell r="I305" t="str">
            <v>UETU8482528</v>
          </cell>
          <cell r="J305" t="str">
            <v>RU ANH KIỆT</v>
          </cell>
          <cell r="K305" t="str">
            <v>13:00</v>
          </cell>
          <cell r="L305" t="str">
            <v>UETU8482528</v>
          </cell>
          <cell r="N305" t="str">
            <v>HATECO HICT</v>
          </cell>
          <cell r="P305" t="str">
            <v>done</v>
          </cell>
          <cell r="Q305">
            <v>307847357220</v>
          </cell>
        </row>
        <row r="306">
          <cell r="I306" t="str">
            <v>MRSU8473325</v>
          </cell>
          <cell r="J306" t="str">
            <v>RU ĐĂNG KHOA</v>
          </cell>
          <cell r="K306" t="str">
            <v>14:00</v>
          </cell>
          <cell r="L306" t="str">
            <v>MRSU8473325</v>
          </cell>
          <cell r="N306" t="str">
            <v>HATECO HICT</v>
          </cell>
          <cell r="P306" t="str">
            <v>done</v>
          </cell>
          <cell r="Q306">
            <v>307847327930</v>
          </cell>
        </row>
        <row r="307">
          <cell r="I307" t="str">
            <v>FFAU7271650</v>
          </cell>
          <cell r="J307" t="str">
            <v>RU ANH KIỆT</v>
          </cell>
          <cell r="K307" t="str">
            <v>21:00</v>
          </cell>
          <cell r="L307" t="str">
            <v>FFAU7271650</v>
          </cell>
          <cell r="N307" t="str">
            <v>HATECO HICT</v>
          </cell>
          <cell r="O307" t="str">
            <v>VR-25/52285</v>
          </cell>
          <cell r="P307" t="str">
            <v>done</v>
          </cell>
          <cell r="Q307">
            <v>307847287550</v>
          </cell>
        </row>
        <row r="308">
          <cell r="I308" t="str">
            <v>TIIU4317596</v>
          </cell>
          <cell r="J308" t="str">
            <v>ĐỨC
THI KÉO VỀ</v>
          </cell>
          <cell r="K308">
            <v>0.33333333333333331</v>
          </cell>
          <cell r="L308" t="str">
            <v>TLLU5910294</v>
          </cell>
          <cell r="N308" t="str">
            <v>HẠ GIC</v>
          </cell>
          <cell r="O308" t="str">
            <v>VB-25/52488 
CB VS-25/51527</v>
          </cell>
          <cell r="P308" t="str">
            <v>done</v>
          </cell>
          <cell r="Q308" t="str">
            <v>307848756630
307848786400</v>
          </cell>
        </row>
        <row r="309">
          <cell r="I309" t="str">
            <v>EMCU1781559</v>
          </cell>
          <cell r="J309" t="str">
            <v>HƯỜNG
MẠNH KÉO VỀ</v>
          </cell>
          <cell r="K309">
            <v>0.33333333333333331</v>
          </cell>
          <cell r="L309" t="str">
            <v>TGCU5176748</v>
          </cell>
          <cell r="O309" t="str">
            <v>VS-25/51528</v>
          </cell>
          <cell r="Q309">
            <v>307848821510</v>
          </cell>
        </row>
        <row r="310">
          <cell r="I310" t="str">
            <v>EGHU9233412</v>
          </cell>
          <cell r="J310" t="str">
            <v>THI
ĐỨC KÉO VỀ</v>
          </cell>
          <cell r="K310">
            <v>0.91666666666666663</v>
          </cell>
          <cell r="L310" t="str">
            <v>TIIU4317596</v>
          </cell>
          <cell r="N310" t="str">
            <v>HẠ SAO Á</v>
          </cell>
          <cell r="O310" t="str">
            <v>VB-25/52485</v>
          </cell>
          <cell r="P310" t="str">
            <v>done</v>
          </cell>
          <cell r="Q310">
            <v>307848908160</v>
          </cell>
        </row>
        <row r="311">
          <cell r="I311" t="str">
            <v>CMAU9712248</v>
          </cell>
          <cell r="J311" t="str">
            <v>SAÂM
KÉO VỀ</v>
          </cell>
          <cell r="K311">
            <v>0.33333333333333331</v>
          </cell>
          <cell r="L311" t="str">
            <v>CMAU9712248</v>
          </cell>
          <cell r="O311" t="str">
            <v>VI-25/56972</v>
          </cell>
          <cell r="Q311">
            <v>0</v>
          </cell>
        </row>
        <row r="312">
          <cell r="I312" t="str">
            <v>HPCU4890280</v>
          </cell>
          <cell r="J312" t="str">
            <v>MẠNH MIN
kéo về</v>
          </cell>
          <cell r="K312">
            <v>0.34375</v>
          </cell>
          <cell r="L312" t="str">
            <v>HPCU4890280</v>
          </cell>
          <cell r="N312" t="str">
            <v>HẠ GIC</v>
          </cell>
          <cell r="O312" t="str">
            <v>VI-25/56952</v>
          </cell>
          <cell r="P312" t="str">
            <v>done</v>
          </cell>
          <cell r="Q312">
            <v>307849925300</v>
          </cell>
        </row>
        <row r="313">
          <cell r="I313" t="str">
            <v>TIIU5462536</v>
          </cell>
          <cell r="J313" t="str">
            <v>TÍN
KÉO VỀ</v>
          </cell>
          <cell r="K313">
            <v>0.41666666666666669</v>
          </cell>
          <cell r="L313" t="str">
            <v>TIIU5462536</v>
          </cell>
          <cell r="N313" t="str">
            <v>HẠ GIC</v>
          </cell>
          <cell r="O313" t="str">
            <v>VI-25/56955</v>
          </cell>
          <cell r="P313" t="str">
            <v>done</v>
          </cell>
          <cell r="Q313">
            <v>307849958050</v>
          </cell>
        </row>
        <row r="314">
          <cell r="I314" t="str">
            <v>TXGU5739861</v>
          </cell>
          <cell r="J314" t="str">
            <v>THANH
PHƯƠNG KÉO VỀ</v>
          </cell>
          <cell r="K314">
            <v>0.44791666666666669</v>
          </cell>
          <cell r="L314" t="str">
            <v>MRKU6376160</v>
          </cell>
          <cell r="N314" t="str">
            <v>HẠ GIC</v>
          </cell>
          <cell r="O314" t="str">
            <v>VI-25/56971</v>
          </cell>
          <cell r="P314" t="str">
            <v>done</v>
          </cell>
          <cell r="Q314">
            <v>307849966560</v>
          </cell>
        </row>
        <row r="315">
          <cell r="I315" t="str">
            <v>TRHU7773531</v>
          </cell>
          <cell r="J315" t="str">
            <v>ĐỨC
SÂM KÉO VỀ</v>
          </cell>
          <cell r="K315">
            <v>9.375E-2</v>
          </cell>
          <cell r="L315" t="str">
            <v>CAAU8319190</v>
          </cell>
          <cell r="O315" t="str">
            <v>VI-25/56968</v>
          </cell>
          <cell r="Q315">
            <v>0</v>
          </cell>
        </row>
        <row r="316">
          <cell r="I316" t="str">
            <v>CAAU6012097</v>
          </cell>
          <cell r="J316" t="str">
            <v>TRỌNG
CHƯA VỀ</v>
          </cell>
          <cell r="K316">
            <v>0.54166666666666663</v>
          </cell>
          <cell r="L316" t="str">
            <v>FBIU5245909</v>
          </cell>
          <cell r="N316" t="str">
            <v>HẠ SAO Á</v>
          </cell>
          <cell r="O316" t="str">
            <v>RTB-25/0355</v>
          </cell>
          <cell r="Q316" t="str">
            <v>307851722160
307851737230
307851752040
307851770460
307851787520
307851810840
307851824400</v>
          </cell>
        </row>
        <row r="317">
          <cell r="I317" t="str">
            <v>ONEU6396343</v>
          </cell>
          <cell r="J317" t="str">
            <v>SÂM
MẠNH KÉO VỀ</v>
          </cell>
          <cell r="K317">
            <v>0.58333333333333337</v>
          </cell>
          <cell r="L317" t="str">
            <v>EGSU1242941</v>
          </cell>
          <cell r="N317" t="str">
            <v>HẠ LẠCH HUYỆN</v>
          </cell>
          <cell r="P317" t="str">
            <v>done</v>
          </cell>
          <cell r="Q317" t="str">
            <v>307851164150
307851176860</v>
          </cell>
        </row>
        <row r="318">
          <cell r="I318" t="str">
            <v>ONEU0371245</v>
          </cell>
          <cell r="J318" t="str">
            <v>QUÂN
MẠNH MIN KÉO VỀ</v>
          </cell>
          <cell r="K318">
            <v>0.875</v>
          </cell>
          <cell r="L318" t="str">
            <v>MSNU8571916</v>
          </cell>
          <cell r="N318" t="str">
            <v>HẠ LẠCH HUYỆN</v>
          </cell>
          <cell r="P318" t="str">
            <v>done</v>
          </cell>
          <cell r="Q318" t="str">
            <v>307854045020
307851136260</v>
          </cell>
        </row>
        <row r="319">
          <cell r="I319" t="str">
            <v>TLLU1206100</v>
          </cell>
          <cell r="J319" t="str">
            <v>DŨNG
KÉO VỀ</v>
          </cell>
          <cell r="K319">
            <v>0.375</v>
          </cell>
          <cell r="L319" t="str">
            <v>TLLU1206100</v>
          </cell>
          <cell r="N319" t="str">
            <v>LẠCH HUYỆN</v>
          </cell>
          <cell r="O319" t="str">
            <v>VP-25/53160</v>
          </cell>
          <cell r="P319" t="str">
            <v>done</v>
          </cell>
          <cell r="Q319">
            <v>307850730410</v>
          </cell>
        </row>
        <row r="320">
          <cell r="I320" t="str">
            <v>TCLU1392270</v>
          </cell>
          <cell r="J320" t="str">
            <v>HỒNG HƯNG
PHƯƠNG KÉO VỀ</v>
          </cell>
          <cell r="K320">
            <v>0.41666666666666669</v>
          </cell>
          <cell r="L320" t="str">
            <v>CGMU5328470</v>
          </cell>
          <cell r="N320" t="str">
            <v>LẠCH HUYỆN</v>
          </cell>
          <cell r="O320" t="str">
            <v>VP-25/53161</v>
          </cell>
          <cell r="P320" t="str">
            <v>done</v>
          </cell>
          <cell r="Q320">
            <v>307850742050</v>
          </cell>
        </row>
        <row r="321">
          <cell r="I321" t="str">
            <v>FBIU5017370</v>
          </cell>
          <cell r="J321" t="str">
            <v>HƯNG
THỤY KÉO VỀ</v>
          </cell>
          <cell r="K321">
            <v>0.875</v>
          </cell>
          <cell r="L321" t="str">
            <v>CMAU8497325</v>
          </cell>
          <cell r="N321" t="str">
            <v>LẠCH HUYỆN</v>
          </cell>
          <cell r="O321" t="str">
            <v>VP-25/53165</v>
          </cell>
          <cell r="P321" t="str">
            <v>done</v>
          </cell>
          <cell r="Q321">
            <v>307851227740</v>
          </cell>
        </row>
        <row r="322">
          <cell r="I322" t="str">
            <v>HLBU1687684</v>
          </cell>
          <cell r="J322" t="str">
            <v>HƯỜNG
XUYÊN KÉO VỀ</v>
          </cell>
          <cell r="K322">
            <v>0.58333333333333337</v>
          </cell>
          <cell r="L322" t="str">
            <v>TEMU6380346</v>
          </cell>
          <cell r="N322" t="str">
            <v>HATECO HICT</v>
          </cell>
          <cell r="O322" t="str">
            <v>VB-25/52490</v>
          </cell>
          <cell r="P322" t="str">
            <v>không phơi mình chịu, done</v>
          </cell>
          <cell r="Q322">
            <v>307848713560</v>
          </cell>
        </row>
        <row r="323">
          <cell r="I323" t="str">
            <v>HLBU2060359</v>
          </cell>
          <cell r="J323" t="str">
            <v>VINH
KÉO VỀ</v>
          </cell>
          <cell r="K323">
            <v>0.875</v>
          </cell>
          <cell r="L323" t="str">
            <v>HLBU2060359</v>
          </cell>
          <cell r="N323" t="str">
            <v>HATECO HICT</v>
          </cell>
          <cell r="O323" t="str">
            <v>VB-25/52491</v>
          </cell>
          <cell r="P323" t="str">
            <v>done</v>
          </cell>
          <cell r="Q323">
            <v>307848857060</v>
          </cell>
        </row>
        <row r="324">
          <cell r="I324" t="str">
            <v>MRSU6264938</v>
          </cell>
          <cell r="J324" t="str">
            <v>RU KỶ NGUYÊN</v>
          </cell>
          <cell r="K324">
            <v>0.875</v>
          </cell>
          <cell r="L324" t="str">
            <v>MRSU6264938</v>
          </cell>
          <cell r="N324" t="str">
            <v>HATECO HICT</v>
          </cell>
          <cell r="O324" t="str">
            <v>VB-25/52483</v>
          </cell>
          <cell r="P324" t="str">
            <v>done</v>
          </cell>
          <cell r="Q324">
            <v>307849877660</v>
          </cell>
        </row>
        <row r="325">
          <cell r="I325" t="str">
            <v>TRHU7290195</v>
          </cell>
          <cell r="J325" t="str">
            <v>RU Vietlink</v>
          </cell>
          <cell r="K325">
            <v>0.33333333333333331</v>
          </cell>
          <cell r="L325" t="str">
            <v>TRHU7290195</v>
          </cell>
          <cell r="N325" t="str">
            <v>HATECO HICT</v>
          </cell>
          <cell r="O325" t="str">
            <v>VI-25/56948</v>
          </cell>
          <cell r="P325" t="str">
            <v>done</v>
          </cell>
          <cell r="Q325">
            <v>307849892140</v>
          </cell>
        </row>
        <row r="326">
          <cell r="I326" t="str">
            <v>GAOU7204619</v>
          </cell>
          <cell r="J326" t="str">
            <v>RU Vietlink</v>
          </cell>
          <cell r="K326">
            <v>0.35416666666666669</v>
          </cell>
          <cell r="L326" t="str">
            <v>GAOU7204619</v>
          </cell>
          <cell r="N326" t="str">
            <v>HATECO HICT</v>
          </cell>
          <cell r="O326" t="str">
            <v>VI-25/56953</v>
          </cell>
          <cell r="P326" t="str">
            <v>done</v>
          </cell>
          <cell r="Q326">
            <v>307849936020</v>
          </cell>
        </row>
        <row r="327">
          <cell r="I327" t="str">
            <v>SELU4064880</v>
          </cell>
          <cell r="J327" t="str">
            <v>RU KỶ NGUYÊN</v>
          </cell>
          <cell r="K327">
            <v>0.10416666666666667</v>
          </cell>
          <cell r="L327" t="str">
            <v>SELU4064880</v>
          </cell>
          <cell r="N327" t="str">
            <v>HATECO HICT</v>
          </cell>
          <cell r="O327" t="str">
            <v>VI-25/56969</v>
          </cell>
          <cell r="P327" t="str">
            <v>done</v>
          </cell>
          <cell r="Q327">
            <v>307849992130</v>
          </cell>
        </row>
        <row r="328">
          <cell r="I328" t="str">
            <v>TIIU4667953</v>
          </cell>
          <cell r="J328" t="str">
            <v>ĐỨC</v>
          </cell>
          <cell r="K328">
            <v>0.33333333333333331</v>
          </cell>
          <cell r="L328" t="str">
            <v>EGHU9233412</v>
          </cell>
          <cell r="O328" t="str">
            <v>VH-25/50582-4</v>
          </cell>
          <cell r="Q328">
            <v>0</v>
          </cell>
        </row>
        <row r="329">
          <cell r="I329" t="str">
            <v>HPCU4976151</v>
          </cell>
          <cell r="J329" t="str">
            <v>MẠNH MIN
THI KÉO VỀ</v>
          </cell>
          <cell r="K329">
            <v>0.625</v>
          </cell>
          <cell r="L329" t="str">
            <v>TXGU8322568</v>
          </cell>
          <cell r="O329" t="str">
            <v>VB-25/52496 
CB VS-25/51531</v>
          </cell>
          <cell r="Q329">
            <v>0</v>
          </cell>
        </row>
        <row r="330">
          <cell r="I330" t="str">
            <v>CAAU9613764</v>
          </cell>
          <cell r="J330" t="str">
            <v>MẠNH
SÂM KÉO VỀ</v>
          </cell>
          <cell r="K330">
            <v>4.1666666666666664E-2</v>
          </cell>
          <cell r="L330" t="str">
            <v>EMCU1781559</v>
          </cell>
          <cell r="O330" t="str">
            <v>VH-25/50582-5</v>
          </cell>
          <cell r="Q330">
            <v>0</v>
          </cell>
        </row>
        <row r="331">
          <cell r="I331" t="str">
            <v>TGBU7691949</v>
          </cell>
          <cell r="J331" t="str">
            <v>DŨNG
KÉO VỀ</v>
          </cell>
          <cell r="K331">
            <v>0.58333333333333337</v>
          </cell>
          <cell r="L331" t="str">
            <v>TGBU7691949</v>
          </cell>
          <cell r="N331" t="str">
            <v>LẠCH HUYỆN</v>
          </cell>
          <cell r="O331" t="str">
            <v>VH-25/50583</v>
          </cell>
          <cell r="P331" t="str">
            <v>done</v>
          </cell>
          <cell r="Q331">
            <v>307852473960</v>
          </cell>
        </row>
        <row r="332">
          <cell r="I332" t="str">
            <v>OOCU7373769</v>
          </cell>
          <cell r="J332" t="str">
            <v>HỒNG HƯNG
KÉO VỀ</v>
          </cell>
          <cell r="K332">
            <v>0.58333333333333337</v>
          </cell>
          <cell r="L332" t="str">
            <v>OOCU7373769</v>
          </cell>
          <cell r="N332" t="str">
            <v>LẠCH HUYỆN</v>
          </cell>
          <cell r="O332" t="str">
            <v>VH-25/50584</v>
          </cell>
          <cell r="P332" t="str">
            <v>done</v>
          </cell>
          <cell r="Q332">
            <v>307852474810</v>
          </cell>
        </row>
        <row r="333">
          <cell r="I333" t="str">
            <v>TIIU4263756</v>
          </cell>
          <cell r="J333" t="str">
            <v>QUÂN
THI KÉO VỀ</v>
          </cell>
          <cell r="K333">
            <v>0.54166666666666663</v>
          </cell>
          <cell r="L333" t="str">
            <v>TRHU8648895</v>
          </cell>
          <cell r="Q333">
            <v>0</v>
          </cell>
        </row>
        <row r="334">
          <cell r="I334" t="str">
            <v>ONEU1232877</v>
          </cell>
          <cell r="J334" t="str">
            <v>MẠNH
CHƯA VỀ</v>
          </cell>
          <cell r="K334">
            <v>0.875</v>
          </cell>
          <cell r="L334" t="str">
            <v>ONEU6396343</v>
          </cell>
          <cell r="N334" t="str">
            <v>LẠCH HUYỆN</v>
          </cell>
          <cell r="O334" t="str">
            <v>VP-25/53134
cb VV-25/50127</v>
          </cell>
          <cell r="Q334" t="str">
            <v>307852482140
307853311530</v>
          </cell>
        </row>
        <row r="335">
          <cell r="I335" t="str">
            <v>TRHU4939568</v>
          </cell>
          <cell r="J335" t="str">
            <v>MẠNH MIN
MẠNH KÉO VỀ</v>
          </cell>
          <cell r="K335">
            <v>0.125</v>
          </cell>
          <cell r="L335" t="str">
            <v>ONEU0371245</v>
          </cell>
          <cell r="Q335">
            <v>0</v>
          </cell>
        </row>
        <row r="336">
          <cell r="I336" t="str">
            <v>HLBU6117154</v>
          </cell>
          <cell r="J336" t="str">
            <v>THỤY
MẠNH KÉO VỀ</v>
          </cell>
          <cell r="K336">
            <v>0.54166666666666663</v>
          </cell>
          <cell r="L336" t="str">
            <v>FBIU5017370</v>
          </cell>
          <cell r="N336" t="str">
            <v>HATECO</v>
          </cell>
          <cell r="Q336">
            <v>307852484830</v>
          </cell>
        </row>
        <row r="337">
          <cell r="I337" t="str">
            <v>IKSU4006940</v>
          </cell>
          <cell r="J337" t="str">
            <v>THI KÉO VỀ</v>
          </cell>
          <cell r="K337">
            <v>0.95833333333333337</v>
          </cell>
          <cell r="L337" t="str">
            <v>TCLU1392270</v>
          </cell>
          <cell r="N337" t="str">
            <v>SAO Á</v>
          </cell>
          <cell r="O337" t="str">
            <v>VR-25/52298</v>
          </cell>
          <cell r="P337" t="str">
            <v>done</v>
          </cell>
          <cell r="Q337">
            <v>307854736400</v>
          </cell>
        </row>
        <row r="338">
          <cell r="I338" t="str">
            <v>FFAU7441588</v>
          </cell>
          <cell r="J338" t="str">
            <v>TRỌNG 
KÉO VỀ</v>
          </cell>
          <cell r="K338">
            <v>0.10416666666666667</v>
          </cell>
          <cell r="L338" t="str">
            <v>FFAU7441588</v>
          </cell>
          <cell r="O338" t="str">
            <v>VI-25/56992</v>
          </cell>
          <cell r="P338" t="str">
            <v>done</v>
          </cell>
          <cell r="Q338">
            <v>307853042620</v>
          </cell>
        </row>
        <row r="339">
          <cell r="I339" t="str">
            <v>FFAU4783150</v>
          </cell>
          <cell r="J339" t="str">
            <v>XUYÊN
MẠNH KÉO VỀ</v>
          </cell>
          <cell r="K339">
            <v>0.125</v>
          </cell>
          <cell r="L339" t="str">
            <v>HLBU1687684</v>
          </cell>
          <cell r="N339" t="str">
            <v>HATECO</v>
          </cell>
          <cell r="O339" t="str">
            <v>VB-25/52492</v>
          </cell>
          <cell r="P339" t="str">
            <v>done</v>
          </cell>
          <cell r="Q339">
            <v>307853234200</v>
          </cell>
        </row>
        <row r="340">
          <cell r="I340" t="str">
            <v>HASU4911995</v>
          </cell>
          <cell r="J340" t="str">
            <v>THI
SÂM KÉO VỀ</v>
          </cell>
          <cell r="K340">
            <v>0.33333333333333331</v>
          </cell>
          <cell r="M340" t="str">
            <v>TRI PHƯƠNG</v>
          </cell>
          <cell r="N340" t="str">
            <v>HATECO HICT</v>
          </cell>
          <cell r="O340" t="str">
            <v>VB-25/52493</v>
          </cell>
          <cell r="Q340">
            <v>307853072720</v>
          </cell>
        </row>
        <row r="341">
          <cell r="I341" t="str">
            <v>MRSU5185182</v>
          </cell>
          <cell r="J341" t="str">
            <v>RU KỶ NGUYÊN</v>
          </cell>
          <cell r="K341">
            <v>0.625</v>
          </cell>
          <cell r="L341" t="str">
            <v>MRSU5185182</v>
          </cell>
          <cell r="N341" t="str">
            <v>HATECO HICT</v>
          </cell>
          <cell r="O341" t="str">
            <v>VB-25/52484</v>
          </cell>
          <cell r="P341" t="str">
            <v>done</v>
          </cell>
          <cell r="Q341">
            <v>307853147950</v>
          </cell>
        </row>
        <row r="342">
          <cell r="I342" t="str">
            <v>MRKU5214740</v>
          </cell>
          <cell r="J342" t="str">
            <v>SÂM
MẠNH MIN KÉO VỀ</v>
          </cell>
          <cell r="K342">
            <v>0.125</v>
          </cell>
          <cell r="L342" t="str">
            <v>HASU4911995</v>
          </cell>
          <cell r="M342" t="str">
            <v>TRI PHƯƠNG</v>
          </cell>
          <cell r="N342" t="str">
            <v>HATECO HICT</v>
          </cell>
          <cell r="O342" t="str">
            <v>VB-25/52486</v>
          </cell>
          <cell r="Q342">
            <v>307853097550</v>
          </cell>
        </row>
        <row r="343">
          <cell r="I343" t="str">
            <v>MRKU3521541</v>
          </cell>
          <cell r="J343" t="str">
            <v>THI
QUÂN KÉO VỀ</v>
          </cell>
          <cell r="K343">
            <v>0.125</v>
          </cell>
          <cell r="L343" t="str">
            <v>HPCU4976151</v>
          </cell>
          <cell r="M343" t="str">
            <v>TRI PHƯƠNG</v>
          </cell>
          <cell r="N343" t="str">
            <v>HATECO HICT</v>
          </cell>
          <cell r="O343" t="str">
            <v>VB-25/52497</v>
          </cell>
          <cell r="Q343">
            <v>307853158010</v>
          </cell>
        </row>
        <row r="344">
          <cell r="I344" t="str">
            <v>MRKU2546458</v>
          </cell>
          <cell r="J344" t="str">
            <v>PHƯƠNG
SÂM KÉO VỀ</v>
          </cell>
          <cell r="K344">
            <v>0.34375</v>
          </cell>
          <cell r="L344" t="str">
            <v>TXGU5739861</v>
          </cell>
          <cell r="M344" t="str">
            <v>TRI PHƯƠNG</v>
          </cell>
          <cell r="N344" t="str">
            <v>HATECO HICT</v>
          </cell>
          <cell r="O344" t="str">
            <v>VI-25/56973</v>
          </cell>
          <cell r="Q344">
            <v>307852879300</v>
          </cell>
        </row>
        <row r="345">
          <cell r="I345" t="str">
            <v>SEKU4632468</v>
          </cell>
          <cell r="J345" t="str">
            <v>HƯỜNG
THI KÉO VỀ</v>
          </cell>
          <cell r="K345">
            <v>0.39583333333333331</v>
          </cell>
          <cell r="L345" t="str">
            <v>MRSU3429248</v>
          </cell>
          <cell r="M345" t="str">
            <v>TRI PHƯƠNG</v>
          </cell>
          <cell r="N345" t="str">
            <v>HATECO HICT</v>
          </cell>
          <cell r="O345" t="str">
            <v>VI-25/56975</v>
          </cell>
          <cell r="Q345">
            <v>307852899450</v>
          </cell>
        </row>
        <row r="346">
          <cell r="I346" t="str">
            <v>FFAU7213314</v>
          </cell>
          <cell r="J346" t="str">
            <v>RU Vietlink</v>
          </cell>
          <cell r="K346">
            <v>0.42708333333333331</v>
          </cell>
          <cell r="L346" t="str">
            <v>FFAU7213314</v>
          </cell>
          <cell r="N346" t="str">
            <v>HATECO HICT</v>
          </cell>
          <cell r="O346" t="str">
            <v>VI-25/56976</v>
          </cell>
          <cell r="P346" t="str">
            <v>done</v>
          </cell>
          <cell r="Q346">
            <v>307852811400</v>
          </cell>
        </row>
        <row r="347">
          <cell r="I347" t="str">
            <v>GCXU5741879</v>
          </cell>
          <cell r="J347" t="str">
            <v>RU KỶ NGUYÊN</v>
          </cell>
          <cell r="K347">
            <v>0.96875</v>
          </cell>
          <cell r="L347" t="str">
            <v>GCXU5741879</v>
          </cell>
          <cell r="N347" t="str">
            <v>HATECO HICT</v>
          </cell>
          <cell r="O347" t="str">
            <v>VI-25/56989</v>
          </cell>
          <cell r="P347" t="str">
            <v>done</v>
          </cell>
          <cell r="Q347">
            <v>307852827610</v>
          </cell>
        </row>
        <row r="348">
          <cell r="I348" t="str">
            <v>MRSU6230434</v>
          </cell>
          <cell r="J348" t="str">
            <v>THI
QUÂN KÉO VỀ</v>
          </cell>
          <cell r="K348">
            <v>7.2916666666666671E-2</v>
          </cell>
          <cell r="L348" t="str">
            <v>SEKU4632468</v>
          </cell>
          <cell r="M348" t="str">
            <v>TRI PHƯƠNG</v>
          </cell>
          <cell r="N348" t="str">
            <v>HATECO HICT</v>
          </cell>
          <cell r="O348" t="str">
            <v>VI-25/56991</v>
          </cell>
          <cell r="Q348">
            <v>307852848610</v>
          </cell>
        </row>
        <row r="349">
          <cell r="I349" t="str">
            <v>TRHU4627180</v>
          </cell>
          <cell r="J349" t="str">
            <v>SAÂM
ĐỨC KÉO VỀ</v>
          </cell>
          <cell r="K349">
            <v>0.11458333333333333</v>
          </cell>
          <cell r="L349" t="str">
            <v>MRKU2546458</v>
          </cell>
          <cell r="M349" t="str">
            <v>TRI PHƯƠNG</v>
          </cell>
          <cell r="N349" t="str">
            <v>HATECO HICT</v>
          </cell>
          <cell r="O349" t="str">
            <v>VI-25/56995</v>
          </cell>
          <cell r="Q349">
            <v>307852939720</v>
          </cell>
        </row>
        <row r="350">
          <cell r="I350" t="str">
            <v>MRSU6061150</v>
          </cell>
          <cell r="J350" t="str">
            <v>SÂM
PHƯƠNG KÉO VỀ</v>
          </cell>
          <cell r="K350">
            <v>0.125</v>
          </cell>
          <cell r="L350" t="str">
            <v>TRHU7773531</v>
          </cell>
          <cell r="N350" t="str">
            <v>HATECO HICT</v>
          </cell>
          <cell r="O350" t="str">
            <v>VI-25/56967</v>
          </cell>
          <cell r="P350" t="str">
            <v>done</v>
          </cell>
          <cell r="Q350">
            <v>307852790730</v>
          </cell>
        </row>
        <row r="351">
          <cell r="I351" t="str">
            <v>MSKU1803321</v>
          </cell>
          <cell r="J351" t="str">
            <v>ĐỨC
MẠNH MIN KÉO VỀ</v>
          </cell>
          <cell r="K351">
            <v>0.16666666666666666</v>
          </cell>
          <cell r="L351" t="str">
            <v>TRHU4627180</v>
          </cell>
          <cell r="M351" t="str">
            <v>TRI PHƯƠNG</v>
          </cell>
          <cell r="N351" t="str">
            <v>HATECO HICT</v>
          </cell>
          <cell r="O351" t="str">
            <v>VI-25/56983</v>
          </cell>
          <cell r="Q351">
            <v>307852920120</v>
          </cell>
        </row>
        <row r="352">
          <cell r="I352" t="str">
            <v>ECMU4744353</v>
          </cell>
          <cell r="J352" t="str">
            <v>MẠNH
KÉO VỀ</v>
          </cell>
          <cell r="K352">
            <v>0.33333333333333331</v>
          </cell>
          <cell r="L352" t="str">
            <v>ECMU4744353</v>
          </cell>
          <cell r="O352" t="str">
            <v>VI-25/57003</v>
          </cell>
          <cell r="Q352">
            <v>0</v>
          </cell>
        </row>
        <row r="353">
          <cell r="I353" t="str">
            <v>TRHU7625088</v>
          </cell>
          <cell r="J353" t="str">
            <v>HƯỜNG</v>
          </cell>
          <cell r="K353">
            <v>0.41666666666666669</v>
          </cell>
          <cell r="L353" t="str">
            <v>CGMU5482485</v>
          </cell>
          <cell r="Q353">
            <v>0</v>
          </cell>
        </row>
        <row r="354">
          <cell r="I354" t="str">
            <v>TLLU7779141</v>
          </cell>
          <cell r="J354" t="str">
            <v>SÂM</v>
          </cell>
          <cell r="K354">
            <v>0.45833333333333331</v>
          </cell>
          <cell r="L354" t="str">
            <v>TIIU5448970</v>
          </cell>
          <cell r="Q354">
            <v>0</v>
          </cell>
        </row>
        <row r="355">
          <cell r="I355" t="str">
            <v>FDCU0468774</v>
          </cell>
          <cell r="J355" t="str">
            <v>THI
KÉO VỀ</v>
          </cell>
          <cell r="K355">
            <v>0.58333333333333337</v>
          </cell>
          <cell r="L355" t="str">
            <v>TIIU4263756</v>
          </cell>
          <cell r="N355" t="str">
            <v>HẠ NAM HẢI ĐÌNH VŨ</v>
          </cell>
          <cell r="O355" t="str">
            <v>VP-25/53186</v>
          </cell>
          <cell r="Q355">
            <v>307857498560</v>
          </cell>
        </row>
        <row r="356">
          <cell r="I356" t="str">
            <v>TXGU7199905</v>
          </cell>
          <cell r="J356" t="str">
            <v>THI
QUÂN KÉO VỀ</v>
          </cell>
          <cell r="K356">
            <v>0.91666666666666663</v>
          </cell>
          <cell r="L356" t="str">
            <v>SELU4376316</v>
          </cell>
          <cell r="Q356">
            <v>0</v>
          </cell>
        </row>
        <row r="357">
          <cell r="I357" t="str">
            <v>TRHU7780931</v>
          </cell>
          <cell r="J357" t="str">
            <v>SÂM</v>
          </cell>
          <cell r="K357">
            <v>0.95833333333333337</v>
          </cell>
          <cell r="L357" t="str">
            <v>CMAU6828867</v>
          </cell>
          <cell r="N357" t="str">
            <v>HẠ LẠCH HUYỆN</v>
          </cell>
          <cell r="O357" t="str">
            <v>VP-25/53183</v>
          </cell>
          <cell r="Q357" t="str">
            <v>CHƯA CÓ TK</v>
          </cell>
        </row>
        <row r="358">
          <cell r="I358" t="str">
            <v>EMCU8367324</v>
          </cell>
          <cell r="J358" t="str">
            <v>ĐỨC</v>
          </cell>
          <cell r="K358">
            <v>0.95833333333333337</v>
          </cell>
          <cell r="L358" t="str">
            <v>MSKU1633502</v>
          </cell>
          <cell r="O358" t="str">
            <v>VB-25/52494</v>
          </cell>
          <cell r="Q358">
            <v>0</v>
          </cell>
        </row>
        <row r="359">
          <cell r="I359" t="str">
            <v>TCNU2850879</v>
          </cell>
          <cell r="J359" t="str">
            <v>MẠNH MIN
QUÂN KÉO VỀ</v>
          </cell>
          <cell r="K359">
            <v>0.41666666666666669</v>
          </cell>
          <cell r="L359" t="str">
            <v>MRKU5214740</v>
          </cell>
          <cell r="M359" t="str">
            <v>TRI PHƯƠNG</v>
          </cell>
          <cell r="N359" t="str">
            <v>HATECO HICT</v>
          </cell>
          <cell r="O359" t="str">
            <v>VB-25/52487</v>
          </cell>
          <cell r="Q359">
            <v>307857560900</v>
          </cell>
        </row>
        <row r="360">
          <cell r="I360" t="str">
            <v>MRKU4542127</v>
          </cell>
          <cell r="J360" t="str">
            <v>QUÂN
KÉO VỀ</v>
          </cell>
          <cell r="K360">
            <v>0.54166666666666663</v>
          </cell>
          <cell r="L360" t="str">
            <v>MRKU3521541</v>
          </cell>
          <cell r="M360" t="str">
            <v>TRI PHƯƠNG</v>
          </cell>
          <cell r="N360" t="str">
            <v>HATECO HICT</v>
          </cell>
          <cell r="O360" t="str">
            <v>VB-25/52503</v>
          </cell>
          <cell r="Q360">
            <v>307857597300</v>
          </cell>
        </row>
        <row r="361">
          <cell r="I361" t="str">
            <v>MRKU4890117</v>
          </cell>
          <cell r="J361" t="str">
            <v>MẠNH 
QUÂN KÉO VỀ</v>
          </cell>
          <cell r="K361">
            <v>0.875</v>
          </cell>
          <cell r="L361" t="str">
            <v>MRKU4542127</v>
          </cell>
          <cell r="M361" t="str">
            <v>TRI PHƯƠNG</v>
          </cell>
          <cell r="N361" t="str">
            <v>HATECO HICT</v>
          </cell>
          <cell r="O361" t="str">
            <v>VB-25/52504</v>
          </cell>
          <cell r="Q361">
            <v>307857632410</v>
          </cell>
        </row>
        <row r="362">
          <cell r="I362" t="str">
            <v>TIIU5334392</v>
          </cell>
          <cell r="J362" t="str">
            <v>QUÂN
ĐỨC KÉO VỀ</v>
          </cell>
          <cell r="K362">
            <v>4.1666666666666664E-2</v>
          </cell>
          <cell r="L362" t="str">
            <v>MRKU4890117</v>
          </cell>
          <cell r="M362" t="str">
            <v>TRI PHƯƠNG</v>
          </cell>
          <cell r="N362" t="str">
            <v>HATECO HICT</v>
          </cell>
          <cell r="O362" t="str">
            <v>VB-25/52505</v>
          </cell>
          <cell r="Q362">
            <v>307857684650</v>
          </cell>
        </row>
        <row r="363">
          <cell r="I363" t="str">
            <v>MSKU1633502</v>
          </cell>
          <cell r="J363" t="str">
            <v>ĐỨC
KÉO VỀ</v>
          </cell>
          <cell r="K363">
            <v>0.33333333333333331</v>
          </cell>
          <cell r="L363" t="str">
            <v>TIIU4667953</v>
          </cell>
          <cell r="N363" t="str">
            <v>HATECO HICT</v>
          </cell>
          <cell r="O363" t="str">
            <v>VB-25/52501
cb VB/25-51534</v>
          </cell>
          <cell r="P363" t="str">
            <v>done</v>
          </cell>
          <cell r="Q363">
            <v>307857756860</v>
          </cell>
        </row>
        <row r="364">
          <cell r="I364" t="str">
            <v>CAAU6744689</v>
          </cell>
          <cell r="J364" t="str">
            <v xml:space="preserve">RU MH </v>
          </cell>
          <cell r="K364">
            <v>0.33333333333333331</v>
          </cell>
          <cell r="L364" t="str">
            <v>CAAU6744689</v>
          </cell>
          <cell r="N364" t="str">
            <v>HATECO HICT</v>
          </cell>
          <cell r="O364" t="str">
            <v>VB-25/52513
cb VS-25/51536</v>
          </cell>
          <cell r="P364" t="str">
            <v>done</v>
          </cell>
          <cell r="Q364" t="str">
            <v>307856292940
307856300750</v>
          </cell>
        </row>
        <row r="365">
          <cell r="I365" t="str">
            <v>TRHU4987150</v>
          </cell>
          <cell r="J365" t="str">
            <v xml:space="preserve">RU MH </v>
          </cell>
          <cell r="K365">
            <v>0.54166666666666663</v>
          </cell>
          <cell r="L365" t="str">
            <v>TRHU4987150</v>
          </cell>
          <cell r="N365" t="str">
            <v>HATECO HICT</v>
          </cell>
          <cell r="O365" t="str">
            <v>VS-25/51532</v>
          </cell>
          <cell r="P365" t="str">
            <v>done</v>
          </cell>
          <cell r="Q365">
            <v>307856321900</v>
          </cell>
        </row>
        <row r="366">
          <cell r="I366" t="str">
            <v>MRKU4421716</v>
          </cell>
          <cell r="J366" t="str">
            <v>QUÂN
SÂM KÉO VỀ</v>
          </cell>
          <cell r="K366">
            <v>0.875</v>
          </cell>
          <cell r="L366" t="str">
            <v>TCNU2850879</v>
          </cell>
          <cell r="N366" t="str">
            <v>HATECO HICT</v>
          </cell>
          <cell r="O366" t="str">
            <v>VS-25/51533</v>
          </cell>
          <cell r="Q366">
            <v>307856324700</v>
          </cell>
        </row>
        <row r="367">
          <cell r="I367" t="str">
            <v>CAAU6622016</v>
          </cell>
          <cell r="J367" t="str">
            <v>QUÂN
KÉO VỀ</v>
          </cell>
          <cell r="K367">
            <v>0.45833333333333331</v>
          </cell>
          <cell r="L367" t="str">
            <v>MRSU6230434</v>
          </cell>
          <cell r="M367" t="str">
            <v>TRI PHƯƠNG</v>
          </cell>
          <cell r="N367" t="str">
            <v>HATECO HICT</v>
          </cell>
          <cell r="O367" t="str">
            <v>VI-25/57009</v>
          </cell>
          <cell r="Q367" t="str">
            <v>CHƯA CÓ TK</v>
          </cell>
        </row>
        <row r="368">
          <cell r="I368" t="str">
            <v>CAAU7233343</v>
          </cell>
          <cell r="J368" t="str">
            <v>MẠNH MIN</v>
          </cell>
          <cell r="K368">
            <v>0.59375</v>
          </cell>
          <cell r="L368" t="str">
            <v>MSKU1803321</v>
          </cell>
          <cell r="M368" t="str">
            <v>TRI PHƯƠNG</v>
          </cell>
          <cell r="N368" t="str">
            <v>HATECO HICT</v>
          </cell>
          <cell r="O368" t="str">
            <v>VI-25/57016</v>
          </cell>
          <cell r="Q368" t="str">
            <v>CHƯA CÓ TK</v>
          </cell>
        </row>
        <row r="369">
          <cell r="I369" t="str">
            <v>CAAU8297173</v>
          </cell>
          <cell r="J369" t="str">
            <v>HƯỜNG</v>
          </cell>
          <cell r="K369">
            <v>9.375E-2</v>
          </cell>
          <cell r="L369" t="str">
            <v>CAAU8297173</v>
          </cell>
          <cell r="M369" t="str">
            <v>TRI PHƯƠNG</v>
          </cell>
          <cell r="N369" t="str">
            <v>HATECO HICT</v>
          </cell>
          <cell r="O369" t="str">
            <v>VI-25/57028</v>
          </cell>
          <cell r="Q369">
            <v>307857455530</v>
          </cell>
        </row>
        <row r="370">
          <cell r="I370" t="str">
            <v>FFAU5313870</v>
          </cell>
          <cell r="J370" t="str">
            <v>MẠNH MIN
HƯỜNG KÉO VỀ</v>
          </cell>
          <cell r="K370">
            <v>0.10416666666666667</v>
          </cell>
          <cell r="L370" t="str">
            <v>MRSU7415957</v>
          </cell>
          <cell r="M370" t="str">
            <v>TRI PHƯƠNG</v>
          </cell>
          <cell r="N370" t="str">
            <v>HATECO HICT</v>
          </cell>
          <cell r="O370" t="str">
            <v>VI-25/57029</v>
          </cell>
          <cell r="Q370" t="str">
            <v>CHƯA CÓ TK</v>
          </cell>
        </row>
        <row r="371">
          <cell r="I371" t="str">
            <v>CAAU6993700</v>
          </cell>
          <cell r="J371" t="str">
            <v>RU VIETLINK</v>
          </cell>
          <cell r="K371">
            <v>0.33333333333333331</v>
          </cell>
          <cell r="L371" t="str">
            <v>CAAU6993700</v>
          </cell>
          <cell r="N371" t="str">
            <v>HATECO HICT</v>
          </cell>
          <cell r="O371" t="str">
            <v>VI-25/57004</v>
          </cell>
          <cell r="P371" t="str">
            <v>done</v>
          </cell>
          <cell r="Q371">
            <v>307857367920</v>
          </cell>
        </row>
        <row r="372">
          <cell r="I372" t="str">
            <v>CAAU9278706</v>
          </cell>
          <cell r="J372" t="str">
            <v>RU VIETLINK</v>
          </cell>
          <cell r="K372">
            <v>0.38541666666666669</v>
          </cell>
          <cell r="L372" t="str">
            <v>CAAU9278706</v>
          </cell>
          <cell r="N372" t="str">
            <v>HATECO HICT</v>
          </cell>
          <cell r="O372" t="str">
            <v>VI-25/57007</v>
          </cell>
          <cell r="P372" t="str">
            <v>done</v>
          </cell>
          <cell r="Q372">
            <v>307857379560</v>
          </cell>
        </row>
        <row r="373">
          <cell r="I373" t="str">
            <v>MRSU3717270</v>
          </cell>
          <cell r="J373" t="str">
            <v>RU HỒNG TRANG</v>
          </cell>
          <cell r="K373">
            <v>0.5625</v>
          </cell>
          <cell r="L373" t="str">
            <v>MRSU3717270</v>
          </cell>
          <cell r="N373" t="str">
            <v>HATECO HICT</v>
          </cell>
          <cell r="O373" t="str">
            <v>VI-25/57014</v>
          </cell>
          <cell r="P373" t="str">
            <v>done</v>
          </cell>
          <cell r="Q373">
            <v>307857472920</v>
          </cell>
        </row>
        <row r="374">
          <cell r="I374" t="str">
            <v>TRHU6537526</v>
          </cell>
          <cell r="J374" t="str">
            <v>RU KỶ NGUYÊN</v>
          </cell>
          <cell r="K374">
            <v>0.63194444444444442</v>
          </cell>
          <cell r="L374" t="str">
            <v>TRHU6537526</v>
          </cell>
          <cell r="N374" t="str">
            <v>HATECO HICT</v>
          </cell>
          <cell r="O374" t="str">
            <v>VI-25/57018</v>
          </cell>
          <cell r="P374" t="str">
            <v>done</v>
          </cell>
          <cell r="Q374">
            <v>307857388110</v>
          </cell>
        </row>
        <row r="375">
          <cell r="I375" t="str">
            <v>MRSU7415957</v>
          </cell>
          <cell r="J375" t="str">
            <v>PHƯƠNG  
MẠNH MIN KÉO VỀ</v>
          </cell>
          <cell r="K375">
            <v>0.96875</v>
          </cell>
          <cell r="L375" t="str">
            <v>MRSU6061150</v>
          </cell>
          <cell r="N375" t="str">
            <v>HATECO HICT</v>
          </cell>
          <cell r="O375" t="str">
            <v>VI-25/57025</v>
          </cell>
          <cell r="P375" t="str">
            <v>done</v>
          </cell>
          <cell r="Q375">
            <v>307857395810</v>
          </cell>
        </row>
        <row r="376">
          <cell r="I376" t="str">
            <v>MRKU4714334</v>
          </cell>
          <cell r="J376" t="str">
            <v>RU VIETLINK</v>
          </cell>
          <cell r="K376">
            <v>0.125</v>
          </cell>
          <cell r="L376" t="str">
            <v>MRKU4714334</v>
          </cell>
          <cell r="N376" t="str">
            <v>HATECO HICT</v>
          </cell>
          <cell r="O376" t="str">
            <v>VI-25/57031</v>
          </cell>
          <cell r="P376" t="str">
            <v>done</v>
          </cell>
          <cell r="Q376">
            <v>307857411800</v>
          </cell>
        </row>
        <row r="377">
          <cell r="I377" t="str">
            <v>CMAU6391099</v>
          </cell>
          <cell r="K377">
            <v>0.375</v>
          </cell>
          <cell r="O377" t="str">
            <v>VP-25/53202</v>
          </cell>
          <cell r="Q377">
            <v>307862063040</v>
          </cell>
        </row>
        <row r="378">
          <cell r="I378" t="str">
            <v>EGSU1417926</v>
          </cell>
          <cell r="J378" t="str">
            <v>MẠNH</v>
          </cell>
          <cell r="K378">
            <v>0.54166666666666663</v>
          </cell>
          <cell r="L378" t="str">
            <v>HLBU6117154</v>
          </cell>
          <cell r="N378" t="str">
            <v>GIC</v>
          </cell>
          <cell r="Q378">
            <v>0</v>
          </cell>
        </row>
        <row r="379">
          <cell r="I379">
            <v>0</v>
          </cell>
          <cell r="J379">
            <v>0</v>
          </cell>
          <cell r="K379">
            <v>0.66666666666666663</v>
          </cell>
          <cell r="L379">
            <v>0</v>
          </cell>
          <cell r="M379">
            <v>0</v>
          </cell>
          <cell r="N379" t="str">
            <v>NAM HẢI ĐÌNH VŨ</v>
          </cell>
          <cell r="O379">
            <v>0</v>
          </cell>
          <cell r="P379">
            <v>0</v>
          </cell>
          <cell r="Q379">
            <v>0</v>
          </cell>
        </row>
        <row r="380">
          <cell r="I380" t="str">
            <v>CAIU5680480</v>
          </cell>
          <cell r="J380" t="str">
            <v xml:space="preserve">XUYÊN </v>
          </cell>
          <cell r="K380">
            <v>0.41666666666666669</v>
          </cell>
          <cell r="L380" t="str">
            <v>TXGU8675605</v>
          </cell>
          <cell r="M380">
            <v>0</v>
          </cell>
          <cell r="N380" t="str">
            <v>LẠCH HUYỆN</v>
          </cell>
          <cell r="O380">
            <v>0</v>
          </cell>
          <cell r="P380">
            <v>0</v>
          </cell>
          <cell r="Q380">
            <v>307860534240</v>
          </cell>
        </row>
        <row r="381">
          <cell r="I381" t="str">
            <v>SEGU9853657</v>
          </cell>
          <cell r="J381">
            <v>0</v>
          </cell>
          <cell r="K381">
            <v>0.875</v>
          </cell>
          <cell r="L381">
            <v>0</v>
          </cell>
          <cell r="M381">
            <v>0</v>
          </cell>
          <cell r="N381" t="str">
            <v>LẠCH HUYỆN</v>
          </cell>
          <cell r="O381">
            <v>0</v>
          </cell>
          <cell r="P381">
            <v>0</v>
          </cell>
          <cell r="Q381">
            <v>0</v>
          </cell>
        </row>
        <row r="382">
          <cell r="I382" t="str">
            <v>EGSU9759308</v>
          </cell>
          <cell r="J382">
            <v>0</v>
          </cell>
          <cell r="K382">
            <v>0.33333333333333331</v>
          </cell>
          <cell r="L382">
            <v>0</v>
          </cell>
          <cell r="M382">
            <v>0</v>
          </cell>
          <cell r="N382" t="str">
            <v>GIC</v>
          </cell>
          <cell r="O382" t="str">
            <v>VH-25/50591</v>
          </cell>
          <cell r="P382">
            <v>0</v>
          </cell>
          <cell r="Q382">
            <v>0</v>
          </cell>
        </row>
        <row r="383">
          <cell r="I383" t="str">
            <v>EITU9133184</v>
          </cell>
          <cell r="J383" t="str">
            <v>SÂM
CHƯA VỀ</v>
          </cell>
          <cell r="K383">
            <v>0.41666666666666669</v>
          </cell>
          <cell r="L383" t="str">
            <v>MRKU4421716</v>
          </cell>
          <cell r="M383">
            <v>0</v>
          </cell>
          <cell r="N383" t="str">
            <v>GIC</v>
          </cell>
          <cell r="O383" t="str">
            <v>VH-25/50592</v>
          </cell>
          <cell r="P383">
            <v>0</v>
          </cell>
          <cell r="Q383">
            <v>307860351910</v>
          </cell>
        </row>
        <row r="384">
          <cell r="I384">
            <v>0</v>
          </cell>
          <cell r="J384">
            <v>0</v>
          </cell>
          <cell r="K384">
            <v>8.3333333333333329E-2</v>
          </cell>
          <cell r="L384">
            <v>0</v>
          </cell>
          <cell r="M384">
            <v>0</v>
          </cell>
          <cell r="N384">
            <v>0</v>
          </cell>
          <cell r="O384" t="str">
            <v>VH-25/50590</v>
          </cell>
          <cell r="P384">
            <v>0</v>
          </cell>
          <cell r="Q384">
            <v>0</v>
          </cell>
        </row>
        <row r="385">
          <cell r="I385">
            <v>0</v>
          </cell>
          <cell r="J385">
            <v>0</v>
          </cell>
          <cell r="K385">
            <v>9.375E-2</v>
          </cell>
          <cell r="L385">
            <v>0</v>
          </cell>
          <cell r="M385">
            <v>0</v>
          </cell>
          <cell r="N385">
            <v>0</v>
          </cell>
          <cell r="O385" t="str">
            <v>VI-25/57041</v>
          </cell>
          <cell r="P385">
            <v>0</v>
          </cell>
          <cell r="Q385">
            <v>0</v>
          </cell>
        </row>
        <row r="386">
          <cell r="I386" t="str">
            <v>MRSU7483020</v>
          </cell>
          <cell r="J386" t="str">
            <v>SÂM
ĐỨC KÉO VỀ</v>
          </cell>
          <cell r="K386">
            <v>0.33333333333333331</v>
          </cell>
          <cell r="L386" t="str">
            <v>CAAU9613764</v>
          </cell>
          <cell r="M386" t="str">
            <v>TRI PHƯƠNG</v>
          </cell>
          <cell r="N386" t="str">
            <v>HATECO HICT</v>
          </cell>
          <cell r="O386" t="str">
            <v>VB-25/52506</v>
          </cell>
          <cell r="P386">
            <v>0</v>
          </cell>
          <cell r="Q386">
            <v>307860299630</v>
          </cell>
        </row>
        <row r="387">
          <cell r="I387" t="str">
            <v>CAAU7214050</v>
          </cell>
          <cell r="J387" t="str">
            <v>ĐỨC
HƯỜNG KÉO VỀ</v>
          </cell>
          <cell r="K387">
            <v>0.33333333333333331</v>
          </cell>
          <cell r="L387" t="str">
            <v>TIIU5334392</v>
          </cell>
          <cell r="M387" t="str">
            <v>TRI PHƯƠNG</v>
          </cell>
          <cell r="N387" t="str">
            <v>HATECO HICT</v>
          </cell>
          <cell r="O387" t="str">
            <v>VB-25/52507</v>
          </cell>
          <cell r="Q387">
            <v>307860305710</v>
          </cell>
        </row>
        <row r="388">
          <cell r="I388" t="str">
            <v>TRHU5301921</v>
          </cell>
          <cell r="J388" t="str">
            <v>HƯỜNG</v>
          </cell>
          <cell r="K388">
            <v>0.45833333333333331</v>
          </cell>
          <cell r="L388" t="str">
            <v>CAAU7214050</v>
          </cell>
          <cell r="M388" t="str">
            <v>TRI PHƯƠNG</v>
          </cell>
          <cell r="N388" t="str">
            <v>HATECO HICT</v>
          </cell>
          <cell r="O388" t="str">
            <v>VB-25/52508</v>
          </cell>
          <cell r="Q388">
            <v>0</v>
          </cell>
        </row>
        <row r="389">
          <cell r="I389" t="str">
            <v>MRKU2261774</v>
          </cell>
          <cell r="J389" t="str">
            <v>ĐỨC</v>
          </cell>
          <cell r="K389">
            <v>0.33333333333333331</v>
          </cell>
          <cell r="L389" t="str">
            <v>MRSU7483020</v>
          </cell>
          <cell r="M389" t="str">
            <v>TRI PHƯƠNG</v>
          </cell>
          <cell r="N389" t="str">
            <v>HATECO HICT</v>
          </cell>
          <cell r="O389" t="str">
            <v>VB-25/52511</v>
          </cell>
          <cell r="Q389">
            <v>307860329730</v>
          </cell>
        </row>
        <row r="390">
          <cell r="K390">
            <v>0.875</v>
          </cell>
          <cell r="M390" t="str">
            <v>TRI PHƯƠNG</v>
          </cell>
          <cell r="N390" t="str">
            <v>HATECO HICT</v>
          </cell>
          <cell r="O390" t="str">
            <v>VB-25/52509</v>
          </cell>
          <cell r="Q390">
            <v>0</v>
          </cell>
        </row>
        <row r="391">
          <cell r="K391">
            <v>0</v>
          </cell>
          <cell r="M391" t="str">
            <v>TRI PHƯƠNG</v>
          </cell>
          <cell r="N391" t="str">
            <v>HATECO HICT</v>
          </cell>
          <cell r="O391" t="str">
            <v>VB-25/52510</v>
          </cell>
          <cell r="Q391">
            <v>0</v>
          </cell>
        </row>
        <row r="392">
          <cell r="I392" t="str">
            <v>CAAU6650867</v>
          </cell>
          <cell r="J392" t="str">
            <v>RU ANH KIỆT</v>
          </cell>
          <cell r="K392">
            <v>0.33333333333333331</v>
          </cell>
          <cell r="L392" t="str">
            <v>CAAU6650867</v>
          </cell>
          <cell r="N392" t="str">
            <v>HATECO HICT</v>
          </cell>
          <cell r="O392" t="str">
            <v>VS-25/51543</v>
          </cell>
          <cell r="Q392">
            <v>0</v>
          </cell>
        </row>
        <row r="393">
          <cell r="I393" t="str">
            <v>MRSU4261919</v>
          </cell>
          <cell r="J393" t="str">
            <v>RU ANH KIỆT</v>
          </cell>
          <cell r="K393">
            <v>0.875</v>
          </cell>
          <cell r="L393" t="str">
            <v>MRSU4261919</v>
          </cell>
          <cell r="N393" t="str">
            <v>HATECO HICT</v>
          </cell>
          <cell r="O393" t="str">
            <v>VS-25/51537</v>
          </cell>
          <cell r="Q393">
            <v>0</v>
          </cell>
        </row>
        <row r="394">
          <cell r="I394" t="str">
            <v>MRSU5768425</v>
          </cell>
          <cell r="J394" t="str">
            <v>QUÂN
ĐỨC KÉO VỀ</v>
          </cell>
          <cell r="K394">
            <v>0.34375</v>
          </cell>
          <cell r="L394" t="str">
            <v>CAAU6622016</v>
          </cell>
          <cell r="M394" t="str">
            <v>TRI PHƯƠNG</v>
          </cell>
          <cell r="N394" t="str">
            <v>HATECO HICT</v>
          </cell>
          <cell r="O394" t="str">
            <v>VI-25/57040</v>
          </cell>
          <cell r="Q394">
            <v>0</v>
          </cell>
        </row>
        <row r="395">
          <cell r="I395" t="str">
            <v>MRSU7865260</v>
          </cell>
          <cell r="J395" t="str">
            <v>HƯỜNG</v>
          </cell>
          <cell r="K395">
            <v>0.4375</v>
          </cell>
          <cell r="L395" t="str">
            <v>FFAU5313870</v>
          </cell>
          <cell r="M395" t="str">
            <v>TRI PHƯƠNG</v>
          </cell>
          <cell r="N395" t="str">
            <v>HATECO HICT</v>
          </cell>
          <cell r="O395" t="str">
            <v>VI-25/57068</v>
          </cell>
          <cell r="Q395">
            <v>0</v>
          </cell>
        </row>
        <row r="396">
          <cell r="K396">
            <v>8.3333333333333329E-2</v>
          </cell>
          <cell r="M396" t="str">
            <v>TRI PHƯƠNG</v>
          </cell>
          <cell r="N396" t="str">
            <v>HATECO HICT</v>
          </cell>
          <cell r="O396" t="str">
            <v>VI-25/57069</v>
          </cell>
          <cell r="Q396">
            <v>0</v>
          </cell>
        </row>
        <row r="397">
          <cell r="I397" t="str">
            <v>HASU1346490</v>
          </cell>
          <cell r="J397" t="str">
            <v>ĐỨC</v>
          </cell>
          <cell r="K397">
            <v>0.35416666666666669</v>
          </cell>
          <cell r="L397" t="str">
            <v>MRSU5768425</v>
          </cell>
          <cell r="N397" t="str">
            <v>HATECO HICT</v>
          </cell>
          <cell r="O397" t="str">
            <v>VI-25/57048</v>
          </cell>
          <cell r="Q397">
            <v>0</v>
          </cell>
        </row>
        <row r="398">
          <cell r="I398" t="str">
            <v>CAAU8611432</v>
          </cell>
          <cell r="J398" t="str">
            <v>RU ĐĂNG KHOA</v>
          </cell>
          <cell r="K398">
            <v>0.39583333333333331</v>
          </cell>
          <cell r="L398" t="str">
            <v>CAAU8611432</v>
          </cell>
          <cell r="N398" t="str">
            <v>HATECO HICT</v>
          </cell>
          <cell r="O398" t="str">
            <v>VI-25/57052
CB VI-25/57082</v>
          </cell>
          <cell r="Q398">
            <v>0</v>
          </cell>
        </row>
        <row r="399">
          <cell r="I399" t="str">
            <v>CAAU4700439</v>
          </cell>
          <cell r="J399" t="str">
            <v>RU ĐĂNG KHOA</v>
          </cell>
          <cell r="K399">
            <v>0.42708333333333331</v>
          </cell>
          <cell r="L399" t="str">
            <v>CAAU4700439</v>
          </cell>
          <cell r="N399" t="str">
            <v>HATECO HICT</v>
          </cell>
          <cell r="O399" t="str">
            <v>VI-25/57079</v>
          </cell>
          <cell r="Q399">
            <v>0</v>
          </cell>
        </row>
        <row r="400">
          <cell r="I400" t="str">
            <v>MRSU8677139</v>
          </cell>
          <cell r="J400" t="str">
            <v>RU AVS</v>
          </cell>
          <cell r="K400">
            <v>0.45833333333333331</v>
          </cell>
          <cell r="L400" t="str">
            <v>MRSU8677139</v>
          </cell>
          <cell r="N400" t="str">
            <v>HATECO HICT</v>
          </cell>
          <cell r="O400" t="str">
            <v>VI-25/57053</v>
          </cell>
          <cell r="Q400">
            <v>0</v>
          </cell>
        </row>
        <row r="401">
          <cell r="I401" t="str">
            <v>MRSU4529982</v>
          </cell>
          <cell r="J401" t="str">
            <v>RU ĐĂNG KHOA</v>
          </cell>
          <cell r="K401">
            <v>0.9375</v>
          </cell>
          <cell r="L401">
            <v>259367424</v>
          </cell>
          <cell r="N401" t="str">
            <v>HATECO HICT</v>
          </cell>
          <cell r="O401" t="str">
            <v>VI-25/57049</v>
          </cell>
          <cell r="Q401">
            <v>0</v>
          </cell>
        </row>
        <row r="402">
          <cell r="I402" t="str">
            <v>MRSU6447559</v>
          </cell>
          <cell r="J402" t="str">
            <v>HƯỜNG</v>
          </cell>
          <cell r="K402">
            <v>6.25E-2</v>
          </cell>
          <cell r="N402" t="str">
            <v>HATECO HICT</v>
          </cell>
          <cell r="O402" t="str">
            <v>VI-25/57050</v>
          </cell>
          <cell r="Q402">
            <v>0</v>
          </cell>
        </row>
        <row r="403">
          <cell r="I403" t="str">
            <v>MRSU5827024</v>
          </cell>
          <cell r="J403" t="str">
            <v>RU ANH KIỆT</v>
          </cell>
          <cell r="K403">
            <v>0.54166666666666663</v>
          </cell>
          <cell r="L403" t="str">
            <v>MRSU5827024</v>
          </cell>
          <cell r="N403" t="str">
            <v>HATECO HICT</v>
          </cell>
          <cell r="Q403">
            <v>0</v>
          </cell>
        </row>
        <row r="404">
          <cell r="I404" t="str">
            <v>MNBU4208866</v>
          </cell>
          <cell r="J404" t="str">
            <v>MẠNH</v>
          </cell>
          <cell r="K404">
            <v>0.625</v>
          </cell>
          <cell r="L404" t="str">
            <v>TRHU4939568</v>
          </cell>
          <cell r="N404" t="str">
            <v>HATECO HICT</v>
          </cell>
          <cell r="O404" t="str">
            <v>VR-25/52329</v>
          </cell>
          <cell r="Q404">
            <v>307861857610</v>
          </cell>
        </row>
        <row r="405">
          <cell r="I405" t="str">
            <v>SUDU1455180</v>
          </cell>
          <cell r="J405" t="str">
            <v>RU MBF</v>
          </cell>
          <cell r="K405">
            <v>0.41666666666666669</v>
          </cell>
          <cell r="L405" t="str">
            <v>SUDU1455180</v>
          </cell>
          <cell r="N405" t="str">
            <v>HATECO HICT</v>
          </cell>
          <cell r="Q405">
            <v>0</v>
          </cell>
        </row>
        <row r="406">
          <cell r="I406" t="str">
            <v>MRSU5574029</v>
          </cell>
          <cell r="J406" t="str">
            <v>RU ĐĂNG KHOA</v>
          </cell>
          <cell r="K406">
            <v>0.45833333333333331</v>
          </cell>
          <cell r="L406" t="str">
            <v>MRSU5574029</v>
          </cell>
          <cell r="N406" t="str">
            <v>HATECO HICT</v>
          </cell>
          <cell r="O406" t="str">
            <v>VP-25/53193</v>
          </cell>
          <cell r="P406">
            <v>15649</v>
          </cell>
          <cell r="Q406" t="str">
            <v>307860537260 </v>
          </cell>
        </row>
        <row r="407">
          <cell r="I407" t="str">
            <v>CGMU6569390</v>
          </cell>
          <cell r="J407" t="str">
            <v>THI</v>
          </cell>
          <cell r="K407">
            <v>0.54166666666666663</v>
          </cell>
          <cell r="L407" t="str">
            <v>FDCU0468774</v>
          </cell>
          <cell r="M407" t="str">
            <v>TRI PHƯƠNG</v>
          </cell>
          <cell r="N407" t="str">
            <v>HATECO HICT</v>
          </cell>
          <cell r="Q407">
            <v>0</v>
          </cell>
        </row>
        <row r="408">
          <cell r="I408" t="str">
            <v>ONEU9130439</v>
          </cell>
          <cell r="J408" t="str">
            <v>QUÂN</v>
          </cell>
          <cell r="K408">
            <v>0.45833333333333331</v>
          </cell>
          <cell r="L408" t="str">
            <v>TXGU7199905</v>
          </cell>
          <cell r="M408" t="str">
            <v>TRI PHƯƠNG</v>
          </cell>
          <cell r="N408" t="str">
            <v>LẠCH HUYỆN</v>
          </cell>
          <cell r="Q408">
            <v>0</v>
          </cell>
        </row>
        <row r="409">
          <cell r="I409" t="str">
            <v>OTPU6392445</v>
          </cell>
          <cell r="J409" t="str">
            <v>MẠNH MIN</v>
          </cell>
          <cell r="K409">
            <v>0.95833333333333337</v>
          </cell>
          <cell r="M409" t="str">
            <v>TRI PHƯƠNG</v>
          </cell>
          <cell r="N409" t="str">
            <v>LẠCH HUYỆN</v>
          </cell>
          <cell r="Q4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://113.160.97.58:8224/Viewer/HoaDonViewer.aspx?mhd=7ca53f91-1d01-4d4d-b3ed-bca483428193" TargetMode="External"/><Relationship Id="rId170" Type="http://schemas.openxmlformats.org/officeDocument/2006/relationships/hyperlink" Target="http://113.160.97.58:8224/Viewer/HoaDonViewer.aspx?mhd=0f486266-2990-4da0-a104-7ead4d5d3d6d&amp;iscd=1" TargetMode="External"/><Relationship Id="rId268" Type="http://schemas.openxmlformats.org/officeDocument/2006/relationships/hyperlink" Target="https://thuphi.haiphong.gov.vn:8222/tra-cuu-bien-lai-dien-tu?ma_tracuu=1RJGFU1JFD" TargetMode="External"/><Relationship Id="rId475" Type="http://schemas.openxmlformats.org/officeDocument/2006/relationships/hyperlink" Target="http://113.160.97.58:8224/Viewer/Downloadfile.aspx?mhd=5d8cab4a-6458-410e-91fc-466358810ed2" TargetMode="External"/><Relationship Id="rId682" Type="http://schemas.openxmlformats.org/officeDocument/2006/relationships/hyperlink" Target="http://113.160.97.58:8224/Viewer/HoaDonViewer.aspx?mhd=f76ea473-ee36-4d14-bbd9-c0d26552e37c&amp;iscd=1" TargetMode="External"/><Relationship Id="rId128" Type="http://schemas.openxmlformats.org/officeDocument/2006/relationships/hyperlink" Target="https://thuphi.haiphong.gov.vn:8222/tra-cuu-bien-lai-dien-tu?ma_tracuu=46YRM3GE5S" TargetMode="External"/><Relationship Id="rId335" Type="http://schemas.openxmlformats.org/officeDocument/2006/relationships/hyperlink" Target="http://113.160.97.58:8224/Viewer/Downloadfile.aspx?mhd=f3605b4f-e8b8-4862-8b11-e7ffaf2fdd85" TargetMode="External"/><Relationship Id="rId542" Type="http://schemas.openxmlformats.org/officeDocument/2006/relationships/hyperlink" Target="http://113.160.97.58:8224/Viewer/HoaDonViewer.aspx?mhd=57cbf090-9df2-4167-a105-b6d734132e27&amp;iscd=1" TargetMode="External"/><Relationship Id="rId987" Type="http://schemas.openxmlformats.org/officeDocument/2006/relationships/hyperlink" Target="http://113.160.97.58:8224/Viewer/Downloadfile.aspx?mhd=9c0b207e-d279-47d9-bea4-3b979c917dc3" TargetMode="External"/><Relationship Id="rId1172" Type="http://schemas.openxmlformats.org/officeDocument/2006/relationships/hyperlink" Target="https://thuphi.haiphong.gov.vn:8222/tra-cuu-bien-lai-dien-tu?ma_tracuu=SJQW3V4ESD" TargetMode="External"/><Relationship Id="rId402" Type="http://schemas.openxmlformats.org/officeDocument/2006/relationships/hyperlink" Target="http://113.160.97.58:8224/Viewer/HoaDonViewer.aspx?mhd=8d439aeb-2379-4d93-83f4-dffdd761e31a&amp;iscd=1" TargetMode="External"/><Relationship Id="rId847" Type="http://schemas.openxmlformats.org/officeDocument/2006/relationships/hyperlink" Target="http://113.160.97.58:8224/Viewer/Downloadfile.aspx?mhd=e3c63387-366f-4219-89c8-c2fb601dce6c" TargetMode="External"/><Relationship Id="rId1032" Type="http://schemas.openxmlformats.org/officeDocument/2006/relationships/hyperlink" Target="https://thuphi.haiphong.gov.vn:8222/tra-cuu-bien-lai-dien-tu?ma_tracuu=S81LFLYFXN" TargetMode="External"/><Relationship Id="rId707" Type="http://schemas.openxmlformats.org/officeDocument/2006/relationships/hyperlink" Target="http://113.160.97.58:8224/Viewer/Downloadfile.aspx?mhd=254fce19-446e-4412-afcd-1ce9ab9d1062" TargetMode="External"/><Relationship Id="rId914" Type="http://schemas.openxmlformats.org/officeDocument/2006/relationships/hyperlink" Target="http://113.160.97.58:8224/Viewer/HoaDonViewer.aspx?mhd=84571a9f-8613-4889-8f9a-dc5324b3e2a2&amp;iscd=1" TargetMode="External"/><Relationship Id="rId1337" Type="http://schemas.openxmlformats.org/officeDocument/2006/relationships/hyperlink" Target="http://113.160.97.58:8224/Viewer/HoaDonViewer.aspx?mhd=710de391-2427-4f2d-aa23-3a41f7085c75" TargetMode="External"/><Relationship Id="rId43" Type="http://schemas.openxmlformats.org/officeDocument/2006/relationships/hyperlink" Target="http://113.160.97.58:8224/Viewer/Downloadfile.aspx?mhd=6bed33cd-ba30-47ac-82b5-4aeb9b8f2591" TargetMode="External"/><Relationship Id="rId1404" Type="http://schemas.openxmlformats.org/officeDocument/2006/relationships/hyperlink" Target="https://thuphi.haiphong.gov.vn:8222/tra-cuu-bien-lai-dien-tu?ma_tracuu=XKFEFS22T3" TargetMode="External"/><Relationship Id="rId192" Type="http://schemas.openxmlformats.org/officeDocument/2006/relationships/hyperlink" Target="https://thuphi.haiphong.gov.vn:8222/tra-cuu-bien-lai-dien-tu?ma_tracuu=IUB0MY5WV2" TargetMode="External"/><Relationship Id="rId497" Type="http://schemas.openxmlformats.org/officeDocument/2006/relationships/hyperlink" Target="http://113.160.97.58:8224/Viewer/HoaDonViewer.aspx?mhd=2b01ab13-a221-42ff-afef-3b56053736a8" TargetMode="External"/><Relationship Id="rId357" Type="http://schemas.openxmlformats.org/officeDocument/2006/relationships/hyperlink" Target="http://113.160.97.58:8224/Viewer/HoaDonViewer.aspx?mhd=d570d55c-b25b-42e6-8774-bef02dc47c8f" TargetMode="External"/><Relationship Id="rId1194" Type="http://schemas.openxmlformats.org/officeDocument/2006/relationships/hyperlink" Target="http://113.160.97.58:8224/Viewer/HoaDonViewer.aspx?mhd=2a523fa2-ae54-493b-a286-d319c682af3a&amp;iscd=1" TargetMode="External"/><Relationship Id="rId217" Type="http://schemas.openxmlformats.org/officeDocument/2006/relationships/hyperlink" Target="http://113.160.97.58:8224/Viewer/HoaDonViewer.aspx?mhd=2e368ab7-6f77-4fe1-b8ea-9cf059ec2ced" TargetMode="External"/><Relationship Id="rId564" Type="http://schemas.openxmlformats.org/officeDocument/2006/relationships/hyperlink" Target="https://thuphi.haiphong.gov.vn:8222/tra-cuu-bien-lai-dien-tu?ma_tracuu=S75KV0GHCC" TargetMode="External"/><Relationship Id="rId771" Type="http://schemas.openxmlformats.org/officeDocument/2006/relationships/hyperlink" Target="http://113.160.97.58:8224/Viewer/Downloadfile.aspx?mhd=b5ffea2c-d39f-49d6-ab70-019bff65102d" TargetMode="External"/><Relationship Id="rId869" Type="http://schemas.openxmlformats.org/officeDocument/2006/relationships/hyperlink" Target="http://113.160.97.58:8224/Viewer/HoaDonViewer.aspx?mhd=fbf3de23-c830-4b60-854c-883e9bae38fa" TargetMode="External"/><Relationship Id="rId424" Type="http://schemas.openxmlformats.org/officeDocument/2006/relationships/hyperlink" Target="https://thuphi.haiphong.gov.vn:8222/tra-cuu-bien-lai-dien-tu?ma_tracuu=VRT43G5846" TargetMode="External"/><Relationship Id="rId631" Type="http://schemas.openxmlformats.org/officeDocument/2006/relationships/hyperlink" Target="http://113.160.97.58:8224/Viewer/Downloadfile.aspx?mhd=f6d30ccb-80c4-4b3e-823a-9f6f02d9bbc3" TargetMode="External"/><Relationship Id="rId729" Type="http://schemas.openxmlformats.org/officeDocument/2006/relationships/hyperlink" Target="http://113.160.97.58:8224/Viewer/HoaDonViewer.aspx?mhd=fa84e481-38e3-4584-abfa-9fe1570d1f2b" TargetMode="External"/><Relationship Id="rId1054" Type="http://schemas.openxmlformats.org/officeDocument/2006/relationships/hyperlink" Target="http://113.160.97.58:8224/Viewer/HoaDonViewer.aspx?mhd=8463093d-403b-4e3b-b2f1-72b1fe2ec85f&amp;iscd=1" TargetMode="External"/><Relationship Id="rId1261" Type="http://schemas.openxmlformats.org/officeDocument/2006/relationships/hyperlink" Target="http://113.160.97.58:8224/Viewer/HoaDonViewer.aspx?mhd=847aa2fa-8ba0-4e05-84a5-9cf00536f9a6" TargetMode="External"/><Relationship Id="rId1359" Type="http://schemas.openxmlformats.org/officeDocument/2006/relationships/hyperlink" Target="http://113.160.97.58:8224/Viewer/Downloadfile.aspx?mhd=935be706-b620-407f-94d8-509e79674c32" TargetMode="External"/><Relationship Id="rId936" Type="http://schemas.openxmlformats.org/officeDocument/2006/relationships/hyperlink" Target="https://thuphi.haiphong.gov.vn:8222/tra-cuu-bien-lai-dien-tu?ma_tracuu=6XQWC8XD3U" TargetMode="External"/><Relationship Id="rId1121" Type="http://schemas.openxmlformats.org/officeDocument/2006/relationships/hyperlink" Target="http://113.160.97.58:8224/Viewer/HoaDonViewer.aspx?mhd=c4ec0e23-674b-4431-b7ea-b441347ed723" TargetMode="External"/><Relationship Id="rId1219" Type="http://schemas.openxmlformats.org/officeDocument/2006/relationships/hyperlink" Target="http://113.160.97.58:8224/Viewer/Downloadfile.aspx?mhd=f5d2be1e-4a3b-4272-a1fe-e388f599773d" TargetMode="External"/><Relationship Id="rId65" Type="http://schemas.openxmlformats.org/officeDocument/2006/relationships/hyperlink" Target="http://113.160.97.58:8224/Viewer/HoaDonViewer.aspx?mhd=56329dea-1017-4b1a-9a28-b7466edadd0e" TargetMode="External"/><Relationship Id="rId1426" Type="http://schemas.openxmlformats.org/officeDocument/2006/relationships/hyperlink" Target="http://113.160.97.58:8224/Viewer/HoaDonViewer.aspx?mhd=5006e17d-1a34-4838-966e-ff1b30949cf7&amp;iscd=1" TargetMode="External"/><Relationship Id="rId281" Type="http://schemas.openxmlformats.org/officeDocument/2006/relationships/hyperlink" Target="http://113.160.97.58:8224/Viewer/HoaDonViewer.aspx?mhd=beaeccbc-9a3f-4d13-8700-171228ddc7b7" TargetMode="External"/><Relationship Id="rId141" Type="http://schemas.openxmlformats.org/officeDocument/2006/relationships/hyperlink" Target="http://113.160.97.58:8224/Viewer/HoaDonViewer.aspx?mhd=c5709791-985c-4ed5-a2af-9dec56e3199a" TargetMode="External"/><Relationship Id="rId379" Type="http://schemas.openxmlformats.org/officeDocument/2006/relationships/hyperlink" Target="http://113.160.97.58:8224/Viewer/Downloadfile.aspx?mhd=986bdfda-d28d-4ddc-b139-f4f692216d17" TargetMode="External"/><Relationship Id="rId586" Type="http://schemas.openxmlformats.org/officeDocument/2006/relationships/hyperlink" Target="http://113.160.97.58:8224/Viewer/HoaDonViewer.aspx?mhd=129f3fa5-8585-46b0-86d9-e280969f7d92&amp;iscd=1" TargetMode="External"/><Relationship Id="rId793" Type="http://schemas.openxmlformats.org/officeDocument/2006/relationships/hyperlink" Target="http://113.160.97.58:8224/Viewer/HoaDonViewer.aspx?mhd=871d221f-9b1f-41eb-819d-86e338d4fa22" TargetMode="External"/><Relationship Id="rId7" Type="http://schemas.openxmlformats.org/officeDocument/2006/relationships/hyperlink" Target="http://113.160.97.58:8224/Viewer/Downloadfile.aspx?mhd=abfe3efe-b6cd-491c-ae39-977fddf52186" TargetMode="External"/><Relationship Id="rId239" Type="http://schemas.openxmlformats.org/officeDocument/2006/relationships/hyperlink" Target="http://113.160.97.58:8224/Viewer/Downloadfile.aspx?mhd=2a8aa12a-72c8-42ea-b161-51fe2738d8fa" TargetMode="External"/><Relationship Id="rId446" Type="http://schemas.openxmlformats.org/officeDocument/2006/relationships/hyperlink" Target="http://113.160.97.58:8224/Viewer/HoaDonViewer.aspx?mhd=7621c7da-9d76-4f83-bf88-6c174e3e9ef8&amp;iscd=1" TargetMode="External"/><Relationship Id="rId653" Type="http://schemas.openxmlformats.org/officeDocument/2006/relationships/hyperlink" Target="http://113.160.97.58:8224/Viewer/HoaDonViewer.aspx?mhd=38cc28f9-83bd-405c-b7df-186ae363d744" TargetMode="External"/><Relationship Id="rId1076" Type="http://schemas.openxmlformats.org/officeDocument/2006/relationships/hyperlink" Target="https://thuphi.haiphong.gov.vn:8222/tra-cuu-bien-lai-dien-tu?ma_tracuu=1UB9VIYZXS" TargetMode="External"/><Relationship Id="rId1283" Type="http://schemas.openxmlformats.org/officeDocument/2006/relationships/hyperlink" Target="http://113.160.97.58:8224/Viewer/Downloadfile.aspx?mhd=72c3a870-6e34-4e51-9946-5d73c1264d79" TargetMode="External"/><Relationship Id="rId306" Type="http://schemas.openxmlformats.org/officeDocument/2006/relationships/hyperlink" Target="http://113.160.97.58:8224/Viewer/HoaDonViewer.aspx?mhd=54f6dd9c-8e1a-476e-a437-9f4df6b13e4b&amp;iscd=1" TargetMode="External"/><Relationship Id="rId860" Type="http://schemas.openxmlformats.org/officeDocument/2006/relationships/hyperlink" Target="https://thuphi.haiphong.gov.vn:8222/tra-cuu-bien-lai-dien-tu?ma_tracuu=6S8HQCRD36" TargetMode="External"/><Relationship Id="rId958" Type="http://schemas.openxmlformats.org/officeDocument/2006/relationships/hyperlink" Target="http://113.160.97.58:8224/Viewer/HoaDonViewer.aspx?mhd=6b08d8d1-771e-41e0-8059-01c84e7f4d36&amp;iscd=1" TargetMode="External"/><Relationship Id="rId1143" Type="http://schemas.openxmlformats.org/officeDocument/2006/relationships/hyperlink" Target="http://113.160.97.58:8224/Viewer/Downloadfile.aspx?mhd=f90ae435-cc1a-4e66-b952-6d01cbc8f2c6" TargetMode="External"/><Relationship Id="rId87" Type="http://schemas.openxmlformats.org/officeDocument/2006/relationships/hyperlink" Target="http://113.160.97.58:8224/Viewer/Downloadfile.aspx?mhd=0e5cb23c-502c-4434-83c6-5cd50fed0370" TargetMode="External"/><Relationship Id="rId513" Type="http://schemas.openxmlformats.org/officeDocument/2006/relationships/hyperlink" Target="http://113.160.97.58:8224/Viewer/HoaDonViewer.aspx?mhd=6c17e79d-c40a-4cf8-9d12-e23e4091bb7c" TargetMode="External"/><Relationship Id="rId720" Type="http://schemas.openxmlformats.org/officeDocument/2006/relationships/hyperlink" Target="https://thuphi.haiphong.gov.vn:8222/tra-cuu-bien-lai-dien-tu?ma_tracuu=XBZGBCEVE0" TargetMode="External"/><Relationship Id="rId818" Type="http://schemas.openxmlformats.org/officeDocument/2006/relationships/hyperlink" Target="http://113.160.97.58:8224/Viewer/HoaDonViewer.aspx?mhd=46736446-8bde-4aae-8142-f9adebdcaffe&amp;iscd=1" TargetMode="External"/><Relationship Id="rId1350" Type="http://schemas.openxmlformats.org/officeDocument/2006/relationships/hyperlink" Target="http://113.160.97.58:8224/Viewer/HoaDonViewer.aspx?mhd=4915e286-ddde-47c2-bd0c-8dd018731b2b&amp;iscd=1" TargetMode="External"/><Relationship Id="rId1448" Type="http://schemas.openxmlformats.org/officeDocument/2006/relationships/hyperlink" Target="https://thuphi.haiphong.gov.vn:8222/tra-cuu-bien-lai-dien-tu?ma_tracuu=0W6L6J96Y9" TargetMode="External"/><Relationship Id="rId1003" Type="http://schemas.openxmlformats.org/officeDocument/2006/relationships/hyperlink" Target="http://113.160.97.58:8224/Viewer/Downloadfile.aspx?mhd=97e5aff6-7087-411f-9311-daa4ef6edd31" TargetMode="External"/><Relationship Id="rId1210" Type="http://schemas.openxmlformats.org/officeDocument/2006/relationships/hyperlink" Target="http://113.160.97.58:8224/Viewer/HoaDonViewer.aspx?mhd=038e0687-d504-4637-af66-60eea510cb48&amp;iscd=1" TargetMode="External"/><Relationship Id="rId1308" Type="http://schemas.openxmlformats.org/officeDocument/2006/relationships/hyperlink" Target="https://thuphi.haiphong.gov.vn:8222/tra-cuu-bien-lai-dien-tu?ma_tracuu=47A5GEX6TA" TargetMode="External"/><Relationship Id="rId14" Type="http://schemas.openxmlformats.org/officeDocument/2006/relationships/hyperlink" Target="http://113.160.97.58:8224/Viewer/HoaDonViewer.aspx?mhd=6d7e17f0-3ba0-4e97-bfe6-1ccf48fa1489&amp;iscd=1" TargetMode="External"/><Relationship Id="rId163" Type="http://schemas.openxmlformats.org/officeDocument/2006/relationships/hyperlink" Target="http://113.160.97.58:8224/Viewer/Downloadfile.aspx?mhd=275d00e5-0077-4e32-bdc1-985929e43b9e" TargetMode="External"/><Relationship Id="rId370" Type="http://schemas.openxmlformats.org/officeDocument/2006/relationships/hyperlink" Target="http://113.160.97.58:8224/Viewer/HoaDonViewer.aspx?mhd=c64fa8b8-6651-4478-a301-32ecc56a9d51&amp;iscd=1" TargetMode="External"/><Relationship Id="rId230" Type="http://schemas.openxmlformats.org/officeDocument/2006/relationships/hyperlink" Target="http://113.160.97.58:8224/Viewer/HoaDonViewer.aspx?mhd=6a0309b4-f65f-4439-a431-e698a2c0e0c2&amp;iscd=1" TargetMode="External"/><Relationship Id="rId468" Type="http://schemas.openxmlformats.org/officeDocument/2006/relationships/hyperlink" Target="https://thuphi.haiphong.gov.vn:8222/tra-cuu-bien-lai-dien-tu?ma_tracuu=DJBI2W3G4S" TargetMode="External"/><Relationship Id="rId675" Type="http://schemas.openxmlformats.org/officeDocument/2006/relationships/hyperlink" Target="http://113.160.97.58:8224/Viewer/Downloadfile.aspx?mhd=43456542-72d4-4895-9877-b21dfe613f2d" TargetMode="External"/><Relationship Id="rId882" Type="http://schemas.openxmlformats.org/officeDocument/2006/relationships/hyperlink" Target="http://113.160.97.58:8224/Viewer/HoaDonViewer.aspx?mhd=57cc605a-beac-4811-be06-98bde2205a3a&amp;iscd=1" TargetMode="External"/><Relationship Id="rId1098" Type="http://schemas.openxmlformats.org/officeDocument/2006/relationships/hyperlink" Target="http://113.160.97.58:8224/Viewer/HoaDonViewer.aspx?mhd=935576c0-80ca-4272-8362-fe225ca0a207&amp;iscd=1" TargetMode="External"/><Relationship Id="rId328" Type="http://schemas.openxmlformats.org/officeDocument/2006/relationships/hyperlink" Target="https://thuphi.haiphong.gov.vn:8222/tra-cuu-bien-lai-dien-tu?ma_tracuu=XH84HI37F2" TargetMode="External"/><Relationship Id="rId535" Type="http://schemas.openxmlformats.org/officeDocument/2006/relationships/hyperlink" Target="http://113.160.97.58:8224/Viewer/Downloadfile.aspx?mhd=1022ee17-a56e-4d6e-8173-0978667f3531" TargetMode="External"/><Relationship Id="rId742" Type="http://schemas.openxmlformats.org/officeDocument/2006/relationships/hyperlink" Target="http://113.160.97.58:8224/Viewer/HoaDonViewer.aspx?mhd=00583ac6-f9fa-4752-a2aa-f20100680f68&amp;iscd=1" TargetMode="External"/><Relationship Id="rId1165" Type="http://schemas.openxmlformats.org/officeDocument/2006/relationships/hyperlink" Target="http://113.160.97.58:8224/Viewer/HoaDonViewer.aspx?mhd=1e11baa0-ab92-4165-959c-f679d0bace76" TargetMode="External"/><Relationship Id="rId1372" Type="http://schemas.openxmlformats.org/officeDocument/2006/relationships/hyperlink" Target="https://thuphi.haiphong.gov.vn:8222/tra-cuu-bien-lai-dien-tu?ma_tracuu=23CQ8YRRT9" TargetMode="External"/><Relationship Id="rId602" Type="http://schemas.openxmlformats.org/officeDocument/2006/relationships/hyperlink" Target="http://113.160.97.58:8224/Viewer/HoaDonViewer.aspx?mhd=d288b629-f731-40ef-83ad-eb37ae0a5e65&amp;iscd=1" TargetMode="External"/><Relationship Id="rId1025" Type="http://schemas.openxmlformats.org/officeDocument/2006/relationships/hyperlink" Target="http://113.160.97.58:8224/Viewer/HoaDonViewer.aspx?mhd=84468227-d613-4889-b3fe-08d45e180112" TargetMode="External"/><Relationship Id="rId1232" Type="http://schemas.openxmlformats.org/officeDocument/2006/relationships/hyperlink" Target="https://thuphi.haiphong.gov.vn:8222/tra-cuu-bien-lai-dien-tu?ma_tracuu=8BDYWDYP52" TargetMode="External"/><Relationship Id="rId907" Type="http://schemas.openxmlformats.org/officeDocument/2006/relationships/hyperlink" Target="http://113.160.97.58:8224/Viewer/Downloadfile.aspx?mhd=1fd467f4-4816-4244-956c-3b5a452198ea" TargetMode="External"/><Relationship Id="rId36" Type="http://schemas.openxmlformats.org/officeDocument/2006/relationships/hyperlink" Target="https://thuphi.haiphong.gov.vn:8222/tra-cuu-bien-lai-dien-tu?ma_tracuu=0UTWP9EN5W" TargetMode="External"/><Relationship Id="rId185" Type="http://schemas.openxmlformats.org/officeDocument/2006/relationships/hyperlink" Target="http://113.160.97.58:8224/Viewer/HoaDonViewer.aspx?mhd=ef2af903-5b60-4d0f-8fd9-44c59da2e245" TargetMode="External"/><Relationship Id="rId392" Type="http://schemas.openxmlformats.org/officeDocument/2006/relationships/hyperlink" Target="https://thuphi.haiphong.gov.vn:8222/tra-cuu-bien-lai-dien-tu?ma_tracuu=87A12C46RI" TargetMode="External"/><Relationship Id="rId697" Type="http://schemas.openxmlformats.org/officeDocument/2006/relationships/hyperlink" Target="http://113.160.97.58:8224/Viewer/HoaDonViewer.aspx?mhd=2dfc2eea-5250-484b-b84d-5a1c2f97b32f" TargetMode="External"/><Relationship Id="rId252" Type="http://schemas.openxmlformats.org/officeDocument/2006/relationships/hyperlink" Target="https://thuphi.haiphong.gov.vn:8222/tra-cuu-bien-lai-dien-tu?ma_tracuu=TBEFSGTJFL" TargetMode="External"/><Relationship Id="rId1187" Type="http://schemas.openxmlformats.org/officeDocument/2006/relationships/hyperlink" Target="http://113.160.97.58:8224/Viewer/Downloadfile.aspx?mhd=792710bd-dae7-4a78-9e4c-7295eac46ed6" TargetMode="External"/><Relationship Id="rId112" Type="http://schemas.openxmlformats.org/officeDocument/2006/relationships/hyperlink" Target="https://thuphi.haiphong.gov.vn:8222/tra-cuu-bien-lai-dien-tu?ma_tracuu=7W3NQSGE5F" TargetMode="External"/><Relationship Id="rId557" Type="http://schemas.openxmlformats.org/officeDocument/2006/relationships/hyperlink" Target="http://113.160.97.58:8224/Viewer/HoaDonViewer.aspx?mhd=4321550f-10ec-47a0-ba89-a9e87ba834ea" TargetMode="External"/><Relationship Id="rId764" Type="http://schemas.openxmlformats.org/officeDocument/2006/relationships/hyperlink" Target="https://thuphi.haiphong.gov.vn:8222/tra-cuu-bien-lai-dien-tu?ma_tracuu=0G8NNKN732" TargetMode="External"/><Relationship Id="rId971" Type="http://schemas.openxmlformats.org/officeDocument/2006/relationships/hyperlink" Target="http://113.160.97.58:8224/Viewer/Downloadfile.aspx?mhd=8de95677-dad1-4d46-a33c-2c16cd768c38" TargetMode="External"/><Relationship Id="rId1394" Type="http://schemas.openxmlformats.org/officeDocument/2006/relationships/hyperlink" Target="http://113.160.97.58:8224/Viewer/HoaDonViewer.aspx?mhd=60a63e4f-5050-4195-b62b-498849431a8e&amp;iscd=1" TargetMode="External"/><Relationship Id="rId417" Type="http://schemas.openxmlformats.org/officeDocument/2006/relationships/hyperlink" Target="http://113.160.97.58:8224/Viewer/HoaDonViewer.aspx?mhd=42d228d8-8701-4540-900b-32716e8ce8e6" TargetMode="External"/><Relationship Id="rId624" Type="http://schemas.openxmlformats.org/officeDocument/2006/relationships/hyperlink" Target="https://thuphi.haiphong.gov.vn:8222/tra-cuu-bien-lai-dien-tu?ma_tracuu=QEQWP9E0DV" TargetMode="External"/><Relationship Id="rId831" Type="http://schemas.openxmlformats.org/officeDocument/2006/relationships/hyperlink" Target="http://113.160.97.58:8224/Viewer/Downloadfile.aspx?mhd=3df4b132-d510-4810-86d9-f4acb61b1ef3" TargetMode="External"/><Relationship Id="rId1047" Type="http://schemas.openxmlformats.org/officeDocument/2006/relationships/hyperlink" Target="http://113.160.97.58:8224/Viewer/Downloadfile.aspx?mhd=25c998f9-396f-4741-b395-9f7021809a6a" TargetMode="External"/><Relationship Id="rId1254" Type="http://schemas.openxmlformats.org/officeDocument/2006/relationships/hyperlink" Target="http://113.160.97.58:8224/Viewer/HoaDonViewer.aspx?mhd=ecb3994c-876d-4dac-ac03-172281686dcc&amp;iscd=1" TargetMode="External"/><Relationship Id="rId929" Type="http://schemas.openxmlformats.org/officeDocument/2006/relationships/hyperlink" Target="http://113.160.97.58:8224/Viewer/HoaDonViewer.aspx?mhd=8ff4d90a-5220-4af8-b46f-0ae53428381d" TargetMode="External"/><Relationship Id="rId1114" Type="http://schemas.openxmlformats.org/officeDocument/2006/relationships/hyperlink" Target="http://113.160.97.58:8224/Viewer/HoaDonViewer.aspx?mhd=651c13d2-9f35-4a0a-a3fa-ffd6f3b3ffbf&amp;iscd=1" TargetMode="External"/><Relationship Id="rId1321" Type="http://schemas.openxmlformats.org/officeDocument/2006/relationships/hyperlink" Target="http://113.160.97.58:8224/Viewer/HoaDonViewer.aspx?mhd=8fb9faba-c1d2-48dd-b9e6-61e41cf78573" TargetMode="External"/><Relationship Id="rId58" Type="http://schemas.openxmlformats.org/officeDocument/2006/relationships/hyperlink" Target="http://113.160.97.58:8224/Viewer/HoaDonViewer.aspx?mhd=9fcbc40f-4218-42d1-a740-2009cc103b58&amp;iscd=1" TargetMode="External"/><Relationship Id="rId1419" Type="http://schemas.openxmlformats.org/officeDocument/2006/relationships/hyperlink" Target="http://113.160.97.58:8224/Viewer/Downloadfile.aspx?mhd=49431209-154d-4c06-8408-8359b91760a2" TargetMode="External"/><Relationship Id="rId274" Type="http://schemas.openxmlformats.org/officeDocument/2006/relationships/hyperlink" Target="http://113.160.97.58:8224/Viewer/HoaDonViewer.aspx?mhd=125d1ca1-5ac4-4801-93c2-735f664312d6&amp;iscd=1" TargetMode="External"/><Relationship Id="rId481" Type="http://schemas.openxmlformats.org/officeDocument/2006/relationships/hyperlink" Target="http://113.160.97.58:8224/Viewer/HoaDonViewer.aspx?mhd=f22b3e0c-ae4e-46c5-a936-e42a6f5f242f" TargetMode="External"/><Relationship Id="rId134" Type="http://schemas.openxmlformats.org/officeDocument/2006/relationships/hyperlink" Target="http://113.160.97.58:8224/Viewer/HoaDonViewer.aspx?mhd=84b3a21a-35a8-48c1-90e0-1ef4211fea3d&amp;iscd=1" TargetMode="External"/><Relationship Id="rId579" Type="http://schemas.openxmlformats.org/officeDocument/2006/relationships/hyperlink" Target="http://113.160.97.58:8224/Viewer/Downloadfile.aspx?mhd=56fc423d-d627-442c-9c43-9a1c097aeddf" TargetMode="External"/><Relationship Id="rId786" Type="http://schemas.openxmlformats.org/officeDocument/2006/relationships/hyperlink" Target="http://113.160.97.58:8224/Viewer/HoaDonViewer.aspx?mhd=af0e4a87-a660-43ea-9644-94b1f446f880&amp;iscd=1" TargetMode="External"/><Relationship Id="rId993" Type="http://schemas.openxmlformats.org/officeDocument/2006/relationships/hyperlink" Target="http://113.160.97.58:8224/Viewer/HoaDonViewer.aspx?mhd=6f332710-6bae-42cc-b81c-abfe892951af" TargetMode="External"/><Relationship Id="rId341" Type="http://schemas.openxmlformats.org/officeDocument/2006/relationships/hyperlink" Target="http://113.160.97.58:8224/Viewer/HoaDonViewer.aspx?mhd=84bdab38-4763-4b4c-9525-32ada773fbee" TargetMode="External"/><Relationship Id="rId439" Type="http://schemas.openxmlformats.org/officeDocument/2006/relationships/hyperlink" Target="http://113.160.97.58:8224/Viewer/Downloadfile.aspx?mhd=7d6018bc-a84c-4ad6-abd0-7ca8594379b0" TargetMode="External"/><Relationship Id="rId646" Type="http://schemas.openxmlformats.org/officeDocument/2006/relationships/hyperlink" Target="http://113.160.97.58:8224/Viewer/HoaDonViewer.aspx?mhd=b3b83868-0452-4235-b8cb-fdcb229f72b4&amp;iscd=1" TargetMode="External"/><Relationship Id="rId1069" Type="http://schemas.openxmlformats.org/officeDocument/2006/relationships/hyperlink" Target="http://113.160.97.58:8224/Viewer/HoaDonViewer.aspx?mhd=f1785040-b7a1-4672-9276-492f45c049a4" TargetMode="External"/><Relationship Id="rId1276" Type="http://schemas.openxmlformats.org/officeDocument/2006/relationships/hyperlink" Target="https://thuphi.haiphong.gov.vn:8222/tra-cuu-bien-lai-dien-tu?ma_tracuu=5V8BC7EN5H" TargetMode="External"/><Relationship Id="rId201" Type="http://schemas.openxmlformats.org/officeDocument/2006/relationships/hyperlink" Target="http://113.160.97.58:8224/Viewer/HoaDonViewer.aspx?mhd=008f3a2b-9dbe-4097-972d-f3fb299829c9" TargetMode="External"/><Relationship Id="rId506" Type="http://schemas.openxmlformats.org/officeDocument/2006/relationships/hyperlink" Target="http://113.160.97.58:8224/Viewer/HoaDonViewer.aspx?mhd=dda91759-37fd-407b-93eb-372506032b74&amp;iscd=1" TargetMode="External"/><Relationship Id="rId853" Type="http://schemas.openxmlformats.org/officeDocument/2006/relationships/hyperlink" Target="http://113.160.97.58:8224/Viewer/HoaDonViewer.aspx?mhd=f1811f37-80bc-4e43-b46a-3e95f397735d" TargetMode="External"/><Relationship Id="rId1136" Type="http://schemas.openxmlformats.org/officeDocument/2006/relationships/hyperlink" Target="https://thuphi.haiphong.gov.vn:8222/tra-cuu-bien-lai-dien-tu?ma_tracuu=MPBQRIZNSG" TargetMode="External"/><Relationship Id="rId713" Type="http://schemas.openxmlformats.org/officeDocument/2006/relationships/hyperlink" Target="http://113.160.97.58:8224/Viewer/HoaDonViewer.aspx?mhd=373df198-118a-4490-a85c-b57a82cc562c" TargetMode="External"/><Relationship Id="rId920" Type="http://schemas.openxmlformats.org/officeDocument/2006/relationships/hyperlink" Target="https://thuphi.haiphong.gov.vn:8222/tra-cuu-bien-lai-dien-tu?ma_tracuu=VP2G2IED3N" TargetMode="External"/><Relationship Id="rId1343" Type="http://schemas.openxmlformats.org/officeDocument/2006/relationships/hyperlink" Target="http://113.160.97.58:8224/Viewer/Downloadfile.aspx?mhd=9b5c8690-2e4a-429c-a7fc-dfca5dbac178" TargetMode="External"/><Relationship Id="rId1203" Type="http://schemas.openxmlformats.org/officeDocument/2006/relationships/hyperlink" Target="http://113.160.97.58:8224/Viewer/Downloadfile.aspx?mhd=052a403d-bcbd-4cdf-b724-b1264c9dcbfb" TargetMode="External"/><Relationship Id="rId1410" Type="http://schemas.openxmlformats.org/officeDocument/2006/relationships/hyperlink" Target="http://113.160.97.58:8224/Viewer/HoaDonViewer.aspx?mhd=ead8845c-ad24-4b7a-a663-94586b54a6e9&amp;iscd=1" TargetMode="External"/><Relationship Id="rId296" Type="http://schemas.openxmlformats.org/officeDocument/2006/relationships/hyperlink" Target="https://thuphi.haiphong.gov.vn:8222/tra-cuu-bien-lai-dien-tu?ma_tracuu=HH583KYUFV" TargetMode="External"/><Relationship Id="rId156" Type="http://schemas.openxmlformats.org/officeDocument/2006/relationships/hyperlink" Target="https://thuphi.haiphong.gov.vn:8222/tra-cuu-bien-lai-dien-tu?ma_tracuu=JS42Q8MX55" TargetMode="External"/><Relationship Id="rId363" Type="http://schemas.openxmlformats.org/officeDocument/2006/relationships/hyperlink" Target="http://113.160.97.58:8224/Viewer/Downloadfile.aspx?mhd=2200aaba-8199-4a3c-aabe-f3bc8d936841" TargetMode="External"/><Relationship Id="rId570" Type="http://schemas.openxmlformats.org/officeDocument/2006/relationships/hyperlink" Target="http://113.160.97.58:8224/Viewer/HoaDonViewer.aspx?mhd=b8daee2a-5f74-4414-b712-6c0e902ebac1&amp;iscd=1" TargetMode="External"/><Relationship Id="rId223" Type="http://schemas.openxmlformats.org/officeDocument/2006/relationships/hyperlink" Target="http://113.160.97.58:8224/Viewer/Downloadfile.aspx?mhd=a6125be0-9651-4e20-80fa-951bf7acd102" TargetMode="External"/><Relationship Id="rId430" Type="http://schemas.openxmlformats.org/officeDocument/2006/relationships/hyperlink" Target="http://113.160.97.58:8224/Viewer/HoaDonViewer.aspx?mhd=31cb2c50-9480-409f-a702-ce045f64f459&amp;iscd=1" TargetMode="External"/><Relationship Id="rId668" Type="http://schemas.openxmlformats.org/officeDocument/2006/relationships/hyperlink" Target="https://thuphi.haiphong.gov.vn:8222/tra-cuu-bien-lai-dien-tu?ma_tracuu=2DY5VYRZDC" TargetMode="External"/><Relationship Id="rId875" Type="http://schemas.openxmlformats.org/officeDocument/2006/relationships/hyperlink" Target="http://113.160.97.58:8224/Viewer/Downloadfile.aspx?mhd=e0c5c5a9-6074-4b7b-8c66-f5b52b153eb6" TargetMode="External"/><Relationship Id="rId1060" Type="http://schemas.openxmlformats.org/officeDocument/2006/relationships/hyperlink" Target="https://thuphi.haiphong.gov.vn:8222/tra-cuu-bien-lai-dien-tu?ma_tracuu=UBIY43NZX9" TargetMode="External"/><Relationship Id="rId1298" Type="http://schemas.openxmlformats.org/officeDocument/2006/relationships/hyperlink" Target="http://113.160.97.58:8224/Viewer/HoaDonViewer.aspx?mhd=a39f5e5b-6f46-47db-997c-78bbabee5f26&amp;iscd=1" TargetMode="External"/><Relationship Id="rId528" Type="http://schemas.openxmlformats.org/officeDocument/2006/relationships/hyperlink" Target="https://thuphi.haiphong.gov.vn:8222/tra-cuu-bien-lai-dien-tu?ma_tracuu=XLW8ZG0PCK" TargetMode="External"/><Relationship Id="rId735" Type="http://schemas.openxmlformats.org/officeDocument/2006/relationships/hyperlink" Target="http://113.160.97.58:8224/Viewer/Downloadfile.aspx?mhd=ca424a40-ab74-4ea2-b39c-4a9ac0057d94" TargetMode="External"/><Relationship Id="rId942" Type="http://schemas.openxmlformats.org/officeDocument/2006/relationships/hyperlink" Target="http://113.160.97.58:8224/Viewer/HoaDonViewer.aspx?mhd=00de566b-cd21-4ee8-bdbc-eac354bd71b0&amp;iscd=1" TargetMode="External"/><Relationship Id="rId1158" Type="http://schemas.openxmlformats.org/officeDocument/2006/relationships/hyperlink" Target="http://113.160.97.58:8224/Viewer/HoaDonViewer.aspx?mhd=168dd2bb-12d8-4274-bc13-f02aba4fb355&amp;iscd=1" TargetMode="External"/><Relationship Id="rId1365" Type="http://schemas.openxmlformats.org/officeDocument/2006/relationships/hyperlink" Target="http://113.160.97.58:8224/Viewer/HoaDonViewer.aspx?mhd=80b945a5-98e1-438b-ad5c-da1fcb725c28" TargetMode="External"/><Relationship Id="rId1018" Type="http://schemas.openxmlformats.org/officeDocument/2006/relationships/hyperlink" Target="http://113.160.97.58:8224/Viewer/HoaDonViewer.aspx?mhd=d822bc3f-e150-4ffb-abde-b984e0fc8a6b&amp;iscd=1" TargetMode="External"/><Relationship Id="rId1225" Type="http://schemas.openxmlformats.org/officeDocument/2006/relationships/hyperlink" Target="http://113.160.97.58:8224/Viewer/HoaDonViewer.aspx?mhd=2fa58687-03db-4566-84b2-d7cce9647bc9" TargetMode="External"/><Relationship Id="rId1432" Type="http://schemas.openxmlformats.org/officeDocument/2006/relationships/hyperlink" Target="https://thuphi.haiphong.gov.vn:8222/tra-cuu-bien-lai-dien-tu?ma_tracuu=R4S6KBBP58" TargetMode="External"/><Relationship Id="rId71" Type="http://schemas.openxmlformats.org/officeDocument/2006/relationships/hyperlink" Target="http://113.160.97.58:8224/Viewer/Downloadfile.aspx?mhd=edbfe2d7-6dc0-46be-8e26-acab7701add6" TargetMode="External"/><Relationship Id="rId802" Type="http://schemas.openxmlformats.org/officeDocument/2006/relationships/hyperlink" Target="http://113.160.97.58:8224/Viewer/HoaDonViewer.aspx?mhd=b532dfb3-dbd3-4906-856b-f7dfd13bbfdd&amp;iscd=1" TargetMode="External"/><Relationship Id="rId29" Type="http://schemas.openxmlformats.org/officeDocument/2006/relationships/hyperlink" Target="http://113.160.97.58:8224/Viewer/HoaDonViewer.aspx?mhd=b7922478-c335-4bd0-8bba-ff57e9c82928" TargetMode="External"/><Relationship Id="rId178" Type="http://schemas.openxmlformats.org/officeDocument/2006/relationships/hyperlink" Target="http://113.160.97.58:8224/Viewer/HoaDonViewer.aspx?mhd=72d89159-9c56-48ef-8910-c861b59fb5b3&amp;iscd=1" TargetMode="External"/><Relationship Id="rId385" Type="http://schemas.openxmlformats.org/officeDocument/2006/relationships/hyperlink" Target="http://113.160.97.58:8224/Viewer/HoaDonViewer.aspx?mhd=ae3dd97f-2bdc-4f86-aa08-9be98841b461" TargetMode="External"/><Relationship Id="rId592" Type="http://schemas.openxmlformats.org/officeDocument/2006/relationships/hyperlink" Target="https://thuphi.haiphong.gov.vn:8222/tra-cuu-bien-lai-dien-tu?ma_tracuu=S097R7M0DL" TargetMode="External"/><Relationship Id="rId245" Type="http://schemas.openxmlformats.org/officeDocument/2006/relationships/hyperlink" Target="http://113.160.97.58:8224/Viewer/HoaDonViewer.aspx?mhd=dbcce418-e3b3-4681-8bd0-c0c7b601ebf3" TargetMode="External"/><Relationship Id="rId452" Type="http://schemas.openxmlformats.org/officeDocument/2006/relationships/hyperlink" Target="https://thuphi.haiphong.gov.vn:8222/tra-cuu-bien-lai-dien-tu?ma_tracuu=2YUCKKXG4E" TargetMode="External"/><Relationship Id="rId897" Type="http://schemas.openxmlformats.org/officeDocument/2006/relationships/hyperlink" Target="http://113.160.97.58:8224/Viewer/HoaDonViewer.aspx?mhd=1ab19d89-8926-4712-b0f1-192632ce0b92" TargetMode="External"/><Relationship Id="rId1082" Type="http://schemas.openxmlformats.org/officeDocument/2006/relationships/hyperlink" Target="http://113.160.97.58:8224/Viewer/HoaDonViewer.aspx?mhd=7adf4f51-307d-43ca-89ba-577df1db2457&amp;iscd=1" TargetMode="External"/><Relationship Id="rId105" Type="http://schemas.openxmlformats.org/officeDocument/2006/relationships/hyperlink" Target="http://113.160.97.58:8224/Viewer/HoaDonViewer.aspx?mhd=85bd3546-6edd-417b-b72c-56a14d2e58c8" TargetMode="External"/><Relationship Id="rId312" Type="http://schemas.openxmlformats.org/officeDocument/2006/relationships/hyperlink" Target="https://thuphi.haiphong.gov.vn:8222/tra-cuu-bien-lai-dien-tu?ma_tracuu=ANY2RU37FL" TargetMode="External"/><Relationship Id="rId757" Type="http://schemas.openxmlformats.org/officeDocument/2006/relationships/hyperlink" Target="http://113.160.97.58:8224/Viewer/HoaDonViewer.aspx?mhd=b78066d0-0dc4-4b56-b370-b0b19f30eca5" TargetMode="External"/><Relationship Id="rId964" Type="http://schemas.openxmlformats.org/officeDocument/2006/relationships/hyperlink" Target="https://thuphi.haiphong.gov.vn:8222/tra-cuu-bien-lai-dien-tu?ma_tracuu=G8E5LFMS3J" TargetMode="External"/><Relationship Id="rId1387" Type="http://schemas.openxmlformats.org/officeDocument/2006/relationships/hyperlink" Target="http://113.160.97.58:8224/Viewer/Downloadfile.aspx?mhd=5686e4b4-67fe-49ba-b773-6d5601fc1af8" TargetMode="External"/><Relationship Id="rId93" Type="http://schemas.openxmlformats.org/officeDocument/2006/relationships/hyperlink" Target="http://113.160.97.58:8224/Viewer/HoaDonViewer.aspx?mhd=7b163e74-8fc4-47d2-9191-07e38e5ef25e" TargetMode="External"/><Relationship Id="rId617" Type="http://schemas.openxmlformats.org/officeDocument/2006/relationships/hyperlink" Target="http://113.160.97.58:8224/Viewer/HoaDonViewer.aspx?mhd=df5c133e-d6b5-4763-9297-6ee9d808ff7c" TargetMode="External"/><Relationship Id="rId824" Type="http://schemas.openxmlformats.org/officeDocument/2006/relationships/hyperlink" Target="https://thuphi.haiphong.gov.vn:8222/tra-cuu-bien-lai-dien-tu?ma_tracuu=IBPT4KPG30" TargetMode="External"/><Relationship Id="rId1247" Type="http://schemas.openxmlformats.org/officeDocument/2006/relationships/hyperlink" Target="http://113.160.97.58:8224/Viewer/Downloadfile.aspx?mhd=7b3c0fec-48b9-4cdc-85d1-60c3844bee45" TargetMode="External"/><Relationship Id="rId1107" Type="http://schemas.openxmlformats.org/officeDocument/2006/relationships/hyperlink" Target="http://113.160.97.58:8224/Viewer/Downloadfile.aspx?mhd=89d21140-b842-4475-945b-d4baf1479840" TargetMode="External"/><Relationship Id="rId1314" Type="http://schemas.openxmlformats.org/officeDocument/2006/relationships/hyperlink" Target="http://113.160.97.58:8224/Viewer/HoaDonViewer.aspx?mhd=fd749185-0b0e-4054-82e8-7a996ffd6fcd&amp;iscd=1" TargetMode="External"/><Relationship Id="rId20" Type="http://schemas.openxmlformats.org/officeDocument/2006/relationships/hyperlink" Target="https://thuphi.haiphong.gov.vn:8222/tra-cuu-bien-lai-dien-tu?ma_tracuu=L2QLJZQU54" TargetMode="External"/><Relationship Id="rId267" Type="http://schemas.openxmlformats.org/officeDocument/2006/relationships/hyperlink" Target="http://113.160.97.58:8224/Viewer/Downloadfile.aspx?mhd=c5689646-9355-445f-aa71-57ec294f57ea" TargetMode="External"/><Relationship Id="rId474" Type="http://schemas.openxmlformats.org/officeDocument/2006/relationships/hyperlink" Target="http://113.160.97.58:8224/Viewer/HoaDonViewer.aspx?mhd=5d8cab4a-6458-410e-91fc-466358810ed2&amp;iscd=1" TargetMode="External"/><Relationship Id="rId127" Type="http://schemas.openxmlformats.org/officeDocument/2006/relationships/hyperlink" Target="http://113.160.97.58:8224/Viewer/Downloadfile.aspx?mhd=bab9ca7c-02fc-42e8-a729-a1fc612fb597" TargetMode="External"/><Relationship Id="rId681" Type="http://schemas.openxmlformats.org/officeDocument/2006/relationships/hyperlink" Target="http://113.160.97.58:8224/Viewer/HoaDonViewer.aspx?mhd=f76ea473-ee36-4d14-bbd9-c0d26552e37c" TargetMode="External"/><Relationship Id="rId779" Type="http://schemas.openxmlformats.org/officeDocument/2006/relationships/hyperlink" Target="http://113.160.97.58:8224/Viewer/Downloadfile.aspx?mhd=37f0cfa0-76e5-4fb9-b0d6-ef48e2acdf5f" TargetMode="External"/><Relationship Id="rId986" Type="http://schemas.openxmlformats.org/officeDocument/2006/relationships/hyperlink" Target="http://113.160.97.58:8224/Viewer/HoaDonViewer.aspx?mhd=9c0b207e-d279-47d9-bea4-3b979c917dc3&amp;iscd=1" TargetMode="External"/><Relationship Id="rId334" Type="http://schemas.openxmlformats.org/officeDocument/2006/relationships/hyperlink" Target="http://113.160.97.58:8224/Viewer/HoaDonViewer.aspx?mhd=f3605b4f-e8b8-4862-8b11-e7ffaf2fdd85&amp;iscd=1" TargetMode="External"/><Relationship Id="rId541" Type="http://schemas.openxmlformats.org/officeDocument/2006/relationships/hyperlink" Target="http://113.160.97.58:8224/Viewer/HoaDonViewer.aspx?mhd=57cbf090-9df2-4167-a105-b6d734132e27" TargetMode="External"/><Relationship Id="rId639" Type="http://schemas.openxmlformats.org/officeDocument/2006/relationships/hyperlink" Target="http://113.160.97.58:8224/Viewer/Downloadfile.aspx?mhd=e2232d2e-4b2e-431b-9286-0e255cb2e189" TargetMode="External"/><Relationship Id="rId1171" Type="http://schemas.openxmlformats.org/officeDocument/2006/relationships/hyperlink" Target="http://113.160.97.58:8224/Viewer/Downloadfile.aspx?mhd=abb3bee2-359d-4d84-8fe0-e86c7be18720" TargetMode="External"/><Relationship Id="rId1269" Type="http://schemas.openxmlformats.org/officeDocument/2006/relationships/hyperlink" Target="http://113.160.97.58:8224/Viewer/HoaDonViewer.aspx?mhd=160d5b4c-4c77-4206-910f-699b6df177c1" TargetMode="External"/><Relationship Id="rId401" Type="http://schemas.openxmlformats.org/officeDocument/2006/relationships/hyperlink" Target="http://113.160.97.58:8224/Viewer/HoaDonViewer.aspx?mhd=8d439aeb-2379-4d93-83f4-dffdd761e31a" TargetMode="External"/><Relationship Id="rId846" Type="http://schemas.openxmlformats.org/officeDocument/2006/relationships/hyperlink" Target="http://113.160.97.58:8224/Viewer/HoaDonViewer.aspx?mhd=e3c63387-366f-4219-89c8-c2fb601dce6c&amp;iscd=1" TargetMode="External"/><Relationship Id="rId1031" Type="http://schemas.openxmlformats.org/officeDocument/2006/relationships/hyperlink" Target="http://113.160.97.58:8224/Viewer/Downloadfile.aspx?mhd=d753f1b1-46aa-4b52-b73c-57cbf64afa10" TargetMode="External"/><Relationship Id="rId1129" Type="http://schemas.openxmlformats.org/officeDocument/2006/relationships/hyperlink" Target="http://113.160.97.58:8224/Viewer/HoaDonViewer.aspx?mhd=1b9af5c1-df06-462d-85db-a579711254b2" TargetMode="External"/><Relationship Id="rId706" Type="http://schemas.openxmlformats.org/officeDocument/2006/relationships/hyperlink" Target="http://113.160.97.58:8224/Viewer/HoaDonViewer.aspx?mhd=254fce19-446e-4412-afcd-1ce9ab9d1062&amp;iscd=1" TargetMode="External"/><Relationship Id="rId913" Type="http://schemas.openxmlformats.org/officeDocument/2006/relationships/hyperlink" Target="http://113.160.97.58:8224/Viewer/HoaDonViewer.aspx?mhd=84571a9f-8613-4889-8f9a-dc5324b3e2a2" TargetMode="External"/><Relationship Id="rId1336" Type="http://schemas.openxmlformats.org/officeDocument/2006/relationships/hyperlink" Target="https://thuphi.haiphong.gov.vn:8222/tra-cuu-bien-lai-dien-tu?ma_tracuu=EW306UQ5T3" TargetMode="External"/><Relationship Id="rId42" Type="http://schemas.openxmlformats.org/officeDocument/2006/relationships/hyperlink" Target="http://113.160.97.58:8224/Viewer/HoaDonViewer.aspx?mhd=6bed33cd-ba30-47ac-82b5-4aeb9b8f2591&amp;iscd=1" TargetMode="External"/><Relationship Id="rId1403" Type="http://schemas.openxmlformats.org/officeDocument/2006/relationships/hyperlink" Target="http://113.160.97.58:8224/Viewer/Downloadfile.aspx?mhd=c3696651-36a9-40d0-8452-a4f2f3078fde" TargetMode="External"/><Relationship Id="rId191" Type="http://schemas.openxmlformats.org/officeDocument/2006/relationships/hyperlink" Target="http://113.160.97.58:8224/Viewer/Downloadfile.aspx?mhd=f7839817-21ba-40c4-bbba-6d049b78978c" TargetMode="External"/><Relationship Id="rId289" Type="http://schemas.openxmlformats.org/officeDocument/2006/relationships/hyperlink" Target="http://113.160.97.58:8224/Viewer/HoaDonViewer.aspx?mhd=b8c9f72b-6507-4aef-acae-e8318ff3c9af" TargetMode="External"/><Relationship Id="rId496" Type="http://schemas.openxmlformats.org/officeDocument/2006/relationships/hyperlink" Target="https://thuphi.haiphong.gov.vn:8222/tra-cuu-bien-lai-dien-tu?ma_tracuu=30WA721Z4V" TargetMode="External"/><Relationship Id="rId149" Type="http://schemas.openxmlformats.org/officeDocument/2006/relationships/hyperlink" Target="http://113.160.97.58:8224/Viewer/HoaDonViewer.aspx?mhd=4e79ad26-3fe8-40c9-b73a-eaee4749e229" TargetMode="External"/><Relationship Id="rId356" Type="http://schemas.openxmlformats.org/officeDocument/2006/relationships/hyperlink" Target="https://thuphi.haiphong.gov.vn:8222/tra-cuu-bien-lai-dien-tu?ma_tracuu=TVQSZ1XPRI" TargetMode="External"/><Relationship Id="rId563" Type="http://schemas.openxmlformats.org/officeDocument/2006/relationships/hyperlink" Target="http://113.160.97.58:8224/Viewer/Downloadfile.aspx?mhd=0c190389-0577-4fc7-b1ed-4330e430ffa3" TargetMode="External"/><Relationship Id="rId770" Type="http://schemas.openxmlformats.org/officeDocument/2006/relationships/hyperlink" Target="http://113.160.97.58:8224/Viewer/HoaDonViewer.aspx?mhd=b5ffea2c-d39f-49d6-ab70-019bff65102d&amp;iscd=1" TargetMode="External"/><Relationship Id="rId1193" Type="http://schemas.openxmlformats.org/officeDocument/2006/relationships/hyperlink" Target="http://113.160.97.58:8224/Viewer/HoaDonViewer.aspx?mhd=2a523fa2-ae54-493b-a286-d319c682af3a" TargetMode="External"/><Relationship Id="rId216" Type="http://schemas.openxmlformats.org/officeDocument/2006/relationships/hyperlink" Target="https://thuphi.haiphong.gov.vn:8222/tra-cuu-bien-lai-dien-tu?ma_tracuu=S2Y0G928FD" TargetMode="External"/><Relationship Id="rId423" Type="http://schemas.openxmlformats.org/officeDocument/2006/relationships/hyperlink" Target="http://113.160.97.58:8224/Viewer/Downloadfile.aspx?mhd=e2693fd4-dac1-438e-814c-7f70c064c6a0" TargetMode="External"/><Relationship Id="rId868" Type="http://schemas.openxmlformats.org/officeDocument/2006/relationships/hyperlink" Target="https://thuphi.haiphong.gov.vn:8222/tra-cuu-bien-lai-dien-tu?ma_tracuu=KN04E9CD3S" TargetMode="External"/><Relationship Id="rId1053" Type="http://schemas.openxmlformats.org/officeDocument/2006/relationships/hyperlink" Target="http://113.160.97.58:8224/Viewer/HoaDonViewer.aspx?mhd=8463093d-403b-4e3b-b2f1-72b1fe2ec85f" TargetMode="External"/><Relationship Id="rId1260" Type="http://schemas.openxmlformats.org/officeDocument/2006/relationships/hyperlink" Target="https://thuphi.haiphong.gov.vn:8222/tra-cuu-bien-lai-dien-tu?ma_tracuu=U559GMAU5I" TargetMode="External"/><Relationship Id="rId630" Type="http://schemas.openxmlformats.org/officeDocument/2006/relationships/hyperlink" Target="http://113.160.97.58:8224/Viewer/HoaDonViewer.aspx?mhd=f6d30ccb-80c4-4b3e-823a-9f6f02d9bbc3&amp;iscd=1" TargetMode="External"/><Relationship Id="rId728" Type="http://schemas.openxmlformats.org/officeDocument/2006/relationships/hyperlink" Target="https://thuphi.haiphong.gov.vn:8222/tra-cuu-bien-lai-dien-tu?ma_tracuu=F11A7A9FE5" TargetMode="External"/><Relationship Id="rId935" Type="http://schemas.openxmlformats.org/officeDocument/2006/relationships/hyperlink" Target="http://113.160.97.58:8224/Viewer/Downloadfile.aspx?mhd=f937de00-7176-42da-b8f8-9dbf1da8e936" TargetMode="External"/><Relationship Id="rId1358" Type="http://schemas.openxmlformats.org/officeDocument/2006/relationships/hyperlink" Target="http://113.160.97.58:8224/Viewer/HoaDonViewer.aspx?mhd=935be706-b620-407f-94d8-509e79674c32&amp;iscd=1" TargetMode="External"/><Relationship Id="rId64" Type="http://schemas.openxmlformats.org/officeDocument/2006/relationships/hyperlink" Target="https://thuphi.haiphong.gov.vn:8222/tra-cuu-bien-lai-dien-tu?ma_tracuu=4FVXTE3C5B" TargetMode="External"/><Relationship Id="rId1120" Type="http://schemas.openxmlformats.org/officeDocument/2006/relationships/hyperlink" Target="https://thuphi.haiphong.gov.vn:8222/tra-cuu-bien-lai-dien-tu?ma_tracuu=0JKEHUCNSW" TargetMode="External"/><Relationship Id="rId1218" Type="http://schemas.openxmlformats.org/officeDocument/2006/relationships/hyperlink" Target="http://113.160.97.58:8224/Viewer/HoaDonViewer.aspx?mhd=f5d2be1e-4a3b-4272-a1fe-e388f599773d&amp;iscd=1" TargetMode="External"/><Relationship Id="rId1425" Type="http://schemas.openxmlformats.org/officeDocument/2006/relationships/hyperlink" Target="http://113.160.97.58:8224/Viewer/HoaDonViewer.aspx?mhd=5006e17d-1a34-4838-966e-ff1b30949cf7" TargetMode="External"/><Relationship Id="rId280" Type="http://schemas.openxmlformats.org/officeDocument/2006/relationships/hyperlink" Target="https://thuphi.haiphong.gov.vn:8222/tra-cuu-bien-lai-dien-tu?ma_tracuu=1TD0GI0UFX" TargetMode="External"/><Relationship Id="rId140" Type="http://schemas.openxmlformats.org/officeDocument/2006/relationships/hyperlink" Target="https://thuphi.haiphong.gov.vn:8222/tra-cuu-bien-lai-dien-tu?ma_tracuu=GESNHMU359" TargetMode="External"/><Relationship Id="rId378" Type="http://schemas.openxmlformats.org/officeDocument/2006/relationships/hyperlink" Target="http://113.160.97.58:8224/Viewer/HoaDonViewer.aspx?mhd=986bdfda-d28d-4ddc-b139-f4f692216d17&amp;iscd=1" TargetMode="External"/><Relationship Id="rId585" Type="http://schemas.openxmlformats.org/officeDocument/2006/relationships/hyperlink" Target="http://113.160.97.58:8224/Viewer/HoaDonViewer.aspx?mhd=129f3fa5-8585-46b0-86d9-e280969f7d92" TargetMode="External"/><Relationship Id="rId792" Type="http://schemas.openxmlformats.org/officeDocument/2006/relationships/hyperlink" Target="https://thuphi.haiphong.gov.vn:8222/tra-cuu-bien-lai-dien-tu?ma_tracuu=Q0S0MGDH31" TargetMode="External"/><Relationship Id="rId6" Type="http://schemas.openxmlformats.org/officeDocument/2006/relationships/hyperlink" Target="http://113.160.97.58:8224/Viewer/HoaDonViewer.aspx?mhd=abfe3efe-b6cd-491c-ae39-977fddf52186&amp;iscd=1" TargetMode="External"/><Relationship Id="rId238" Type="http://schemas.openxmlformats.org/officeDocument/2006/relationships/hyperlink" Target="http://113.160.97.58:8224/Viewer/HoaDonViewer.aspx?mhd=2a8aa12a-72c8-42ea-b161-51fe2738d8fa&amp;iscd=1" TargetMode="External"/><Relationship Id="rId445" Type="http://schemas.openxmlformats.org/officeDocument/2006/relationships/hyperlink" Target="http://113.160.97.58:8224/Viewer/HoaDonViewer.aspx?mhd=7621c7da-9d76-4f83-bf88-6c174e3e9ef8" TargetMode="External"/><Relationship Id="rId652" Type="http://schemas.openxmlformats.org/officeDocument/2006/relationships/hyperlink" Target="https://thuphi.haiphong.gov.vn:8222/tra-cuu-bien-lai-dien-tu?ma_tracuu=90K56HR2D1" TargetMode="External"/><Relationship Id="rId1075" Type="http://schemas.openxmlformats.org/officeDocument/2006/relationships/hyperlink" Target="http://113.160.97.58:8224/Viewer/Downloadfile.aspx?mhd=05d6caf3-792d-4c60-82bd-aa29a7535602" TargetMode="External"/><Relationship Id="rId1282" Type="http://schemas.openxmlformats.org/officeDocument/2006/relationships/hyperlink" Target="http://113.160.97.58:8224/Viewer/HoaDonViewer.aspx?mhd=72c3a870-6e34-4e51-9946-5d73c1264d79&amp;iscd=1" TargetMode="External"/><Relationship Id="rId305" Type="http://schemas.openxmlformats.org/officeDocument/2006/relationships/hyperlink" Target="http://113.160.97.58:8224/Viewer/HoaDonViewer.aspx?mhd=54f6dd9c-8e1a-476e-a437-9f4df6b13e4b" TargetMode="External"/><Relationship Id="rId512" Type="http://schemas.openxmlformats.org/officeDocument/2006/relationships/hyperlink" Target="https://thuphi.haiphong.gov.vn:8222/tra-cuu-bien-lai-dien-tu?ma_tracuu=N70N5KTA4I" TargetMode="External"/><Relationship Id="rId957" Type="http://schemas.openxmlformats.org/officeDocument/2006/relationships/hyperlink" Target="http://113.160.97.58:8224/Viewer/HoaDonViewer.aspx?mhd=6b08d8d1-771e-41e0-8059-01c84e7f4d36" TargetMode="External"/><Relationship Id="rId1142" Type="http://schemas.openxmlformats.org/officeDocument/2006/relationships/hyperlink" Target="http://113.160.97.58:8224/Viewer/HoaDonViewer.aspx?mhd=f90ae435-cc1a-4e66-b952-6d01cbc8f2c6&amp;iscd=1" TargetMode="External"/><Relationship Id="rId86" Type="http://schemas.openxmlformats.org/officeDocument/2006/relationships/hyperlink" Target="http://113.160.97.58:8224/Viewer/HoaDonViewer.aspx?mhd=0e5cb23c-502c-4434-83c6-5cd50fed0370&amp;iscd=1" TargetMode="External"/><Relationship Id="rId817" Type="http://schemas.openxmlformats.org/officeDocument/2006/relationships/hyperlink" Target="http://113.160.97.58:8224/Viewer/HoaDonViewer.aspx?mhd=46736446-8bde-4aae-8142-f9adebdcaffe" TargetMode="External"/><Relationship Id="rId1002" Type="http://schemas.openxmlformats.org/officeDocument/2006/relationships/hyperlink" Target="http://113.160.97.58:8224/Viewer/HoaDonViewer.aspx?mhd=97e5aff6-7087-411f-9311-daa4ef6edd31&amp;iscd=1" TargetMode="External"/><Relationship Id="rId1447" Type="http://schemas.openxmlformats.org/officeDocument/2006/relationships/hyperlink" Target="http://113.160.97.58:8224/Viewer/Downloadfile.aspx?mhd=3133e076-6807-40f1-af1e-7e3fbc6b7920" TargetMode="External"/><Relationship Id="rId1307" Type="http://schemas.openxmlformats.org/officeDocument/2006/relationships/hyperlink" Target="http://113.160.97.58:8224/Viewer/Downloadfile.aspx?mhd=8d9a5b90-3b32-4d03-b462-8e2814cdb00a" TargetMode="External"/><Relationship Id="rId13" Type="http://schemas.openxmlformats.org/officeDocument/2006/relationships/hyperlink" Target="http://113.160.97.58:8224/Viewer/HoaDonViewer.aspx?mhd=6d7e17f0-3ba0-4e97-bfe6-1ccf48fa1489" TargetMode="External"/><Relationship Id="rId162" Type="http://schemas.openxmlformats.org/officeDocument/2006/relationships/hyperlink" Target="http://113.160.97.58:8224/Viewer/HoaDonViewer.aspx?mhd=275d00e5-0077-4e32-bdc1-985929e43b9e&amp;iscd=1" TargetMode="External"/><Relationship Id="rId467" Type="http://schemas.openxmlformats.org/officeDocument/2006/relationships/hyperlink" Target="http://113.160.97.58:8224/Viewer/Downloadfile.aspx?mhd=7b41ed30-29e3-45fe-8b78-ac2e0fb0a307" TargetMode="External"/><Relationship Id="rId1097" Type="http://schemas.openxmlformats.org/officeDocument/2006/relationships/hyperlink" Target="http://113.160.97.58:8224/Viewer/HoaDonViewer.aspx?mhd=935576c0-80ca-4272-8362-fe225ca0a207" TargetMode="External"/><Relationship Id="rId674" Type="http://schemas.openxmlformats.org/officeDocument/2006/relationships/hyperlink" Target="http://113.160.97.58:8224/Viewer/HoaDonViewer.aspx?mhd=43456542-72d4-4895-9877-b21dfe613f2d&amp;iscd=1" TargetMode="External"/><Relationship Id="rId881" Type="http://schemas.openxmlformats.org/officeDocument/2006/relationships/hyperlink" Target="http://113.160.97.58:8224/Viewer/HoaDonViewer.aspx?mhd=57cc605a-beac-4811-be06-98bde2205a3a" TargetMode="External"/><Relationship Id="rId979" Type="http://schemas.openxmlformats.org/officeDocument/2006/relationships/hyperlink" Target="http://113.160.97.58:8224/Viewer/Downloadfile.aspx?mhd=29fe7810-c3ff-45f1-9ccb-17f5479eb54b" TargetMode="External"/><Relationship Id="rId327" Type="http://schemas.openxmlformats.org/officeDocument/2006/relationships/hyperlink" Target="http://113.160.97.58:8224/Viewer/Downloadfile.aspx?mhd=adc99489-9ef9-4e64-8b6e-ce6f01ef5b62" TargetMode="External"/><Relationship Id="rId534" Type="http://schemas.openxmlformats.org/officeDocument/2006/relationships/hyperlink" Target="http://113.160.97.58:8224/Viewer/HoaDonViewer.aspx?mhd=1022ee17-a56e-4d6e-8173-0978667f3531&amp;iscd=1" TargetMode="External"/><Relationship Id="rId741" Type="http://schemas.openxmlformats.org/officeDocument/2006/relationships/hyperlink" Target="http://113.160.97.58:8224/Viewer/HoaDonViewer.aspx?mhd=00583ac6-f9fa-4752-a2aa-f20100680f68" TargetMode="External"/><Relationship Id="rId839" Type="http://schemas.openxmlformats.org/officeDocument/2006/relationships/hyperlink" Target="http://113.160.97.58:8224/Viewer/Downloadfile.aspx?mhd=f2e11679-39d9-440e-8b1d-e045745f553b" TargetMode="External"/><Relationship Id="rId1164" Type="http://schemas.openxmlformats.org/officeDocument/2006/relationships/hyperlink" Target="https://thuphi.haiphong.gov.vn:8222/tra-cuu-bien-lai-dien-tu?ma_tracuu=95JTZL8DS6" TargetMode="External"/><Relationship Id="rId1371" Type="http://schemas.openxmlformats.org/officeDocument/2006/relationships/hyperlink" Target="http://113.160.97.58:8224/Viewer/Downloadfile.aspx?mhd=d648d315-e9a6-4f91-a461-97c8749a9040" TargetMode="External"/><Relationship Id="rId601" Type="http://schemas.openxmlformats.org/officeDocument/2006/relationships/hyperlink" Target="http://113.160.97.58:8224/Viewer/HoaDonViewer.aspx?mhd=d288b629-f731-40ef-83ad-eb37ae0a5e65" TargetMode="External"/><Relationship Id="rId1024" Type="http://schemas.openxmlformats.org/officeDocument/2006/relationships/hyperlink" Target="https://thuphi.haiphong.gov.vn:8222/tra-cuu-bien-lai-dien-tu?ma_tracuu=0EMER7I0XH" TargetMode="External"/><Relationship Id="rId1231" Type="http://schemas.openxmlformats.org/officeDocument/2006/relationships/hyperlink" Target="http://113.160.97.58:8224/Viewer/Downloadfile.aspx?mhd=5006e17d-1a34-4838-966e-ff1b30949cf7" TargetMode="External"/><Relationship Id="rId906" Type="http://schemas.openxmlformats.org/officeDocument/2006/relationships/hyperlink" Target="http://113.160.97.58:8224/Viewer/HoaDonViewer.aspx?mhd=1fd467f4-4816-4244-956c-3b5a452198ea&amp;iscd=1" TargetMode="External"/><Relationship Id="rId1329" Type="http://schemas.openxmlformats.org/officeDocument/2006/relationships/hyperlink" Target="http://113.160.97.58:8224/Viewer/HoaDonViewer.aspx?mhd=2251effa-5f9a-4c96-8601-3a01abb124a8" TargetMode="External"/><Relationship Id="rId35" Type="http://schemas.openxmlformats.org/officeDocument/2006/relationships/hyperlink" Target="http://113.160.97.58:8224/Viewer/Downloadfile.aspx?mhd=160d5b4c-4c77-4206-910f-699b6df177c1" TargetMode="External"/><Relationship Id="rId184" Type="http://schemas.openxmlformats.org/officeDocument/2006/relationships/hyperlink" Target="https://thuphi.haiphong.gov.vn:8222/tra-cuu-bien-lai-dien-tu?ma_tracuu=4R47H0TTVY" TargetMode="External"/><Relationship Id="rId391" Type="http://schemas.openxmlformats.org/officeDocument/2006/relationships/hyperlink" Target="http://113.160.97.58:8224/Viewer/Downloadfile.aspx?mhd=29c9f2ff-e18e-4f52-b26b-82034cc61eb5" TargetMode="External"/><Relationship Id="rId251" Type="http://schemas.openxmlformats.org/officeDocument/2006/relationships/hyperlink" Target="http://113.160.97.58:8224/Viewer/Downloadfile.aspx?mhd=a9ede311-e57d-4d19-b295-2accecf02cad" TargetMode="External"/><Relationship Id="rId489" Type="http://schemas.openxmlformats.org/officeDocument/2006/relationships/hyperlink" Target="http://113.160.97.58:8224/Viewer/HoaDonViewer.aspx?mhd=82070aaa-9fdf-4622-8f9c-5d16138c92c3" TargetMode="External"/><Relationship Id="rId696" Type="http://schemas.openxmlformats.org/officeDocument/2006/relationships/hyperlink" Target="https://thuphi.haiphong.gov.vn:8222/tra-cuu-bien-lai-dien-tu?ma_tracuu=VWG672P7E8" TargetMode="External"/><Relationship Id="rId349" Type="http://schemas.openxmlformats.org/officeDocument/2006/relationships/hyperlink" Target="http://113.160.97.58:8224/Viewer/HoaDonViewer.aspx?mhd=e4bb34cc-410c-49f9-b4f3-b0fc9792be9d" TargetMode="External"/><Relationship Id="rId556" Type="http://schemas.openxmlformats.org/officeDocument/2006/relationships/hyperlink" Target="https://thuphi.haiphong.gov.vn:8222/tra-cuu-bien-lai-dien-tu?ma_tracuu=PSAM74BHCL" TargetMode="External"/><Relationship Id="rId763" Type="http://schemas.openxmlformats.org/officeDocument/2006/relationships/hyperlink" Target="http://113.160.97.58:8224/Viewer/Downloadfile.aspx?mhd=0cf38bfb-b05e-44c0-a5fa-7aa48ee29e08" TargetMode="External"/><Relationship Id="rId1186" Type="http://schemas.openxmlformats.org/officeDocument/2006/relationships/hyperlink" Target="http://113.160.97.58:8224/Viewer/HoaDonViewer.aspx?mhd=792710bd-dae7-4a78-9e4c-7295eac46ed6&amp;iscd=1" TargetMode="External"/><Relationship Id="rId1393" Type="http://schemas.openxmlformats.org/officeDocument/2006/relationships/hyperlink" Target="http://113.160.97.58:8224/Viewer/HoaDonViewer.aspx?mhd=60a63e4f-5050-4195-b62b-498849431a8e" TargetMode="External"/><Relationship Id="rId111" Type="http://schemas.openxmlformats.org/officeDocument/2006/relationships/hyperlink" Target="http://113.160.97.58:8224/Viewer/Downloadfile.aspx?mhd=4bda66c6-0649-4220-a620-0e5a18c36940" TargetMode="External"/><Relationship Id="rId209" Type="http://schemas.openxmlformats.org/officeDocument/2006/relationships/hyperlink" Target="http://113.160.97.58:8224/Viewer/HoaDonViewer.aspx?mhd=505733db-af82-4691-9486-b17659f1b8f1" TargetMode="External"/><Relationship Id="rId416" Type="http://schemas.openxmlformats.org/officeDocument/2006/relationships/hyperlink" Target="https://thuphi.haiphong.gov.vn:8222/tra-cuu-bien-lai-dien-tu?ma_tracuu=V3DF905GR4" TargetMode="External"/><Relationship Id="rId970" Type="http://schemas.openxmlformats.org/officeDocument/2006/relationships/hyperlink" Target="http://113.160.97.58:8224/Viewer/HoaDonViewer.aspx?mhd=8de95677-dad1-4d46-a33c-2c16cd768c38&amp;iscd=1" TargetMode="External"/><Relationship Id="rId1046" Type="http://schemas.openxmlformats.org/officeDocument/2006/relationships/hyperlink" Target="http://113.160.97.58:8224/Viewer/HoaDonViewer.aspx?mhd=25c998f9-396f-4741-b395-9f7021809a6a&amp;iscd=1" TargetMode="External"/><Relationship Id="rId1253" Type="http://schemas.openxmlformats.org/officeDocument/2006/relationships/hyperlink" Target="http://113.160.97.58:8224/Viewer/HoaDonViewer.aspx?mhd=ecb3994c-876d-4dac-ac03-172281686dcc" TargetMode="External"/><Relationship Id="rId623" Type="http://schemas.openxmlformats.org/officeDocument/2006/relationships/hyperlink" Target="http://113.160.97.58:8224/Viewer/Downloadfile.aspx?mhd=06985f6f-f9ee-4dd7-a21f-091ab0f061a8" TargetMode="External"/><Relationship Id="rId830" Type="http://schemas.openxmlformats.org/officeDocument/2006/relationships/hyperlink" Target="http://113.160.97.58:8224/Viewer/HoaDonViewer.aspx?mhd=3df4b132-d510-4810-86d9-f4acb61b1ef3&amp;iscd=1" TargetMode="External"/><Relationship Id="rId928" Type="http://schemas.openxmlformats.org/officeDocument/2006/relationships/hyperlink" Target="https://thuphi.haiphong.gov.vn:8222/tra-cuu-bien-lai-dien-tu?ma_tracuu=3NFDGE3D3X" TargetMode="External"/><Relationship Id="rId57" Type="http://schemas.openxmlformats.org/officeDocument/2006/relationships/hyperlink" Target="http://113.160.97.58:8224/Viewer/HoaDonViewer.aspx?mhd=9fcbc40f-4218-42d1-a740-2009cc103b58" TargetMode="External"/><Relationship Id="rId1113" Type="http://schemas.openxmlformats.org/officeDocument/2006/relationships/hyperlink" Target="http://113.160.97.58:8224/Viewer/HoaDonViewer.aspx?mhd=651c13d2-9f35-4a0a-a3fa-ffd6f3b3ffbf" TargetMode="External"/><Relationship Id="rId1320" Type="http://schemas.openxmlformats.org/officeDocument/2006/relationships/hyperlink" Target="https://thuphi.haiphong.gov.vn:8222/tra-cuu-bien-lai-dien-tu?ma_tracuu=PZG4RLW6TL" TargetMode="External"/><Relationship Id="rId1418" Type="http://schemas.openxmlformats.org/officeDocument/2006/relationships/hyperlink" Target="http://113.160.97.58:8224/Viewer/HoaDonViewer.aspx?mhd=49431209-154d-4c06-8408-8359b91760a2&amp;iscd=1" TargetMode="External"/><Relationship Id="rId273" Type="http://schemas.openxmlformats.org/officeDocument/2006/relationships/hyperlink" Target="http://113.160.97.58:8224/Viewer/HoaDonViewer.aspx?mhd=125d1ca1-5ac4-4801-93c2-735f664312d6" TargetMode="External"/><Relationship Id="rId480" Type="http://schemas.openxmlformats.org/officeDocument/2006/relationships/hyperlink" Target="https://thuphi.haiphong.gov.vn:8222/tra-cuu-bien-lai-dien-tu?ma_tracuu=W7SM3FQT4G" TargetMode="External"/><Relationship Id="rId133" Type="http://schemas.openxmlformats.org/officeDocument/2006/relationships/hyperlink" Target="http://113.160.97.58:8224/Viewer/HoaDonViewer.aspx?mhd=84b3a21a-35a8-48c1-90e0-1ef4211fea3d" TargetMode="External"/><Relationship Id="rId340" Type="http://schemas.openxmlformats.org/officeDocument/2006/relationships/hyperlink" Target="https://thuphi.haiphong.gov.vn:8222/tra-cuu-bien-lai-dien-tu?ma_tracuu=9N31S4W4F8" TargetMode="External"/><Relationship Id="rId578" Type="http://schemas.openxmlformats.org/officeDocument/2006/relationships/hyperlink" Target="http://113.160.97.58:8224/Viewer/HoaDonViewer.aspx?mhd=56fc423d-d627-442c-9c43-9a1c097aeddf&amp;iscd=1" TargetMode="External"/><Relationship Id="rId785" Type="http://schemas.openxmlformats.org/officeDocument/2006/relationships/hyperlink" Target="http://113.160.97.58:8224/Viewer/HoaDonViewer.aspx?mhd=af0e4a87-a660-43ea-9644-94b1f446f880" TargetMode="External"/><Relationship Id="rId992" Type="http://schemas.openxmlformats.org/officeDocument/2006/relationships/hyperlink" Target="https://thuphi.haiphong.gov.vn:8222/tra-cuu-bien-lai-dien-tu?ma_tracuu=Q7HTGPL0XK" TargetMode="External"/><Relationship Id="rId200" Type="http://schemas.openxmlformats.org/officeDocument/2006/relationships/hyperlink" Target="https://thuphi.haiphong.gov.vn:8222/tra-cuu-bien-lai-dien-tu?ma_tracuu=6HF3S65WVS" TargetMode="External"/><Relationship Id="rId438" Type="http://schemas.openxmlformats.org/officeDocument/2006/relationships/hyperlink" Target="http://113.160.97.58:8224/Viewer/HoaDonViewer.aspx?mhd=7d6018bc-a84c-4ad6-abd0-7ca8594379b0&amp;iscd=1" TargetMode="External"/><Relationship Id="rId645" Type="http://schemas.openxmlformats.org/officeDocument/2006/relationships/hyperlink" Target="http://113.160.97.58:8224/Viewer/HoaDonViewer.aspx?mhd=b3b83868-0452-4235-b8cb-fdcb229f72b4" TargetMode="External"/><Relationship Id="rId852" Type="http://schemas.openxmlformats.org/officeDocument/2006/relationships/hyperlink" Target="https://thuphi.haiphong.gov.vn:8222/tra-cuu-bien-lai-dien-tu?ma_tracuu=GY6RNZVD3W" TargetMode="External"/><Relationship Id="rId1068" Type="http://schemas.openxmlformats.org/officeDocument/2006/relationships/hyperlink" Target="https://thuphi.haiphong.gov.vn:8222/tra-cuu-bien-lai-dien-tu?ma_tracuu=HAACDWNZXS" TargetMode="External"/><Relationship Id="rId1275" Type="http://schemas.openxmlformats.org/officeDocument/2006/relationships/hyperlink" Target="http://113.160.97.58:8224/Viewer/Downloadfile.aspx?mhd=a76b921d-da9a-49d9-a19c-c8aa6cd55153" TargetMode="External"/><Relationship Id="rId505" Type="http://schemas.openxmlformats.org/officeDocument/2006/relationships/hyperlink" Target="http://113.160.97.58:8224/Viewer/HoaDonViewer.aspx?mhd=dda91759-37fd-407b-93eb-372506032b74" TargetMode="External"/><Relationship Id="rId712" Type="http://schemas.openxmlformats.org/officeDocument/2006/relationships/hyperlink" Target="https://thuphi.haiphong.gov.vn:8222/tra-cuu-bien-lai-dien-tu?ma_tracuu=S8RIPNXVEL" TargetMode="External"/><Relationship Id="rId1135" Type="http://schemas.openxmlformats.org/officeDocument/2006/relationships/hyperlink" Target="http://113.160.97.58:8224/Viewer/Downloadfile.aspx?mhd=da8a88b5-bf93-4e1c-a7a7-eee28e3c5fdf" TargetMode="External"/><Relationship Id="rId1342" Type="http://schemas.openxmlformats.org/officeDocument/2006/relationships/hyperlink" Target="http://113.160.97.58:8224/Viewer/HoaDonViewer.aspx?mhd=9b5c8690-2e4a-429c-a7fc-dfca5dbac178&amp;iscd=1" TargetMode="External"/><Relationship Id="rId79" Type="http://schemas.openxmlformats.org/officeDocument/2006/relationships/hyperlink" Target="http://113.160.97.58:8224/Viewer/Downloadfile.aspx?mhd=a60c5af1-388d-49e2-a18b-1b7387d7d7e9" TargetMode="External"/><Relationship Id="rId1202" Type="http://schemas.openxmlformats.org/officeDocument/2006/relationships/hyperlink" Target="http://113.160.97.58:8224/Viewer/HoaDonViewer.aspx?mhd=052a403d-bcbd-4cdf-b724-b1264c9dcbfb&amp;iscd=1" TargetMode="External"/><Relationship Id="rId295" Type="http://schemas.openxmlformats.org/officeDocument/2006/relationships/hyperlink" Target="http://113.160.97.58:8224/Viewer/Downloadfile.aspx?mhd=27b84260-40be-46ad-ac64-15b80a951379" TargetMode="External"/><Relationship Id="rId155" Type="http://schemas.openxmlformats.org/officeDocument/2006/relationships/hyperlink" Target="http://113.160.97.58:8224/Viewer/Downloadfile.aspx?mhd=d46a5e68-f003-49d6-97d8-5daa3789b3b8" TargetMode="External"/><Relationship Id="rId362" Type="http://schemas.openxmlformats.org/officeDocument/2006/relationships/hyperlink" Target="http://113.160.97.58:8224/Viewer/HoaDonViewer.aspx?mhd=2200aaba-8199-4a3c-aabe-f3bc8d936841&amp;iscd=1" TargetMode="External"/><Relationship Id="rId1297" Type="http://schemas.openxmlformats.org/officeDocument/2006/relationships/hyperlink" Target="http://113.160.97.58:8224/Viewer/HoaDonViewer.aspx?mhd=a39f5e5b-6f46-47db-997c-78bbabee5f26" TargetMode="External"/><Relationship Id="rId222" Type="http://schemas.openxmlformats.org/officeDocument/2006/relationships/hyperlink" Target="http://113.160.97.58:8224/Viewer/HoaDonViewer.aspx?mhd=a6125be0-9651-4e20-80fa-951bf7acd102&amp;iscd=1" TargetMode="External"/><Relationship Id="rId667" Type="http://schemas.openxmlformats.org/officeDocument/2006/relationships/hyperlink" Target="http://113.160.97.58:8224/Viewer/Downloadfile.aspx?mhd=54c19889-1495-48b2-b990-3ea4ca96e0cb" TargetMode="External"/><Relationship Id="rId874" Type="http://schemas.openxmlformats.org/officeDocument/2006/relationships/hyperlink" Target="http://113.160.97.58:8224/Viewer/HoaDonViewer.aspx?mhd=e0c5c5a9-6074-4b7b-8c66-f5b52b153eb6&amp;iscd=1" TargetMode="External"/><Relationship Id="rId527" Type="http://schemas.openxmlformats.org/officeDocument/2006/relationships/hyperlink" Target="http://113.160.97.58:8224/Viewer/Downloadfile.aspx?mhd=19c0b8df-ceb0-4589-86f8-b60f251920ab" TargetMode="External"/><Relationship Id="rId734" Type="http://schemas.openxmlformats.org/officeDocument/2006/relationships/hyperlink" Target="http://113.160.97.58:8224/Viewer/HoaDonViewer.aspx?mhd=ca424a40-ab74-4ea2-b39c-4a9ac0057d94&amp;iscd=1" TargetMode="External"/><Relationship Id="rId941" Type="http://schemas.openxmlformats.org/officeDocument/2006/relationships/hyperlink" Target="http://113.160.97.58:8224/Viewer/HoaDonViewer.aspx?mhd=00de566b-cd21-4ee8-bdbc-eac354bd71b0" TargetMode="External"/><Relationship Id="rId1157" Type="http://schemas.openxmlformats.org/officeDocument/2006/relationships/hyperlink" Target="http://113.160.97.58:8224/Viewer/HoaDonViewer.aspx?mhd=168dd2bb-12d8-4274-bc13-f02aba4fb355" TargetMode="External"/><Relationship Id="rId1364" Type="http://schemas.openxmlformats.org/officeDocument/2006/relationships/hyperlink" Target="https://thuphi.haiphong.gov.vn:8222/tra-cuu-bien-lai-dien-tu?ma_tracuu=U99LIXVFT7" TargetMode="External"/><Relationship Id="rId70" Type="http://schemas.openxmlformats.org/officeDocument/2006/relationships/hyperlink" Target="http://113.160.97.58:8224/Viewer/HoaDonViewer.aspx?mhd=edbfe2d7-6dc0-46be-8e26-acab7701add6&amp;iscd=1" TargetMode="External"/><Relationship Id="rId801" Type="http://schemas.openxmlformats.org/officeDocument/2006/relationships/hyperlink" Target="http://113.160.97.58:8224/Viewer/HoaDonViewer.aspx?mhd=b532dfb3-dbd3-4906-856b-f7dfd13bbfdd" TargetMode="External"/><Relationship Id="rId1017" Type="http://schemas.openxmlformats.org/officeDocument/2006/relationships/hyperlink" Target="http://113.160.97.58:8224/Viewer/HoaDonViewer.aspx?mhd=d822bc3f-e150-4ffb-abde-b984e0fc8a6b" TargetMode="External"/><Relationship Id="rId1224" Type="http://schemas.openxmlformats.org/officeDocument/2006/relationships/hyperlink" Target="https://thuphi.haiphong.gov.vn:8222/tra-cuu-bien-lai-dien-tu?ma_tracuu=AAQZS7UP57" TargetMode="External"/><Relationship Id="rId1431" Type="http://schemas.openxmlformats.org/officeDocument/2006/relationships/hyperlink" Target="http://113.160.97.58:8224/Viewer/Downloadfile.aspx?mhd=ac580fb3-4267-4be9-8b1c-3738f6267e08" TargetMode="External"/><Relationship Id="rId1" Type="http://schemas.openxmlformats.org/officeDocument/2006/relationships/hyperlink" Target="http://113.160.97.58:8224/Viewer/HoaDonViewer.aspx?mhd=9d803f1b-a51c-4d42-a354-179ab2ffa871" TargetMode="External"/><Relationship Id="rId233" Type="http://schemas.openxmlformats.org/officeDocument/2006/relationships/hyperlink" Target="http://113.160.97.58:8224/Viewer/HoaDonViewer.aspx?mhd=ba01724b-ee91-4d65-84f0-5a6d679867aa" TargetMode="External"/><Relationship Id="rId440" Type="http://schemas.openxmlformats.org/officeDocument/2006/relationships/hyperlink" Target="https://thuphi.haiphong.gov.vn:8222/tra-cuu-bien-lai-dien-tu?ma_tracuu=ZV2Y4QHM40" TargetMode="External"/><Relationship Id="rId678" Type="http://schemas.openxmlformats.org/officeDocument/2006/relationships/hyperlink" Target="http://113.160.97.58:8224/Viewer/HoaDonViewer.aspx?mhd=e94000de-9542-4394-818b-e1a17a74647f&amp;iscd=1" TargetMode="External"/><Relationship Id="rId885" Type="http://schemas.openxmlformats.org/officeDocument/2006/relationships/hyperlink" Target="http://113.160.97.58:8224/Viewer/HoaDonViewer.aspx?mhd=d36831a5-f2d4-4b1a-bef8-2987a40884a5" TargetMode="External"/><Relationship Id="rId1070" Type="http://schemas.openxmlformats.org/officeDocument/2006/relationships/hyperlink" Target="http://113.160.97.58:8224/Viewer/HoaDonViewer.aspx?mhd=f1785040-b7a1-4672-9276-492f45c049a4&amp;iscd=1" TargetMode="External"/><Relationship Id="rId28" Type="http://schemas.openxmlformats.org/officeDocument/2006/relationships/hyperlink" Target="https://thuphi.haiphong.gov.vn:8222/tra-cuu-bien-lai-dien-tu?ma_tracuu=ACCC27QU5W" TargetMode="External"/><Relationship Id="rId300" Type="http://schemas.openxmlformats.org/officeDocument/2006/relationships/hyperlink" Target="https://thuphi.haiphong.gov.vn:8222/tra-cuu-bien-lai-dien-tu?ma_tracuu=Y4HB9SN7FR" TargetMode="External"/><Relationship Id="rId538" Type="http://schemas.openxmlformats.org/officeDocument/2006/relationships/hyperlink" Target="http://113.160.97.58:8224/Viewer/HoaDonViewer.aspx?mhd=1021ccfb-72bf-439b-aaa0-fc4185def5a8&amp;iscd=1" TargetMode="External"/><Relationship Id="rId745" Type="http://schemas.openxmlformats.org/officeDocument/2006/relationships/hyperlink" Target="http://113.160.97.58:8224/Viewer/HoaDonViewer.aspx?mhd=25e02a32-33d7-4cdf-825a-2a52f3758f6d" TargetMode="External"/><Relationship Id="rId952" Type="http://schemas.openxmlformats.org/officeDocument/2006/relationships/hyperlink" Target="https://thuphi.haiphong.gov.vn:8222/tra-cuu-bien-lai-dien-tu?ma_tracuu=MVYI8LMS3D" TargetMode="External"/><Relationship Id="rId1168" Type="http://schemas.openxmlformats.org/officeDocument/2006/relationships/hyperlink" Target="https://thuphi.haiphong.gov.vn:8222/tra-cuu-bien-lai-dien-tu?ma_tracuu=8VNU6M8DS1" TargetMode="External"/><Relationship Id="rId1375" Type="http://schemas.openxmlformats.org/officeDocument/2006/relationships/hyperlink" Target="http://113.160.97.58:8224/Viewer/Downloadfile.aspx?mhd=87482fa3-d9a6-4406-bf3d-4e9347f60994" TargetMode="External"/><Relationship Id="rId81" Type="http://schemas.openxmlformats.org/officeDocument/2006/relationships/hyperlink" Target="http://113.160.97.58:8224/Viewer/HoaDonViewer.aspx?mhd=797321e1-3a46-4bf9-9bf0-2f9bc1bf762f" TargetMode="External"/><Relationship Id="rId177" Type="http://schemas.openxmlformats.org/officeDocument/2006/relationships/hyperlink" Target="http://113.160.97.58:8224/Viewer/HoaDonViewer.aspx?mhd=72d89159-9c56-48ef-8910-c861b59fb5b3" TargetMode="External"/><Relationship Id="rId384" Type="http://schemas.openxmlformats.org/officeDocument/2006/relationships/hyperlink" Target="https://thuphi.haiphong.gov.vn:8222/tra-cuu-bien-lai-dien-tu?ma_tracuu=2NX2KSVNRN" TargetMode="External"/><Relationship Id="rId591" Type="http://schemas.openxmlformats.org/officeDocument/2006/relationships/hyperlink" Target="http://113.160.97.58:8224/Viewer/Downloadfile.aspx?mhd=10640380-8dee-4e2d-a7ce-ce2715372236" TargetMode="External"/><Relationship Id="rId605" Type="http://schemas.openxmlformats.org/officeDocument/2006/relationships/hyperlink" Target="http://113.160.97.58:8224/Viewer/HoaDonViewer.aspx?mhd=3991588d-0dbb-4ad6-88bb-5a9476a6a414" TargetMode="External"/><Relationship Id="rId812" Type="http://schemas.openxmlformats.org/officeDocument/2006/relationships/hyperlink" Target="https://thuphi.haiphong.gov.vn:8222/tra-cuu-bien-lai-dien-tu?ma_tracuu=WJFS8XVB3X" TargetMode="External"/><Relationship Id="rId1028" Type="http://schemas.openxmlformats.org/officeDocument/2006/relationships/hyperlink" Target="https://thuphi.haiphong.gov.vn:8222/tra-cuu-bien-lai-dien-tu?ma_tracuu=08QRGSUVXQ" TargetMode="External"/><Relationship Id="rId1235" Type="http://schemas.openxmlformats.org/officeDocument/2006/relationships/hyperlink" Target="http://113.160.97.58:8224/Viewer/Downloadfile.aspx?mhd=ac580fb3-4267-4be9-8b1c-3738f6267e08" TargetMode="External"/><Relationship Id="rId1442" Type="http://schemas.openxmlformats.org/officeDocument/2006/relationships/hyperlink" Target="http://113.160.97.58:8224/Viewer/HoaDonViewer.aspx?mhd=89b0eb95-a352-4f1f-815b-38b6e5d3ea41&amp;iscd=1" TargetMode="External"/><Relationship Id="rId244" Type="http://schemas.openxmlformats.org/officeDocument/2006/relationships/hyperlink" Target="https://thuphi.haiphong.gov.vn:8222/tra-cuu-bien-lai-dien-tu?ma_tracuu=MHH2A9TJFH" TargetMode="External"/><Relationship Id="rId689" Type="http://schemas.openxmlformats.org/officeDocument/2006/relationships/hyperlink" Target="http://113.160.97.58:8224/Viewer/HoaDonViewer.aspx?mhd=098fad0f-0a6b-4099-b722-8fb7a8c9e0d6" TargetMode="External"/><Relationship Id="rId896" Type="http://schemas.openxmlformats.org/officeDocument/2006/relationships/hyperlink" Target="https://thuphi.haiphong.gov.vn:8222/tra-cuu-bien-lai-dien-tu?ma_tracuu=JHNQ76CD38" TargetMode="External"/><Relationship Id="rId1081" Type="http://schemas.openxmlformats.org/officeDocument/2006/relationships/hyperlink" Target="http://113.160.97.58:8224/Viewer/HoaDonViewer.aspx?mhd=7adf4f51-307d-43ca-89ba-577df1db2457" TargetMode="External"/><Relationship Id="rId1302" Type="http://schemas.openxmlformats.org/officeDocument/2006/relationships/hyperlink" Target="http://113.160.97.58:8224/Viewer/HoaDonViewer.aspx?mhd=9d351923-219d-4a9f-b41d-38b7f119b8e7&amp;iscd=1" TargetMode="External"/><Relationship Id="rId39" Type="http://schemas.openxmlformats.org/officeDocument/2006/relationships/hyperlink" Target="http://113.160.97.58:8224/Viewer/Downloadfile.aspx?mhd=a76b921d-da9a-49d9-a19c-c8aa6cd55153" TargetMode="External"/><Relationship Id="rId451" Type="http://schemas.openxmlformats.org/officeDocument/2006/relationships/hyperlink" Target="http://113.160.97.58:8224/Viewer/Downloadfile.aspx?mhd=8779cc83-49af-4856-8458-7ae4ab1d2dee" TargetMode="External"/><Relationship Id="rId549" Type="http://schemas.openxmlformats.org/officeDocument/2006/relationships/hyperlink" Target="http://113.160.97.58:8224/Viewer/HoaDonViewer.aspx?mhd=d5c11100-0197-4ffb-92c3-a2c0578840ec" TargetMode="External"/><Relationship Id="rId756" Type="http://schemas.openxmlformats.org/officeDocument/2006/relationships/hyperlink" Target="https://thuphi.haiphong.gov.vn:8222/tra-cuu-bien-lai-dien-tu?ma_tracuu=BDR0H8M038" TargetMode="External"/><Relationship Id="rId1179" Type="http://schemas.openxmlformats.org/officeDocument/2006/relationships/hyperlink" Target="http://113.160.97.58:8224/Viewer/Downloadfile.aspx?mhd=6598156e-30d8-4762-9f46-de8e83b6dcec" TargetMode="External"/><Relationship Id="rId1386" Type="http://schemas.openxmlformats.org/officeDocument/2006/relationships/hyperlink" Target="http://113.160.97.58:8224/Viewer/HoaDonViewer.aspx?mhd=5686e4b4-67fe-49ba-b773-6d5601fc1af8&amp;iscd=1" TargetMode="External"/><Relationship Id="rId104" Type="http://schemas.openxmlformats.org/officeDocument/2006/relationships/hyperlink" Target="https://thuphi.haiphong.gov.vn:8222/tra-cuu-bien-lai-dien-tu?ma_tracuu=XFWITPTE5I" TargetMode="External"/><Relationship Id="rId188" Type="http://schemas.openxmlformats.org/officeDocument/2006/relationships/hyperlink" Target="https://thuphi.haiphong.gov.vn:8222/tra-cuu-bien-lai-dien-tu?ma_tracuu=GVFMPW0XV9" TargetMode="External"/><Relationship Id="rId311" Type="http://schemas.openxmlformats.org/officeDocument/2006/relationships/hyperlink" Target="http://113.160.97.58:8224/Viewer/Downloadfile.aspx?mhd=d2e8511a-6e4f-4296-8ece-cd76cd81ad13" TargetMode="External"/><Relationship Id="rId395" Type="http://schemas.openxmlformats.org/officeDocument/2006/relationships/hyperlink" Target="http://113.160.97.58:8224/Viewer/Downloadfile.aspx?mhd=eafa00d1-a289-48ba-8728-c9b88499343a" TargetMode="External"/><Relationship Id="rId409" Type="http://schemas.openxmlformats.org/officeDocument/2006/relationships/hyperlink" Target="http://113.160.97.58:8224/Viewer/HoaDonViewer.aspx?mhd=e4003beb-b082-4969-b973-6b53795fab14" TargetMode="External"/><Relationship Id="rId963" Type="http://schemas.openxmlformats.org/officeDocument/2006/relationships/hyperlink" Target="http://113.160.97.58:8224/Viewer/Downloadfile.aspx?mhd=aaa01960-0704-41c6-aec8-896218063bc3" TargetMode="External"/><Relationship Id="rId1039" Type="http://schemas.openxmlformats.org/officeDocument/2006/relationships/hyperlink" Target="http://113.160.97.58:8224/Viewer/Downloadfile.aspx?mhd=a83ffd3a-93ed-4748-9d52-48a994696486" TargetMode="External"/><Relationship Id="rId1246" Type="http://schemas.openxmlformats.org/officeDocument/2006/relationships/hyperlink" Target="http://113.160.97.58:8224/Viewer/HoaDonViewer.aspx?mhd=7b3c0fec-48b9-4cdc-85d1-60c3844bee45&amp;iscd=1" TargetMode="External"/><Relationship Id="rId92" Type="http://schemas.openxmlformats.org/officeDocument/2006/relationships/hyperlink" Target="https://thuphi.haiphong.gov.vn:8222/tra-cuu-bien-lai-dien-tu?ma_tracuu=5H4G4QTE53" TargetMode="External"/><Relationship Id="rId616" Type="http://schemas.openxmlformats.org/officeDocument/2006/relationships/hyperlink" Target="https://thuphi.haiphong.gov.vn:8222/tra-cuu-bien-lai-dien-tu?ma_tracuu=NJDVGFD0DX" TargetMode="External"/><Relationship Id="rId823" Type="http://schemas.openxmlformats.org/officeDocument/2006/relationships/hyperlink" Target="http://113.160.97.58:8224/Viewer/Downloadfile.aspx?mhd=6c004e3f-f539-4235-b6d6-47b73f3e7aa8" TargetMode="External"/><Relationship Id="rId1453" Type="http://schemas.openxmlformats.org/officeDocument/2006/relationships/printerSettings" Target="../printerSettings/printerSettings8.bin"/><Relationship Id="rId255" Type="http://schemas.openxmlformats.org/officeDocument/2006/relationships/hyperlink" Target="http://113.160.97.58:8224/Viewer/Downloadfile.aspx?mhd=dc61d3aa-1718-48be-bc94-0071d147ef14" TargetMode="External"/><Relationship Id="rId462" Type="http://schemas.openxmlformats.org/officeDocument/2006/relationships/hyperlink" Target="http://113.160.97.58:8224/Viewer/HoaDonViewer.aspx?mhd=fefded5a-286f-4695-b26e-9a0f2513b3a9&amp;iscd=1" TargetMode="External"/><Relationship Id="rId1092" Type="http://schemas.openxmlformats.org/officeDocument/2006/relationships/hyperlink" Target="https://thuphi.haiphong.gov.vn:8222/tra-cuu-bien-lai-dien-tu?ma_tracuu=3U9A2SQAX4" TargetMode="External"/><Relationship Id="rId1106" Type="http://schemas.openxmlformats.org/officeDocument/2006/relationships/hyperlink" Target="http://113.160.97.58:8224/Viewer/HoaDonViewer.aspx?mhd=89d21140-b842-4475-945b-d4baf1479840&amp;iscd=1" TargetMode="External"/><Relationship Id="rId1313" Type="http://schemas.openxmlformats.org/officeDocument/2006/relationships/hyperlink" Target="http://113.160.97.58:8224/Viewer/HoaDonViewer.aspx?mhd=fd749185-0b0e-4054-82e8-7a996ffd6fcd" TargetMode="External"/><Relationship Id="rId1397" Type="http://schemas.openxmlformats.org/officeDocument/2006/relationships/hyperlink" Target="http://113.160.97.58:8224/Viewer/HoaDonViewer.aspx?mhd=052a403d-bcbd-4cdf-b724-b1264c9dcbfb" TargetMode="External"/><Relationship Id="rId115" Type="http://schemas.openxmlformats.org/officeDocument/2006/relationships/hyperlink" Target="http://113.160.97.58:8224/Viewer/Downloadfile.aspx?mhd=f8b8ea0c-7da3-4e21-9b6a-3994a5e3e091" TargetMode="External"/><Relationship Id="rId322" Type="http://schemas.openxmlformats.org/officeDocument/2006/relationships/hyperlink" Target="http://113.160.97.58:8224/Viewer/HoaDonViewer.aspx?mhd=bea0dfcd-8722-4d70-b2fd-ebfe9c6e2567&amp;iscd=1" TargetMode="External"/><Relationship Id="rId767" Type="http://schemas.openxmlformats.org/officeDocument/2006/relationships/hyperlink" Target="http://113.160.97.58:8224/Viewer/Downloadfile.aspx?mhd=c1d25752-5007-4bd8-86cc-e164c33410d1" TargetMode="External"/><Relationship Id="rId974" Type="http://schemas.openxmlformats.org/officeDocument/2006/relationships/hyperlink" Target="http://113.160.97.58:8224/Viewer/HoaDonViewer.aspx?mhd=8d5102f2-d0af-41d3-948a-17cf0561e5fe&amp;iscd=1" TargetMode="External"/><Relationship Id="rId199" Type="http://schemas.openxmlformats.org/officeDocument/2006/relationships/hyperlink" Target="http://113.160.97.58:8224/Viewer/Downloadfile.aspx?mhd=8e6eea0d-b854-4b24-9c58-052ee0a441da" TargetMode="External"/><Relationship Id="rId627" Type="http://schemas.openxmlformats.org/officeDocument/2006/relationships/hyperlink" Target="http://113.160.97.58:8224/Viewer/Downloadfile.aspx?mhd=9f9a837c-258b-4916-83b8-c2f3e238a324" TargetMode="External"/><Relationship Id="rId834" Type="http://schemas.openxmlformats.org/officeDocument/2006/relationships/hyperlink" Target="http://113.160.97.58:8224/Viewer/HoaDonViewer.aspx?mhd=36fdd49f-5394-405f-971c-f8906167070d&amp;iscd=1" TargetMode="External"/><Relationship Id="rId1257" Type="http://schemas.openxmlformats.org/officeDocument/2006/relationships/hyperlink" Target="http://113.160.97.58:8224/Viewer/HoaDonViewer.aspx?mhd=7ca53f91-1d01-4d4d-b3ed-bca483428193" TargetMode="External"/><Relationship Id="rId266" Type="http://schemas.openxmlformats.org/officeDocument/2006/relationships/hyperlink" Target="http://113.160.97.58:8224/Viewer/HoaDonViewer.aspx?mhd=c5689646-9355-445f-aa71-57ec294f57ea&amp;iscd=1" TargetMode="External"/><Relationship Id="rId473" Type="http://schemas.openxmlformats.org/officeDocument/2006/relationships/hyperlink" Target="http://113.160.97.58:8224/Viewer/HoaDonViewer.aspx?mhd=5d8cab4a-6458-410e-91fc-466358810ed2" TargetMode="External"/><Relationship Id="rId680" Type="http://schemas.openxmlformats.org/officeDocument/2006/relationships/hyperlink" Target="https://thuphi.haiphong.gov.vn:8222/tra-cuu-bien-lai-dien-tu?ma_tracuu=DYGVLFFMEP" TargetMode="External"/><Relationship Id="rId901" Type="http://schemas.openxmlformats.org/officeDocument/2006/relationships/hyperlink" Target="http://113.160.97.58:8224/Viewer/HoaDonViewer.aspx?mhd=2df1f01e-aae5-40ce-9445-dd852e575649" TargetMode="External"/><Relationship Id="rId1117" Type="http://schemas.openxmlformats.org/officeDocument/2006/relationships/hyperlink" Target="http://113.160.97.58:8224/Viewer/HoaDonViewer.aspx?mhd=de3d603b-dba1-45a5-8c1f-5e2e9b47e85f" TargetMode="External"/><Relationship Id="rId1324" Type="http://schemas.openxmlformats.org/officeDocument/2006/relationships/hyperlink" Target="https://thuphi.haiphong.gov.vn:8222/tra-cuu-bien-lai-dien-tu?ma_tracuu=AGS9XTW6T2" TargetMode="External"/><Relationship Id="rId30" Type="http://schemas.openxmlformats.org/officeDocument/2006/relationships/hyperlink" Target="http://113.160.97.58:8224/Viewer/HoaDonViewer.aspx?mhd=b7922478-c335-4bd0-8bba-ff57e9c82928&amp;iscd=1" TargetMode="External"/><Relationship Id="rId126" Type="http://schemas.openxmlformats.org/officeDocument/2006/relationships/hyperlink" Target="http://113.160.97.58:8224/Viewer/HoaDonViewer.aspx?mhd=bab9ca7c-02fc-42e8-a729-a1fc612fb597&amp;iscd=1" TargetMode="External"/><Relationship Id="rId333" Type="http://schemas.openxmlformats.org/officeDocument/2006/relationships/hyperlink" Target="http://113.160.97.58:8224/Viewer/HoaDonViewer.aspx?mhd=f3605b4f-e8b8-4862-8b11-e7ffaf2fdd85" TargetMode="External"/><Relationship Id="rId540" Type="http://schemas.openxmlformats.org/officeDocument/2006/relationships/hyperlink" Target="https://thuphi.haiphong.gov.vn:8222/tra-cuu-bien-lai-dien-tu?ma_tracuu=U5AF3K27C3" TargetMode="External"/><Relationship Id="rId778" Type="http://schemas.openxmlformats.org/officeDocument/2006/relationships/hyperlink" Target="http://113.160.97.58:8224/Viewer/HoaDonViewer.aspx?mhd=37f0cfa0-76e5-4fb9-b0d6-ef48e2acdf5f&amp;iscd=1" TargetMode="External"/><Relationship Id="rId985" Type="http://schemas.openxmlformats.org/officeDocument/2006/relationships/hyperlink" Target="http://113.160.97.58:8224/Viewer/HoaDonViewer.aspx?mhd=9c0b207e-d279-47d9-bea4-3b979c917dc3" TargetMode="External"/><Relationship Id="rId1170" Type="http://schemas.openxmlformats.org/officeDocument/2006/relationships/hyperlink" Target="http://113.160.97.58:8224/Viewer/HoaDonViewer.aspx?mhd=abb3bee2-359d-4d84-8fe0-e86c7be18720&amp;iscd=1" TargetMode="External"/><Relationship Id="rId638" Type="http://schemas.openxmlformats.org/officeDocument/2006/relationships/hyperlink" Target="http://113.160.97.58:8224/Viewer/HoaDonViewer.aspx?mhd=e2232d2e-4b2e-431b-9286-0e255cb2e189&amp;iscd=1" TargetMode="External"/><Relationship Id="rId845" Type="http://schemas.openxmlformats.org/officeDocument/2006/relationships/hyperlink" Target="http://113.160.97.58:8224/Viewer/HoaDonViewer.aspx?mhd=e3c63387-366f-4219-89c8-c2fb601dce6c" TargetMode="External"/><Relationship Id="rId1030" Type="http://schemas.openxmlformats.org/officeDocument/2006/relationships/hyperlink" Target="http://113.160.97.58:8224/Viewer/HoaDonViewer.aspx?mhd=d753f1b1-46aa-4b52-b73c-57cbf64afa10&amp;iscd=1" TargetMode="External"/><Relationship Id="rId1268" Type="http://schemas.openxmlformats.org/officeDocument/2006/relationships/hyperlink" Target="https://thuphi.haiphong.gov.vn:8222/tra-cuu-bien-lai-dien-tu?ma_tracuu=785R41975A" TargetMode="External"/><Relationship Id="rId277" Type="http://schemas.openxmlformats.org/officeDocument/2006/relationships/hyperlink" Target="http://113.160.97.58:8224/Viewer/HoaDonViewer.aspx?mhd=41cafa4a-0332-4a84-97af-83572d72e59b" TargetMode="External"/><Relationship Id="rId400" Type="http://schemas.openxmlformats.org/officeDocument/2006/relationships/hyperlink" Target="https://thuphi.haiphong.gov.vn:8222/tra-cuu-bien-lai-dien-tu?ma_tracuu=JQZB9M46RW" TargetMode="External"/><Relationship Id="rId484" Type="http://schemas.openxmlformats.org/officeDocument/2006/relationships/hyperlink" Target="https://thuphi.haiphong.gov.vn:8222/tra-cuu-bien-lai-dien-tu?ma_tracuu=X03DS81T4C" TargetMode="External"/><Relationship Id="rId705" Type="http://schemas.openxmlformats.org/officeDocument/2006/relationships/hyperlink" Target="http://113.160.97.58:8224/Viewer/HoaDonViewer.aspx?mhd=254fce19-446e-4412-afcd-1ce9ab9d1062" TargetMode="External"/><Relationship Id="rId1128" Type="http://schemas.openxmlformats.org/officeDocument/2006/relationships/hyperlink" Target="https://thuphi.haiphong.gov.vn:8222/tra-cuu-bien-lai-dien-tu?ma_tracuu=X5QPEC4NSQ" TargetMode="External"/><Relationship Id="rId1335" Type="http://schemas.openxmlformats.org/officeDocument/2006/relationships/hyperlink" Target="http://113.160.97.58:8224/Viewer/Downloadfile.aspx?mhd=6cde0855-3f5f-4a10-8201-11d4a44bc9bd" TargetMode="External"/><Relationship Id="rId137" Type="http://schemas.openxmlformats.org/officeDocument/2006/relationships/hyperlink" Target="http://113.160.97.58:8224/Viewer/HoaDonViewer.aspx?mhd=90781c7d-fc62-4d27-855c-28a5b38ba43c" TargetMode="External"/><Relationship Id="rId344" Type="http://schemas.openxmlformats.org/officeDocument/2006/relationships/hyperlink" Target="https://thuphi.haiphong.gov.vn:8222/tra-cuu-bien-lai-dien-tu?ma_tracuu=MKI8ZNYDFD" TargetMode="External"/><Relationship Id="rId691" Type="http://schemas.openxmlformats.org/officeDocument/2006/relationships/hyperlink" Target="http://113.160.97.58:8224/Viewer/Downloadfile.aspx?mhd=098fad0f-0a6b-4099-b722-8fb7a8c9e0d6" TargetMode="External"/><Relationship Id="rId789" Type="http://schemas.openxmlformats.org/officeDocument/2006/relationships/hyperlink" Target="http://113.160.97.58:8224/Viewer/HoaDonViewer.aspx?mhd=b30d6c09-9522-4790-807d-aa4587982b69" TargetMode="External"/><Relationship Id="rId912" Type="http://schemas.openxmlformats.org/officeDocument/2006/relationships/hyperlink" Target="https://thuphi.haiphong.gov.vn:8222/tra-cuu-bien-lai-dien-tu?ma_tracuu=ZI1163DD3R" TargetMode="External"/><Relationship Id="rId996" Type="http://schemas.openxmlformats.org/officeDocument/2006/relationships/hyperlink" Target="https://thuphi.haiphong.gov.vn:8222/tra-cuu-bien-lai-dien-tu?ma_tracuu=4ZPVB490X4" TargetMode="External"/><Relationship Id="rId41" Type="http://schemas.openxmlformats.org/officeDocument/2006/relationships/hyperlink" Target="http://113.160.97.58:8224/Viewer/HoaDonViewer.aspx?mhd=6bed33cd-ba30-47ac-82b5-4aeb9b8f2591" TargetMode="External"/><Relationship Id="rId551" Type="http://schemas.openxmlformats.org/officeDocument/2006/relationships/hyperlink" Target="http://113.160.97.58:8224/Viewer/Downloadfile.aspx?mhd=d5c11100-0197-4ffb-92c3-a2c0578840ec" TargetMode="External"/><Relationship Id="rId649" Type="http://schemas.openxmlformats.org/officeDocument/2006/relationships/hyperlink" Target="http://113.160.97.58:8224/Viewer/HoaDonViewer.aspx?mhd=e857cce2-1e16-4f98-9328-f48a801caba7" TargetMode="External"/><Relationship Id="rId856" Type="http://schemas.openxmlformats.org/officeDocument/2006/relationships/hyperlink" Target="https://thuphi.haiphong.gov.vn:8222/tra-cuu-bien-lai-dien-tu?ma_tracuu=VVEKPHRD3G" TargetMode="External"/><Relationship Id="rId1181" Type="http://schemas.openxmlformats.org/officeDocument/2006/relationships/hyperlink" Target="http://113.160.97.58:8224/Viewer/HoaDonViewer.aspx?mhd=11eb93c1-e582-4882-8fbc-be04f47d0c8b" TargetMode="External"/><Relationship Id="rId1279" Type="http://schemas.openxmlformats.org/officeDocument/2006/relationships/hyperlink" Target="http://113.160.97.58:8224/Viewer/Downloadfile.aspx?mhd=6bed33cd-ba30-47ac-82b5-4aeb9b8f2591" TargetMode="External"/><Relationship Id="rId1402" Type="http://schemas.openxmlformats.org/officeDocument/2006/relationships/hyperlink" Target="http://113.160.97.58:8224/Viewer/HoaDonViewer.aspx?mhd=c3696651-36a9-40d0-8452-a4f2f3078fde&amp;iscd=1" TargetMode="External"/><Relationship Id="rId190" Type="http://schemas.openxmlformats.org/officeDocument/2006/relationships/hyperlink" Target="http://113.160.97.58:8224/Viewer/HoaDonViewer.aspx?mhd=f7839817-21ba-40c4-bbba-6d049b78978c&amp;iscd=1" TargetMode="External"/><Relationship Id="rId204" Type="http://schemas.openxmlformats.org/officeDocument/2006/relationships/hyperlink" Target="https://thuphi.haiphong.gov.vn:8222/tra-cuu-bien-lai-dien-tu?ma_tracuu=DYPX4Z58FP" TargetMode="External"/><Relationship Id="rId288" Type="http://schemas.openxmlformats.org/officeDocument/2006/relationships/hyperlink" Target="https://thuphi.haiphong.gov.vn:8222/tra-cuu-bien-lai-dien-tu?ma_tracuu=EFHX5TLUFI" TargetMode="External"/><Relationship Id="rId411" Type="http://schemas.openxmlformats.org/officeDocument/2006/relationships/hyperlink" Target="http://113.160.97.58:8224/Viewer/Downloadfile.aspx?mhd=e4003beb-b082-4969-b973-6b53795fab14" TargetMode="External"/><Relationship Id="rId509" Type="http://schemas.openxmlformats.org/officeDocument/2006/relationships/hyperlink" Target="http://113.160.97.58:8224/Viewer/HoaDonViewer.aspx?mhd=b17ea05a-0e17-4406-bc00-de85c87bf83a" TargetMode="External"/><Relationship Id="rId1041" Type="http://schemas.openxmlformats.org/officeDocument/2006/relationships/hyperlink" Target="http://113.160.97.58:8224/Viewer/HoaDonViewer.aspx?mhd=a3e074c6-f336-4696-9dc2-5d036b36464d" TargetMode="External"/><Relationship Id="rId1139" Type="http://schemas.openxmlformats.org/officeDocument/2006/relationships/hyperlink" Target="http://113.160.97.58:8224/Viewer/Downloadfile.aspx?mhd=ccbc5831-5a13-402a-a99f-87d98a3d58d8" TargetMode="External"/><Relationship Id="rId1346" Type="http://schemas.openxmlformats.org/officeDocument/2006/relationships/hyperlink" Target="http://113.160.97.58:8224/Viewer/HoaDonViewer.aspx?mhd=8893c399-3add-440a-92bc-c8d3e8efc150&amp;iscd=1" TargetMode="External"/><Relationship Id="rId495" Type="http://schemas.openxmlformats.org/officeDocument/2006/relationships/hyperlink" Target="http://113.160.97.58:8224/Viewer/Downloadfile.aspx?mhd=91269641-46cb-4537-a042-a9baea59c9bd" TargetMode="External"/><Relationship Id="rId716" Type="http://schemas.openxmlformats.org/officeDocument/2006/relationships/hyperlink" Target="https://thuphi.haiphong.gov.vn:8222/tra-cuu-bien-lai-dien-tu?ma_tracuu=NJUGCCEVE0" TargetMode="External"/><Relationship Id="rId923" Type="http://schemas.openxmlformats.org/officeDocument/2006/relationships/hyperlink" Target="http://113.160.97.58:8224/Viewer/Downloadfile.aspx?mhd=6f862b5c-7b75-4e79-b947-d689417ae00a" TargetMode="External"/><Relationship Id="rId52" Type="http://schemas.openxmlformats.org/officeDocument/2006/relationships/hyperlink" Target="https://thuphi.haiphong.gov.vn:8222/tra-cuu-bien-lai-dien-tu?ma_tracuu=62EL0WBH53" TargetMode="External"/><Relationship Id="rId148" Type="http://schemas.openxmlformats.org/officeDocument/2006/relationships/hyperlink" Target="https://thuphi.haiphong.gov.vn:8222/tra-cuu-bien-lai-dien-tu?ma_tracuu=YTDGQVU352" TargetMode="External"/><Relationship Id="rId355" Type="http://schemas.openxmlformats.org/officeDocument/2006/relationships/hyperlink" Target="http://113.160.97.58:8224/Viewer/Downloadfile.aspx?mhd=602d1b24-cc7d-46f5-8eb9-0744a5d1a2cb" TargetMode="External"/><Relationship Id="rId562" Type="http://schemas.openxmlformats.org/officeDocument/2006/relationships/hyperlink" Target="http://113.160.97.58:8224/Viewer/HoaDonViewer.aspx?mhd=0c190389-0577-4fc7-b1ed-4330e430ffa3&amp;iscd=1" TargetMode="External"/><Relationship Id="rId1192" Type="http://schemas.openxmlformats.org/officeDocument/2006/relationships/hyperlink" Target="https://thuphi.haiphong.gov.vn:8222/tra-cuu-bien-lai-dien-tu?ma_tracuu=H533RYZ2TQ" TargetMode="External"/><Relationship Id="rId1206" Type="http://schemas.openxmlformats.org/officeDocument/2006/relationships/hyperlink" Target="http://113.160.97.58:8224/Viewer/HoaDonViewer.aspx?mhd=c3696651-36a9-40d0-8452-a4f2f3078fde&amp;iscd=1" TargetMode="External"/><Relationship Id="rId1413" Type="http://schemas.openxmlformats.org/officeDocument/2006/relationships/hyperlink" Target="http://113.160.97.58:8224/Viewer/HoaDonViewer.aspx?mhd=f5d2be1e-4a3b-4272-a1fe-e388f599773d" TargetMode="External"/><Relationship Id="rId215" Type="http://schemas.openxmlformats.org/officeDocument/2006/relationships/hyperlink" Target="http://113.160.97.58:8224/Viewer/Downloadfile.aspx?mhd=02301255-fc63-406a-bfdd-8946586f5f89" TargetMode="External"/><Relationship Id="rId422" Type="http://schemas.openxmlformats.org/officeDocument/2006/relationships/hyperlink" Target="http://113.160.97.58:8224/Viewer/HoaDonViewer.aspx?mhd=e2693fd4-dac1-438e-814c-7f70c064c6a0&amp;iscd=1" TargetMode="External"/><Relationship Id="rId867" Type="http://schemas.openxmlformats.org/officeDocument/2006/relationships/hyperlink" Target="http://113.160.97.58:8224/Viewer/Downloadfile.aspx?mhd=17a1d47e-3db7-43ff-ace8-8d5520e05933" TargetMode="External"/><Relationship Id="rId1052" Type="http://schemas.openxmlformats.org/officeDocument/2006/relationships/hyperlink" Target="https://thuphi.haiphong.gov.vn:8222/tra-cuu-bien-lai-dien-tu?ma_tracuu=H1VC31AFXF" TargetMode="External"/><Relationship Id="rId299" Type="http://schemas.openxmlformats.org/officeDocument/2006/relationships/hyperlink" Target="http://113.160.97.58:8224/Viewer/Downloadfile.aspx?mhd=f800f6d5-e100-42ed-8af5-4738ea656977" TargetMode="External"/><Relationship Id="rId727" Type="http://schemas.openxmlformats.org/officeDocument/2006/relationships/hyperlink" Target="http://113.160.97.58:8224/Viewer/Downloadfile.aspx?mhd=acbb7622-4ac9-45cc-a1f9-253e110f9d0d" TargetMode="External"/><Relationship Id="rId934" Type="http://schemas.openxmlformats.org/officeDocument/2006/relationships/hyperlink" Target="http://113.160.97.58:8224/Viewer/HoaDonViewer.aspx?mhd=f937de00-7176-42da-b8f8-9dbf1da8e936&amp;iscd=1" TargetMode="External"/><Relationship Id="rId1357" Type="http://schemas.openxmlformats.org/officeDocument/2006/relationships/hyperlink" Target="http://113.160.97.58:8224/Viewer/HoaDonViewer.aspx?mhd=935be706-b620-407f-94d8-509e79674c32" TargetMode="External"/><Relationship Id="rId63" Type="http://schemas.openxmlformats.org/officeDocument/2006/relationships/hyperlink" Target="http://113.160.97.58:8224/Viewer/Downloadfile.aspx?mhd=f02b5a39-8b4e-49b4-99b3-df687860350a" TargetMode="External"/><Relationship Id="rId159" Type="http://schemas.openxmlformats.org/officeDocument/2006/relationships/hyperlink" Target="http://113.160.97.58:8224/Viewer/Downloadfile.aspx?mhd=7f7cd91a-c941-46a8-b566-3407a4d51a36" TargetMode="External"/><Relationship Id="rId366" Type="http://schemas.openxmlformats.org/officeDocument/2006/relationships/hyperlink" Target="http://113.160.97.58:8224/Viewer/HoaDonViewer.aspx?mhd=a29473ce-be98-4938-a84c-15d478e3ce1b&amp;iscd=1" TargetMode="External"/><Relationship Id="rId573" Type="http://schemas.openxmlformats.org/officeDocument/2006/relationships/hyperlink" Target="http://113.160.97.58:8224/Viewer/HoaDonViewer.aspx?mhd=90676658-6a41-4021-9566-a6efc500c71c" TargetMode="External"/><Relationship Id="rId780" Type="http://schemas.openxmlformats.org/officeDocument/2006/relationships/hyperlink" Target="https://thuphi.haiphong.gov.vn:8222/tra-cuu-bien-lai-dien-tu?ma_tracuu=E8FG8V9H34" TargetMode="External"/><Relationship Id="rId1217" Type="http://schemas.openxmlformats.org/officeDocument/2006/relationships/hyperlink" Target="http://113.160.97.58:8224/Viewer/HoaDonViewer.aspx?mhd=f5d2be1e-4a3b-4272-a1fe-e388f599773d" TargetMode="External"/><Relationship Id="rId1424" Type="http://schemas.openxmlformats.org/officeDocument/2006/relationships/hyperlink" Target="https://thuphi.haiphong.gov.vn:8222/tra-cuu-bien-lai-dien-tu?ma_tracuu=APTL9MHP5F" TargetMode="External"/><Relationship Id="rId226" Type="http://schemas.openxmlformats.org/officeDocument/2006/relationships/hyperlink" Target="http://113.160.97.58:8224/Viewer/HoaDonViewer.aspx?mhd=511dd0df-4de2-4868-868a-6af515c36e06&amp;iscd=1" TargetMode="External"/><Relationship Id="rId433" Type="http://schemas.openxmlformats.org/officeDocument/2006/relationships/hyperlink" Target="http://113.160.97.58:8224/Viewer/HoaDonViewer.aspx?mhd=d85acf7c-f400-4655-98c3-b8079952d636" TargetMode="External"/><Relationship Id="rId878" Type="http://schemas.openxmlformats.org/officeDocument/2006/relationships/hyperlink" Target="http://113.160.97.58:8224/Viewer/HoaDonViewer.aspx?mhd=06409a0e-1f63-4f3d-86c5-700f58520aae&amp;iscd=1" TargetMode="External"/><Relationship Id="rId1063" Type="http://schemas.openxmlformats.org/officeDocument/2006/relationships/hyperlink" Target="http://113.160.97.58:8224/Viewer/Downloadfile.aspx?mhd=656bf156-5e35-41f3-9dff-f80f8b9d74ca" TargetMode="External"/><Relationship Id="rId1270" Type="http://schemas.openxmlformats.org/officeDocument/2006/relationships/hyperlink" Target="http://113.160.97.58:8224/Viewer/HoaDonViewer.aspx?mhd=160d5b4c-4c77-4206-910f-699b6df177c1&amp;iscd=1" TargetMode="External"/><Relationship Id="rId640" Type="http://schemas.openxmlformats.org/officeDocument/2006/relationships/hyperlink" Target="https://thuphi.haiphong.gov.vn:8222/tra-cuu-bien-lai-dien-tu?ma_tracuu=65V5P6BID1" TargetMode="External"/><Relationship Id="rId738" Type="http://schemas.openxmlformats.org/officeDocument/2006/relationships/hyperlink" Target="http://113.160.97.58:8224/Viewer/HoaDonViewer.aspx?mhd=92332d5c-7e32-43e5-ab91-0c44f4235bb4&amp;iscd=1" TargetMode="External"/><Relationship Id="rId945" Type="http://schemas.openxmlformats.org/officeDocument/2006/relationships/hyperlink" Target="http://113.160.97.58:8224/Viewer/HoaDonViewer.aspx?mhd=ef74b536-1018-408e-8431-a62957284165" TargetMode="External"/><Relationship Id="rId1368" Type="http://schemas.openxmlformats.org/officeDocument/2006/relationships/hyperlink" Target="https://thuphi.haiphong.gov.vn:8222/tra-cuu-bien-lai-dien-tu?ma_tracuu=GJ6YLPVFTQ" TargetMode="External"/><Relationship Id="rId74" Type="http://schemas.openxmlformats.org/officeDocument/2006/relationships/hyperlink" Target="http://113.160.97.58:8224/Viewer/HoaDonViewer.aspx?mhd=f7c00b33-ff9d-49a5-8983-931371b53543&amp;iscd=1" TargetMode="External"/><Relationship Id="rId377" Type="http://schemas.openxmlformats.org/officeDocument/2006/relationships/hyperlink" Target="http://113.160.97.58:8224/Viewer/HoaDonViewer.aspx?mhd=986bdfda-d28d-4ddc-b139-f4f692216d17" TargetMode="External"/><Relationship Id="rId500" Type="http://schemas.openxmlformats.org/officeDocument/2006/relationships/hyperlink" Target="https://thuphi.haiphong.gov.vn:8222/tra-cuu-bien-lai-dien-tu?ma_tracuu=YG6KLF1Z49" TargetMode="External"/><Relationship Id="rId584" Type="http://schemas.openxmlformats.org/officeDocument/2006/relationships/hyperlink" Target="https://thuphi.haiphong.gov.vn:8222/tra-cuu-bien-lai-dien-tu?ma_tracuu=GP068BCECH" TargetMode="External"/><Relationship Id="rId805" Type="http://schemas.openxmlformats.org/officeDocument/2006/relationships/hyperlink" Target="http://113.160.97.58:8224/Viewer/HoaDonViewer.aspx?mhd=477b1763-a60b-4553-a2cb-b5fbda2f4a1f" TargetMode="External"/><Relationship Id="rId1130" Type="http://schemas.openxmlformats.org/officeDocument/2006/relationships/hyperlink" Target="http://113.160.97.58:8224/Viewer/HoaDonViewer.aspx?mhd=1b9af5c1-df06-462d-85db-a579711254b2&amp;iscd=1" TargetMode="External"/><Relationship Id="rId1228" Type="http://schemas.openxmlformats.org/officeDocument/2006/relationships/hyperlink" Target="https://thuphi.haiphong.gov.vn:8222/tra-cuu-bien-lai-dien-tu?ma_tracuu=APTL9MHP5F" TargetMode="External"/><Relationship Id="rId1435" Type="http://schemas.openxmlformats.org/officeDocument/2006/relationships/hyperlink" Target="http://113.160.97.58:8224/Viewer/Downloadfile.aspx?mhd=814c1976-b45a-4793-99cb-3bddf2c48905" TargetMode="External"/><Relationship Id="rId5" Type="http://schemas.openxmlformats.org/officeDocument/2006/relationships/hyperlink" Target="http://113.160.97.58:8224/Viewer/HoaDonViewer.aspx?mhd=abfe3efe-b6cd-491c-ae39-977fddf52186" TargetMode="External"/><Relationship Id="rId237" Type="http://schemas.openxmlformats.org/officeDocument/2006/relationships/hyperlink" Target="http://113.160.97.58:8224/Viewer/HoaDonViewer.aspx?mhd=2a8aa12a-72c8-42ea-b161-51fe2738d8fa" TargetMode="External"/><Relationship Id="rId791" Type="http://schemas.openxmlformats.org/officeDocument/2006/relationships/hyperlink" Target="http://113.160.97.58:8224/Viewer/Downloadfile.aspx?mhd=b30d6c09-9522-4790-807d-aa4587982b69" TargetMode="External"/><Relationship Id="rId889" Type="http://schemas.openxmlformats.org/officeDocument/2006/relationships/hyperlink" Target="http://113.160.97.58:8224/Viewer/HoaDonViewer.aspx?mhd=2799dca8-ecc2-43f5-97c9-68ec09941a86" TargetMode="External"/><Relationship Id="rId1074" Type="http://schemas.openxmlformats.org/officeDocument/2006/relationships/hyperlink" Target="http://113.160.97.58:8224/Viewer/HoaDonViewer.aspx?mhd=05d6caf3-792d-4c60-82bd-aa29a7535602&amp;iscd=1" TargetMode="External"/><Relationship Id="rId444" Type="http://schemas.openxmlformats.org/officeDocument/2006/relationships/hyperlink" Target="https://thuphi.haiphong.gov.vn:8222/tra-cuu-bien-lai-dien-tu?ma_tracuu=7VNR8KBM41" TargetMode="External"/><Relationship Id="rId651" Type="http://schemas.openxmlformats.org/officeDocument/2006/relationships/hyperlink" Target="http://113.160.97.58:8224/Viewer/Downloadfile.aspx?mhd=e857cce2-1e16-4f98-9328-f48a801caba7" TargetMode="External"/><Relationship Id="rId749" Type="http://schemas.openxmlformats.org/officeDocument/2006/relationships/hyperlink" Target="http://113.160.97.58:8224/Viewer/HoaDonViewer.aspx?mhd=ca8e7bc5-fc8c-4b24-be3f-7fa273f94933" TargetMode="External"/><Relationship Id="rId1281" Type="http://schemas.openxmlformats.org/officeDocument/2006/relationships/hyperlink" Target="http://113.160.97.58:8224/Viewer/HoaDonViewer.aspx?mhd=72c3a870-6e34-4e51-9946-5d73c1264d79" TargetMode="External"/><Relationship Id="rId1379" Type="http://schemas.openxmlformats.org/officeDocument/2006/relationships/hyperlink" Target="http://113.160.97.58:8224/Viewer/Downloadfile.aspx?mhd=11eb93c1-e582-4882-8fbc-be04f47d0c8b" TargetMode="External"/><Relationship Id="rId290" Type="http://schemas.openxmlformats.org/officeDocument/2006/relationships/hyperlink" Target="http://113.160.97.58:8224/Viewer/HoaDonViewer.aspx?mhd=b8c9f72b-6507-4aef-acae-e8318ff3c9af&amp;iscd=1" TargetMode="External"/><Relationship Id="rId304" Type="http://schemas.openxmlformats.org/officeDocument/2006/relationships/hyperlink" Target="https://thuphi.haiphong.gov.vn:8222/tra-cuu-bien-lai-dien-tu?ma_tracuu=UBT6KMN7F3" TargetMode="External"/><Relationship Id="rId388" Type="http://schemas.openxmlformats.org/officeDocument/2006/relationships/hyperlink" Target="https://thuphi.haiphong.gov.vn:8222/tra-cuu-bien-lai-dien-tu?ma_tracuu=7BFVTHVNR5" TargetMode="External"/><Relationship Id="rId511" Type="http://schemas.openxmlformats.org/officeDocument/2006/relationships/hyperlink" Target="http://113.160.97.58:8224/Viewer/Downloadfile.aspx?mhd=b17ea05a-0e17-4406-bc00-de85c87bf83a" TargetMode="External"/><Relationship Id="rId609" Type="http://schemas.openxmlformats.org/officeDocument/2006/relationships/hyperlink" Target="http://113.160.97.58:8224/Viewer/HoaDonViewer.aspx?mhd=382662b2-2a78-4e97-91b6-8373923fb173" TargetMode="External"/><Relationship Id="rId956" Type="http://schemas.openxmlformats.org/officeDocument/2006/relationships/hyperlink" Target="https://thuphi.haiphong.gov.vn:8222/tra-cuu-bien-lai-dien-tu?ma_tracuu=Z8YHPU8S3Q" TargetMode="External"/><Relationship Id="rId1141" Type="http://schemas.openxmlformats.org/officeDocument/2006/relationships/hyperlink" Target="http://113.160.97.58:8224/Viewer/HoaDonViewer.aspx?mhd=f90ae435-cc1a-4e66-b952-6d01cbc8f2c6" TargetMode="External"/><Relationship Id="rId1239" Type="http://schemas.openxmlformats.org/officeDocument/2006/relationships/hyperlink" Target="http://113.160.97.58:8224/Viewer/Downloadfile.aspx?mhd=9d803f1b-a51c-4d42-a354-179ab2ffa871" TargetMode="External"/><Relationship Id="rId85" Type="http://schemas.openxmlformats.org/officeDocument/2006/relationships/hyperlink" Target="http://113.160.97.58:8224/Viewer/HoaDonViewer.aspx?mhd=0e5cb23c-502c-4434-83c6-5cd50fed0370" TargetMode="External"/><Relationship Id="rId150" Type="http://schemas.openxmlformats.org/officeDocument/2006/relationships/hyperlink" Target="http://113.160.97.58:8224/Viewer/HoaDonViewer.aspx?mhd=4e79ad26-3fe8-40c9-b73a-eaee4749e229&amp;iscd=1" TargetMode="External"/><Relationship Id="rId595" Type="http://schemas.openxmlformats.org/officeDocument/2006/relationships/hyperlink" Target="http://113.160.97.58:8224/Viewer/Downloadfile.aspx?mhd=54bb1548-0dcc-48b3-92e7-efb679dbdb20" TargetMode="External"/><Relationship Id="rId816" Type="http://schemas.openxmlformats.org/officeDocument/2006/relationships/hyperlink" Target="https://thuphi.haiphong.gov.vn:8222/tra-cuu-bien-lai-dien-tu?ma_tracuu=0VZ45IRB3J" TargetMode="External"/><Relationship Id="rId1001" Type="http://schemas.openxmlformats.org/officeDocument/2006/relationships/hyperlink" Target="http://113.160.97.58:8224/Viewer/HoaDonViewer.aspx?mhd=97e5aff6-7087-411f-9311-daa4ef6edd31" TargetMode="External"/><Relationship Id="rId1446" Type="http://schemas.openxmlformats.org/officeDocument/2006/relationships/hyperlink" Target="http://113.160.97.58:8224/Viewer/HoaDonViewer.aspx?mhd=3133e076-6807-40f1-af1e-7e3fbc6b7920&amp;iscd=1" TargetMode="External"/><Relationship Id="rId248" Type="http://schemas.openxmlformats.org/officeDocument/2006/relationships/hyperlink" Target="https://thuphi.haiphong.gov.vn:8222/tra-cuu-bien-lai-dien-tu?ma_tracuu=9HDPU7GJFY" TargetMode="External"/><Relationship Id="rId455" Type="http://schemas.openxmlformats.org/officeDocument/2006/relationships/hyperlink" Target="http://113.160.97.58:8224/Viewer/Downloadfile.aspx?mhd=238f3468-a15e-4875-b274-aef517386eeb" TargetMode="External"/><Relationship Id="rId662" Type="http://schemas.openxmlformats.org/officeDocument/2006/relationships/hyperlink" Target="http://113.160.97.58:8224/Viewer/HoaDonViewer.aspx?mhd=9ccdaca7-4693-4d67-8047-14f321d54cf5&amp;iscd=1" TargetMode="External"/><Relationship Id="rId1085" Type="http://schemas.openxmlformats.org/officeDocument/2006/relationships/hyperlink" Target="http://113.160.97.58:8224/Viewer/HoaDonViewer.aspx?mhd=28c41497-5c9a-428a-9103-dad084470cfd" TargetMode="External"/><Relationship Id="rId1292" Type="http://schemas.openxmlformats.org/officeDocument/2006/relationships/hyperlink" Target="https://thuphi.haiphong.gov.vn:8222/tra-cuu-bien-lai-dien-tu?ma_tracuu=IZQTUATY5Q" TargetMode="External"/><Relationship Id="rId1306" Type="http://schemas.openxmlformats.org/officeDocument/2006/relationships/hyperlink" Target="http://113.160.97.58:8224/Viewer/HoaDonViewer.aspx?mhd=8d9a5b90-3b32-4d03-b462-8e2814cdb00a&amp;iscd=1" TargetMode="External"/><Relationship Id="rId12" Type="http://schemas.openxmlformats.org/officeDocument/2006/relationships/hyperlink" Target="https://thuphi.haiphong.gov.vn:8222/tra-cuu-bien-lai-dien-tu?ma_tracuu=PZQLH4AU5L" TargetMode="External"/><Relationship Id="rId108" Type="http://schemas.openxmlformats.org/officeDocument/2006/relationships/hyperlink" Target="https://thuphi.haiphong.gov.vn:8222/tra-cuu-bien-lai-dien-tu?ma_tracuu=W05MUVTE5J" TargetMode="External"/><Relationship Id="rId315" Type="http://schemas.openxmlformats.org/officeDocument/2006/relationships/hyperlink" Target="http://113.160.97.58:8224/Viewer/Downloadfile.aspx?mhd=bc5298a8-c4a5-430d-8d84-7a6c0b902af7" TargetMode="External"/><Relationship Id="rId522" Type="http://schemas.openxmlformats.org/officeDocument/2006/relationships/hyperlink" Target="http://113.160.97.58:8224/Viewer/HoaDonViewer.aspx?mhd=2150e320-d11d-452e-b342-50adf667e26d&amp;iscd=1" TargetMode="External"/><Relationship Id="rId967" Type="http://schemas.openxmlformats.org/officeDocument/2006/relationships/hyperlink" Target="http://113.160.97.58:8224/Viewer/Downloadfile.aspx?mhd=97b25498-1464-4b4b-815a-b9414f45b011" TargetMode="External"/><Relationship Id="rId1152" Type="http://schemas.openxmlformats.org/officeDocument/2006/relationships/hyperlink" Target="https://thuphi.haiphong.gov.vn:8222/tra-cuu-bien-lai-dien-tu?ma_tracuu=LWEAURJCS2" TargetMode="External"/><Relationship Id="rId96" Type="http://schemas.openxmlformats.org/officeDocument/2006/relationships/hyperlink" Target="https://thuphi.haiphong.gov.vn:8222/tra-cuu-bien-lai-dien-tu?ma_tracuu=CPJ862BE5J" TargetMode="External"/><Relationship Id="rId161" Type="http://schemas.openxmlformats.org/officeDocument/2006/relationships/hyperlink" Target="http://113.160.97.58:8224/Viewer/HoaDonViewer.aspx?mhd=275d00e5-0077-4e32-bdc1-985929e43b9e" TargetMode="External"/><Relationship Id="rId399" Type="http://schemas.openxmlformats.org/officeDocument/2006/relationships/hyperlink" Target="http://113.160.97.58:8224/Viewer/Downloadfile.aspx?mhd=71249e20-07aa-498e-a327-5e3428749a86" TargetMode="External"/><Relationship Id="rId827" Type="http://schemas.openxmlformats.org/officeDocument/2006/relationships/hyperlink" Target="http://113.160.97.58:8224/Viewer/Downloadfile.aspx?mhd=9aaefd75-eb1c-45a2-8918-0a474fa2a824" TargetMode="External"/><Relationship Id="rId1012" Type="http://schemas.openxmlformats.org/officeDocument/2006/relationships/hyperlink" Target="https://thuphi.haiphong.gov.vn:8222/tra-cuu-bien-lai-dien-tu?ma_tracuu=NB6B03L0XI" TargetMode="External"/><Relationship Id="rId259" Type="http://schemas.openxmlformats.org/officeDocument/2006/relationships/hyperlink" Target="http://113.160.97.58:8224/Viewer/Downloadfile.aspx?mhd=23acd6da-3543-4b3e-9675-dc7c346def81" TargetMode="External"/><Relationship Id="rId466" Type="http://schemas.openxmlformats.org/officeDocument/2006/relationships/hyperlink" Target="http://113.160.97.58:8224/Viewer/HoaDonViewer.aspx?mhd=7b41ed30-29e3-45fe-8b78-ac2e0fb0a307&amp;iscd=1" TargetMode="External"/><Relationship Id="rId673" Type="http://schemas.openxmlformats.org/officeDocument/2006/relationships/hyperlink" Target="http://113.160.97.58:8224/Viewer/HoaDonViewer.aspx?mhd=43456542-72d4-4895-9877-b21dfe613f2d" TargetMode="External"/><Relationship Id="rId880" Type="http://schemas.openxmlformats.org/officeDocument/2006/relationships/hyperlink" Target="https://thuphi.haiphong.gov.vn:8222/tra-cuu-bien-lai-dien-tu?ma_tracuu=M1YC0LCD3T" TargetMode="External"/><Relationship Id="rId1096" Type="http://schemas.openxmlformats.org/officeDocument/2006/relationships/hyperlink" Target="https://thuphi.haiphong.gov.vn:8222/tra-cuu-bien-lai-dien-tu?ma_tracuu=N0023M1AXI" TargetMode="External"/><Relationship Id="rId1317" Type="http://schemas.openxmlformats.org/officeDocument/2006/relationships/hyperlink" Target="http://113.160.97.58:8224/Viewer/HoaDonViewer.aspx?mhd=958fd5b5-9901-44ec-b661-eb9af1ce7347" TargetMode="External"/><Relationship Id="rId23" Type="http://schemas.openxmlformats.org/officeDocument/2006/relationships/hyperlink" Target="http://113.160.97.58:8224/Viewer/Downloadfile.aspx?mhd=7ca53f91-1d01-4d4d-b3ed-bca483428193" TargetMode="External"/><Relationship Id="rId119" Type="http://schemas.openxmlformats.org/officeDocument/2006/relationships/hyperlink" Target="http://113.160.97.58:8224/Viewer/Downloadfile.aspx?mhd=a1ac71e4-5b53-4300-8bf0-d3a930508528" TargetMode="External"/><Relationship Id="rId326" Type="http://schemas.openxmlformats.org/officeDocument/2006/relationships/hyperlink" Target="http://113.160.97.58:8224/Viewer/HoaDonViewer.aspx?mhd=adc99489-9ef9-4e64-8b6e-ce6f01ef5b62&amp;iscd=1" TargetMode="External"/><Relationship Id="rId533" Type="http://schemas.openxmlformats.org/officeDocument/2006/relationships/hyperlink" Target="http://113.160.97.58:8224/Viewer/HoaDonViewer.aspx?mhd=1022ee17-a56e-4d6e-8173-0978667f3531" TargetMode="External"/><Relationship Id="rId978" Type="http://schemas.openxmlformats.org/officeDocument/2006/relationships/hyperlink" Target="http://113.160.97.58:8224/Viewer/HoaDonViewer.aspx?mhd=29fe7810-c3ff-45f1-9ccb-17f5479eb54b&amp;iscd=1" TargetMode="External"/><Relationship Id="rId1163" Type="http://schemas.openxmlformats.org/officeDocument/2006/relationships/hyperlink" Target="http://113.160.97.58:8224/Viewer/Downloadfile.aspx?mhd=7ede1ab3-435e-4a4a-9c3e-f9fbb4ce6198" TargetMode="External"/><Relationship Id="rId1370" Type="http://schemas.openxmlformats.org/officeDocument/2006/relationships/hyperlink" Target="http://113.160.97.58:8224/Viewer/HoaDonViewer.aspx?mhd=d648d315-e9a6-4f91-a461-97c8749a9040&amp;iscd=1" TargetMode="External"/><Relationship Id="rId740" Type="http://schemas.openxmlformats.org/officeDocument/2006/relationships/hyperlink" Target="https://thuphi.haiphong.gov.vn:8222/tra-cuu-bien-lai-dien-tu?ma_tracuu=LK3D7P7CEK" TargetMode="External"/><Relationship Id="rId838" Type="http://schemas.openxmlformats.org/officeDocument/2006/relationships/hyperlink" Target="http://113.160.97.58:8224/Viewer/HoaDonViewer.aspx?mhd=f2e11679-39d9-440e-8b1d-e045745f553b&amp;iscd=1" TargetMode="External"/><Relationship Id="rId1023" Type="http://schemas.openxmlformats.org/officeDocument/2006/relationships/hyperlink" Target="http://113.160.97.58:8224/Viewer/Downloadfile.aspx?mhd=e92dc50c-2fd8-4890-899c-30fb5fbc2ede" TargetMode="External"/><Relationship Id="rId172" Type="http://schemas.openxmlformats.org/officeDocument/2006/relationships/hyperlink" Target="https://thuphi.haiphong.gov.vn:8222/tra-cuu-bien-lai-dien-tu?ma_tracuu=DX633W36VP" TargetMode="External"/><Relationship Id="rId477" Type="http://schemas.openxmlformats.org/officeDocument/2006/relationships/hyperlink" Target="http://113.160.97.58:8224/Viewer/HoaDonViewer.aspx?mhd=6eb91a14-6abf-4e54-8df8-04f3d3f50c9f" TargetMode="External"/><Relationship Id="rId600" Type="http://schemas.openxmlformats.org/officeDocument/2006/relationships/hyperlink" Target="https://thuphi.haiphong.gov.vn:8222/tra-cuu-bien-lai-dien-tu?ma_tracuu=1MILHV80D3" TargetMode="External"/><Relationship Id="rId684" Type="http://schemas.openxmlformats.org/officeDocument/2006/relationships/hyperlink" Target="https://thuphi.haiphong.gov.vn:8222/tra-cuu-bien-lai-dien-tu?ma_tracuu=A846JH9UEY" TargetMode="External"/><Relationship Id="rId1230" Type="http://schemas.openxmlformats.org/officeDocument/2006/relationships/hyperlink" Target="http://113.160.97.58:8224/Viewer/HoaDonViewer.aspx?mhd=5006e17d-1a34-4838-966e-ff1b30949cf7&amp;iscd=1" TargetMode="External"/><Relationship Id="rId1328" Type="http://schemas.openxmlformats.org/officeDocument/2006/relationships/hyperlink" Target="https://thuphi.haiphong.gov.vn:8222/tra-cuu-bien-lai-dien-tu?ma_tracuu=0WNDJSNTT1" TargetMode="External"/><Relationship Id="rId337" Type="http://schemas.openxmlformats.org/officeDocument/2006/relationships/hyperlink" Target="http://113.160.97.58:8224/Viewer/HoaDonViewer.aspx?mhd=b9ea1ef5-69ac-4605-8c71-5d4c0c503358" TargetMode="External"/><Relationship Id="rId891" Type="http://schemas.openxmlformats.org/officeDocument/2006/relationships/hyperlink" Target="http://113.160.97.58:8224/Viewer/Downloadfile.aspx?mhd=2799dca8-ecc2-43f5-97c9-68ec09941a86" TargetMode="External"/><Relationship Id="rId905" Type="http://schemas.openxmlformats.org/officeDocument/2006/relationships/hyperlink" Target="http://113.160.97.58:8224/Viewer/HoaDonViewer.aspx?mhd=1fd467f4-4816-4244-956c-3b5a452198ea" TargetMode="External"/><Relationship Id="rId989" Type="http://schemas.openxmlformats.org/officeDocument/2006/relationships/hyperlink" Target="http://113.160.97.58:8224/Viewer/HoaDonViewer.aspx?mhd=bbd91efd-5bbe-4cdc-8362-7c4b80a20a6d" TargetMode="External"/><Relationship Id="rId34" Type="http://schemas.openxmlformats.org/officeDocument/2006/relationships/hyperlink" Target="http://113.160.97.58:8224/Viewer/HoaDonViewer.aspx?mhd=160d5b4c-4c77-4206-910f-699b6df177c1&amp;iscd=1" TargetMode="External"/><Relationship Id="rId544" Type="http://schemas.openxmlformats.org/officeDocument/2006/relationships/hyperlink" Target="https://thuphi.haiphong.gov.vn:8222/tra-cuu-bien-lai-dien-tu?ma_tracuu=7IWP6SGHCM" TargetMode="External"/><Relationship Id="rId751" Type="http://schemas.openxmlformats.org/officeDocument/2006/relationships/hyperlink" Target="http://113.160.97.58:8224/Viewer/Downloadfile.aspx?mhd=ca8e7bc5-fc8c-4b24-be3f-7fa273f94933" TargetMode="External"/><Relationship Id="rId849" Type="http://schemas.openxmlformats.org/officeDocument/2006/relationships/hyperlink" Target="http://113.160.97.58:8224/Viewer/HoaDonViewer.aspx?mhd=0f2f3f37-2025-496b-b01b-8561a077e3b7" TargetMode="External"/><Relationship Id="rId1174" Type="http://schemas.openxmlformats.org/officeDocument/2006/relationships/hyperlink" Target="http://113.160.97.58:8224/Viewer/HoaDonViewer.aspx?mhd=42bbe721-18f9-45e8-a710-dcce92d1bf83&amp;iscd=1" TargetMode="External"/><Relationship Id="rId1381" Type="http://schemas.openxmlformats.org/officeDocument/2006/relationships/hyperlink" Target="http://113.160.97.58:8224/Viewer/HoaDonViewer.aspx?mhd=792710bd-dae7-4a78-9e4c-7295eac46ed6" TargetMode="External"/><Relationship Id="rId183" Type="http://schemas.openxmlformats.org/officeDocument/2006/relationships/hyperlink" Target="http://113.160.97.58:8224/Viewer/Downloadfile.aspx?mhd=5fa641a8-21c6-45dc-8efe-7bfbeec5b3b2" TargetMode="External"/><Relationship Id="rId390" Type="http://schemas.openxmlformats.org/officeDocument/2006/relationships/hyperlink" Target="http://113.160.97.58:8224/Viewer/HoaDonViewer.aspx?mhd=29c9f2ff-e18e-4f52-b26b-82034cc61eb5&amp;iscd=1" TargetMode="External"/><Relationship Id="rId404" Type="http://schemas.openxmlformats.org/officeDocument/2006/relationships/hyperlink" Target="https://thuphi.haiphong.gov.vn:8222/tra-cuu-bien-lai-dien-tu?ma_tracuu=SXXKCBC6R3" TargetMode="External"/><Relationship Id="rId611" Type="http://schemas.openxmlformats.org/officeDocument/2006/relationships/hyperlink" Target="http://113.160.97.58:8224/Viewer/Downloadfile.aspx?mhd=382662b2-2a78-4e97-91b6-8373923fb173" TargetMode="External"/><Relationship Id="rId1034" Type="http://schemas.openxmlformats.org/officeDocument/2006/relationships/hyperlink" Target="http://113.160.97.58:8224/Viewer/HoaDonViewer.aspx?mhd=07a2cac0-0be3-48ea-b281-6769ea7e361d&amp;iscd=1" TargetMode="External"/><Relationship Id="rId1241" Type="http://schemas.openxmlformats.org/officeDocument/2006/relationships/hyperlink" Target="http://113.160.97.58:8224/Viewer/HoaDonViewer.aspx?mhd=abfe3efe-b6cd-491c-ae39-977fddf52186" TargetMode="External"/><Relationship Id="rId1339" Type="http://schemas.openxmlformats.org/officeDocument/2006/relationships/hyperlink" Target="http://113.160.97.58:8224/Viewer/Downloadfile.aspx?mhd=710de391-2427-4f2d-aa23-3a41f7085c75" TargetMode="External"/><Relationship Id="rId250" Type="http://schemas.openxmlformats.org/officeDocument/2006/relationships/hyperlink" Target="http://113.160.97.58:8224/Viewer/HoaDonViewer.aspx?mhd=a9ede311-e57d-4d19-b295-2accecf02cad&amp;iscd=1" TargetMode="External"/><Relationship Id="rId488" Type="http://schemas.openxmlformats.org/officeDocument/2006/relationships/hyperlink" Target="https://thuphi.haiphong.gov.vn:8222/tra-cuu-bien-lai-dien-tu?ma_tracuu=FY5YNVD54F" TargetMode="External"/><Relationship Id="rId695" Type="http://schemas.openxmlformats.org/officeDocument/2006/relationships/hyperlink" Target="http://113.160.97.58:8224/Viewer/Downloadfile.aspx?mhd=75ab17ac-4b94-4fc1-94b1-79c0ec054d09" TargetMode="External"/><Relationship Id="rId709" Type="http://schemas.openxmlformats.org/officeDocument/2006/relationships/hyperlink" Target="http://113.160.97.58:8224/Viewer/HoaDonViewer.aspx?mhd=33261373-592e-4bca-86a4-5c3417bd8895" TargetMode="External"/><Relationship Id="rId916" Type="http://schemas.openxmlformats.org/officeDocument/2006/relationships/hyperlink" Target="https://thuphi.haiphong.gov.vn:8222/tra-cuu-bien-lai-dien-tu?ma_tracuu=480SS73D3B" TargetMode="External"/><Relationship Id="rId1101" Type="http://schemas.openxmlformats.org/officeDocument/2006/relationships/hyperlink" Target="http://113.160.97.58:8224/Viewer/HoaDonViewer.aspx?mhd=ae9f5f30-4700-49b7-9cb2-801bacff8028" TargetMode="External"/><Relationship Id="rId45" Type="http://schemas.openxmlformats.org/officeDocument/2006/relationships/hyperlink" Target="http://113.160.97.58:8224/Viewer/HoaDonViewer.aspx?mhd=72c3a870-6e34-4e51-9946-5d73c1264d79" TargetMode="External"/><Relationship Id="rId110" Type="http://schemas.openxmlformats.org/officeDocument/2006/relationships/hyperlink" Target="http://113.160.97.58:8224/Viewer/HoaDonViewer.aspx?mhd=4bda66c6-0649-4220-a620-0e5a18c36940&amp;iscd=1" TargetMode="External"/><Relationship Id="rId348" Type="http://schemas.openxmlformats.org/officeDocument/2006/relationships/hyperlink" Target="https://thuphi.haiphong.gov.vn:8222/tra-cuu-bien-lai-dien-tu?ma_tracuu=T4N3XV6DFJ" TargetMode="External"/><Relationship Id="rId555" Type="http://schemas.openxmlformats.org/officeDocument/2006/relationships/hyperlink" Target="http://113.160.97.58:8224/Viewer/Downloadfile.aspx?mhd=5ef07cf0-0918-4ba6-8132-026619c7b443" TargetMode="External"/><Relationship Id="rId762" Type="http://schemas.openxmlformats.org/officeDocument/2006/relationships/hyperlink" Target="http://113.160.97.58:8224/Viewer/HoaDonViewer.aspx?mhd=0cf38bfb-b05e-44c0-a5fa-7aa48ee29e08&amp;iscd=1" TargetMode="External"/><Relationship Id="rId1185" Type="http://schemas.openxmlformats.org/officeDocument/2006/relationships/hyperlink" Target="http://113.160.97.58:8224/Viewer/HoaDonViewer.aspx?mhd=792710bd-dae7-4a78-9e4c-7295eac46ed6" TargetMode="External"/><Relationship Id="rId1392" Type="http://schemas.openxmlformats.org/officeDocument/2006/relationships/hyperlink" Target="https://thuphi.haiphong.gov.vn:8222/tra-cuu-bien-lai-dien-tu?ma_tracuu=C1XSLFZ2T4" TargetMode="External"/><Relationship Id="rId1406" Type="http://schemas.openxmlformats.org/officeDocument/2006/relationships/hyperlink" Target="http://113.160.97.58:8224/Viewer/HoaDonViewer.aspx?mhd=038e0687-d504-4637-af66-60eea510cb48&amp;iscd=1" TargetMode="External"/><Relationship Id="rId194" Type="http://schemas.openxmlformats.org/officeDocument/2006/relationships/hyperlink" Target="http://113.160.97.58:8224/Viewer/HoaDonViewer.aspx?mhd=a7424874-ff94-4eef-ad82-3b1a3a667366&amp;iscd=1" TargetMode="External"/><Relationship Id="rId208" Type="http://schemas.openxmlformats.org/officeDocument/2006/relationships/hyperlink" Target="https://thuphi.haiphong.gov.vn:8222/tra-cuu-bien-lai-dien-tu?ma_tracuu=0SP97TV8FU" TargetMode="External"/><Relationship Id="rId415" Type="http://schemas.openxmlformats.org/officeDocument/2006/relationships/hyperlink" Target="http://113.160.97.58:8224/Viewer/Downloadfile.aspx?mhd=e6415ad5-efca-414f-a6d1-f9c5ddaec05e" TargetMode="External"/><Relationship Id="rId622" Type="http://schemas.openxmlformats.org/officeDocument/2006/relationships/hyperlink" Target="http://113.160.97.58:8224/Viewer/HoaDonViewer.aspx?mhd=06985f6f-f9ee-4dd7-a21f-091ab0f061a8&amp;iscd=1" TargetMode="External"/><Relationship Id="rId1045" Type="http://schemas.openxmlformats.org/officeDocument/2006/relationships/hyperlink" Target="http://113.160.97.58:8224/Viewer/HoaDonViewer.aspx?mhd=25c998f9-396f-4741-b395-9f7021809a6a" TargetMode="External"/><Relationship Id="rId1252" Type="http://schemas.openxmlformats.org/officeDocument/2006/relationships/hyperlink" Target="https://thuphi.haiphong.gov.vn:8222/tra-cuu-bien-lai-dien-tu?ma_tracuu=MN8HXCQU5J" TargetMode="External"/><Relationship Id="rId261" Type="http://schemas.openxmlformats.org/officeDocument/2006/relationships/hyperlink" Target="http://113.160.97.58:8224/Viewer/HoaDonViewer.aspx?mhd=79052034-1b24-4db3-9e4d-2a066070d390" TargetMode="External"/><Relationship Id="rId499" Type="http://schemas.openxmlformats.org/officeDocument/2006/relationships/hyperlink" Target="http://113.160.97.58:8224/Viewer/Downloadfile.aspx?mhd=2b01ab13-a221-42ff-afef-3b56053736a8" TargetMode="External"/><Relationship Id="rId927" Type="http://schemas.openxmlformats.org/officeDocument/2006/relationships/hyperlink" Target="http://113.160.97.58:8224/Viewer/Downloadfile.aspx?mhd=a767b660-46f1-4073-a564-055d3f46b452" TargetMode="External"/><Relationship Id="rId1112" Type="http://schemas.openxmlformats.org/officeDocument/2006/relationships/hyperlink" Target="https://thuphi.haiphong.gov.vn:8222/tra-cuu-bien-lai-dien-tu?ma_tracuu=0NBPWA5ISM" TargetMode="External"/><Relationship Id="rId56" Type="http://schemas.openxmlformats.org/officeDocument/2006/relationships/hyperlink" Target="https://thuphi.haiphong.gov.vn:8222/tra-cuu-bien-lai-dien-tu?ma_tracuu=IZQTUATY5Q" TargetMode="External"/><Relationship Id="rId359" Type="http://schemas.openxmlformats.org/officeDocument/2006/relationships/hyperlink" Target="http://113.160.97.58:8224/Viewer/Downloadfile.aspx?mhd=d570d55c-b25b-42e6-8774-bef02dc47c8f" TargetMode="External"/><Relationship Id="rId566" Type="http://schemas.openxmlformats.org/officeDocument/2006/relationships/hyperlink" Target="http://113.160.97.58:8224/Viewer/HoaDonViewer.aspx?mhd=727fae9f-68a0-40cb-87b5-8dccb25739c7&amp;iscd=1" TargetMode="External"/><Relationship Id="rId773" Type="http://schemas.openxmlformats.org/officeDocument/2006/relationships/hyperlink" Target="http://113.160.97.58:8224/Viewer/HoaDonViewer.aspx?mhd=896a6499-63a4-49f7-aa8d-c24e5e38c49f" TargetMode="External"/><Relationship Id="rId1196" Type="http://schemas.openxmlformats.org/officeDocument/2006/relationships/hyperlink" Target="https://thuphi.haiphong.gov.vn:8222/tra-cuu-bien-lai-dien-tu?ma_tracuu=C1XSLFZ2T4" TargetMode="External"/><Relationship Id="rId1417" Type="http://schemas.openxmlformats.org/officeDocument/2006/relationships/hyperlink" Target="http://113.160.97.58:8224/Viewer/HoaDonViewer.aspx?mhd=49431209-154d-4c06-8408-8359b91760a2" TargetMode="External"/><Relationship Id="rId121" Type="http://schemas.openxmlformats.org/officeDocument/2006/relationships/hyperlink" Target="http://113.160.97.58:8224/Viewer/HoaDonViewer.aspx?mhd=f4b1c50d-3f16-4529-a3ad-b08dad0827a6" TargetMode="External"/><Relationship Id="rId219" Type="http://schemas.openxmlformats.org/officeDocument/2006/relationships/hyperlink" Target="http://113.160.97.58:8224/Viewer/Downloadfile.aspx?mhd=2e368ab7-6f77-4fe1-b8ea-9cf059ec2ced" TargetMode="External"/><Relationship Id="rId426" Type="http://schemas.openxmlformats.org/officeDocument/2006/relationships/hyperlink" Target="http://113.160.97.58:8224/Viewer/HoaDonViewer.aspx?mhd=b00277a5-a792-4156-98b9-885978b84a1e&amp;iscd=1" TargetMode="External"/><Relationship Id="rId633" Type="http://schemas.openxmlformats.org/officeDocument/2006/relationships/hyperlink" Target="http://113.160.97.58:8224/Viewer/HoaDonViewer.aspx?mhd=2f3ba930-eb97-4158-ba0c-d46a545cb69a" TargetMode="External"/><Relationship Id="rId980" Type="http://schemas.openxmlformats.org/officeDocument/2006/relationships/hyperlink" Target="https://thuphi.haiphong.gov.vn:8222/tra-cuu-bien-lai-dien-tu?ma_tracuu=5IWV4QGW3F" TargetMode="External"/><Relationship Id="rId1056" Type="http://schemas.openxmlformats.org/officeDocument/2006/relationships/hyperlink" Target="https://thuphi.haiphong.gov.vn:8222/tra-cuu-bien-lai-dien-tu?ma_tracuu=8IAZ0U9RXM" TargetMode="External"/><Relationship Id="rId1263" Type="http://schemas.openxmlformats.org/officeDocument/2006/relationships/hyperlink" Target="http://113.160.97.58:8224/Viewer/Downloadfile.aspx?mhd=847aa2fa-8ba0-4e05-84a5-9cf00536f9a6" TargetMode="External"/><Relationship Id="rId840" Type="http://schemas.openxmlformats.org/officeDocument/2006/relationships/hyperlink" Target="https://thuphi.haiphong.gov.vn:8222/tra-cuu-bien-lai-dien-tu?ma_tracuu=B8VBCQ5D39" TargetMode="External"/><Relationship Id="rId938" Type="http://schemas.openxmlformats.org/officeDocument/2006/relationships/hyperlink" Target="http://113.160.97.58:8224/Viewer/HoaDonViewer.aspx?mhd=2881ab14-c2da-48d7-b594-cb60fd778f0c&amp;iscd=1" TargetMode="External"/><Relationship Id="rId67" Type="http://schemas.openxmlformats.org/officeDocument/2006/relationships/hyperlink" Target="http://113.160.97.58:8224/Viewer/Downloadfile.aspx?mhd=56329dea-1017-4b1a-9a28-b7466edadd0e" TargetMode="External"/><Relationship Id="rId272" Type="http://schemas.openxmlformats.org/officeDocument/2006/relationships/hyperlink" Target="https://thuphi.haiphong.gov.vn:8222/tra-cuu-bien-lai-dien-tu?ma_tracuu=P35N9F1JF1" TargetMode="External"/><Relationship Id="rId577" Type="http://schemas.openxmlformats.org/officeDocument/2006/relationships/hyperlink" Target="http://113.160.97.58:8224/Viewer/HoaDonViewer.aspx?mhd=56fc423d-d627-442c-9c43-9a1c097aeddf" TargetMode="External"/><Relationship Id="rId700" Type="http://schemas.openxmlformats.org/officeDocument/2006/relationships/hyperlink" Target="https://thuphi.haiphong.gov.vn:8222/tra-cuu-bien-lai-dien-tu?ma_tracuu=I2KRRRP7E2" TargetMode="External"/><Relationship Id="rId1123" Type="http://schemas.openxmlformats.org/officeDocument/2006/relationships/hyperlink" Target="http://113.160.97.58:8224/Viewer/Downloadfile.aspx?mhd=c4ec0e23-674b-4431-b7ea-b441347ed723" TargetMode="External"/><Relationship Id="rId1330" Type="http://schemas.openxmlformats.org/officeDocument/2006/relationships/hyperlink" Target="http://113.160.97.58:8224/Viewer/HoaDonViewer.aspx?mhd=2251effa-5f9a-4c96-8601-3a01abb124a8&amp;iscd=1" TargetMode="External"/><Relationship Id="rId1428" Type="http://schemas.openxmlformats.org/officeDocument/2006/relationships/hyperlink" Target="https://thuphi.haiphong.gov.vn:8222/tra-cuu-bien-lai-dien-tu?ma_tracuu=8BDYWDYP52" TargetMode="External"/><Relationship Id="rId132" Type="http://schemas.openxmlformats.org/officeDocument/2006/relationships/hyperlink" Target="https://thuphi.haiphong.gov.vn:8222/tra-cuu-bien-lai-dien-tu?ma_tracuu=N5PX79SE5Z" TargetMode="External"/><Relationship Id="rId784" Type="http://schemas.openxmlformats.org/officeDocument/2006/relationships/hyperlink" Target="https://thuphi.haiphong.gov.vn:8222/tra-cuu-bien-lai-dien-tu?ma_tracuu=MRBFN6MH36" TargetMode="External"/><Relationship Id="rId991" Type="http://schemas.openxmlformats.org/officeDocument/2006/relationships/hyperlink" Target="http://113.160.97.58:8224/Viewer/Downloadfile.aspx?mhd=bbd91efd-5bbe-4cdc-8362-7c4b80a20a6d" TargetMode="External"/><Relationship Id="rId1067" Type="http://schemas.openxmlformats.org/officeDocument/2006/relationships/hyperlink" Target="http://113.160.97.58:8224/Viewer/Downloadfile.aspx?mhd=dac33801-3338-4c31-9255-a10f02cc07a1" TargetMode="External"/><Relationship Id="rId437" Type="http://schemas.openxmlformats.org/officeDocument/2006/relationships/hyperlink" Target="http://113.160.97.58:8224/Viewer/HoaDonViewer.aspx?mhd=7d6018bc-a84c-4ad6-abd0-7ca8594379b0" TargetMode="External"/><Relationship Id="rId644" Type="http://schemas.openxmlformats.org/officeDocument/2006/relationships/hyperlink" Target="https://thuphi.haiphong.gov.vn:8222/tra-cuu-bien-lai-dien-tu?ma_tracuu=SHMZ1M42DB" TargetMode="External"/><Relationship Id="rId851" Type="http://schemas.openxmlformats.org/officeDocument/2006/relationships/hyperlink" Target="http://113.160.97.58:8224/Viewer/Downloadfile.aspx?mhd=0f2f3f37-2025-496b-b01b-8561a077e3b7" TargetMode="External"/><Relationship Id="rId1274" Type="http://schemas.openxmlformats.org/officeDocument/2006/relationships/hyperlink" Target="http://113.160.97.58:8224/Viewer/HoaDonViewer.aspx?mhd=a76b921d-da9a-49d9-a19c-c8aa6cd55153&amp;iscd=1" TargetMode="External"/><Relationship Id="rId283" Type="http://schemas.openxmlformats.org/officeDocument/2006/relationships/hyperlink" Target="http://113.160.97.58:8224/Viewer/Downloadfile.aspx?mhd=beaeccbc-9a3f-4d13-8700-171228ddc7b7" TargetMode="External"/><Relationship Id="rId490" Type="http://schemas.openxmlformats.org/officeDocument/2006/relationships/hyperlink" Target="http://113.160.97.58:8224/Viewer/HoaDonViewer.aspx?mhd=82070aaa-9fdf-4622-8f9c-5d16138c92c3&amp;iscd=1" TargetMode="External"/><Relationship Id="rId504" Type="http://schemas.openxmlformats.org/officeDocument/2006/relationships/hyperlink" Target="https://thuphi.haiphong.gov.vn:8222/tra-cuu-bien-lai-dien-tu?ma_tracuu=9J2117PA4Y" TargetMode="External"/><Relationship Id="rId711" Type="http://schemas.openxmlformats.org/officeDocument/2006/relationships/hyperlink" Target="http://113.160.97.58:8224/Viewer/Downloadfile.aspx?mhd=33261373-592e-4bca-86a4-5c3417bd8895" TargetMode="External"/><Relationship Id="rId949" Type="http://schemas.openxmlformats.org/officeDocument/2006/relationships/hyperlink" Target="http://113.160.97.58:8224/Viewer/HoaDonViewer.aspx?mhd=559e5366-40af-4ea9-b014-5640d3c3af16" TargetMode="External"/><Relationship Id="rId1134" Type="http://schemas.openxmlformats.org/officeDocument/2006/relationships/hyperlink" Target="http://113.160.97.58:8224/Viewer/HoaDonViewer.aspx?mhd=da8a88b5-bf93-4e1c-a7a7-eee28e3c5fdf&amp;iscd=1" TargetMode="External"/><Relationship Id="rId1341" Type="http://schemas.openxmlformats.org/officeDocument/2006/relationships/hyperlink" Target="http://113.160.97.58:8224/Viewer/HoaDonViewer.aspx?mhd=9b5c8690-2e4a-429c-a7fc-dfca5dbac178" TargetMode="External"/><Relationship Id="rId78" Type="http://schemas.openxmlformats.org/officeDocument/2006/relationships/hyperlink" Target="http://113.160.97.58:8224/Viewer/HoaDonViewer.aspx?mhd=a60c5af1-388d-49e2-a18b-1b7387d7d7e9&amp;iscd=1" TargetMode="External"/><Relationship Id="rId143" Type="http://schemas.openxmlformats.org/officeDocument/2006/relationships/hyperlink" Target="http://113.160.97.58:8224/Viewer/Downloadfile.aspx?mhd=c5709791-985c-4ed5-a2af-9dec56e3199a" TargetMode="External"/><Relationship Id="rId350" Type="http://schemas.openxmlformats.org/officeDocument/2006/relationships/hyperlink" Target="http://113.160.97.58:8224/Viewer/HoaDonViewer.aspx?mhd=e4bb34cc-410c-49f9-b4f3-b0fc9792be9d&amp;iscd=1" TargetMode="External"/><Relationship Id="rId588" Type="http://schemas.openxmlformats.org/officeDocument/2006/relationships/hyperlink" Target="https://thuphi.haiphong.gov.vn:8222/tra-cuu-bien-lai-dien-tu?ma_tracuu=80TI1I3EC9" TargetMode="External"/><Relationship Id="rId795" Type="http://schemas.openxmlformats.org/officeDocument/2006/relationships/hyperlink" Target="http://113.160.97.58:8224/Viewer/Downloadfile.aspx?mhd=871d221f-9b1f-41eb-819d-86e338d4fa22" TargetMode="External"/><Relationship Id="rId809" Type="http://schemas.openxmlformats.org/officeDocument/2006/relationships/hyperlink" Target="http://113.160.97.58:8224/Viewer/HoaDonViewer.aspx?mhd=c74b1407-3292-4931-846f-60a7e599bf12" TargetMode="External"/><Relationship Id="rId1201" Type="http://schemas.openxmlformats.org/officeDocument/2006/relationships/hyperlink" Target="http://113.160.97.58:8224/Viewer/HoaDonViewer.aspx?mhd=052a403d-bcbd-4cdf-b724-b1264c9dcbfb" TargetMode="External"/><Relationship Id="rId1439" Type="http://schemas.openxmlformats.org/officeDocument/2006/relationships/hyperlink" Target="http://113.160.97.58:8224/Viewer/Downloadfile.aspx?mhd=5e3066e8-15e5-49ee-a613-07ac4d35ca2a" TargetMode="External"/><Relationship Id="rId9" Type="http://schemas.openxmlformats.org/officeDocument/2006/relationships/hyperlink" Target="http://113.160.97.58:8224/Viewer/HoaDonViewer.aspx?mhd=7b3c0fec-48b9-4cdc-85d1-60c3844bee45" TargetMode="External"/><Relationship Id="rId210" Type="http://schemas.openxmlformats.org/officeDocument/2006/relationships/hyperlink" Target="http://113.160.97.58:8224/Viewer/HoaDonViewer.aspx?mhd=505733db-af82-4691-9486-b17659f1b8f1&amp;iscd=1" TargetMode="External"/><Relationship Id="rId448" Type="http://schemas.openxmlformats.org/officeDocument/2006/relationships/hyperlink" Target="https://thuphi.haiphong.gov.vn:8222/tra-cuu-bien-lai-dien-tu?ma_tracuu=M7SZ5AXG44" TargetMode="External"/><Relationship Id="rId655" Type="http://schemas.openxmlformats.org/officeDocument/2006/relationships/hyperlink" Target="http://113.160.97.58:8224/Viewer/Downloadfile.aspx?mhd=38cc28f9-83bd-405c-b7df-186ae363d744" TargetMode="External"/><Relationship Id="rId862" Type="http://schemas.openxmlformats.org/officeDocument/2006/relationships/hyperlink" Target="http://113.160.97.58:8224/Viewer/HoaDonViewer.aspx?mhd=de82cdff-bfd5-4e28-a1a1-aa2195d4657a&amp;iscd=1" TargetMode="External"/><Relationship Id="rId1078" Type="http://schemas.openxmlformats.org/officeDocument/2006/relationships/hyperlink" Target="http://113.160.97.58:8224/Viewer/HoaDonViewer.aspx?mhd=3b9945a1-b229-4f0b-af66-f0448b4d18e8&amp;iscd=1" TargetMode="External"/><Relationship Id="rId1285" Type="http://schemas.openxmlformats.org/officeDocument/2006/relationships/hyperlink" Target="http://113.160.97.58:8224/Viewer/HoaDonViewer.aspx?mhd=adf63ed6-a4ae-4922-ae87-a385bc176345" TargetMode="External"/><Relationship Id="rId294" Type="http://schemas.openxmlformats.org/officeDocument/2006/relationships/hyperlink" Target="http://113.160.97.58:8224/Viewer/HoaDonViewer.aspx?mhd=27b84260-40be-46ad-ac64-15b80a951379&amp;iscd=1" TargetMode="External"/><Relationship Id="rId308" Type="http://schemas.openxmlformats.org/officeDocument/2006/relationships/hyperlink" Target="https://thuphi.haiphong.gov.vn:8222/tra-cuu-bien-lai-dien-tu?ma_tracuu=9N2SXRH7FY" TargetMode="External"/><Relationship Id="rId515" Type="http://schemas.openxmlformats.org/officeDocument/2006/relationships/hyperlink" Target="http://113.160.97.58:8224/Viewer/Downloadfile.aspx?mhd=6c17e79d-c40a-4cf8-9d12-e23e4091bb7c" TargetMode="External"/><Relationship Id="rId722" Type="http://schemas.openxmlformats.org/officeDocument/2006/relationships/hyperlink" Target="http://113.160.97.58:8224/Viewer/HoaDonViewer.aspx?mhd=2ede85cf-6c7e-4847-a76b-0b97e962a717&amp;iscd=1" TargetMode="External"/><Relationship Id="rId1145" Type="http://schemas.openxmlformats.org/officeDocument/2006/relationships/hyperlink" Target="http://113.160.97.58:8224/Viewer/HoaDonViewer.aspx?mhd=d585c663-48b9-4512-a586-f7df0ecc9974" TargetMode="External"/><Relationship Id="rId1352" Type="http://schemas.openxmlformats.org/officeDocument/2006/relationships/hyperlink" Target="https://thuphi.haiphong.gov.vn:8222/tra-cuu-bien-lai-dien-tu?ma_tracuu=PBM8NMJFTW" TargetMode="External"/><Relationship Id="rId89" Type="http://schemas.openxmlformats.org/officeDocument/2006/relationships/hyperlink" Target="http://113.160.97.58:8224/Viewer/HoaDonViewer.aspx?mhd=0fcc6745-4aa2-417a-b40f-f6b78812b749" TargetMode="External"/><Relationship Id="rId154" Type="http://schemas.openxmlformats.org/officeDocument/2006/relationships/hyperlink" Target="http://113.160.97.58:8224/Viewer/HoaDonViewer.aspx?mhd=d46a5e68-f003-49d6-97d8-5daa3789b3b8&amp;iscd=1" TargetMode="External"/><Relationship Id="rId361" Type="http://schemas.openxmlformats.org/officeDocument/2006/relationships/hyperlink" Target="http://113.160.97.58:8224/Viewer/HoaDonViewer.aspx?mhd=2200aaba-8199-4a3c-aabe-f3bc8d936841" TargetMode="External"/><Relationship Id="rId599" Type="http://schemas.openxmlformats.org/officeDocument/2006/relationships/hyperlink" Target="http://113.160.97.58:8224/Viewer/Downloadfile.aspx?mhd=1eefcfca-100c-46b3-87eb-d50834c2cd05" TargetMode="External"/><Relationship Id="rId1005" Type="http://schemas.openxmlformats.org/officeDocument/2006/relationships/hyperlink" Target="http://113.160.97.58:8224/Viewer/HoaDonViewer.aspx?mhd=6bd140e6-4492-4b09-8e64-47b4ec05ad2b" TargetMode="External"/><Relationship Id="rId1212" Type="http://schemas.openxmlformats.org/officeDocument/2006/relationships/hyperlink" Target="https://thuphi.haiphong.gov.vn:8222/tra-cuu-bien-lai-dien-tu?ma_tracuu=4D4YIQA2T2" TargetMode="External"/><Relationship Id="rId459" Type="http://schemas.openxmlformats.org/officeDocument/2006/relationships/hyperlink" Target="http://113.160.97.58:8224/Viewer/Downloadfile.aspx?mhd=462fb770-96c3-4159-902d-32abdd876b5e" TargetMode="External"/><Relationship Id="rId666" Type="http://schemas.openxmlformats.org/officeDocument/2006/relationships/hyperlink" Target="http://113.160.97.58:8224/Viewer/HoaDonViewer.aspx?mhd=54c19889-1495-48b2-b990-3ea4ca96e0cb&amp;iscd=1" TargetMode="External"/><Relationship Id="rId873" Type="http://schemas.openxmlformats.org/officeDocument/2006/relationships/hyperlink" Target="http://113.160.97.58:8224/Viewer/HoaDonViewer.aspx?mhd=e0c5c5a9-6074-4b7b-8c66-f5b52b153eb6" TargetMode="External"/><Relationship Id="rId1089" Type="http://schemas.openxmlformats.org/officeDocument/2006/relationships/hyperlink" Target="http://113.160.97.58:8224/Viewer/HoaDonViewer.aspx?mhd=b26e92d2-d3ae-4354-a5e4-172c61128736" TargetMode="External"/><Relationship Id="rId1296" Type="http://schemas.openxmlformats.org/officeDocument/2006/relationships/hyperlink" Target="https://thuphi.haiphong.gov.vn:8222/tra-cuu-bien-lai-dien-tu?ma_tracuu=GRA4THS6TI" TargetMode="External"/><Relationship Id="rId16" Type="http://schemas.openxmlformats.org/officeDocument/2006/relationships/hyperlink" Target="https://thuphi.haiphong.gov.vn:8222/tra-cuu-bien-lai-dien-tu?ma_tracuu=MN8HXCQU5J" TargetMode="External"/><Relationship Id="rId221" Type="http://schemas.openxmlformats.org/officeDocument/2006/relationships/hyperlink" Target="http://113.160.97.58:8224/Viewer/HoaDonViewer.aspx?mhd=a6125be0-9651-4e20-80fa-951bf7acd102" TargetMode="External"/><Relationship Id="rId319" Type="http://schemas.openxmlformats.org/officeDocument/2006/relationships/hyperlink" Target="http://113.160.97.58:8224/Viewer/Downloadfile.aspx?mhd=29d50d30-8d3e-41d8-bd3a-cb557c6ea8dc" TargetMode="External"/><Relationship Id="rId526" Type="http://schemas.openxmlformats.org/officeDocument/2006/relationships/hyperlink" Target="http://113.160.97.58:8224/Viewer/HoaDonViewer.aspx?mhd=19c0b8df-ceb0-4589-86f8-b60f251920ab&amp;iscd=1" TargetMode="External"/><Relationship Id="rId1156" Type="http://schemas.openxmlformats.org/officeDocument/2006/relationships/hyperlink" Target="https://thuphi.haiphong.gov.vn:8222/tra-cuu-bien-lai-dien-tu?ma_tracuu=VLZ8CYMCS9" TargetMode="External"/><Relationship Id="rId1363" Type="http://schemas.openxmlformats.org/officeDocument/2006/relationships/hyperlink" Target="http://113.160.97.58:8224/Viewer/Downloadfile.aspx?mhd=93db2b70-abce-4b36-865c-46c65b9a3480" TargetMode="External"/><Relationship Id="rId733" Type="http://schemas.openxmlformats.org/officeDocument/2006/relationships/hyperlink" Target="http://113.160.97.58:8224/Viewer/HoaDonViewer.aspx?mhd=ca424a40-ab74-4ea2-b39c-4a9ac0057d94" TargetMode="External"/><Relationship Id="rId940" Type="http://schemas.openxmlformats.org/officeDocument/2006/relationships/hyperlink" Target="https://thuphi.haiphong.gov.vn:8222/tra-cuu-bien-lai-dien-tu?ma_tracuu=5VLGC4ED3S" TargetMode="External"/><Relationship Id="rId1016" Type="http://schemas.openxmlformats.org/officeDocument/2006/relationships/hyperlink" Target="https://thuphi.haiphong.gov.vn:8222/tra-cuu-bien-lai-dien-tu?ma_tracuu=QVHKNV90XA" TargetMode="External"/><Relationship Id="rId165" Type="http://schemas.openxmlformats.org/officeDocument/2006/relationships/hyperlink" Target="http://113.160.97.58:8224/Viewer/HoaDonViewer.aspx?mhd=b053466f-825a-4957-8f1b-922c41e00d15" TargetMode="External"/><Relationship Id="rId372" Type="http://schemas.openxmlformats.org/officeDocument/2006/relationships/hyperlink" Target="https://thuphi.haiphong.gov.vn:8222/tra-cuu-bien-lai-dien-tu?ma_tracuu=XIF95MI0RK" TargetMode="External"/><Relationship Id="rId677" Type="http://schemas.openxmlformats.org/officeDocument/2006/relationships/hyperlink" Target="http://113.160.97.58:8224/Viewer/HoaDonViewer.aspx?mhd=e94000de-9542-4394-818b-e1a17a74647f" TargetMode="External"/><Relationship Id="rId800" Type="http://schemas.openxmlformats.org/officeDocument/2006/relationships/hyperlink" Target="https://thuphi.haiphong.gov.vn:8222/tra-cuu-bien-lai-dien-tu?ma_tracuu=LZDCE6LY3B" TargetMode="External"/><Relationship Id="rId1223" Type="http://schemas.openxmlformats.org/officeDocument/2006/relationships/hyperlink" Target="http://113.160.97.58:8224/Viewer/Downloadfile.aspx?mhd=49431209-154d-4c06-8408-8359b91760a2" TargetMode="External"/><Relationship Id="rId1430" Type="http://schemas.openxmlformats.org/officeDocument/2006/relationships/hyperlink" Target="http://113.160.97.58:8224/Viewer/HoaDonViewer.aspx?mhd=ac580fb3-4267-4be9-8b1c-3738f6267e08&amp;iscd=1" TargetMode="External"/><Relationship Id="rId232" Type="http://schemas.openxmlformats.org/officeDocument/2006/relationships/hyperlink" Target="https://thuphi.haiphong.gov.vn:8222/tra-cuu-bien-lai-dien-tu?ma_tracuu=ZFZF9J28FR" TargetMode="External"/><Relationship Id="rId884" Type="http://schemas.openxmlformats.org/officeDocument/2006/relationships/hyperlink" Target="https://thuphi.haiphong.gov.vn:8222/tra-cuu-bien-lai-dien-tu?ma_tracuu=X1V8AECD30" TargetMode="External"/><Relationship Id="rId27" Type="http://schemas.openxmlformats.org/officeDocument/2006/relationships/hyperlink" Target="http://113.160.97.58:8224/Viewer/Downloadfile.aspx?mhd=847aa2fa-8ba0-4e05-84a5-9cf00536f9a6" TargetMode="External"/><Relationship Id="rId537" Type="http://schemas.openxmlformats.org/officeDocument/2006/relationships/hyperlink" Target="http://113.160.97.58:8224/Viewer/HoaDonViewer.aspx?mhd=1021ccfb-72bf-439b-aaa0-fc4185def5a8" TargetMode="External"/><Relationship Id="rId744" Type="http://schemas.openxmlformats.org/officeDocument/2006/relationships/hyperlink" Target="https://thuphi.haiphong.gov.vn:8222/tra-cuu-bien-lai-dien-tu?ma_tracuu=GIF52DJ1E0" TargetMode="External"/><Relationship Id="rId951" Type="http://schemas.openxmlformats.org/officeDocument/2006/relationships/hyperlink" Target="http://113.160.97.58:8224/Viewer/Downloadfile.aspx?mhd=559e5366-40af-4ea9-b014-5640d3c3af16" TargetMode="External"/><Relationship Id="rId1167" Type="http://schemas.openxmlformats.org/officeDocument/2006/relationships/hyperlink" Target="http://113.160.97.58:8224/Viewer/Downloadfile.aspx?mhd=1e11baa0-ab92-4165-959c-f679d0bace76" TargetMode="External"/><Relationship Id="rId1374" Type="http://schemas.openxmlformats.org/officeDocument/2006/relationships/hyperlink" Target="http://113.160.97.58:8224/Viewer/HoaDonViewer.aspx?mhd=87482fa3-d9a6-4406-bf3d-4e9347f60994&amp;iscd=1" TargetMode="External"/><Relationship Id="rId80" Type="http://schemas.openxmlformats.org/officeDocument/2006/relationships/hyperlink" Target="https://thuphi.haiphong.gov.vn:8222/tra-cuu-bien-lai-dien-tu?ma_tracuu=FIGJN28D5H" TargetMode="External"/><Relationship Id="rId176" Type="http://schemas.openxmlformats.org/officeDocument/2006/relationships/hyperlink" Target="https://thuphi.haiphong.gov.vn:8222/tra-cuu-bien-lai-dien-tu?ma_tracuu=5MB5UEDBVV" TargetMode="External"/><Relationship Id="rId383" Type="http://schemas.openxmlformats.org/officeDocument/2006/relationships/hyperlink" Target="http://113.160.97.58:8224/Viewer/Downloadfile.aspx?mhd=132f62df-fa13-4add-9147-64ec43eb31de" TargetMode="External"/><Relationship Id="rId590" Type="http://schemas.openxmlformats.org/officeDocument/2006/relationships/hyperlink" Target="http://113.160.97.58:8224/Viewer/HoaDonViewer.aspx?mhd=10640380-8dee-4e2d-a7ce-ce2715372236&amp;iscd=1" TargetMode="External"/><Relationship Id="rId604" Type="http://schemas.openxmlformats.org/officeDocument/2006/relationships/hyperlink" Target="https://thuphi.haiphong.gov.vn:8222/tra-cuu-bien-lai-dien-tu?ma_tracuu=VG58KBD0DY" TargetMode="External"/><Relationship Id="rId811" Type="http://schemas.openxmlformats.org/officeDocument/2006/relationships/hyperlink" Target="http://113.160.97.58:8224/Viewer/Downloadfile.aspx?mhd=c74b1407-3292-4931-846f-60a7e599bf12" TargetMode="External"/><Relationship Id="rId1027" Type="http://schemas.openxmlformats.org/officeDocument/2006/relationships/hyperlink" Target="http://113.160.97.58:8224/Viewer/Downloadfile.aspx?mhd=84468227-d613-4889-b3fe-08d45e180112" TargetMode="External"/><Relationship Id="rId1234" Type="http://schemas.openxmlformats.org/officeDocument/2006/relationships/hyperlink" Target="http://113.160.97.58:8224/Viewer/HoaDonViewer.aspx?mhd=ac580fb3-4267-4be9-8b1c-3738f6267e08&amp;iscd=1" TargetMode="External"/><Relationship Id="rId1441" Type="http://schemas.openxmlformats.org/officeDocument/2006/relationships/hyperlink" Target="http://113.160.97.58:8224/Viewer/HoaDonViewer.aspx?mhd=89b0eb95-a352-4f1f-815b-38b6e5d3ea41" TargetMode="External"/><Relationship Id="rId243" Type="http://schemas.openxmlformats.org/officeDocument/2006/relationships/hyperlink" Target="http://113.160.97.58:8224/Viewer/Downloadfile.aspx?mhd=c79064f9-da0e-4c54-a292-680e91f3c357" TargetMode="External"/><Relationship Id="rId450" Type="http://schemas.openxmlformats.org/officeDocument/2006/relationships/hyperlink" Target="http://113.160.97.58:8224/Viewer/HoaDonViewer.aspx?mhd=8779cc83-49af-4856-8458-7ae4ab1d2dee&amp;iscd=1" TargetMode="External"/><Relationship Id="rId688" Type="http://schemas.openxmlformats.org/officeDocument/2006/relationships/hyperlink" Target="https://thuphi.haiphong.gov.vn:8222/tra-cuu-bien-lai-dien-tu?ma_tracuu=X4779VTUEC" TargetMode="External"/><Relationship Id="rId895" Type="http://schemas.openxmlformats.org/officeDocument/2006/relationships/hyperlink" Target="http://113.160.97.58:8224/Viewer/Downloadfile.aspx?mhd=88a33e95-96e5-4c98-802c-9956d7222009" TargetMode="External"/><Relationship Id="rId909" Type="http://schemas.openxmlformats.org/officeDocument/2006/relationships/hyperlink" Target="http://113.160.97.58:8224/Viewer/HoaDonViewer.aspx?mhd=5627f93d-0082-4af0-8c79-0b588eb33b31" TargetMode="External"/><Relationship Id="rId1080" Type="http://schemas.openxmlformats.org/officeDocument/2006/relationships/hyperlink" Target="https://thuphi.haiphong.gov.vn:8222/tra-cuu-bien-lai-dien-tu?ma_tracuu=MM0WICLAXN" TargetMode="External"/><Relationship Id="rId1301" Type="http://schemas.openxmlformats.org/officeDocument/2006/relationships/hyperlink" Target="http://113.160.97.58:8224/Viewer/HoaDonViewer.aspx?mhd=9d351923-219d-4a9f-b41d-38b7f119b8e7" TargetMode="External"/><Relationship Id="rId38" Type="http://schemas.openxmlformats.org/officeDocument/2006/relationships/hyperlink" Target="http://113.160.97.58:8224/Viewer/HoaDonViewer.aspx?mhd=a76b921d-da9a-49d9-a19c-c8aa6cd55153&amp;iscd=1" TargetMode="External"/><Relationship Id="rId103" Type="http://schemas.openxmlformats.org/officeDocument/2006/relationships/hyperlink" Target="http://113.160.97.58:8224/Viewer/Downloadfile.aspx?mhd=895fbdf4-69af-41c1-9e49-d02005087eb7" TargetMode="External"/><Relationship Id="rId310" Type="http://schemas.openxmlformats.org/officeDocument/2006/relationships/hyperlink" Target="http://113.160.97.58:8224/Viewer/HoaDonViewer.aspx?mhd=d2e8511a-6e4f-4296-8ece-cd76cd81ad13&amp;iscd=1" TargetMode="External"/><Relationship Id="rId548" Type="http://schemas.openxmlformats.org/officeDocument/2006/relationships/hyperlink" Target="https://thuphi.haiphong.gov.vn:8222/tra-cuu-bien-lai-dien-tu?ma_tracuu=TDVZ0DBHCB" TargetMode="External"/><Relationship Id="rId755" Type="http://schemas.openxmlformats.org/officeDocument/2006/relationships/hyperlink" Target="http://113.160.97.58:8224/Viewer/Downloadfile.aspx?mhd=3ade4c2b-0216-4f9b-8e93-7b319fa383e3" TargetMode="External"/><Relationship Id="rId962" Type="http://schemas.openxmlformats.org/officeDocument/2006/relationships/hyperlink" Target="http://113.160.97.58:8224/Viewer/HoaDonViewer.aspx?mhd=aaa01960-0704-41c6-aec8-896218063bc3&amp;iscd=1" TargetMode="External"/><Relationship Id="rId1178" Type="http://schemas.openxmlformats.org/officeDocument/2006/relationships/hyperlink" Target="http://113.160.97.58:8224/Viewer/HoaDonViewer.aspx?mhd=6598156e-30d8-4762-9f46-de8e83b6dcec&amp;iscd=1" TargetMode="External"/><Relationship Id="rId1385" Type="http://schemas.openxmlformats.org/officeDocument/2006/relationships/hyperlink" Target="http://113.160.97.58:8224/Viewer/HoaDonViewer.aspx?mhd=5686e4b4-67fe-49ba-b773-6d5601fc1af8" TargetMode="External"/><Relationship Id="rId91" Type="http://schemas.openxmlformats.org/officeDocument/2006/relationships/hyperlink" Target="http://113.160.97.58:8224/Viewer/Downloadfile.aspx?mhd=0fcc6745-4aa2-417a-b40f-f6b78812b749" TargetMode="External"/><Relationship Id="rId187" Type="http://schemas.openxmlformats.org/officeDocument/2006/relationships/hyperlink" Target="http://113.160.97.58:8224/Viewer/Downloadfile.aspx?mhd=ef2af903-5b60-4d0f-8fd9-44c59da2e245" TargetMode="External"/><Relationship Id="rId394" Type="http://schemas.openxmlformats.org/officeDocument/2006/relationships/hyperlink" Target="http://113.160.97.58:8224/Viewer/HoaDonViewer.aspx?mhd=eafa00d1-a289-48ba-8728-c9b88499343a&amp;iscd=1" TargetMode="External"/><Relationship Id="rId408" Type="http://schemas.openxmlformats.org/officeDocument/2006/relationships/hyperlink" Target="https://thuphi.haiphong.gov.vn:8222/tra-cuu-bien-lai-dien-tu?ma_tracuu=K2X4F26GRF" TargetMode="External"/><Relationship Id="rId615" Type="http://schemas.openxmlformats.org/officeDocument/2006/relationships/hyperlink" Target="http://113.160.97.58:8224/Viewer/Downloadfile.aspx?mhd=6db8e244-68b1-4a92-8642-ce809dc0a8cd" TargetMode="External"/><Relationship Id="rId822" Type="http://schemas.openxmlformats.org/officeDocument/2006/relationships/hyperlink" Target="http://113.160.97.58:8224/Viewer/HoaDonViewer.aspx?mhd=6c004e3f-f539-4235-b6d6-47b73f3e7aa8&amp;iscd=1" TargetMode="External"/><Relationship Id="rId1038" Type="http://schemas.openxmlformats.org/officeDocument/2006/relationships/hyperlink" Target="http://113.160.97.58:8224/Viewer/HoaDonViewer.aspx?mhd=a83ffd3a-93ed-4748-9d52-48a994696486&amp;iscd=1" TargetMode="External"/><Relationship Id="rId1245" Type="http://schemas.openxmlformats.org/officeDocument/2006/relationships/hyperlink" Target="http://113.160.97.58:8224/Viewer/HoaDonViewer.aspx?mhd=7b3c0fec-48b9-4cdc-85d1-60c3844bee45" TargetMode="External"/><Relationship Id="rId1452" Type="http://schemas.openxmlformats.org/officeDocument/2006/relationships/hyperlink" Target="https://thuphi.haiphong.gov.vn:8222/tra-cuu-bien-lai-dien-tu?ma_tracuu=B5S51696YP" TargetMode="External"/><Relationship Id="rId254" Type="http://schemas.openxmlformats.org/officeDocument/2006/relationships/hyperlink" Target="http://113.160.97.58:8224/Viewer/HoaDonViewer.aspx?mhd=dc61d3aa-1718-48be-bc94-0071d147ef14&amp;iscd=1" TargetMode="External"/><Relationship Id="rId699" Type="http://schemas.openxmlformats.org/officeDocument/2006/relationships/hyperlink" Target="http://113.160.97.58:8224/Viewer/Downloadfile.aspx?mhd=2dfc2eea-5250-484b-b84d-5a1c2f97b32f" TargetMode="External"/><Relationship Id="rId1091" Type="http://schemas.openxmlformats.org/officeDocument/2006/relationships/hyperlink" Target="http://113.160.97.58:8224/Viewer/Downloadfile.aspx?mhd=b26e92d2-d3ae-4354-a5e4-172c61128736" TargetMode="External"/><Relationship Id="rId1105" Type="http://schemas.openxmlformats.org/officeDocument/2006/relationships/hyperlink" Target="http://113.160.97.58:8224/Viewer/HoaDonViewer.aspx?mhd=89d21140-b842-4475-945b-d4baf1479840" TargetMode="External"/><Relationship Id="rId1312" Type="http://schemas.openxmlformats.org/officeDocument/2006/relationships/hyperlink" Target="https://thuphi.haiphong.gov.vn:8222/tra-cuu-bien-lai-dien-tu?ma_tracuu=UKY27QX6TQ" TargetMode="External"/><Relationship Id="rId49" Type="http://schemas.openxmlformats.org/officeDocument/2006/relationships/hyperlink" Target="http://113.160.97.58:8224/Viewer/HoaDonViewer.aspx?mhd=adf63ed6-a4ae-4922-ae87-a385bc176345" TargetMode="External"/><Relationship Id="rId114" Type="http://schemas.openxmlformats.org/officeDocument/2006/relationships/hyperlink" Target="http://113.160.97.58:8224/Viewer/HoaDonViewer.aspx?mhd=f8b8ea0c-7da3-4e21-9b6a-3994a5e3e091&amp;iscd=1" TargetMode="External"/><Relationship Id="rId461" Type="http://schemas.openxmlformats.org/officeDocument/2006/relationships/hyperlink" Target="http://113.160.97.58:8224/Viewer/HoaDonViewer.aspx?mhd=fefded5a-286f-4695-b26e-9a0f2513b3a9" TargetMode="External"/><Relationship Id="rId559" Type="http://schemas.openxmlformats.org/officeDocument/2006/relationships/hyperlink" Target="http://113.160.97.58:8224/Viewer/Downloadfile.aspx?mhd=4321550f-10ec-47a0-ba89-a9e87ba834ea" TargetMode="External"/><Relationship Id="rId766" Type="http://schemas.openxmlformats.org/officeDocument/2006/relationships/hyperlink" Target="http://113.160.97.58:8224/Viewer/HoaDonViewer.aspx?mhd=c1d25752-5007-4bd8-86cc-e164c33410d1&amp;iscd=1" TargetMode="External"/><Relationship Id="rId1189" Type="http://schemas.openxmlformats.org/officeDocument/2006/relationships/hyperlink" Target="http://113.160.97.58:8224/Viewer/HoaDonViewer.aspx?mhd=5686e4b4-67fe-49ba-b773-6d5601fc1af8" TargetMode="External"/><Relationship Id="rId1396" Type="http://schemas.openxmlformats.org/officeDocument/2006/relationships/hyperlink" Target="https://thuphi.haiphong.gov.vn:8222/tra-cuu-bien-lai-dien-tu?ma_tracuu=MVVAUEZ2TB" TargetMode="External"/><Relationship Id="rId198" Type="http://schemas.openxmlformats.org/officeDocument/2006/relationships/hyperlink" Target="http://113.160.97.58:8224/Viewer/HoaDonViewer.aspx?mhd=8e6eea0d-b854-4b24-9c58-052ee0a441da&amp;iscd=1" TargetMode="External"/><Relationship Id="rId321" Type="http://schemas.openxmlformats.org/officeDocument/2006/relationships/hyperlink" Target="http://113.160.97.58:8224/Viewer/HoaDonViewer.aspx?mhd=bea0dfcd-8722-4d70-b2fd-ebfe9c6e2567" TargetMode="External"/><Relationship Id="rId419" Type="http://schemas.openxmlformats.org/officeDocument/2006/relationships/hyperlink" Target="http://113.160.97.58:8224/Viewer/Downloadfile.aspx?mhd=42d228d8-8701-4540-900b-32716e8ce8e6" TargetMode="External"/><Relationship Id="rId626" Type="http://schemas.openxmlformats.org/officeDocument/2006/relationships/hyperlink" Target="http://113.160.97.58:8224/Viewer/HoaDonViewer.aspx?mhd=9f9a837c-258b-4916-83b8-c2f3e238a324&amp;iscd=1" TargetMode="External"/><Relationship Id="rId973" Type="http://schemas.openxmlformats.org/officeDocument/2006/relationships/hyperlink" Target="http://113.160.97.58:8224/Viewer/HoaDonViewer.aspx?mhd=8d5102f2-d0af-41d3-948a-17cf0561e5fe" TargetMode="External"/><Relationship Id="rId1049" Type="http://schemas.openxmlformats.org/officeDocument/2006/relationships/hyperlink" Target="http://113.160.97.58:8224/Viewer/HoaDonViewer.aspx?mhd=cab55537-936c-43e5-a8d8-63fe610f4a5c" TargetMode="External"/><Relationship Id="rId1256" Type="http://schemas.openxmlformats.org/officeDocument/2006/relationships/hyperlink" Target="https://thuphi.haiphong.gov.vn:8222/tra-cuu-bien-lai-dien-tu?ma_tracuu=L2QLJZQU54" TargetMode="External"/><Relationship Id="rId833" Type="http://schemas.openxmlformats.org/officeDocument/2006/relationships/hyperlink" Target="http://113.160.97.58:8224/Viewer/HoaDonViewer.aspx?mhd=36fdd49f-5394-405f-971c-f8906167070d" TargetMode="External"/><Relationship Id="rId1116" Type="http://schemas.openxmlformats.org/officeDocument/2006/relationships/hyperlink" Target="https://thuphi.haiphong.gov.vn:8222/tra-cuu-bien-lai-dien-tu?ma_tracuu=8U7WA84NSB" TargetMode="External"/><Relationship Id="rId265" Type="http://schemas.openxmlformats.org/officeDocument/2006/relationships/hyperlink" Target="http://113.160.97.58:8224/Viewer/HoaDonViewer.aspx?mhd=c5689646-9355-445f-aa71-57ec294f57ea" TargetMode="External"/><Relationship Id="rId472" Type="http://schemas.openxmlformats.org/officeDocument/2006/relationships/hyperlink" Target="https://thuphi.haiphong.gov.vn:8222/tra-cuu-bien-lai-dien-tu?ma_tracuu=DPPJETAT4Y" TargetMode="External"/><Relationship Id="rId900" Type="http://schemas.openxmlformats.org/officeDocument/2006/relationships/hyperlink" Target="https://thuphi.haiphong.gov.vn:8222/tra-cuu-bien-lai-dien-tu?ma_tracuu=R6A4PNED3B" TargetMode="External"/><Relationship Id="rId1323" Type="http://schemas.openxmlformats.org/officeDocument/2006/relationships/hyperlink" Target="http://113.160.97.58:8224/Viewer/Downloadfile.aspx?mhd=8fb9faba-c1d2-48dd-b9e6-61e41cf78573" TargetMode="External"/><Relationship Id="rId125" Type="http://schemas.openxmlformats.org/officeDocument/2006/relationships/hyperlink" Target="http://113.160.97.58:8224/Viewer/HoaDonViewer.aspx?mhd=bab9ca7c-02fc-42e8-a729-a1fc612fb597" TargetMode="External"/><Relationship Id="rId332" Type="http://schemas.openxmlformats.org/officeDocument/2006/relationships/hyperlink" Target="https://thuphi.haiphong.gov.vn:8222/tra-cuu-bien-lai-dien-tu?ma_tracuu=8AMT1FLNFP" TargetMode="External"/><Relationship Id="rId777" Type="http://schemas.openxmlformats.org/officeDocument/2006/relationships/hyperlink" Target="http://113.160.97.58:8224/Viewer/HoaDonViewer.aspx?mhd=37f0cfa0-76e5-4fb9-b0d6-ef48e2acdf5f" TargetMode="External"/><Relationship Id="rId984" Type="http://schemas.openxmlformats.org/officeDocument/2006/relationships/hyperlink" Target="https://thuphi.haiphong.gov.vn:8222/tra-cuu-bien-lai-dien-tu?ma_tracuu=P0PSCLL0X9" TargetMode="External"/><Relationship Id="rId637" Type="http://schemas.openxmlformats.org/officeDocument/2006/relationships/hyperlink" Target="http://113.160.97.58:8224/Viewer/HoaDonViewer.aspx?mhd=e2232d2e-4b2e-431b-9286-0e255cb2e189" TargetMode="External"/><Relationship Id="rId844" Type="http://schemas.openxmlformats.org/officeDocument/2006/relationships/hyperlink" Target="https://thuphi.haiphong.gov.vn:8222/tra-cuu-bien-lai-dien-tu?ma_tracuu=QTIKAZFD3A" TargetMode="External"/><Relationship Id="rId1267" Type="http://schemas.openxmlformats.org/officeDocument/2006/relationships/hyperlink" Target="http://113.160.97.58:8224/Viewer/Downloadfile.aspx?mhd=b7922478-c335-4bd0-8bba-ff57e9c82928" TargetMode="External"/><Relationship Id="rId276" Type="http://schemas.openxmlformats.org/officeDocument/2006/relationships/hyperlink" Target="https://thuphi.haiphong.gov.vn:8222/tra-cuu-bien-lai-dien-tu?ma_tracuu=WPN96Y0UFZ" TargetMode="External"/><Relationship Id="rId483" Type="http://schemas.openxmlformats.org/officeDocument/2006/relationships/hyperlink" Target="http://113.160.97.58:8224/Viewer/Downloadfile.aspx?mhd=f22b3e0c-ae4e-46c5-a936-e42a6f5f242f" TargetMode="External"/><Relationship Id="rId690" Type="http://schemas.openxmlformats.org/officeDocument/2006/relationships/hyperlink" Target="http://113.160.97.58:8224/Viewer/HoaDonViewer.aspx?mhd=098fad0f-0a6b-4099-b722-8fb7a8c9e0d6&amp;iscd=1" TargetMode="External"/><Relationship Id="rId704" Type="http://schemas.openxmlformats.org/officeDocument/2006/relationships/hyperlink" Target="https://thuphi.haiphong.gov.vn:8222/tra-cuu-bien-lai-dien-tu?ma_tracuu=W93VE607EG" TargetMode="External"/><Relationship Id="rId911" Type="http://schemas.openxmlformats.org/officeDocument/2006/relationships/hyperlink" Target="http://113.160.97.58:8224/Viewer/Downloadfile.aspx?mhd=5627f93d-0082-4af0-8c79-0b588eb33b31" TargetMode="External"/><Relationship Id="rId1127" Type="http://schemas.openxmlformats.org/officeDocument/2006/relationships/hyperlink" Target="http://113.160.97.58:8224/Viewer/Downloadfile.aspx?mhd=ac164a91-000a-428e-aa6a-00fdf2821344" TargetMode="External"/><Relationship Id="rId1334" Type="http://schemas.openxmlformats.org/officeDocument/2006/relationships/hyperlink" Target="http://113.160.97.58:8224/Viewer/HoaDonViewer.aspx?mhd=6cde0855-3f5f-4a10-8201-11d4a44bc9bd&amp;iscd=1" TargetMode="External"/><Relationship Id="rId40" Type="http://schemas.openxmlformats.org/officeDocument/2006/relationships/hyperlink" Target="https://thuphi.haiphong.gov.vn:8222/tra-cuu-bien-lai-dien-tu?ma_tracuu=5V8BC7EN5H" TargetMode="External"/><Relationship Id="rId136" Type="http://schemas.openxmlformats.org/officeDocument/2006/relationships/hyperlink" Target="https://thuphi.haiphong.gov.vn:8222/tra-cuu-bien-lai-dien-tu?ma_tracuu=7TN6TCAE5J" TargetMode="External"/><Relationship Id="rId343" Type="http://schemas.openxmlformats.org/officeDocument/2006/relationships/hyperlink" Target="http://113.160.97.58:8224/Viewer/Downloadfile.aspx?mhd=84bdab38-4763-4b4c-9525-32ada773fbee" TargetMode="External"/><Relationship Id="rId550" Type="http://schemas.openxmlformats.org/officeDocument/2006/relationships/hyperlink" Target="http://113.160.97.58:8224/Viewer/HoaDonViewer.aspx?mhd=d5c11100-0197-4ffb-92c3-a2c0578840ec&amp;iscd=1" TargetMode="External"/><Relationship Id="rId788" Type="http://schemas.openxmlformats.org/officeDocument/2006/relationships/hyperlink" Target="https://thuphi.haiphong.gov.vn:8222/tra-cuu-bien-lai-dien-tu?ma_tracuu=TFXLYCRH3Y" TargetMode="External"/><Relationship Id="rId995" Type="http://schemas.openxmlformats.org/officeDocument/2006/relationships/hyperlink" Target="http://113.160.97.58:8224/Viewer/Downloadfile.aspx?mhd=6f332710-6bae-42cc-b81c-abfe892951af" TargetMode="External"/><Relationship Id="rId1180" Type="http://schemas.openxmlformats.org/officeDocument/2006/relationships/hyperlink" Target="https://thuphi.haiphong.gov.vn:8222/tra-cuu-bien-lai-dien-tu?ma_tracuu=3M2FDPRESV" TargetMode="External"/><Relationship Id="rId1401" Type="http://schemas.openxmlformats.org/officeDocument/2006/relationships/hyperlink" Target="http://113.160.97.58:8224/Viewer/HoaDonViewer.aspx?mhd=c3696651-36a9-40d0-8452-a4f2f3078fde" TargetMode="External"/><Relationship Id="rId203" Type="http://schemas.openxmlformats.org/officeDocument/2006/relationships/hyperlink" Target="http://113.160.97.58:8224/Viewer/Downloadfile.aspx?mhd=008f3a2b-9dbe-4097-972d-f3fb299829c9" TargetMode="External"/><Relationship Id="rId648" Type="http://schemas.openxmlformats.org/officeDocument/2006/relationships/hyperlink" Target="https://thuphi.haiphong.gov.vn:8222/tra-cuu-bien-lai-dien-tu?ma_tracuu=IDPQJMR2DA" TargetMode="External"/><Relationship Id="rId855" Type="http://schemas.openxmlformats.org/officeDocument/2006/relationships/hyperlink" Target="http://113.160.97.58:8224/Viewer/Downloadfile.aspx?mhd=f1811f37-80bc-4e43-b46a-3e95f397735d" TargetMode="External"/><Relationship Id="rId1040" Type="http://schemas.openxmlformats.org/officeDocument/2006/relationships/hyperlink" Target="https://thuphi.haiphong.gov.vn:8222/tra-cuu-bien-lai-dien-tu?ma_tracuu=1WZWZ2YFXN" TargetMode="External"/><Relationship Id="rId1278" Type="http://schemas.openxmlformats.org/officeDocument/2006/relationships/hyperlink" Target="http://113.160.97.58:8224/Viewer/HoaDonViewer.aspx?mhd=6bed33cd-ba30-47ac-82b5-4aeb9b8f2591&amp;iscd=1" TargetMode="External"/><Relationship Id="rId287" Type="http://schemas.openxmlformats.org/officeDocument/2006/relationships/hyperlink" Target="http://113.160.97.58:8224/Viewer/Downloadfile.aspx?mhd=2d5fdf70-21c8-46ff-ac43-5ef20f052e98" TargetMode="External"/><Relationship Id="rId410" Type="http://schemas.openxmlformats.org/officeDocument/2006/relationships/hyperlink" Target="http://113.160.97.58:8224/Viewer/HoaDonViewer.aspx?mhd=e4003beb-b082-4969-b973-6b53795fab14&amp;iscd=1" TargetMode="External"/><Relationship Id="rId494" Type="http://schemas.openxmlformats.org/officeDocument/2006/relationships/hyperlink" Target="http://113.160.97.58:8224/Viewer/HoaDonViewer.aspx?mhd=91269641-46cb-4537-a042-a9baea59c9bd&amp;iscd=1" TargetMode="External"/><Relationship Id="rId508" Type="http://schemas.openxmlformats.org/officeDocument/2006/relationships/hyperlink" Target="https://thuphi.haiphong.gov.vn:8222/tra-cuu-bien-lai-dien-tu?ma_tracuu=MNTFUMBA4X" TargetMode="External"/><Relationship Id="rId715" Type="http://schemas.openxmlformats.org/officeDocument/2006/relationships/hyperlink" Target="http://113.160.97.58:8224/Viewer/Downloadfile.aspx?mhd=373df198-118a-4490-a85c-b57a82cc562c" TargetMode="External"/><Relationship Id="rId922" Type="http://schemas.openxmlformats.org/officeDocument/2006/relationships/hyperlink" Target="http://113.160.97.58:8224/Viewer/HoaDonViewer.aspx?mhd=6f862b5c-7b75-4e79-b947-d689417ae00a&amp;iscd=1" TargetMode="External"/><Relationship Id="rId1138" Type="http://schemas.openxmlformats.org/officeDocument/2006/relationships/hyperlink" Target="http://113.160.97.58:8224/Viewer/HoaDonViewer.aspx?mhd=ccbc5831-5a13-402a-a99f-87d98a3d58d8&amp;iscd=1" TargetMode="External"/><Relationship Id="rId1345" Type="http://schemas.openxmlformats.org/officeDocument/2006/relationships/hyperlink" Target="http://113.160.97.58:8224/Viewer/HoaDonViewer.aspx?mhd=8893c399-3add-440a-92bc-c8d3e8efc150" TargetMode="External"/><Relationship Id="rId147" Type="http://schemas.openxmlformats.org/officeDocument/2006/relationships/hyperlink" Target="http://113.160.97.58:8224/Viewer/Downloadfile.aspx?mhd=58d3c0db-ff5c-4388-a06c-9dd5aac3c6e2" TargetMode="External"/><Relationship Id="rId354" Type="http://schemas.openxmlformats.org/officeDocument/2006/relationships/hyperlink" Target="http://113.160.97.58:8224/Viewer/HoaDonViewer.aspx?mhd=602d1b24-cc7d-46f5-8eb9-0744a5d1a2cb&amp;iscd=1" TargetMode="External"/><Relationship Id="rId799" Type="http://schemas.openxmlformats.org/officeDocument/2006/relationships/hyperlink" Target="http://113.160.97.58:8224/Viewer/Downloadfile.aspx?mhd=225b10c2-fd8a-495e-b866-48c0c476fae8" TargetMode="External"/><Relationship Id="rId1191" Type="http://schemas.openxmlformats.org/officeDocument/2006/relationships/hyperlink" Target="http://113.160.97.58:8224/Viewer/Downloadfile.aspx?mhd=5686e4b4-67fe-49ba-b773-6d5601fc1af8" TargetMode="External"/><Relationship Id="rId1205" Type="http://schemas.openxmlformats.org/officeDocument/2006/relationships/hyperlink" Target="http://113.160.97.58:8224/Viewer/HoaDonViewer.aspx?mhd=c3696651-36a9-40d0-8452-a4f2f3078fde" TargetMode="External"/><Relationship Id="rId51" Type="http://schemas.openxmlformats.org/officeDocument/2006/relationships/hyperlink" Target="http://113.160.97.58:8224/Viewer/Downloadfile.aspx?mhd=adf63ed6-a4ae-4922-ae87-a385bc176345" TargetMode="External"/><Relationship Id="rId561" Type="http://schemas.openxmlformats.org/officeDocument/2006/relationships/hyperlink" Target="http://113.160.97.58:8224/Viewer/HoaDonViewer.aspx?mhd=0c190389-0577-4fc7-b1ed-4330e430ffa3" TargetMode="External"/><Relationship Id="rId659" Type="http://schemas.openxmlformats.org/officeDocument/2006/relationships/hyperlink" Target="http://113.160.97.58:8224/Viewer/Downloadfile.aspx?mhd=82962104-4c55-4c5b-937c-dc48e3a7a434" TargetMode="External"/><Relationship Id="rId866" Type="http://schemas.openxmlformats.org/officeDocument/2006/relationships/hyperlink" Target="http://113.160.97.58:8224/Viewer/HoaDonViewer.aspx?mhd=17a1d47e-3db7-43ff-ace8-8d5520e05933&amp;iscd=1" TargetMode="External"/><Relationship Id="rId1289" Type="http://schemas.openxmlformats.org/officeDocument/2006/relationships/hyperlink" Target="http://113.160.97.58:8224/Viewer/HoaDonViewer.aspx?mhd=a15c3686-685b-4fce-8f1f-1292a3266cc6" TargetMode="External"/><Relationship Id="rId1412" Type="http://schemas.openxmlformats.org/officeDocument/2006/relationships/hyperlink" Target="https://thuphi.haiphong.gov.vn:8222/tra-cuu-bien-lai-dien-tu?ma_tracuu=IXMQEV1QTZ" TargetMode="External"/><Relationship Id="rId214" Type="http://schemas.openxmlformats.org/officeDocument/2006/relationships/hyperlink" Target="http://113.160.97.58:8224/Viewer/HoaDonViewer.aspx?mhd=02301255-fc63-406a-bfdd-8946586f5f89&amp;iscd=1" TargetMode="External"/><Relationship Id="rId298" Type="http://schemas.openxmlformats.org/officeDocument/2006/relationships/hyperlink" Target="http://113.160.97.58:8224/Viewer/HoaDonViewer.aspx?mhd=f800f6d5-e100-42ed-8af5-4738ea656977&amp;iscd=1" TargetMode="External"/><Relationship Id="rId421" Type="http://schemas.openxmlformats.org/officeDocument/2006/relationships/hyperlink" Target="http://113.160.97.58:8224/Viewer/HoaDonViewer.aspx?mhd=e2693fd4-dac1-438e-814c-7f70c064c6a0" TargetMode="External"/><Relationship Id="rId519" Type="http://schemas.openxmlformats.org/officeDocument/2006/relationships/hyperlink" Target="http://113.160.97.58:8224/Viewer/Downloadfile.aspx?mhd=95836ee9-e0c6-458e-bd14-06d7cfa355b1" TargetMode="External"/><Relationship Id="rId1051" Type="http://schemas.openxmlformats.org/officeDocument/2006/relationships/hyperlink" Target="http://113.160.97.58:8224/Viewer/Downloadfile.aspx?mhd=cab55537-936c-43e5-a8d8-63fe610f4a5c" TargetMode="External"/><Relationship Id="rId1149" Type="http://schemas.openxmlformats.org/officeDocument/2006/relationships/hyperlink" Target="http://113.160.97.58:8224/Viewer/HoaDonViewer.aspx?mhd=6043e2f2-ccec-481e-a797-deeb6db43049" TargetMode="External"/><Relationship Id="rId1356" Type="http://schemas.openxmlformats.org/officeDocument/2006/relationships/hyperlink" Target="https://thuphi.haiphong.gov.vn:8222/tra-cuu-bien-lai-dien-tu?ma_tracuu=AJQKNNVFTX" TargetMode="External"/><Relationship Id="rId158" Type="http://schemas.openxmlformats.org/officeDocument/2006/relationships/hyperlink" Target="http://113.160.97.58:8224/Viewer/HoaDonViewer.aspx?mhd=7f7cd91a-c941-46a8-b566-3407a4d51a36&amp;iscd=1" TargetMode="External"/><Relationship Id="rId726" Type="http://schemas.openxmlformats.org/officeDocument/2006/relationships/hyperlink" Target="http://113.160.97.58:8224/Viewer/HoaDonViewer.aspx?mhd=acbb7622-4ac9-45cc-a1f9-253e110f9d0d&amp;iscd=1" TargetMode="External"/><Relationship Id="rId933" Type="http://schemas.openxmlformats.org/officeDocument/2006/relationships/hyperlink" Target="http://113.160.97.58:8224/Viewer/HoaDonViewer.aspx?mhd=f937de00-7176-42da-b8f8-9dbf1da8e936" TargetMode="External"/><Relationship Id="rId1009" Type="http://schemas.openxmlformats.org/officeDocument/2006/relationships/hyperlink" Target="http://113.160.97.58:8224/Viewer/HoaDonViewer.aspx?mhd=96412ae7-1e4e-4140-8e82-92d245f767e4" TargetMode="External"/><Relationship Id="rId62" Type="http://schemas.openxmlformats.org/officeDocument/2006/relationships/hyperlink" Target="http://113.160.97.58:8224/Viewer/HoaDonViewer.aspx?mhd=f02b5a39-8b4e-49b4-99b3-df687860350a&amp;iscd=1" TargetMode="External"/><Relationship Id="rId365" Type="http://schemas.openxmlformats.org/officeDocument/2006/relationships/hyperlink" Target="http://113.160.97.58:8224/Viewer/HoaDonViewer.aspx?mhd=a29473ce-be98-4938-a84c-15d478e3ce1b" TargetMode="External"/><Relationship Id="rId572" Type="http://schemas.openxmlformats.org/officeDocument/2006/relationships/hyperlink" Target="https://thuphi.haiphong.gov.vn:8222/tra-cuu-bien-lai-dien-tu?ma_tracuu=I4G6PI4HC0" TargetMode="External"/><Relationship Id="rId1216" Type="http://schemas.openxmlformats.org/officeDocument/2006/relationships/hyperlink" Target="https://thuphi.haiphong.gov.vn:8222/tra-cuu-bien-lai-dien-tu?ma_tracuu=IXMQEV1QTZ" TargetMode="External"/><Relationship Id="rId1423" Type="http://schemas.openxmlformats.org/officeDocument/2006/relationships/hyperlink" Target="http://113.160.97.58:8224/Viewer/Downloadfile.aspx?mhd=2fa58687-03db-4566-84b2-d7cce9647bc9" TargetMode="External"/><Relationship Id="rId225" Type="http://schemas.openxmlformats.org/officeDocument/2006/relationships/hyperlink" Target="http://113.160.97.58:8224/Viewer/HoaDonViewer.aspx?mhd=511dd0df-4de2-4868-868a-6af515c36e06" TargetMode="External"/><Relationship Id="rId432" Type="http://schemas.openxmlformats.org/officeDocument/2006/relationships/hyperlink" Target="https://thuphi.haiphong.gov.vn:8222/tra-cuu-bien-lai-dien-tu?ma_tracuu=BX284YV84P" TargetMode="External"/><Relationship Id="rId877" Type="http://schemas.openxmlformats.org/officeDocument/2006/relationships/hyperlink" Target="http://113.160.97.58:8224/Viewer/HoaDonViewer.aspx?mhd=06409a0e-1f63-4f3d-86c5-700f58520aae" TargetMode="External"/><Relationship Id="rId1062" Type="http://schemas.openxmlformats.org/officeDocument/2006/relationships/hyperlink" Target="http://113.160.97.58:8224/Viewer/HoaDonViewer.aspx?mhd=656bf156-5e35-41f3-9dff-f80f8b9d74ca&amp;iscd=1" TargetMode="External"/><Relationship Id="rId737" Type="http://schemas.openxmlformats.org/officeDocument/2006/relationships/hyperlink" Target="http://113.160.97.58:8224/Viewer/HoaDonViewer.aspx?mhd=92332d5c-7e32-43e5-ab91-0c44f4235bb4" TargetMode="External"/><Relationship Id="rId944" Type="http://schemas.openxmlformats.org/officeDocument/2006/relationships/hyperlink" Target="https://thuphi.haiphong.gov.vn:8222/tra-cuu-bien-lai-dien-tu?ma_tracuu=D5NEHGXD3H" TargetMode="External"/><Relationship Id="rId1367" Type="http://schemas.openxmlformats.org/officeDocument/2006/relationships/hyperlink" Target="http://113.160.97.58:8224/Viewer/Downloadfile.aspx?mhd=80b945a5-98e1-438b-ad5c-da1fcb725c28" TargetMode="External"/><Relationship Id="rId73" Type="http://schemas.openxmlformats.org/officeDocument/2006/relationships/hyperlink" Target="http://113.160.97.58:8224/Viewer/HoaDonViewer.aspx?mhd=f7c00b33-ff9d-49a5-8983-931371b53543" TargetMode="External"/><Relationship Id="rId169" Type="http://schemas.openxmlformats.org/officeDocument/2006/relationships/hyperlink" Target="http://113.160.97.58:8224/Viewer/HoaDonViewer.aspx?mhd=0f486266-2990-4da0-a104-7ead4d5d3d6d" TargetMode="External"/><Relationship Id="rId376" Type="http://schemas.openxmlformats.org/officeDocument/2006/relationships/hyperlink" Target="https://thuphi.haiphong.gov.vn:8222/tra-cuu-bien-lai-dien-tu?ma_tracuu=8FGIM2VLR1" TargetMode="External"/><Relationship Id="rId583" Type="http://schemas.openxmlformats.org/officeDocument/2006/relationships/hyperlink" Target="http://113.160.97.58:8224/Viewer/Downloadfile.aspx?mhd=adeee0ba-daef-4302-ba28-e002d00916a6" TargetMode="External"/><Relationship Id="rId790" Type="http://schemas.openxmlformats.org/officeDocument/2006/relationships/hyperlink" Target="http://113.160.97.58:8224/Viewer/HoaDonViewer.aspx?mhd=b30d6c09-9522-4790-807d-aa4587982b69&amp;iscd=1" TargetMode="External"/><Relationship Id="rId804" Type="http://schemas.openxmlformats.org/officeDocument/2006/relationships/hyperlink" Target="https://thuphi.haiphong.gov.vn:8222/tra-cuu-bien-lai-dien-tu?ma_tracuu=9T89IR0Y3W" TargetMode="External"/><Relationship Id="rId1227" Type="http://schemas.openxmlformats.org/officeDocument/2006/relationships/hyperlink" Target="http://113.160.97.58:8224/Viewer/Downloadfile.aspx?mhd=2fa58687-03db-4566-84b2-d7cce9647bc9" TargetMode="External"/><Relationship Id="rId1434" Type="http://schemas.openxmlformats.org/officeDocument/2006/relationships/hyperlink" Target="http://113.160.97.58:8224/Viewer/HoaDonViewer.aspx?mhd=814c1976-b45a-4793-99cb-3bddf2c48905&amp;iscd=1" TargetMode="External"/><Relationship Id="rId4" Type="http://schemas.openxmlformats.org/officeDocument/2006/relationships/hyperlink" Target="https://thuphi.haiphong.gov.vn:8222/tra-cuu-bien-lai-dien-tu?ma_tracuu=L2RHXYCU5P" TargetMode="External"/><Relationship Id="rId236" Type="http://schemas.openxmlformats.org/officeDocument/2006/relationships/hyperlink" Target="https://thuphi.haiphong.gov.vn:8222/tra-cuu-bien-lai-dien-tu?ma_tracuu=V9EQIBZ8F2" TargetMode="External"/><Relationship Id="rId443" Type="http://schemas.openxmlformats.org/officeDocument/2006/relationships/hyperlink" Target="http://113.160.97.58:8224/Viewer/Downloadfile.aspx?mhd=bcc2c7a4-1b86-49ba-aefe-59c28e33b30c" TargetMode="External"/><Relationship Id="rId650" Type="http://schemas.openxmlformats.org/officeDocument/2006/relationships/hyperlink" Target="http://113.160.97.58:8224/Viewer/HoaDonViewer.aspx?mhd=e857cce2-1e16-4f98-9328-f48a801caba7&amp;iscd=1" TargetMode="External"/><Relationship Id="rId888" Type="http://schemas.openxmlformats.org/officeDocument/2006/relationships/hyperlink" Target="https://thuphi.haiphong.gov.vn:8222/tra-cuu-bien-lai-dien-tu?ma_tracuu=ZT3WQ9CD3W" TargetMode="External"/><Relationship Id="rId1073" Type="http://schemas.openxmlformats.org/officeDocument/2006/relationships/hyperlink" Target="http://113.160.97.58:8224/Viewer/HoaDonViewer.aspx?mhd=05d6caf3-792d-4c60-82bd-aa29a7535602" TargetMode="External"/><Relationship Id="rId1280" Type="http://schemas.openxmlformats.org/officeDocument/2006/relationships/hyperlink" Target="https://thuphi.haiphong.gov.vn:8222/tra-cuu-bien-lai-dien-tu?ma_tracuu=UQH4MWGH5X" TargetMode="External"/><Relationship Id="rId303" Type="http://schemas.openxmlformats.org/officeDocument/2006/relationships/hyperlink" Target="http://113.160.97.58:8224/Viewer/Downloadfile.aspx?mhd=89d427f9-335b-49fa-9bae-191fdc5c8933" TargetMode="External"/><Relationship Id="rId748" Type="http://schemas.openxmlformats.org/officeDocument/2006/relationships/hyperlink" Target="https://thuphi.haiphong.gov.vn:8222/tra-cuu-bien-lai-dien-tu?ma_tracuu=KWUTMMU1EK" TargetMode="External"/><Relationship Id="rId955" Type="http://schemas.openxmlformats.org/officeDocument/2006/relationships/hyperlink" Target="http://113.160.97.58:8224/Viewer/Downloadfile.aspx?mhd=4a7f251d-6087-4036-a2fb-7b7a7950a290" TargetMode="External"/><Relationship Id="rId1140" Type="http://schemas.openxmlformats.org/officeDocument/2006/relationships/hyperlink" Target="https://thuphi.haiphong.gov.vn:8222/tra-cuu-bien-lai-dien-tu?ma_tracuu=QCWC9EIYSW" TargetMode="External"/><Relationship Id="rId1378" Type="http://schemas.openxmlformats.org/officeDocument/2006/relationships/hyperlink" Target="http://113.160.97.58:8224/Viewer/HoaDonViewer.aspx?mhd=11eb93c1-e582-4882-8fbc-be04f47d0c8b&amp;iscd=1" TargetMode="External"/><Relationship Id="rId84" Type="http://schemas.openxmlformats.org/officeDocument/2006/relationships/hyperlink" Target="https://thuphi.haiphong.gov.vn:8222/tra-cuu-bien-lai-dien-tu?ma_tracuu=8HRKMU8D50" TargetMode="External"/><Relationship Id="rId387" Type="http://schemas.openxmlformats.org/officeDocument/2006/relationships/hyperlink" Target="http://113.160.97.58:8224/Viewer/Downloadfile.aspx?mhd=ae3dd97f-2bdc-4f86-aa08-9be98841b461" TargetMode="External"/><Relationship Id="rId510" Type="http://schemas.openxmlformats.org/officeDocument/2006/relationships/hyperlink" Target="http://113.160.97.58:8224/Viewer/HoaDonViewer.aspx?mhd=b17ea05a-0e17-4406-bc00-de85c87bf83a&amp;iscd=1" TargetMode="External"/><Relationship Id="rId594" Type="http://schemas.openxmlformats.org/officeDocument/2006/relationships/hyperlink" Target="http://113.160.97.58:8224/Viewer/HoaDonViewer.aspx?mhd=54bb1548-0dcc-48b3-92e7-efb679dbdb20&amp;iscd=1" TargetMode="External"/><Relationship Id="rId608" Type="http://schemas.openxmlformats.org/officeDocument/2006/relationships/hyperlink" Target="https://thuphi.haiphong.gov.vn:8222/tra-cuu-bien-lai-dien-tu?ma_tracuu=MQPARRC0D8" TargetMode="External"/><Relationship Id="rId815" Type="http://schemas.openxmlformats.org/officeDocument/2006/relationships/hyperlink" Target="http://113.160.97.58:8224/Viewer/Downloadfile.aspx?mhd=835eddca-be27-455c-86c6-948ca7f46c89" TargetMode="External"/><Relationship Id="rId1238" Type="http://schemas.openxmlformats.org/officeDocument/2006/relationships/hyperlink" Target="http://113.160.97.58:8224/Viewer/HoaDonViewer.aspx?mhd=9d803f1b-a51c-4d42-a354-179ab2ffa871&amp;iscd=1" TargetMode="External"/><Relationship Id="rId1445" Type="http://schemas.openxmlformats.org/officeDocument/2006/relationships/hyperlink" Target="http://113.160.97.58:8224/Viewer/HoaDonViewer.aspx?mhd=3133e076-6807-40f1-af1e-7e3fbc6b7920" TargetMode="External"/><Relationship Id="rId247" Type="http://schemas.openxmlformats.org/officeDocument/2006/relationships/hyperlink" Target="http://113.160.97.58:8224/Viewer/Downloadfile.aspx?mhd=dbcce418-e3b3-4681-8bd0-c0c7b601ebf3" TargetMode="External"/><Relationship Id="rId899" Type="http://schemas.openxmlformats.org/officeDocument/2006/relationships/hyperlink" Target="http://113.160.97.58:8224/Viewer/Downloadfile.aspx?mhd=1ab19d89-8926-4712-b0f1-192632ce0b92" TargetMode="External"/><Relationship Id="rId1000" Type="http://schemas.openxmlformats.org/officeDocument/2006/relationships/hyperlink" Target="https://thuphi.haiphong.gov.vn:8222/tra-cuu-bien-lai-dien-tu?ma_tracuu=XK0DX2L0XY" TargetMode="External"/><Relationship Id="rId1084" Type="http://schemas.openxmlformats.org/officeDocument/2006/relationships/hyperlink" Target="https://thuphi.haiphong.gov.vn:8222/tra-cuu-bien-lai-dien-tu?ma_tracuu=Z5GAK4IAXN" TargetMode="External"/><Relationship Id="rId1305" Type="http://schemas.openxmlformats.org/officeDocument/2006/relationships/hyperlink" Target="http://113.160.97.58:8224/Viewer/HoaDonViewer.aspx?mhd=8d9a5b90-3b32-4d03-b462-8e2814cdb00a" TargetMode="External"/><Relationship Id="rId107" Type="http://schemas.openxmlformats.org/officeDocument/2006/relationships/hyperlink" Target="http://113.160.97.58:8224/Viewer/Downloadfile.aspx?mhd=85bd3546-6edd-417b-b72c-56a14d2e58c8" TargetMode="External"/><Relationship Id="rId454" Type="http://schemas.openxmlformats.org/officeDocument/2006/relationships/hyperlink" Target="http://113.160.97.58:8224/Viewer/HoaDonViewer.aspx?mhd=238f3468-a15e-4875-b274-aef517386eeb&amp;iscd=1" TargetMode="External"/><Relationship Id="rId661" Type="http://schemas.openxmlformats.org/officeDocument/2006/relationships/hyperlink" Target="http://113.160.97.58:8224/Viewer/HoaDonViewer.aspx?mhd=9ccdaca7-4693-4d67-8047-14f321d54cf5" TargetMode="External"/><Relationship Id="rId759" Type="http://schemas.openxmlformats.org/officeDocument/2006/relationships/hyperlink" Target="http://113.160.97.58:8224/Viewer/Downloadfile.aspx?mhd=b78066d0-0dc4-4b56-b370-b0b19f30eca5" TargetMode="External"/><Relationship Id="rId966" Type="http://schemas.openxmlformats.org/officeDocument/2006/relationships/hyperlink" Target="http://113.160.97.58:8224/Viewer/HoaDonViewer.aspx?mhd=97b25498-1464-4b4b-815a-b9414f45b011&amp;iscd=1" TargetMode="External"/><Relationship Id="rId1291" Type="http://schemas.openxmlformats.org/officeDocument/2006/relationships/hyperlink" Target="http://113.160.97.58:8224/Viewer/Downloadfile.aspx?mhd=a15c3686-685b-4fce-8f1f-1292a3266cc6" TargetMode="External"/><Relationship Id="rId1389" Type="http://schemas.openxmlformats.org/officeDocument/2006/relationships/hyperlink" Target="http://113.160.97.58:8224/Viewer/HoaDonViewer.aspx?mhd=2a523fa2-ae54-493b-a286-d319c682af3a" TargetMode="External"/><Relationship Id="rId11" Type="http://schemas.openxmlformats.org/officeDocument/2006/relationships/hyperlink" Target="http://113.160.97.58:8224/Viewer/Downloadfile.aspx?mhd=7b3c0fec-48b9-4cdc-85d1-60c3844bee45" TargetMode="External"/><Relationship Id="rId314" Type="http://schemas.openxmlformats.org/officeDocument/2006/relationships/hyperlink" Target="http://113.160.97.58:8224/Viewer/HoaDonViewer.aspx?mhd=bc5298a8-c4a5-430d-8d84-7a6c0b902af7&amp;iscd=1" TargetMode="External"/><Relationship Id="rId398" Type="http://schemas.openxmlformats.org/officeDocument/2006/relationships/hyperlink" Target="http://113.160.97.58:8224/Viewer/HoaDonViewer.aspx?mhd=71249e20-07aa-498e-a327-5e3428749a86&amp;iscd=1" TargetMode="External"/><Relationship Id="rId521" Type="http://schemas.openxmlformats.org/officeDocument/2006/relationships/hyperlink" Target="http://113.160.97.58:8224/Viewer/HoaDonViewer.aspx?mhd=2150e320-d11d-452e-b342-50adf667e26d" TargetMode="External"/><Relationship Id="rId619" Type="http://schemas.openxmlformats.org/officeDocument/2006/relationships/hyperlink" Target="http://113.160.97.58:8224/Viewer/Downloadfile.aspx?mhd=df5c133e-d6b5-4763-9297-6ee9d808ff7c" TargetMode="External"/><Relationship Id="rId1151" Type="http://schemas.openxmlformats.org/officeDocument/2006/relationships/hyperlink" Target="http://113.160.97.58:8224/Viewer/Downloadfile.aspx?mhd=6043e2f2-ccec-481e-a797-deeb6db43049" TargetMode="External"/><Relationship Id="rId1249" Type="http://schemas.openxmlformats.org/officeDocument/2006/relationships/hyperlink" Target="http://113.160.97.58:8224/Viewer/HoaDonViewer.aspx?mhd=6d7e17f0-3ba0-4e97-bfe6-1ccf48fa1489" TargetMode="External"/><Relationship Id="rId95" Type="http://schemas.openxmlformats.org/officeDocument/2006/relationships/hyperlink" Target="http://113.160.97.58:8224/Viewer/Downloadfile.aspx?mhd=7b163e74-8fc4-47d2-9191-07e38e5ef25e" TargetMode="External"/><Relationship Id="rId160" Type="http://schemas.openxmlformats.org/officeDocument/2006/relationships/hyperlink" Target="https://thuphi.haiphong.gov.vn:8222/tra-cuu-bien-lai-dien-tu?ma_tracuu=HD2W5TMX5R" TargetMode="External"/><Relationship Id="rId826" Type="http://schemas.openxmlformats.org/officeDocument/2006/relationships/hyperlink" Target="http://113.160.97.58:8224/Viewer/HoaDonViewer.aspx?mhd=9aaefd75-eb1c-45a2-8918-0a474fa2a824&amp;iscd=1" TargetMode="External"/><Relationship Id="rId1011" Type="http://schemas.openxmlformats.org/officeDocument/2006/relationships/hyperlink" Target="http://113.160.97.58:8224/Viewer/Downloadfile.aspx?mhd=96412ae7-1e4e-4140-8e82-92d245f767e4" TargetMode="External"/><Relationship Id="rId1109" Type="http://schemas.openxmlformats.org/officeDocument/2006/relationships/hyperlink" Target="http://113.160.97.58:8224/Viewer/HoaDonViewer.aspx?mhd=545ceb02-c254-4f6f-aca3-d57c0dc4ce18" TargetMode="External"/><Relationship Id="rId258" Type="http://schemas.openxmlformats.org/officeDocument/2006/relationships/hyperlink" Target="http://113.160.97.58:8224/Viewer/HoaDonViewer.aspx?mhd=23acd6da-3543-4b3e-9675-dc7c346def81&amp;iscd=1" TargetMode="External"/><Relationship Id="rId465" Type="http://schemas.openxmlformats.org/officeDocument/2006/relationships/hyperlink" Target="http://113.160.97.58:8224/Viewer/HoaDonViewer.aspx?mhd=7b41ed30-29e3-45fe-8b78-ac2e0fb0a307" TargetMode="External"/><Relationship Id="rId672" Type="http://schemas.openxmlformats.org/officeDocument/2006/relationships/hyperlink" Target="https://thuphi.haiphong.gov.vn:8222/tra-cuu-bien-lai-dien-tu?ma_tracuu=QV90K888E4" TargetMode="External"/><Relationship Id="rId1095" Type="http://schemas.openxmlformats.org/officeDocument/2006/relationships/hyperlink" Target="http://113.160.97.58:8224/Viewer/Downloadfile.aspx?mhd=82ba8622-3794-4d4e-8ce6-c114ff2e71fd" TargetMode="External"/><Relationship Id="rId1316" Type="http://schemas.openxmlformats.org/officeDocument/2006/relationships/hyperlink" Target="https://thuphi.haiphong.gov.vn:8222/tra-cuu-bien-lai-dien-tu?ma_tracuu=32USZWW6T1" TargetMode="External"/><Relationship Id="rId22" Type="http://schemas.openxmlformats.org/officeDocument/2006/relationships/hyperlink" Target="http://113.160.97.58:8224/Viewer/HoaDonViewer.aspx?mhd=7ca53f91-1d01-4d4d-b3ed-bca483428193&amp;iscd=1" TargetMode="External"/><Relationship Id="rId118" Type="http://schemas.openxmlformats.org/officeDocument/2006/relationships/hyperlink" Target="http://113.160.97.58:8224/Viewer/HoaDonViewer.aspx?mhd=a1ac71e4-5b53-4300-8bf0-d3a930508528&amp;iscd=1" TargetMode="External"/><Relationship Id="rId325" Type="http://schemas.openxmlformats.org/officeDocument/2006/relationships/hyperlink" Target="http://113.160.97.58:8224/Viewer/HoaDonViewer.aspx?mhd=adc99489-9ef9-4e64-8b6e-ce6f01ef5b62" TargetMode="External"/><Relationship Id="rId532" Type="http://schemas.openxmlformats.org/officeDocument/2006/relationships/hyperlink" Target="https://thuphi.haiphong.gov.vn:8222/tra-cuu-bien-lai-dien-tu?ma_tracuu=6W3CZZ0PC8" TargetMode="External"/><Relationship Id="rId977" Type="http://schemas.openxmlformats.org/officeDocument/2006/relationships/hyperlink" Target="http://113.160.97.58:8224/Viewer/HoaDonViewer.aspx?mhd=29fe7810-c3ff-45f1-9ccb-17f5479eb54b" TargetMode="External"/><Relationship Id="rId1162" Type="http://schemas.openxmlformats.org/officeDocument/2006/relationships/hyperlink" Target="http://113.160.97.58:8224/Viewer/HoaDonViewer.aspx?mhd=7ede1ab3-435e-4a4a-9c3e-f9fbb4ce6198&amp;iscd=1" TargetMode="External"/><Relationship Id="rId171" Type="http://schemas.openxmlformats.org/officeDocument/2006/relationships/hyperlink" Target="http://113.160.97.58:8224/Viewer/Downloadfile.aspx?mhd=0f486266-2990-4da0-a104-7ead4d5d3d6d" TargetMode="External"/><Relationship Id="rId837" Type="http://schemas.openxmlformats.org/officeDocument/2006/relationships/hyperlink" Target="http://113.160.97.58:8224/Viewer/HoaDonViewer.aspx?mhd=f2e11679-39d9-440e-8b1d-e045745f553b" TargetMode="External"/><Relationship Id="rId1022" Type="http://schemas.openxmlformats.org/officeDocument/2006/relationships/hyperlink" Target="http://113.160.97.58:8224/Viewer/HoaDonViewer.aspx?mhd=e92dc50c-2fd8-4890-899c-30fb5fbc2ede&amp;iscd=1" TargetMode="External"/><Relationship Id="rId269" Type="http://schemas.openxmlformats.org/officeDocument/2006/relationships/hyperlink" Target="http://113.160.97.58:8224/Viewer/HoaDonViewer.aspx?mhd=c1496207-e1ea-4b2c-8100-86f7bb894478" TargetMode="External"/><Relationship Id="rId476" Type="http://schemas.openxmlformats.org/officeDocument/2006/relationships/hyperlink" Target="https://thuphi.haiphong.gov.vn:8222/tra-cuu-bien-lai-dien-tu?ma_tracuu=PI4GHQAT4P" TargetMode="External"/><Relationship Id="rId683" Type="http://schemas.openxmlformats.org/officeDocument/2006/relationships/hyperlink" Target="http://113.160.97.58:8224/Viewer/Downloadfile.aspx?mhd=f76ea473-ee36-4d14-bbd9-c0d26552e37c" TargetMode="External"/><Relationship Id="rId890" Type="http://schemas.openxmlformats.org/officeDocument/2006/relationships/hyperlink" Target="http://113.160.97.58:8224/Viewer/HoaDonViewer.aspx?mhd=2799dca8-ecc2-43f5-97c9-68ec09941a86&amp;iscd=1" TargetMode="External"/><Relationship Id="rId904" Type="http://schemas.openxmlformats.org/officeDocument/2006/relationships/hyperlink" Target="https://thuphi.haiphong.gov.vn:8222/tra-cuu-bien-lai-dien-tu?ma_tracuu=RLNPUIED3T" TargetMode="External"/><Relationship Id="rId1327" Type="http://schemas.openxmlformats.org/officeDocument/2006/relationships/hyperlink" Target="http://113.160.97.58:8224/Viewer/Downloadfile.aspx?mhd=699c6215-5fa7-44c6-af5f-1a7729896a2d" TargetMode="External"/><Relationship Id="rId33" Type="http://schemas.openxmlformats.org/officeDocument/2006/relationships/hyperlink" Target="http://113.160.97.58:8224/Viewer/HoaDonViewer.aspx?mhd=160d5b4c-4c77-4206-910f-699b6df177c1" TargetMode="External"/><Relationship Id="rId129" Type="http://schemas.openxmlformats.org/officeDocument/2006/relationships/hyperlink" Target="http://113.160.97.58:8224/Viewer/HoaDonViewer.aspx?mhd=36349a8a-dcfd-44ec-afe9-4149d6c1026a" TargetMode="External"/><Relationship Id="rId336" Type="http://schemas.openxmlformats.org/officeDocument/2006/relationships/hyperlink" Target="https://thuphi.haiphong.gov.vn:8222/tra-cuu-bien-lai-dien-tu?ma_tracuu=3G21H7ZVFA" TargetMode="External"/><Relationship Id="rId543" Type="http://schemas.openxmlformats.org/officeDocument/2006/relationships/hyperlink" Target="http://113.160.97.58:8224/Viewer/Downloadfile.aspx?mhd=57cbf090-9df2-4167-a105-b6d734132e27" TargetMode="External"/><Relationship Id="rId988" Type="http://schemas.openxmlformats.org/officeDocument/2006/relationships/hyperlink" Target="https://thuphi.haiphong.gov.vn:8222/tra-cuu-bien-lai-dien-tu?ma_tracuu=ZUEU8V00XF" TargetMode="External"/><Relationship Id="rId1173" Type="http://schemas.openxmlformats.org/officeDocument/2006/relationships/hyperlink" Target="http://113.160.97.58:8224/Viewer/HoaDonViewer.aspx?mhd=42bbe721-18f9-45e8-a710-dcce92d1bf83" TargetMode="External"/><Relationship Id="rId1380" Type="http://schemas.openxmlformats.org/officeDocument/2006/relationships/hyperlink" Target="https://thuphi.haiphong.gov.vn:8222/tra-cuu-bien-lai-dien-tu?ma_tracuu=HCQ2UQA2TN" TargetMode="External"/><Relationship Id="rId182" Type="http://schemas.openxmlformats.org/officeDocument/2006/relationships/hyperlink" Target="http://113.160.97.58:8224/Viewer/HoaDonViewer.aspx?mhd=5fa641a8-21c6-45dc-8efe-7bfbeec5b3b2&amp;iscd=1" TargetMode="External"/><Relationship Id="rId403" Type="http://schemas.openxmlformats.org/officeDocument/2006/relationships/hyperlink" Target="http://113.160.97.58:8224/Viewer/Downloadfile.aspx?mhd=8d439aeb-2379-4d93-83f4-dffdd761e31a" TargetMode="External"/><Relationship Id="rId750" Type="http://schemas.openxmlformats.org/officeDocument/2006/relationships/hyperlink" Target="http://113.160.97.58:8224/Viewer/HoaDonViewer.aspx?mhd=ca8e7bc5-fc8c-4b24-be3f-7fa273f94933&amp;iscd=1" TargetMode="External"/><Relationship Id="rId848" Type="http://schemas.openxmlformats.org/officeDocument/2006/relationships/hyperlink" Target="https://thuphi.haiphong.gov.vn:8222/tra-cuu-bien-lai-dien-tu?ma_tracuu=2PQFCDRD3P" TargetMode="External"/><Relationship Id="rId1033" Type="http://schemas.openxmlformats.org/officeDocument/2006/relationships/hyperlink" Target="http://113.160.97.58:8224/Viewer/HoaDonViewer.aspx?mhd=07a2cac0-0be3-48ea-b281-6769ea7e361d" TargetMode="External"/><Relationship Id="rId487" Type="http://schemas.openxmlformats.org/officeDocument/2006/relationships/hyperlink" Target="http://113.160.97.58:8224/Viewer/Downloadfile.aspx?mhd=77eabce0-2924-468a-9716-43f258b8739e" TargetMode="External"/><Relationship Id="rId610" Type="http://schemas.openxmlformats.org/officeDocument/2006/relationships/hyperlink" Target="http://113.160.97.58:8224/Viewer/HoaDonViewer.aspx?mhd=382662b2-2a78-4e97-91b6-8373923fb173&amp;iscd=1" TargetMode="External"/><Relationship Id="rId694" Type="http://schemas.openxmlformats.org/officeDocument/2006/relationships/hyperlink" Target="http://113.160.97.58:8224/Viewer/HoaDonViewer.aspx?mhd=75ab17ac-4b94-4fc1-94b1-79c0ec054d09&amp;iscd=1" TargetMode="External"/><Relationship Id="rId708" Type="http://schemas.openxmlformats.org/officeDocument/2006/relationships/hyperlink" Target="https://thuphi.haiphong.gov.vn:8222/tra-cuu-bien-lai-dien-tu?ma_tracuu=3S2KL9F7E9" TargetMode="External"/><Relationship Id="rId915" Type="http://schemas.openxmlformats.org/officeDocument/2006/relationships/hyperlink" Target="http://113.160.97.58:8224/Viewer/Downloadfile.aspx?mhd=84571a9f-8613-4889-8f9a-dc5324b3e2a2" TargetMode="External"/><Relationship Id="rId1240" Type="http://schemas.openxmlformats.org/officeDocument/2006/relationships/hyperlink" Target="https://thuphi.haiphong.gov.vn:8222/tra-cuu-bien-lai-dien-tu?ma_tracuu=L2RHXYCU5P" TargetMode="External"/><Relationship Id="rId1338" Type="http://schemas.openxmlformats.org/officeDocument/2006/relationships/hyperlink" Target="http://113.160.97.58:8224/Viewer/HoaDonViewer.aspx?mhd=710de391-2427-4f2d-aa23-3a41f7085c75&amp;iscd=1" TargetMode="External"/><Relationship Id="rId347" Type="http://schemas.openxmlformats.org/officeDocument/2006/relationships/hyperlink" Target="http://113.160.97.58:8224/Viewer/Downloadfile.aspx?mhd=ca822dcb-1cc3-4537-b10a-17fbb08da10d" TargetMode="External"/><Relationship Id="rId999" Type="http://schemas.openxmlformats.org/officeDocument/2006/relationships/hyperlink" Target="http://113.160.97.58:8224/Viewer/Downloadfile.aspx?mhd=36663e66-3091-44a1-8149-c3c61c942107" TargetMode="External"/><Relationship Id="rId1100" Type="http://schemas.openxmlformats.org/officeDocument/2006/relationships/hyperlink" Target="https://thuphi.haiphong.gov.vn:8222/tra-cuu-bien-lai-dien-tu?ma_tracuu=SEMETZ1AXD" TargetMode="External"/><Relationship Id="rId1184" Type="http://schemas.openxmlformats.org/officeDocument/2006/relationships/hyperlink" Target="https://thuphi.haiphong.gov.vn:8222/tra-cuu-bien-lai-dien-tu?ma_tracuu=HCQ2UQA2TN" TargetMode="External"/><Relationship Id="rId1405" Type="http://schemas.openxmlformats.org/officeDocument/2006/relationships/hyperlink" Target="http://113.160.97.58:8224/Viewer/HoaDonViewer.aspx?mhd=038e0687-d504-4637-af66-60eea510cb48" TargetMode="External"/><Relationship Id="rId44" Type="http://schemas.openxmlformats.org/officeDocument/2006/relationships/hyperlink" Target="https://thuphi.haiphong.gov.vn:8222/tra-cuu-bien-lai-dien-tu?ma_tracuu=UQH4MWGH5X" TargetMode="External"/><Relationship Id="rId554" Type="http://schemas.openxmlformats.org/officeDocument/2006/relationships/hyperlink" Target="http://113.160.97.58:8224/Viewer/HoaDonViewer.aspx?mhd=5ef07cf0-0918-4ba6-8132-026619c7b443&amp;iscd=1" TargetMode="External"/><Relationship Id="rId761" Type="http://schemas.openxmlformats.org/officeDocument/2006/relationships/hyperlink" Target="http://113.160.97.58:8224/Viewer/HoaDonViewer.aspx?mhd=0cf38bfb-b05e-44c0-a5fa-7aa48ee29e08" TargetMode="External"/><Relationship Id="rId859" Type="http://schemas.openxmlformats.org/officeDocument/2006/relationships/hyperlink" Target="http://113.160.97.58:8224/Viewer/Downloadfile.aspx?mhd=53944915-5978-4e9e-ab19-cefd50d2aacc" TargetMode="External"/><Relationship Id="rId1391" Type="http://schemas.openxmlformats.org/officeDocument/2006/relationships/hyperlink" Target="http://113.160.97.58:8224/Viewer/Downloadfile.aspx?mhd=2a523fa2-ae54-493b-a286-d319c682af3a" TargetMode="External"/><Relationship Id="rId193" Type="http://schemas.openxmlformats.org/officeDocument/2006/relationships/hyperlink" Target="http://113.160.97.58:8224/Viewer/HoaDonViewer.aspx?mhd=a7424874-ff94-4eef-ad82-3b1a3a667366" TargetMode="External"/><Relationship Id="rId207" Type="http://schemas.openxmlformats.org/officeDocument/2006/relationships/hyperlink" Target="http://113.160.97.58:8224/Viewer/Downloadfile.aspx?mhd=67297fde-9a31-4662-9aa7-c837feade523" TargetMode="External"/><Relationship Id="rId414" Type="http://schemas.openxmlformats.org/officeDocument/2006/relationships/hyperlink" Target="http://113.160.97.58:8224/Viewer/HoaDonViewer.aspx?mhd=e6415ad5-efca-414f-a6d1-f9c5ddaec05e&amp;iscd=1" TargetMode="External"/><Relationship Id="rId498" Type="http://schemas.openxmlformats.org/officeDocument/2006/relationships/hyperlink" Target="http://113.160.97.58:8224/Viewer/HoaDonViewer.aspx?mhd=2b01ab13-a221-42ff-afef-3b56053736a8&amp;iscd=1" TargetMode="External"/><Relationship Id="rId621" Type="http://schemas.openxmlformats.org/officeDocument/2006/relationships/hyperlink" Target="http://113.160.97.58:8224/Viewer/HoaDonViewer.aspx?mhd=06985f6f-f9ee-4dd7-a21f-091ab0f061a8" TargetMode="External"/><Relationship Id="rId1044" Type="http://schemas.openxmlformats.org/officeDocument/2006/relationships/hyperlink" Target="https://thuphi.haiphong.gov.vn:8222/tra-cuu-bien-lai-dien-tu?ma_tracuu=DI3CHVBFX0" TargetMode="External"/><Relationship Id="rId1251" Type="http://schemas.openxmlformats.org/officeDocument/2006/relationships/hyperlink" Target="http://113.160.97.58:8224/Viewer/Downloadfile.aspx?mhd=6d7e17f0-3ba0-4e97-bfe6-1ccf48fa1489" TargetMode="External"/><Relationship Id="rId1349" Type="http://schemas.openxmlformats.org/officeDocument/2006/relationships/hyperlink" Target="http://113.160.97.58:8224/Viewer/HoaDonViewer.aspx?mhd=4915e286-ddde-47c2-bd0c-8dd018731b2b" TargetMode="External"/><Relationship Id="rId260" Type="http://schemas.openxmlformats.org/officeDocument/2006/relationships/hyperlink" Target="https://thuphi.haiphong.gov.vn:8222/tra-cuu-bien-lai-dien-tu?ma_tracuu=MM2VPDQJFX" TargetMode="External"/><Relationship Id="rId719" Type="http://schemas.openxmlformats.org/officeDocument/2006/relationships/hyperlink" Target="http://113.160.97.58:8224/Viewer/Downloadfile.aspx?mhd=99cf9d00-fe15-48b0-b404-b82b31e1c4cc" TargetMode="External"/><Relationship Id="rId926" Type="http://schemas.openxmlformats.org/officeDocument/2006/relationships/hyperlink" Target="http://113.160.97.58:8224/Viewer/HoaDonViewer.aspx?mhd=a767b660-46f1-4073-a564-055d3f46b452&amp;iscd=1" TargetMode="External"/><Relationship Id="rId1111" Type="http://schemas.openxmlformats.org/officeDocument/2006/relationships/hyperlink" Target="http://113.160.97.58:8224/Viewer/Downloadfile.aspx?mhd=545ceb02-c254-4f6f-aca3-d57c0dc4ce18" TargetMode="External"/><Relationship Id="rId55" Type="http://schemas.openxmlformats.org/officeDocument/2006/relationships/hyperlink" Target="http://113.160.97.58:8224/Viewer/Downloadfile.aspx?mhd=a15c3686-685b-4fce-8f1f-1292a3266cc6" TargetMode="External"/><Relationship Id="rId120" Type="http://schemas.openxmlformats.org/officeDocument/2006/relationships/hyperlink" Target="https://thuphi.haiphong.gov.vn:8222/tra-cuu-bien-lai-dien-tu?ma_tracuu=VDHEI2TE59" TargetMode="External"/><Relationship Id="rId358" Type="http://schemas.openxmlformats.org/officeDocument/2006/relationships/hyperlink" Target="http://113.160.97.58:8224/Viewer/HoaDonViewer.aspx?mhd=d570d55c-b25b-42e6-8774-bef02dc47c8f&amp;iscd=1" TargetMode="External"/><Relationship Id="rId565" Type="http://schemas.openxmlformats.org/officeDocument/2006/relationships/hyperlink" Target="http://113.160.97.58:8224/Viewer/HoaDonViewer.aspx?mhd=727fae9f-68a0-40cb-87b5-8dccb25739c7" TargetMode="External"/><Relationship Id="rId772" Type="http://schemas.openxmlformats.org/officeDocument/2006/relationships/hyperlink" Target="https://thuphi.haiphong.gov.vn:8222/tra-cuu-bien-lai-dien-tu?ma_tracuu=E9W6UEMN34" TargetMode="External"/><Relationship Id="rId1195" Type="http://schemas.openxmlformats.org/officeDocument/2006/relationships/hyperlink" Target="http://113.160.97.58:8224/Viewer/Downloadfile.aspx?mhd=2a523fa2-ae54-493b-a286-d319c682af3a" TargetMode="External"/><Relationship Id="rId1209" Type="http://schemas.openxmlformats.org/officeDocument/2006/relationships/hyperlink" Target="http://113.160.97.58:8224/Viewer/HoaDonViewer.aspx?mhd=038e0687-d504-4637-af66-60eea510cb48" TargetMode="External"/><Relationship Id="rId1416" Type="http://schemas.openxmlformats.org/officeDocument/2006/relationships/hyperlink" Target="https://thuphi.haiphong.gov.vn:8222/tra-cuu-bien-lai-dien-tu?ma_tracuu=BK7P3LUP5C" TargetMode="External"/><Relationship Id="rId218" Type="http://schemas.openxmlformats.org/officeDocument/2006/relationships/hyperlink" Target="http://113.160.97.58:8224/Viewer/HoaDonViewer.aspx?mhd=2e368ab7-6f77-4fe1-b8ea-9cf059ec2ced&amp;iscd=1" TargetMode="External"/><Relationship Id="rId425" Type="http://schemas.openxmlformats.org/officeDocument/2006/relationships/hyperlink" Target="http://113.160.97.58:8224/Viewer/HoaDonViewer.aspx?mhd=b00277a5-a792-4156-98b9-885978b84a1e" TargetMode="External"/><Relationship Id="rId632" Type="http://schemas.openxmlformats.org/officeDocument/2006/relationships/hyperlink" Target="https://thuphi.haiphong.gov.vn:8222/tra-cuu-bien-lai-dien-tu?ma_tracuu=F0RXUWV9D8" TargetMode="External"/><Relationship Id="rId1055" Type="http://schemas.openxmlformats.org/officeDocument/2006/relationships/hyperlink" Target="http://113.160.97.58:8224/Viewer/Downloadfile.aspx?mhd=8463093d-403b-4e3b-b2f1-72b1fe2ec85f" TargetMode="External"/><Relationship Id="rId1262" Type="http://schemas.openxmlformats.org/officeDocument/2006/relationships/hyperlink" Target="http://113.160.97.58:8224/Viewer/HoaDonViewer.aspx?mhd=847aa2fa-8ba0-4e05-84a5-9cf00536f9a6&amp;iscd=1" TargetMode="External"/><Relationship Id="rId271" Type="http://schemas.openxmlformats.org/officeDocument/2006/relationships/hyperlink" Target="http://113.160.97.58:8224/Viewer/Downloadfile.aspx?mhd=c1496207-e1ea-4b2c-8100-86f7bb894478" TargetMode="External"/><Relationship Id="rId937" Type="http://schemas.openxmlformats.org/officeDocument/2006/relationships/hyperlink" Target="http://113.160.97.58:8224/Viewer/HoaDonViewer.aspx?mhd=2881ab14-c2da-48d7-b594-cb60fd778f0c" TargetMode="External"/><Relationship Id="rId1122" Type="http://schemas.openxmlformats.org/officeDocument/2006/relationships/hyperlink" Target="http://113.160.97.58:8224/Viewer/HoaDonViewer.aspx?mhd=c4ec0e23-674b-4431-b7ea-b441347ed723&amp;iscd=1" TargetMode="External"/><Relationship Id="rId66" Type="http://schemas.openxmlformats.org/officeDocument/2006/relationships/hyperlink" Target="http://113.160.97.58:8224/Viewer/HoaDonViewer.aspx?mhd=56329dea-1017-4b1a-9a28-b7466edadd0e&amp;iscd=1" TargetMode="External"/><Relationship Id="rId131" Type="http://schemas.openxmlformats.org/officeDocument/2006/relationships/hyperlink" Target="http://113.160.97.58:8224/Viewer/Downloadfile.aspx?mhd=36349a8a-dcfd-44ec-afe9-4149d6c1026a" TargetMode="External"/><Relationship Id="rId369" Type="http://schemas.openxmlformats.org/officeDocument/2006/relationships/hyperlink" Target="http://113.160.97.58:8224/Viewer/HoaDonViewer.aspx?mhd=c64fa8b8-6651-4478-a301-32ecc56a9d51" TargetMode="External"/><Relationship Id="rId576" Type="http://schemas.openxmlformats.org/officeDocument/2006/relationships/hyperlink" Target="https://thuphi.haiphong.gov.vn:8222/tra-cuu-bien-lai-dien-tu?ma_tracuu=PRCZAS5YCV" TargetMode="External"/><Relationship Id="rId783" Type="http://schemas.openxmlformats.org/officeDocument/2006/relationships/hyperlink" Target="http://113.160.97.58:8224/Viewer/Downloadfile.aspx?mhd=2bfdfcf5-3a65-454c-a4ee-7b61094ca6fa" TargetMode="External"/><Relationship Id="rId990" Type="http://schemas.openxmlformats.org/officeDocument/2006/relationships/hyperlink" Target="http://113.160.97.58:8224/Viewer/HoaDonViewer.aspx?mhd=bbd91efd-5bbe-4cdc-8362-7c4b80a20a6d&amp;iscd=1" TargetMode="External"/><Relationship Id="rId1427" Type="http://schemas.openxmlformats.org/officeDocument/2006/relationships/hyperlink" Target="http://113.160.97.58:8224/Viewer/Downloadfile.aspx?mhd=5006e17d-1a34-4838-966e-ff1b30949cf7" TargetMode="External"/><Relationship Id="rId229" Type="http://schemas.openxmlformats.org/officeDocument/2006/relationships/hyperlink" Target="http://113.160.97.58:8224/Viewer/HoaDonViewer.aspx?mhd=6a0309b4-f65f-4439-a431-e698a2c0e0c2" TargetMode="External"/><Relationship Id="rId436" Type="http://schemas.openxmlformats.org/officeDocument/2006/relationships/hyperlink" Target="https://thuphi.haiphong.gov.vn:8222/tra-cuu-bien-lai-dien-tu?ma_tracuu=W506JVC84Y" TargetMode="External"/><Relationship Id="rId643" Type="http://schemas.openxmlformats.org/officeDocument/2006/relationships/hyperlink" Target="http://113.160.97.58:8224/Viewer/Downloadfile.aspx?mhd=b85689bd-9229-422d-a2c2-d21649007759" TargetMode="External"/><Relationship Id="rId1066" Type="http://schemas.openxmlformats.org/officeDocument/2006/relationships/hyperlink" Target="http://113.160.97.58:8224/Viewer/HoaDonViewer.aspx?mhd=dac33801-3338-4c31-9255-a10f02cc07a1&amp;iscd=1" TargetMode="External"/><Relationship Id="rId1273" Type="http://schemas.openxmlformats.org/officeDocument/2006/relationships/hyperlink" Target="http://113.160.97.58:8224/Viewer/HoaDonViewer.aspx?mhd=a76b921d-da9a-49d9-a19c-c8aa6cd55153" TargetMode="External"/><Relationship Id="rId850" Type="http://schemas.openxmlformats.org/officeDocument/2006/relationships/hyperlink" Target="http://113.160.97.58:8224/Viewer/HoaDonViewer.aspx?mhd=0f2f3f37-2025-496b-b01b-8561a077e3b7&amp;iscd=1" TargetMode="External"/><Relationship Id="rId948" Type="http://schemas.openxmlformats.org/officeDocument/2006/relationships/hyperlink" Target="https://thuphi.haiphong.gov.vn:8222/tra-cuu-bien-lai-dien-tu?ma_tracuu=GVIZ5XNX3Y" TargetMode="External"/><Relationship Id="rId1133" Type="http://schemas.openxmlformats.org/officeDocument/2006/relationships/hyperlink" Target="http://113.160.97.58:8224/Viewer/HoaDonViewer.aspx?mhd=da8a88b5-bf93-4e1c-a7a7-eee28e3c5fdf" TargetMode="External"/><Relationship Id="rId77" Type="http://schemas.openxmlformats.org/officeDocument/2006/relationships/hyperlink" Target="http://113.160.97.58:8224/Viewer/HoaDonViewer.aspx?mhd=a60c5af1-388d-49e2-a18b-1b7387d7d7e9" TargetMode="External"/><Relationship Id="rId282" Type="http://schemas.openxmlformats.org/officeDocument/2006/relationships/hyperlink" Target="http://113.160.97.58:8224/Viewer/HoaDonViewer.aspx?mhd=beaeccbc-9a3f-4d13-8700-171228ddc7b7&amp;iscd=1" TargetMode="External"/><Relationship Id="rId503" Type="http://schemas.openxmlformats.org/officeDocument/2006/relationships/hyperlink" Target="http://113.160.97.58:8224/Viewer/Downloadfile.aspx?mhd=3cd51a2e-c21b-4713-9a02-a3274345c9b4" TargetMode="External"/><Relationship Id="rId587" Type="http://schemas.openxmlformats.org/officeDocument/2006/relationships/hyperlink" Target="http://113.160.97.58:8224/Viewer/Downloadfile.aspx?mhd=129f3fa5-8585-46b0-86d9-e280969f7d92" TargetMode="External"/><Relationship Id="rId710" Type="http://schemas.openxmlformats.org/officeDocument/2006/relationships/hyperlink" Target="http://113.160.97.58:8224/Viewer/HoaDonViewer.aspx?mhd=33261373-592e-4bca-86a4-5c3417bd8895&amp;iscd=1" TargetMode="External"/><Relationship Id="rId808" Type="http://schemas.openxmlformats.org/officeDocument/2006/relationships/hyperlink" Target="https://thuphi.haiphong.gov.vn:8222/tra-cuu-bien-lai-dien-tu?ma_tracuu=HQSNZF6B3W" TargetMode="External"/><Relationship Id="rId1340" Type="http://schemas.openxmlformats.org/officeDocument/2006/relationships/hyperlink" Target="https://thuphi.haiphong.gov.vn:8222/tra-cuu-bien-lai-dien-tu?ma_tracuu=VVII91Q5TQ" TargetMode="External"/><Relationship Id="rId1438" Type="http://schemas.openxmlformats.org/officeDocument/2006/relationships/hyperlink" Target="http://113.160.97.58:8224/Viewer/HoaDonViewer.aspx?mhd=5e3066e8-15e5-49ee-a613-07ac4d35ca2a&amp;iscd=1" TargetMode="External"/><Relationship Id="rId8" Type="http://schemas.openxmlformats.org/officeDocument/2006/relationships/hyperlink" Target="https://thuphi.haiphong.gov.vn:8222/tra-cuu-bien-lai-dien-tu?ma_tracuu=CYI4CP1U5V" TargetMode="External"/><Relationship Id="rId142" Type="http://schemas.openxmlformats.org/officeDocument/2006/relationships/hyperlink" Target="http://113.160.97.58:8224/Viewer/HoaDonViewer.aspx?mhd=c5709791-985c-4ed5-a2af-9dec56e3199a&amp;iscd=1" TargetMode="External"/><Relationship Id="rId447" Type="http://schemas.openxmlformats.org/officeDocument/2006/relationships/hyperlink" Target="http://113.160.97.58:8224/Viewer/Downloadfile.aspx?mhd=7621c7da-9d76-4f83-bf88-6c174e3e9ef8" TargetMode="External"/><Relationship Id="rId794" Type="http://schemas.openxmlformats.org/officeDocument/2006/relationships/hyperlink" Target="http://113.160.97.58:8224/Viewer/HoaDonViewer.aspx?mhd=871d221f-9b1f-41eb-819d-86e338d4fa22&amp;iscd=1" TargetMode="External"/><Relationship Id="rId1077" Type="http://schemas.openxmlformats.org/officeDocument/2006/relationships/hyperlink" Target="http://113.160.97.58:8224/Viewer/HoaDonViewer.aspx?mhd=3b9945a1-b229-4f0b-af66-f0448b4d18e8" TargetMode="External"/><Relationship Id="rId1200" Type="http://schemas.openxmlformats.org/officeDocument/2006/relationships/hyperlink" Target="https://thuphi.haiphong.gov.vn:8222/tra-cuu-bien-lai-dien-tu?ma_tracuu=MVVAUEZ2TB" TargetMode="External"/><Relationship Id="rId654" Type="http://schemas.openxmlformats.org/officeDocument/2006/relationships/hyperlink" Target="http://113.160.97.58:8224/Viewer/HoaDonViewer.aspx?mhd=38cc28f9-83bd-405c-b7df-186ae363d744&amp;iscd=1" TargetMode="External"/><Relationship Id="rId861" Type="http://schemas.openxmlformats.org/officeDocument/2006/relationships/hyperlink" Target="http://113.160.97.58:8224/Viewer/HoaDonViewer.aspx?mhd=de82cdff-bfd5-4e28-a1a1-aa2195d4657a" TargetMode="External"/><Relationship Id="rId959" Type="http://schemas.openxmlformats.org/officeDocument/2006/relationships/hyperlink" Target="http://113.160.97.58:8224/Viewer/Downloadfile.aspx?mhd=6b08d8d1-771e-41e0-8059-01c84e7f4d36" TargetMode="External"/><Relationship Id="rId1284" Type="http://schemas.openxmlformats.org/officeDocument/2006/relationships/hyperlink" Target="https://thuphi.haiphong.gov.vn:8222/tra-cuu-bien-lai-dien-tu?ma_tracuu=FPGRR7BH5X" TargetMode="External"/><Relationship Id="rId293" Type="http://schemas.openxmlformats.org/officeDocument/2006/relationships/hyperlink" Target="http://113.160.97.58:8224/Viewer/HoaDonViewer.aspx?mhd=27b84260-40be-46ad-ac64-15b80a951379" TargetMode="External"/><Relationship Id="rId307" Type="http://schemas.openxmlformats.org/officeDocument/2006/relationships/hyperlink" Target="http://113.160.97.58:8224/Viewer/Downloadfile.aspx?mhd=54f6dd9c-8e1a-476e-a437-9f4df6b13e4b" TargetMode="External"/><Relationship Id="rId514" Type="http://schemas.openxmlformats.org/officeDocument/2006/relationships/hyperlink" Target="http://113.160.97.58:8224/Viewer/HoaDonViewer.aspx?mhd=6c17e79d-c40a-4cf8-9d12-e23e4091bb7c&amp;iscd=1" TargetMode="External"/><Relationship Id="rId721" Type="http://schemas.openxmlformats.org/officeDocument/2006/relationships/hyperlink" Target="http://113.160.97.58:8224/Viewer/HoaDonViewer.aspx?mhd=2ede85cf-6c7e-4847-a76b-0b97e962a717" TargetMode="External"/><Relationship Id="rId1144" Type="http://schemas.openxmlformats.org/officeDocument/2006/relationships/hyperlink" Target="https://thuphi.haiphong.gov.vn:8222/tra-cuu-bien-lai-dien-tu?ma_tracuu=LFR3N4MCS6" TargetMode="External"/><Relationship Id="rId1351" Type="http://schemas.openxmlformats.org/officeDocument/2006/relationships/hyperlink" Target="http://113.160.97.58:8224/Viewer/Downloadfile.aspx?mhd=4915e286-ddde-47c2-bd0c-8dd018731b2b" TargetMode="External"/><Relationship Id="rId1449" Type="http://schemas.openxmlformats.org/officeDocument/2006/relationships/hyperlink" Target="http://113.160.97.58:8224/Viewer/HoaDonViewer.aspx?mhd=0d01c7c4-3186-4e9d-bc79-c5ac152db48b" TargetMode="External"/><Relationship Id="rId88" Type="http://schemas.openxmlformats.org/officeDocument/2006/relationships/hyperlink" Target="https://thuphi.haiphong.gov.vn:8222/tra-cuu-bien-lai-dien-tu?ma_tracuu=E6PWKDBE5D" TargetMode="External"/><Relationship Id="rId153" Type="http://schemas.openxmlformats.org/officeDocument/2006/relationships/hyperlink" Target="http://113.160.97.58:8224/Viewer/HoaDonViewer.aspx?mhd=d46a5e68-f003-49d6-97d8-5daa3789b3b8" TargetMode="External"/><Relationship Id="rId360" Type="http://schemas.openxmlformats.org/officeDocument/2006/relationships/hyperlink" Target="https://thuphi.haiphong.gov.vn:8222/tra-cuu-bien-lai-dien-tu?ma_tracuu=E3YQHXSPRF" TargetMode="External"/><Relationship Id="rId598" Type="http://schemas.openxmlformats.org/officeDocument/2006/relationships/hyperlink" Target="http://113.160.97.58:8224/Viewer/HoaDonViewer.aspx?mhd=1eefcfca-100c-46b3-87eb-d50834c2cd05&amp;iscd=1" TargetMode="External"/><Relationship Id="rId819" Type="http://schemas.openxmlformats.org/officeDocument/2006/relationships/hyperlink" Target="http://113.160.97.58:8224/Viewer/Downloadfile.aspx?mhd=46736446-8bde-4aae-8142-f9adebdcaffe" TargetMode="External"/><Relationship Id="rId1004" Type="http://schemas.openxmlformats.org/officeDocument/2006/relationships/hyperlink" Target="https://thuphi.haiphong.gov.vn:8222/tra-cuu-bien-lai-dien-tu?ma_tracuu=8WIJ9F90XF" TargetMode="External"/><Relationship Id="rId1211" Type="http://schemas.openxmlformats.org/officeDocument/2006/relationships/hyperlink" Target="http://113.160.97.58:8224/Viewer/Downloadfile.aspx?mhd=038e0687-d504-4637-af66-60eea510cb48" TargetMode="External"/><Relationship Id="rId220" Type="http://schemas.openxmlformats.org/officeDocument/2006/relationships/hyperlink" Target="https://thuphi.haiphong.gov.vn:8222/tra-cuu-bien-lai-dien-tu?ma_tracuu=I5UYFI28FE" TargetMode="External"/><Relationship Id="rId458" Type="http://schemas.openxmlformats.org/officeDocument/2006/relationships/hyperlink" Target="http://113.160.97.58:8224/Viewer/HoaDonViewer.aspx?mhd=462fb770-96c3-4159-902d-32abdd876b5e&amp;iscd=1" TargetMode="External"/><Relationship Id="rId665" Type="http://schemas.openxmlformats.org/officeDocument/2006/relationships/hyperlink" Target="http://113.160.97.58:8224/Viewer/HoaDonViewer.aspx?mhd=54c19889-1495-48b2-b990-3ea4ca96e0cb" TargetMode="External"/><Relationship Id="rId872" Type="http://schemas.openxmlformats.org/officeDocument/2006/relationships/hyperlink" Target="https://thuphi.haiphong.gov.vn:8222/tra-cuu-bien-lai-dien-tu?ma_tracuu=YYYWA24D3X" TargetMode="External"/><Relationship Id="rId1088" Type="http://schemas.openxmlformats.org/officeDocument/2006/relationships/hyperlink" Target="https://thuphi.haiphong.gov.vn:8222/tra-cuu-bien-lai-dien-tu?ma_tracuu=RXVX2YIAXH" TargetMode="External"/><Relationship Id="rId1295" Type="http://schemas.openxmlformats.org/officeDocument/2006/relationships/hyperlink" Target="http://113.160.97.58:8224/Viewer/Downloadfile.aspx?mhd=a7516057-8ca7-4882-ba7a-1a4eaa4cbfbd" TargetMode="External"/><Relationship Id="rId1309" Type="http://schemas.openxmlformats.org/officeDocument/2006/relationships/hyperlink" Target="http://113.160.97.58:8224/Viewer/HoaDonViewer.aspx?mhd=18288ce8-61dc-455c-adf4-c35d73d8db04" TargetMode="External"/><Relationship Id="rId15" Type="http://schemas.openxmlformats.org/officeDocument/2006/relationships/hyperlink" Target="http://113.160.97.58:8224/Viewer/Downloadfile.aspx?mhd=6d7e17f0-3ba0-4e97-bfe6-1ccf48fa1489" TargetMode="External"/><Relationship Id="rId318" Type="http://schemas.openxmlformats.org/officeDocument/2006/relationships/hyperlink" Target="http://113.160.97.58:8224/Viewer/HoaDonViewer.aspx?mhd=29d50d30-8d3e-41d8-bd3a-cb557c6ea8dc&amp;iscd=1" TargetMode="External"/><Relationship Id="rId525" Type="http://schemas.openxmlformats.org/officeDocument/2006/relationships/hyperlink" Target="http://113.160.97.58:8224/Viewer/HoaDonViewer.aspx?mhd=19c0b8df-ceb0-4589-86f8-b60f251920ab" TargetMode="External"/><Relationship Id="rId732" Type="http://schemas.openxmlformats.org/officeDocument/2006/relationships/hyperlink" Target="https://thuphi.haiphong.gov.vn:8222/tra-cuu-bien-lai-dien-tu?ma_tracuu=YHRMIM9CET" TargetMode="External"/><Relationship Id="rId1155" Type="http://schemas.openxmlformats.org/officeDocument/2006/relationships/hyperlink" Target="http://113.160.97.58:8224/Viewer/Downloadfile.aspx?mhd=eadad92b-daba-4996-b150-d9924185d77c" TargetMode="External"/><Relationship Id="rId1362" Type="http://schemas.openxmlformats.org/officeDocument/2006/relationships/hyperlink" Target="http://113.160.97.58:8224/Viewer/HoaDonViewer.aspx?mhd=93db2b70-abce-4b36-865c-46c65b9a3480&amp;iscd=1" TargetMode="External"/><Relationship Id="rId99" Type="http://schemas.openxmlformats.org/officeDocument/2006/relationships/hyperlink" Target="http://113.160.97.58:8224/Viewer/Downloadfile.aspx?mhd=6cc65e25-6ea3-41d6-b38f-8e6759a70e7e" TargetMode="External"/><Relationship Id="rId164" Type="http://schemas.openxmlformats.org/officeDocument/2006/relationships/hyperlink" Target="https://thuphi.haiphong.gov.vn:8222/tra-cuu-bien-lai-dien-tu?ma_tracuu=9X4KKFUX5B" TargetMode="External"/><Relationship Id="rId371" Type="http://schemas.openxmlformats.org/officeDocument/2006/relationships/hyperlink" Target="http://113.160.97.58:8224/Viewer/Downloadfile.aspx?mhd=c64fa8b8-6651-4478-a301-32ecc56a9d51" TargetMode="External"/><Relationship Id="rId1015" Type="http://schemas.openxmlformats.org/officeDocument/2006/relationships/hyperlink" Target="http://113.160.97.58:8224/Viewer/Downloadfile.aspx?mhd=62c2eb57-488d-49d9-ad21-9e4f6d7e57a4" TargetMode="External"/><Relationship Id="rId1222" Type="http://schemas.openxmlformats.org/officeDocument/2006/relationships/hyperlink" Target="http://113.160.97.58:8224/Viewer/HoaDonViewer.aspx?mhd=49431209-154d-4c06-8408-8359b91760a2&amp;iscd=1" TargetMode="External"/><Relationship Id="rId469" Type="http://schemas.openxmlformats.org/officeDocument/2006/relationships/hyperlink" Target="http://113.160.97.58:8224/Viewer/HoaDonViewer.aspx?mhd=d28fac4f-86dc-453f-b820-b0b41b1990b4" TargetMode="External"/><Relationship Id="rId676" Type="http://schemas.openxmlformats.org/officeDocument/2006/relationships/hyperlink" Target="https://thuphi.haiphong.gov.vn:8222/tra-cuu-bien-lai-dien-tu?ma_tracuu=7AVMMQRMEA" TargetMode="External"/><Relationship Id="rId883" Type="http://schemas.openxmlformats.org/officeDocument/2006/relationships/hyperlink" Target="http://113.160.97.58:8224/Viewer/Downloadfile.aspx?mhd=57cc605a-beac-4811-be06-98bde2205a3a" TargetMode="External"/><Relationship Id="rId1099" Type="http://schemas.openxmlformats.org/officeDocument/2006/relationships/hyperlink" Target="http://113.160.97.58:8224/Viewer/Downloadfile.aspx?mhd=935576c0-80ca-4272-8362-fe225ca0a207" TargetMode="External"/><Relationship Id="rId26" Type="http://schemas.openxmlformats.org/officeDocument/2006/relationships/hyperlink" Target="http://113.160.97.58:8224/Viewer/HoaDonViewer.aspx?mhd=847aa2fa-8ba0-4e05-84a5-9cf00536f9a6&amp;iscd=1" TargetMode="External"/><Relationship Id="rId231" Type="http://schemas.openxmlformats.org/officeDocument/2006/relationships/hyperlink" Target="http://113.160.97.58:8224/Viewer/Downloadfile.aspx?mhd=6a0309b4-f65f-4439-a431-e698a2c0e0c2" TargetMode="External"/><Relationship Id="rId329" Type="http://schemas.openxmlformats.org/officeDocument/2006/relationships/hyperlink" Target="http://113.160.97.58:8224/Viewer/HoaDonViewer.aspx?mhd=9ca16921-9e64-4222-a529-5a78fff42b2f" TargetMode="External"/><Relationship Id="rId536" Type="http://schemas.openxmlformats.org/officeDocument/2006/relationships/hyperlink" Target="https://thuphi.haiphong.gov.vn:8222/tra-cuu-bien-lai-dien-tu?ma_tracuu=HSWCULAJC2" TargetMode="External"/><Relationship Id="rId1166" Type="http://schemas.openxmlformats.org/officeDocument/2006/relationships/hyperlink" Target="http://113.160.97.58:8224/Viewer/HoaDonViewer.aspx?mhd=1e11baa0-ab92-4165-959c-f679d0bace76&amp;iscd=1" TargetMode="External"/><Relationship Id="rId1373" Type="http://schemas.openxmlformats.org/officeDocument/2006/relationships/hyperlink" Target="http://113.160.97.58:8224/Viewer/HoaDonViewer.aspx?mhd=87482fa3-d9a6-4406-bf3d-4e9347f60994" TargetMode="External"/><Relationship Id="rId175" Type="http://schemas.openxmlformats.org/officeDocument/2006/relationships/hyperlink" Target="http://113.160.97.58:8224/Viewer/Downloadfile.aspx?mhd=0c893a9a-2db7-474a-a308-2aa1acaf0399" TargetMode="External"/><Relationship Id="rId743" Type="http://schemas.openxmlformats.org/officeDocument/2006/relationships/hyperlink" Target="http://113.160.97.58:8224/Viewer/Downloadfile.aspx?mhd=00583ac6-f9fa-4752-a2aa-f20100680f68" TargetMode="External"/><Relationship Id="rId950" Type="http://schemas.openxmlformats.org/officeDocument/2006/relationships/hyperlink" Target="http://113.160.97.58:8224/Viewer/HoaDonViewer.aspx?mhd=559e5366-40af-4ea9-b014-5640d3c3af16&amp;iscd=1" TargetMode="External"/><Relationship Id="rId1026" Type="http://schemas.openxmlformats.org/officeDocument/2006/relationships/hyperlink" Target="http://113.160.97.58:8224/Viewer/HoaDonViewer.aspx?mhd=84468227-d613-4889-b3fe-08d45e180112&amp;iscd=1" TargetMode="External"/><Relationship Id="rId382" Type="http://schemas.openxmlformats.org/officeDocument/2006/relationships/hyperlink" Target="http://113.160.97.58:8224/Viewer/HoaDonViewer.aspx?mhd=132f62df-fa13-4add-9147-64ec43eb31de&amp;iscd=1" TargetMode="External"/><Relationship Id="rId603" Type="http://schemas.openxmlformats.org/officeDocument/2006/relationships/hyperlink" Target="http://113.160.97.58:8224/Viewer/Downloadfile.aspx?mhd=d288b629-f731-40ef-83ad-eb37ae0a5e65" TargetMode="External"/><Relationship Id="rId687" Type="http://schemas.openxmlformats.org/officeDocument/2006/relationships/hyperlink" Target="http://113.160.97.58:8224/Viewer/Downloadfile.aspx?mhd=711aeafb-a045-447b-8d80-3004240de030" TargetMode="External"/><Relationship Id="rId810" Type="http://schemas.openxmlformats.org/officeDocument/2006/relationships/hyperlink" Target="http://113.160.97.58:8224/Viewer/HoaDonViewer.aspx?mhd=c74b1407-3292-4931-846f-60a7e599bf12&amp;iscd=1" TargetMode="External"/><Relationship Id="rId908" Type="http://schemas.openxmlformats.org/officeDocument/2006/relationships/hyperlink" Target="https://thuphi.haiphong.gov.vn:8222/tra-cuu-bien-lai-dien-tu?ma_tracuu=30C37QCD3S" TargetMode="External"/><Relationship Id="rId1233" Type="http://schemas.openxmlformats.org/officeDocument/2006/relationships/hyperlink" Target="http://113.160.97.58:8224/Viewer/HoaDonViewer.aspx?mhd=ac580fb3-4267-4be9-8b1c-3738f6267e08" TargetMode="External"/><Relationship Id="rId1440" Type="http://schemas.openxmlformats.org/officeDocument/2006/relationships/hyperlink" Target="https://thuphi.haiphong.gov.vn:8222/tra-cuu-bien-lai-dien-tu?ma_tracuu=5ZWZZCK6YF" TargetMode="External"/><Relationship Id="rId242" Type="http://schemas.openxmlformats.org/officeDocument/2006/relationships/hyperlink" Target="http://113.160.97.58:8224/Viewer/HoaDonViewer.aspx?mhd=c79064f9-da0e-4c54-a292-680e91f3c357&amp;iscd=1" TargetMode="External"/><Relationship Id="rId894" Type="http://schemas.openxmlformats.org/officeDocument/2006/relationships/hyperlink" Target="http://113.160.97.58:8224/Viewer/HoaDonViewer.aspx?mhd=88a33e95-96e5-4c98-802c-9956d7222009&amp;iscd=1" TargetMode="External"/><Relationship Id="rId1177" Type="http://schemas.openxmlformats.org/officeDocument/2006/relationships/hyperlink" Target="http://113.160.97.58:8224/Viewer/HoaDonViewer.aspx?mhd=6598156e-30d8-4762-9f46-de8e83b6dcec" TargetMode="External"/><Relationship Id="rId1300" Type="http://schemas.openxmlformats.org/officeDocument/2006/relationships/hyperlink" Target="https://thuphi.haiphong.gov.vn:8222/tra-cuu-bien-lai-dien-tu?ma_tracuu=94WJMPX6TC" TargetMode="External"/><Relationship Id="rId37" Type="http://schemas.openxmlformats.org/officeDocument/2006/relationships/hyperlink" Target="http://113.160.97.58:8224/Viewer/HoaDonViewer.aspx?mhd=a76b921d-da9a-49d9-a19c-c8aa6cd55153" TargetMode="External"/><Relationship Id="rId102" Type="http://schemas.openxmlformats.org/officeDocument/2006/relationships/hyperlink" Target="http://113.160.97.58:8224/Viewer/HoaDonViewer.aspx?mhd=895fbdf4-69af-41c1-9e49-d02005087eb7&amp;iscd=1" TargetMode="External"/><Relationship Id="rId547" Type="http://schemas.openxmlformats.org/officeDocument/2006/relationships/hyperlink" Target="http://113.160.97.58:8224/Viewer/Downloadfile.aspx?mhd=4308d4a5-eeba-4290-8332-23875a649a16" TargetMode="External"/><Relationship Id="rId754" Type="http://schemas.openxmlformats.org/officeDocument/2006/relationships/hyperlink" Target="http://113.160.97.58:8224/Viewer/HoaDonViewer.aspx?mhd=3ade4c2b-0216-4f9b-8e93-7b319fa383e3&amp;iscd=1" TargetMode="External"/><Relationship Id="rId961" Type="http://schemas.openxmlformats.org/officeDocument/2006/relationships/hyperlink" Target="http://113.160.97.58:8224/Viewer/HoaDonViewer.aspx?mhd=aaa01960-0704-41c6-aec8-896218063bc3" TargetMode="External"/><Relationship Id="rId1384" Type="http://schemas.openxmlformats.org/officeDocument/2006/relationships/hyperlink" Target="https://thuphi.haiphong.gov.vn:8222/tra-cuu-bien-lai-dien-tu?ma_tracuu=MQG6NIA2T9" TargetMode="External"/><Relationship Id="rId90" Type="http://schemas.openxmlformats.org/officeDocument/2006/relationships/hyperlink" Target="http://113.160.97.58:8224/Viewer/HoaDonViewer.aspx?mhd=0fcc6745-4aa2-417a-b40f-f6b78812b749&amp;iscd=1" TargetMode="External"/><Relationship Id="rId186" Type="http://schemas.openxmlformats.org/officeDocument/2006/relationships/hyperlink" Target="http://113.160.97.58:8224/Viewer/HoaDonViewer.aspx?mhd=ef2af903-5b60-4d0f-8fd9-44c59da2e245&amp;iscd=1" TargetMode="External"/><Relationship Id="rId393" Type="http://schemas.openxmlformats.org/officeDocument/2006/relationships/hyperlink" Target="http://113.160.97.58:8224/Viewer/HoaDonViewer.aspx?mhd=eafa00d1-a289-48ba-8728-c9b88499343a" TargetMode="External"/><Relationship Id="rId407" Type="http://schemas.openxmlformats.org/officeDocument/2006/relationships/hyperlink" Target="http://113.160.97.58:8224/Viewer/Downloadfile.aspx?mhd=c34e3e5a-c92d-4507-892d-fc8fb7ddc4b8" TargetMode="External"/><Relationship Id="rId614" Type="http://schemas.openxmlformats.org/officeDocument/2006/relationships/hyperlink" Target="http://113.160.97.58:8224/Viewer/HoaDonViewer.aspx?mhd=6db8e244-68b1-4a92-8642-ce809dc0a8cd&amp;iscd=1" TargetMode="External"/><Relationship Id="rId821" Type="http://schemas.openxmlformats.org/officeDocument/2006/relationships/hyperlink" Target="http://113.160.97.58:8224/Viewer/HoaDonViewer.aspx?mhd=6c004e3f-f539-4235-b6d6-47b73f3e7aa8" TargetMode="External"/><Relationship Id="rId1037" Type="http://schemas.openxmlformats.org/officeDocument/2006/relationships/hyperlink" Target="http://113.160.97.58:8224/Viewer/HoaDonViewer.aspx?mhd=a83ffd3a-93ed-4748-9d52-48a994696486" TargetMode="External"/><Relationship Id="rId1244" Type="http://schemas.openxmlformats.org/officeDocument/2006/relationships/hyperlink" Target="https://thuphi.haiphong.gov.vn:8222/tra-cuu-bien-lai-dien-tu?ma_tracuu=CYI4CP1U5V" TargetMode="External"/><Relationship Id="rId1451" Type="http://schemas.openxmlformats.org/officeDocument/2006/relationships/hyperlink" Target="http://113.160.97.58:8224/Viewer/Downloadfile.aspx?mhd=0d01c7c4-3186-4e9d-bc79-c5ac152db48b" TargetMode="External"/><Relationship Id="rId253" Type="http://schemas.openxmlformats.org/officeDocument/2006/relationships/hyperlink" Target="http://113.160.97.58:8224/Viewer/HoaDonViewer.aspx?mhd=dc61d3aa-1718-48be-bc94-0071d147ef14" TargetMode="External"/><Relationship Id="rId460" Type="http://schemas.openxmlformats.org/officeDocument/2006/relationships/hyperlink" Target="https://thuphi.haiphong.gov.vn:8222/tra-cuu-bien-lai-dien-tu?ma_tracuu=XEY1F93G4L" TargetMode="External"/><Relationship Id="rId698" Type="http://schemas.openxmlformats.org/officeDocument/2006/relationships/hyperlink" Target="http://113.160.97.58:8224/Viewer/HoaDonViewer.aspx?mhd=2dfc2eea-5250-484b-b84d-5a1c2f97b32f&amp;iscd=1" TargetMode="External"/><Relationship Id="rId919" Type="http://schemas.openxmlformats.org/officeDocument/2006/relationships/hyperlink" Target="http://113.160.97.58:8224/Viewer/Downloadfile.aspx?mhd=3fb9dbcd-bccb-4871-9744-9f88feb454d4" TargetMode="External"/><Relationship Id="rId1090" Type="http://schemas.openxmlformats.org/officeDocument/2006/relationships/hyperlink" Target="http://113.160.97.58:8224/Viewer/HoaDonViewer.aspx?mhd=b26e92d2-d3ae-4354-a5e4-172c61128736&amp;iscd=1" TargetMode="External"/><Relationship Id="rId1104" Type="http://schemas.openxmlformats.org/officeDocument/2006/relationships/hyperlink" Target="https://thuphi.haiphong.gov.vn:8222/tra-cuu-bien-lai-dien-tu?ma_tracuu=J2HUQYQAXG" TargetMode="External"/><Relationship Id="rId1311" Type="http://schemas.openxmlformats.org/officeDocument/2006/relationships/hyperlink" Target="http://113.160.97.58:8224/Viewer/Downloadfile.aspx?mhd=18288ce8-61dc-455c-adf4-c35d73d8db04" TargetMode="External"/><Relationship Id="rId48" Type="http://schemas.openxmlformats.org/officeDocument/2006/relationships/hyperlink" Target="https://thuphi.haiphong.gov.vn:8222/tra-cuu-bien-lai-dien-tu?ma_tracuu=FPGRR7BH5X" TargetMode="External"/><Relationship Id="rId113" Type="http://schemas.openxmlformats.org/officeDocument/2006/relationships/hyperlink" Target="http://113.160.97.58:8224/Viewer/HoaDonViewer.aspx?mhd=f8b8ea0c-7da3-4e21-9b6a-3994a5e3e091" TargetMode="External"/><Relationship Id="rId320" Type="http://schemas.openxmlformats.org/officeDocument/2006/relationships/hyperlink" Target="https://thuphi.haiphong.gov.vn:8222/tra-cuu-bien-lai-dien-tu?ma_tracuu=Y0FNYB37F0" TargetMode="External"/><Relationship Id="rId558" Type="http://schemas.openxmlformats.org/officeDocument/2006/relationships/hyperlink" Target="http://113.160.97.58:8224/Viewer/HoaDonViewer.aspx?mhd=4321550f-10ec-47a0-ba89-a9e87ba834ea&amp;iscd=1" TargetMode="External"/><Relationship Id="rId765" Type="http://schemas.openxmlformats.org/officeDocument/2006/relationships/hyperlink" Target="http://113.160.97.58:8224/Viewer/HoaDonViewer.aspx?mhd=c1d25752-5007-4bd8-86cc-e164c33410d1" TargetMode="External"/><Relationship Id="rId972" Type="http://schemas.openxmlformats.org/officeDocument/2006/relationships/hyperlink" Target="https://thuphi.haiphong.gov.vn:8222/tra-cuu-bien-lai-dien-tu?ma_tracuu=WF978W6S36" TargetMode="External"/><Relationship Id="rId1188" Type="http://schemas.openxmlformats.org/officeDocument/2006/relationships/hyperlink" Target="https://thuphi.haiphong.gov.vn:8222/tra-cuu-bien-lai-dien-tu?ma_tracuu=MQG6NIA2T9" TargetMode="External"/><Relationship Id="rId1395" Type="http://schemas.openxmlformats.org/officeDocument/2006/relationships/hyperlink" Target="http://113.160.97.58:8224/Viewer/Downloadfile.aspx?mhd=60a63e4f-5050-4195-b62b-498849431a8e" TargetMode="External"/><Relationship Id="rId1409" Type="http://schemas.openxmlformats.org/officeDocument/2006/relationships/hyperlink" Target="http://113.160.97.58:8224/Viewer/HoaDonViewer.aspx?mhd=ead8845c-ad24-4b7a-a663-94586b54a6e9" TargetMode="External"/><Relationship Id="rId197" Type="http://schemas.openxmlformats.org/officeDocument/2006/relationships/hyperlink" Target="http://113.160.97.58:8224/Viewer/HoaDonViewer.aspx?mhd=8e6eea0d-b854-4b24-9c58-052ee0a441da" TargetMode="External"/><Relationship Id="rId418" Type="http://schemas.openxmlformats.org/officeDocument/2006/relationships/hyperlink" Target="http://113.160.97.58:8224/Viewer/HoaDonViewer.aspx?mhd=42d228d8-8701-4540-900b-32716e8ce8e6&amp;iscd=1" TargetMode="External"/><Relationship Id="rId625" Type="http://schemas.openxmlformats.org/officeDocument/2006/relationships/hyperlink" Target="http://113.160.97.58:8224/Viewer/HoaDonViewer.aspx?mhd=9f9a837c-258b-4916-83b8-c2f3e238a324" TargetMode="External"/><Relationship Id="rId832" Type="http://schemas.openxmlformats.org/officeDocument/2006/relationships/hyperlink" Target="https://thuphi.haiphong.gov.vn:8222/tra-cuu-bien-lai-dien-tu?ma_tracuu=21D3SDVD38" TargetMode="External"/><Relationship Id="rId1048" Type="http://schemas.openxmlformats.org/officeDocument/2006/relationships/hyperlink" Target="https://thuphi.haiphong.gov.vn:8222/tra-cuu-bien-lai-dien-tu?ma_tracuu=3721ASGFXF" TargetMode="External"/><Relationship Id="rId1255" Type="http://schemas.openxmlformats.org/officeDocument/2006/relationships/hyperlink" Target="http://113.160.97.58:8224/Viewer/Downloadfile.aspx?mhd=ecb3994c-876d-4dac-ac03-172281686dcc" TargetMode="External"/><Relationship Id="rId264" Type="http://schemas.openxmlformats.org/officeDocument/2006/relationships/hyperlink" Target="https://thuphi.haiphong.gov.vn:8222/tra-cuu-bien-lai-dien-tu?ma_tracuu=JIWJQK1JFE" TargetMode="External"/><Relationship Id="rId471" Type="http://schemas.openxmlformats.org/officeDocument/2006/relationships/hyperlink" Target="http://113.160.97.58:8224/Viewer/Downloadfile.aspx?mhd=d28fac4f-86dc-453f-b820-b0b41b1990b4" TargetMode="External"/><Relationship Id="rId1115" Type="http://schemas.openxmlformats.org/officeDocument/2006/relationships/hyperlink" Target="http://113.160.97.58:8224/Viewer/Downloadfile.aspx?mhd=651c13d2-9f35-4a0a-a3fa-ffd6f3b3ffbf" TargetMode="External"/><Relationship Id="rId1322" Type="http://schemas.openxmlformats.org/officeDocument/2006/relationships/hyperlink" Target="http://113.160.97.58:8224/Viewer/HoaDonViewer.aspx?mhd=8fb9faba-c1d2-48dd-b9e6-61e41cf78573&amp;iscd=1" TargetMode="External"/><Relationship Id="rId59" Type="http://schemas.openxmlformats.org/officeDocument/2006/relationships/hyperlink" Target="http://113.160.97.58:8224/Viewer/Downloadfile.aspx?mhd=9fcbc40f-4218-42d1-a740-2009cc103b58" TargetMode="External"/><Relationship Id="rId124" Type="http://schemas.openxmlformats.org/officeDocument/2006/relationships/hyperlink" Target="https://thuphi.haiphong.gov.vn:8222/tra-cuu-bien-lai-dien-tu?ma_tracuu=VH6ACEBE5E" TargetMode="External"/><Relationship Id="rId569" Type="http://schemas.openxmlformats.org/officeDocument/2006/relationships/hyperlink" Target="http://113.160.97.58:8224/Viewer/HoaDonViewer.aspx?mhd=b8daee2a-5f74-4414-b712-6c0e902ebac1" TargetMode="External"/><Relationship Id="rId776" Type="http://schemas.openxmlformats.org/officeDocument/2006/relationships/hyperlink" Target="https://thuphi.haiphong.gov.vn:8222/tra-cuu-bien-lai-dien-tu?ma_tracuu=7S4CXTLH36" TargetMode="External"/><Relationship Id="rId983" Type="http://schemas.openxmlformats.org/officeDocument/2006/relationships/hyperlink" Target="http://113.160.97.58:8224/Viewer/Downloadfile.aspx?mhd=007ce71d-4d5e-4347-b2c0-c8dbd6d07775" TargetMode="External"/><Relationship Id="rId1199" Type="http://schemas.openxmlformats.org/officeDocument/2006/relationships/hyperlink" Target="http://113.160.97.58:8224/Viewer/Downloadfile.aspx?mhd=60a63e4f-5050-4195-b62b-498849431a8e" TargetMode="External"/><Relationship Id="rId331" Type="http://schemas.openxmlformats.org/officeDocument/2006/relationships/hyperlink" Target="http://113.160.97.58:8224/Viewer/Downloadfile.aspx?mhd=9ca16921-9e64-4222-a529-5a78fff42b2f" TargetMode="External"/><Relationship Id="rId429" Type="http://schemas.openxmlformats.org/officeDocument/2006/relationships/hyperlink" Target="http://113.160.97.58:8224/Viewer/HoaDonViewer.aspx?mhd=31cb2c50-9480-409f-a702-ce045f64f459" TargetMode="External"/><Relationship Id="rId636" Type="http://schemas.openxmlformats.org/officeDocument/2006/relationships/hyperlink" Target="https://thuphi.haiphong.gov.vn:8222/tra-cuu-bien-lai-dien-tu?ma_tracuu=CNYJSYHIDM" TargetMode="External"/><Relationship Id="rId1059" Type="http://schemas.openxmlformats.org/officeDocument/2006/relationships/hyperlink" Target="http://113.160.97.58:8224/Viewer/Downloadfile.aspx?mhd=e65cb7fc-2c05-448a-8ac0-2508592eb558" TargetMode="External"/><Relationship Id="rId1266" Type="http://schemas.openxmlformats.org/officeDocument/2006/relationships/hyperlink" Target="http://113.160.97.58:8224/Viewer/HoaDonViewer.aspx?mhd=b7922478-c335-4bd0-8bba-ff57e9c82928&amp;iscd=1" TargetMode="External"/><Relationship Id="rId843" Type="http://schemas.openxmlformats.org/officeDocument/2006/relationships/hyperlink" Target="http://113.160.97.58:8224/Viewer/Downloadfile.aspx?mhd=7e688161-f7c1-4073-b9d1-f1e938b82654" TargetMode="External"/><Relationship Id="rId1126" Type="http://schemas.openxmlformats.org/officeDocument/2006/relationships/hyperlink" Target="http://113.160.97.58:8224/Viewer/HoaDonViewer.aspx?mhd=ac164a91-000a-428e-aa6a-00fdf2821344&amp;iscd=1" TargetMode="External"/><Relationship Id="rId275" Type="http://schemas.openxmlformats.org/officeDocument/2006/relationships/hyperlink" Target="http://113.160.97.58:8224/Viewer/Downloadfile.aspx?mhd=125d1ca1-5ac4-4801-93c2-735f664312d6" TargetMode="External"/><Relationship Id="rId482" Type="http://schemas.openxmlformats.org/officeDocument/2006/relationships/hyperlink" Target="http://113.160.97.58:8224/Viewer/HoaDonViewer.aspx?mhd=f22b3e0c-ae4e-46c5-a936-e42a6f5f242f&amp;iscd=1" TargetMode="External"/><Relationship Id="rId703" Type="http://schemas.openxmlformats.org/officeDocument/2006/relationships/hyperlink" Target="http://113.160.97.58:8224/Viewer/Downloadfile.aspx?mhd=13ce1278-4008-4a72-902b-f9f75e8c2725" TargetMode="External"/><Relationship Id="rId910" Type="http://schemas.openxmlformats.org/officeDocument/2006/relationships/hyperlink" Target="http://113.160.97.58:8224/Viewer/HoaDonViewer.aspx?mhd=5627f93d-0082-4af0-8c79-0b588eb33b31&amp;iscd=1" TargetMode="External"/><Relationship Id="rId1333" Type="http://schemas.openxmlformats.org/officeDocument/2006/relationships/hyperlink" Target="http://113.160.97.58:8224/Viewer/HoaDonViewer.aspx?mhd=6cde0855-3f5f-4a10-8201-11d4a44bc9bd" TargetMode="External"/><Relationship Id="rId135" Type="http://schemas.openxmlformats.org/officeDocument/2006/relationships/hyperlink" Target="http://113.160.97.58:8224/Viewer/Downloadfile.aspx?mhd=84b3a21a-35a8-48c1-90e0-1ef4211fea3d" TargetMode="External"/><Relationship Id="rId342" Type="http://schemas.openxmlformats.org/officeDocument/2006/relationships/hyperlink" Target="http://113.160.97.58:8224/Viewer/HoaDonViewer.aspx?mhd=84bdab38-4763-4b4c-9525-32ada773fbee&amp;iscd=1" TargetMode="External"/><Relationship Id="rId787" Type="http://schemas.openxmlformats.org/officeDocument/2006/relationships/hyperlink" Target="http://113.160.97.58:8224/Viewer/Downloadfile.aspx?mhd=af0e4a87-a660-43ea-9644-94b1f446f880" TargetMode="External"/><Relationship Id="rId994" Type="http://schemas.openxmlformats.org/officeDocument/2006/relationships/hyperlink" Target="http://113.160.97.58:8224/Viewer/HoaDonViewer.aspx?mhd=6f332710-6bae-42cc-b81c-abfe892951af&amp;iscd=1" TargetMode="External"/><Relationship Id="rId1400" Type="http://schemas.openxmlformats.org/officeDocument/2006/relationships/hyperlink" Target="https://thuphi.haiphong.gov.vn:8222/tra-cuu-bien-lai-dien-tu?ma_tracuu=EGQX4UA2TL" TargetMode="External"/><Relationship Id="rId202" Type="http://schemas.openxmlformats.org/officeDocument/2006/relationships/hyperlink" Target="http://113.160.97.58:8224/Viewer/HoaDonViewer.aspx?mhd=008f3a2b-9dbe-4097-972d-f3fb299829c9&amp;iscd=1" TargetMode="External"/><Relationship Id="rId647" Type="http://schemas.openxmlformats.org/officeDocument/2006/relationships/hyperlink" Target="http://113.160.97.58:8224/Viewer/Downloadfile.aspx?mhd=b3b83868-0452-4235-b8cb-fdcb229f72b4" TargetMode="External"/><Relationship Id="rId854" Type="http://schemas.openxmlformats.org/officeDocument/2006/relationships/hyperlink" Target="http://113.160.97.58:8224/Viewer/HoaDonViewer.aspx?mhd=f1811f37-80bc-4e43-b46a-3e95f397735d&amp;iscd=1" TargetMode="External"/><Relationship Id="rId1277" Type="http://schemas.openxmlformats.org/officeDocument/2006/relationships/hyperlink" Target="http://113.160.97.58:8224/Viewer/HoaDonViewer.aspx?mhd=6bed33cd-ba30-47ac-82b5-4aeb9b8f2591" TargetMode="External"/><Relationship Id="rId286" Type="http://schemas.openxmlformats.org/officeDocument/2006/relationships/hyperlink" Target="http://113.160.97.58:8224/Viewer/HoaDonViewer.aspx?mhd=2d5fdf70-21c8-46ff-ac43-5ef20f052e98&amp;iscd=1" TargetMode="External"/><Relationship Id="rId493" Type="http://schemas.openxmlformats.org/officeDocument/2006/relationships/hyperlink" Target="http://113.160.97.58:8224/Viewer/HoaDonViewer.aspx?mhd=91269641-46cb-4537-a042-a9baea59c9bd" TargetMode="External"/><Relationship Id="rId507" Type="http://schemas.openxmlformats.org/officeDocument/2006/relationships/hyperlink" Target="http://113.160.97.58:8224/Viewer/Downloadfile.aspx?mhd=dda91759-37fd-407b-93eb-372506032b74" TargetMode="External"/><Relationship Id="rId714" Type="http://schemas.openxmlformats.org/officeDocument/2006/relationships/hyperlink" Target="http://113.160.97.58:8224/Viewer/HoaDonViewer.aspx?mhd=373df198-118a-4490-a85c-b57a82cc562c&amp;iscd=1" TargetMode="External"/><Relationship Id="rId921" Type="http://schemas.openxmlformats.org/officeDocument/2006/relationships/hyperlink" Target="http://113.160.97.58:8224/Viewer/HoaDonViewer.aspx?mhd=6f862b5c-7b75-4e79-b947-d689417ae00a" TargetMode="External"/><Relationship Id="rId1137" Type="http://schemas.openxmlformats.org/officeDocument/2006/relationships/hyperlink" Target="http://113.160.97.58:8224/Viewer/HoaDonViewer.aspx?mhd=ccbc5831-5a13-402a-a99f-87d98a3d58d8" TargetMode="External"/><Relationship Id="rId1344" Type="http://schemas.openxmlformats.org/officeDocument/2006/relationships/hyperlink" Target="https://thuphi.haiphong.gov.vn:8222/tra-cuu-bien-lai-dien-tu?ma_tracuu=2WDHJZQ5TZ" TargetMode="External"/><Relationship Id="rId50" Type="http://schemas.openxmlformats.org/officeDocument/2006/relationships/hyperlink" Target="http://113.160.97.58:8224/Viewer/HoaDonViewer.aspx?mhd=adf63ed6-a4ae-4922-ae87-a385bc176345&amp;iscd=1" TargetMode="External"/><Relationship Id="rId146" Type="http://schemas.openxmlformats.org/officeDocument/2006/relationships/hyperlink" Target="http://113.160.97.58:8224/Viewer/HoaDonViewer.aspx?mhd=58d3c0db-ff5c-4388-a06c-9dd5aac3c6e2&amp;iscd=1" TargetMode="External"/><Relationship Id="rId353" Type="http://schemas.openxmlformats.org/officeDocument/2006/relationships/hyperlink" Target="http://113.160.97.58:8224/Viewer/HoaDonViewer.aspx?mhd=602d1b24-cc7d-46f5-8eb9-0744a5d1a2cb" TargetMode="External"/><Relationship Id="rId560" Type="http://schemas.openxmlformats.org/officeDocument/2006/relationships/hyperlink" Target="https://thuphi.haiphong.gov.vn:8222/tra-cuu-bien-lai-dien-tu?ma_tracuu=UFN9QSBHC1" TargetMode="External"/><Relationship Id="rId798" Type="http://schemas.openxmlformats.org/officeDocument/2006/relationships/hyperlink" Target="http://113.160.97.58:8224/Viewer/HoaDonViewer.aspx?mhd=225b10c2-fd8a-495e-b866-48c0c476fae8&amp;iscd=1" TargetMode="External"/><Relationship Id="rId1190" Type="http://schemas.openxmlformats.org/officeDocument/2006/relationships/hyperlink" Target="http://113.160.97.58:8224/Viewer/HoaDonViewer.aspx?mhd=5686e4b4-67fe-49ba-b773-6d5601fc1af8&amp;iscd=1" TargetMode="External"/><Relationship Id="rId1204" Type="http://schemas.openxmlformats.org/officeDocument/2006/relationships/hyperlink" Target="https://thuphi.haiphong.gov.vn:8222/tra-cuu-bien-lai-dien-tu?ma_tracuu=EGQX4UA2TL" TargetMode="External"/><Relationship Id="rId1411" Type="http://schemas.openxmlformats.org/officeDocument/2006/relationships/hyperlink" Target="http://113.160.97.58:8224/Viewer/Downloadfile.aspx?mhd=ead8845c-ad24-4b7a-a663-94586b54a6e9" TargetMode="External"/><Relationship Id="rId213" Type="http://schemas.openxmlformats.org/officeDocument/2006/relationships/hyperlink" Target="http://113.160.97.58:8224/Viewer/HoaDonViewer.aspx?mhd=02301255-fc63-406a-bfdd-8946586f5f89" TargetMode="External"/><Relationship Id="rId420" Type="http://schemas.openxmlformats.org/officeDocument/2006/relationships/hyperlink" Target="https://thuphi.haiphong.gov.vn:8222/tra-cuu-bien-lai-dien-tu?ma_tracuu=UICQ6MZI41" TargetMode="External"/><Relationship Id="rId658" Type="http://schemas.openxmlformats.org/officeDocument/2006/relationships/hyperlink" Target="http://113.160.97.58:8224/Viewer/HoaDonViewer.aspx?mhd=82962104-4c55-4c5b-937c-dc48e3a7a434&amp;iscd=1" TargetMode="External"/><Relationship Id="rId865" Type="http://schemas.openxmlformats.org/officeDocument/2006/relationships/hyperlink" Target="http://113.160.97.58:8224/Viewer/HoaDonViewer.aspx?mhd=17a1d47e-3db7-43ff-ace8-8d5520e05933" TargetMode="External"/><Relationship Id="rId1050" Type="http://schemas.openxmlformats.org/officeDocument/2006/relationships/hyperlink" Target="http://113.160.97.58:8224/Viewer/HoaDonViewer.aspx?mhd=cab55537-936c-43e5-a8d8-63fe610f4a5c&amp;iscd=1" TargetMode="External"/><Relationship Id="rId1288" Type="http://schemas.openxmlformats.org/officeDocument/2006/relationships/hyperlink" Target="https://thuphi.haiphong.gov.vn:8222/tra-cuu-bien-lai-dien-tu?ma_tracuu=62EL0WBH53" TargetMode="External"/><Relationship Id="rId297" Type="http://schemas.openxmlformats.org/officeDocument/2006/relationships/hyperlink" Target="http://113.160.97.58:8224/Viewer/HoaDonViewer.aspx?mhd=f800f6d5-e100-42ed-8af5-4738ea656977" TargetMode="External"/><Relationship Id="rId518" Type="http://schemas.openxmlformats.org/officeDocument/2006/relationships/hyperlink" Target="http://113.160.97.58:8224/Viewer/HoaDonViewer.aspx?mhd=95836ee9-e0c6-458e-bd14-06d7cfa355b1&amp;iscd=1" TargetMode="External"/><Relationship Id="rId725" Type="http://schemas.openxmlformats.org/officeDocument/2006/relationships/hyperlink" Target="http://113.160.97.58:8224/Viewer/HoaDonViewer.aspx?mhd=acbb7622-4ac9-45cc-a1f9-253e110f9d0d" TargetMode="External"/><Relationship Id="rId932" Type="http://schemas.openxmlformats.org/officeDocument/2006/relationships/hyperlink" Target="https://thuphi.haiphong.gov.vn:8222/tra-cuu-bien-lai-dien-tu?ma_tracuu=9Y4KC3ED30" TargetMode="External"/><Relationship Id="rId1148" Type="http://schemas.openxmlformats.org/officeDocument/2006/relationships/hyperlink" Target="https://thuphi.haiphong.gov.vn:8222/tra-cuu-bien-lai-dien-tu?ma_tracuu=KEN990JCSK" TargetMode="External"/><Relationship Id="rId1355" Type="http://schemas.openxmlformats.org/officeDocument/2006/relationships/hyperlink" Target="http://113.160.97.58:8224/Viewer/Downloadfile.aspx?mhd=7daf5e7c-d2ab-4cf3-97ac-0d1c7f5348b4" TargetMode="External"/><Relationship Id="rId157" Type="http://schemas.openxmlformats.org/officeDocument/2006/relationships/hyperlink" Target="http://113.160.97.58:8224/Viewer/HoaDonViewer.aspx?mhd=7f7cd91a-c941-46a8-b566-3407a4d51a36" TargetMode="External"/><Relationship Id="rId364" Type="http://schemas.openxmlformats.org/officeDocument/2006/relationships/hyperlink" Target="https://thuphi.haiphong.gov.vn:8222/tra-cuu-bien-lai-dien-tu?ma_tracuu=DV7JBMSPRJ" TargetMode="External"/><Relationship Id="rId1008" Type="http://schemas.openxmlformats.org/officeDocument/2006/relationships/hyperlink" Target="https://thuphi.haiphong.gov.vn:8222/tra-cuu-bien-lai-dien-tu?ma_tracuu=KMSCMML0X1" TargetMode="External"/><Relationship Id="rId1215" Type="http://schemas.openxmlformats.org/officeDocument/2006/relationships/hyperlink" Target="http://113.160.97.58:8224/Viewer/Downloadfile.aspx?mhd=ead8845c-ad24-4b7a-a663-94586b54a6e9" TargetMode="External"/><Relationship Id="rId1422" Type="http://schemas.openxmlformats.org/officeDocument/2006/relationships/hyperlink" Target="http://113.160.97.58:8224/Viewer/HoaDonViewer.aspx?mhd=2fa58687-03db-4566-84b2-d7cce9647bc9&amp;iscd=1" TargetMode="External"/><Relationship Id="rId61" Type="http://schemas.openxmlformats.org/officeDocument/2006/relationships/hyperlink" Target="http://113.160.97.58:8224/Viewer/HoaDonViewer.aspx?mhd=f02b5a39-8b4e-49b4-99b3-df687860350a" TargetMode="External"/><Relationship Id="rId571" Type="http://schemas.openxmlformats.org/officeDocument/2006/relationships/hyperlink" Target="http://113.160.97.58:8224/Viewer/Downloadfile.aspx?mhd=b8daee2a-5f74-4414-b712-6c0e902ebac1" TargetMode="External"/><Relationship Id="rId669" Type="http://schemas.openxmlformats.org/officeDocument/2006/relationships/hyperlink" Target="http://113.160.97.58:8224/Viewer/HoaDonViewer.aspx?mhd=218211ec-3585-456d-956e-1b028592dc16" TargetMode="External"/><Relationship Id="rId876" Type="http://schemas.openxmlformats.org/officeDocument/2006/relationships/hyperlink" Target="https://thuphi.haiphong.gov.vn:8222/tra-cuu-bien-lai-dien-tu?ma_tracuu=3QCMJCCD32" TargetMode="External"/><Relationship Id="rId1299" Type="http://schemas.openxmlformats.org/officeDocument/2006/relationships/hyperlink" Target="http://113.160.97.58:8224/Viewer/Downloadfile.aspx?mhd=a39f5e5b-6f46-47db-997c-78bbabee5f26" TargetMode="External"/><Relationship Id="rId19" Type="http://schemas.openxmlformats.org/officeDocument/2006/relationships/hyperlink" Target="http://113.160.97.58:8224/Viewer/Downloadfile.aspx?mhd=ecb3994c-876d-4dac-ac03-172281686dcc" TargetMode="External"/><Relationship Id="rId224" Type="http://schemas.openxmlformats.org/officeDocument/2006/relationships/hyperlink" Target="https://thuphi.haiphong.gov.vn:8222/tra-cuu-bien-lai-dien-tu?ma_tracuu=QRXVVIZ8FR" TargetMode="External"/><Relationship Id="rId431" Type="http://schemas.openxmlformats.org/officeDocument/2006/relationships/hyperlink" Target="http://113.160.97.58:8224/Viewer/Downloadfile.aspx?mhd=31cb2c50-9480-409f-a702-ce045f64f459" TargetMode="External"/><Relationship Id="rId529" Type="http://schemas.openxmlformats.org/officeDocument/2006/relationships/hyperlink" Target="http://113.160.97.58:8224/Viewer/HoaDonViewer.aspx?mhd=4f8f5d29-ae64-4e10-aaa3-591a4c2fc2f6" TargetMode="External"/><Relationship Id="rId736" Type="http://schemas.openxmlformats.org/officeDocument/2006/relationships/hyperlink" Target="https://thuphi.haiphong.gov.vn:8222/tra-cuu-bien-lai-dien-tu?ma_tracuu=NAH1TUKCES" TargetMode="External"/><Relationship Id="rId1061" Type="http://schemas.openxmlformats.org/officeDocument/2006/relationships/hyperlink" Target="http://113.160.97.58:8224/Viewer/HoaDonViewer.aspx?mhd=656bf156-5e35-41f3-9dff-f80f8b9d74ca" TargetMode="External"/><Relationship Id="rId1159" Type="http://schemas.openxmlformats.org/officeDocument/2006/relationships/hyperlink" Target="http://113.160.97.58:8224/Viewer/Downloadfile.aspx?mhd=168dd2bb-12d8-4274-bc13-f02aba4fb355" TargetMode="External"/><Relationship Id="rId1366" Type="http://schemas.openxmlformats.org/officeDocument/2006/relationships/hyperlink" Target="http://113.160.97.58:8224/Viewer/HoaDonViewer.aspx?mhd=80b945a5-98e1-438b-ad5c-da1fcb725c28&amp;iscd=1" TargetMode="External"/><Relationship Id="rId168" Type="http://schemas.openxmlformats.org/officeDocument/2006/relationships/hyperlink" Target="https://thuphi.haiphong.gov.vn:8222/tra-cuu-bien-lai-dien-tu?ma_tracuu=6IV039NKVZ" TargetMode="External"/><Relationship Id="rId943" Type="http://schemas.openxmlformats.org/officeDocument/2006/relationships/hyperlink" Target="http://113.160.97.58:8224/Viewer/Downloadfile.aspx?mhd=00de566b-cd21-4ee8-bdbc-eac354bd71b0" TargetMode="External"/><Relationship Id="rId1019" Type="http://schemas.openxmlformats.org/officeDocument/2006/relationships/hyperlink" Target="http://113.160.97.58:8224/Viewer/Downloadfile.aspx?mhd=d822bc3f-e150-4ffb-abde-b984e0fc8a6b" TargetMode="External"/><Relationship Id="rId72" Type="http://schemas.openxmlformats.org/officeDocument/2006/relationships/hyperlink" Target="https://thuphi.haiphong.gov.vn:8222/tra-cuu-bien-lai-dien-tu?ma_tracuu=UYF1V2EC5M" TargetMode="External"/><Relationship Id="rId375" Type="http://schemas.openxmlformats.org/officeDocument/2006/relationships/hyperlink" Target="http://113.160.97.58:8224/Viewer/Downloadfile.aspx?mhd=c8f4abdf-9f9f-4d24-b507-896db25a5aa8" TargetMode="External"/><Relationship Id="rId582" Type="http://schemas.openxmlformats.org/officeDocument/2006/relationships/hyperlink" Target="http://113.160.97.58:8224/Viewer/HoaDonViewer.aspx?mhd=adeee0ba-daef-4302-ba28-e002d00916a6&amp;iscd=1" TargetMode="External"/><Relationship Id="rId803" Type="http://schemas.openxmlformats.org/officeDocument/2006/relationships/hyperlink" Target="http://113.160.97.58:8224/Viewer/Downloadfile.aspx?mhd=b532dfb3-dbd3-4906-856b-f7dfd13bbfdd" TargetMode="External"/><Relationship Id="rId1226" Type="http://schemas.openxmlformats.org/officeDocument/2006/relationships/hyperlink" Target="http://113.160.97.58:8224/Viewer/HoaDonViewer.aspx?mhd=2fa58687-03db-4566-84b2-d7cce9647bc9&amp;iscd=1" TargetMode="External"/><Relationship Id="rId1433" Type="http://schemas.openxmlformats.org/officeDocument/2006/relationships/hyperlink" Target="http://113.160.97.58:8224/Viewer/HoaDonViewer.aspx?mhd=814c1976-b45a-4793-99cb-3bddf2c48905" TargetMode="External"/><Relationship Id="rId3" Type="http://schemas.openxmlformats.org/officeDocument/2006/relationships/hyperlink" Target="http://113.160.97.58:8224/Viewer/Downloadfile.aspx?mhd=9d803f1b-a51c-4d42-a354-179ab2ffa871" TargetMode="External"/><Relationship Id="rId235" Type="http://schemas.openxmlformats.org/officeDocument/2006/relationships/hyperlink" Target="http://113.160.97.58:8224/Viewer/Downloadfile.aspx?mhd=ba01724b-ee91-4d65-84f0-5a6d679867aa" TargetMode="External"/><Relationship Id="rId442" Type="http://schemas.openxmlformats.org/officeDocument/2006/relationships/hyperlink" Target="http://113.160.97.58:8224/Viewer/HoaDonViewer.aspx?mhd=bcc2c7a4-1b86-49ba-aefe-59c28e33b30c&amp;iscd=1" TargetMode="External"/><Relationship Id="rId887" Type="http://schemas.openxmlformats.org/officeDocument/2006/relationships/hyperlink" Target="http://113.160.97.58:8224/Viewer/Downloadfile.aspx?mhd=d36831a5-f2d4-4b1a-bef8-2987a40884a5" TargetMode="External"/><Relationship Id="rId1072" Type="http://schemas.openxmlformats.org/officeDocument/2006/relationships/hyperlink" Target="https://thuphi.haiphong.gov.vn:8222/tra-cuu-bien-lai-dien-tu?ma_tracuu=9N6DC2HZXS" TargetMode="External"/><Relationship Id="rId302" Type="http://schemas.openxmlformats.org/officeDocument/2006/relationships/hyperlink" Target="http://113.160.97.58:8224/Viewer/HoaDonViewer.aspx?mhd=89d427f9-335b-49fa-9bae-191fdc5c8933&amp;iscd=1" TargetMode="External"/><Relationship Id="rId747" Type="http://schemas.openxmlformats.org/officeDocument/2006/relationships/hyperlink" Target="http://113.160.97.58:8224/Viewer/Downloadfile.aspx?mhd=25e02a32-33d7-4cdf-825a-2a52f3758f6d" TargetMode="External"/><Relationship Id="rId954" Type="http://schemas.openxmlformats.org/officeDocument/2006/relationships/hyperlink" Target="http://113.160.97.58:8224/Viewer/HoaDonViewer.aspx?mhd=4a7f251d-6087-4036-a2fb-7b7a7950a290&amp;iscd=1" TargetMode="External"/><Relationship Id="rId1377" Type="http://schemas.openxmlformats.org/officeDocument/2006/relationships/hyperlink" Target="http://113.160.97.58:8224/Viewer/HoaDonViewer.aspx?mhd=11eb93c1-e582-4882-8fbc-be04f47d0c8b" TargetMode="External"/><Relationship Id="rId83" Type="http://schemas.openxmlformats.org/officeDocument/2006/relationships/hyperlink" Target="http://113.160.97.58:8224/Viewer/Downloadfile.aspx?mhd=797321e1-3a46-4bf9-9bf0-2f9bc1bf762f" TargetMode="External"/><Relationship Id="rId179" Type="http://schemas.openxmlformats.org/officeDocument/2006/relationships/hyperlink" Target="http://113.160.97.58:8224/Viewer/Downloadfile.aspx?mhd=72d89159-9c56-48ef-8910-c861b59fb5b3" TargetMode="External"/><Relationship Id="rId386" Type="http://schemas.openxmlformats.org/officeDocument/2006/relationships/hyperlink" Target="http://113.160.97.58:8224/Viewer/HoaDonViewer.aspx?mhd=ae3dd97f-2bdc-4f86-aa08-9be98841b461&amp;iscd=1" TargetMode="External"/><Relationship Id="rId593" Type="http://schemas.openxmlformats.org/officeDocument/2006/relationships/hyperlink" Target="http://113.160.97.58:8224/Viewer/HoaDonViewer.aspx?mhd=54bb1548-0dcc-48b3-92e7-efb679dbdb20" TargetMode="External"/><Relationship Id="rId607" Type="http://schemas.openxmlformats.org/officeDocument/2006/relationships/hyperlink" Target="http://113.160.97.58:8224/Viewer/Downloadfile.aspx?mhd=3991588d-0dbb-4ad6-88bb-5a9476a6a414" TargetMode="External"/><Relationship Id="rId814" Type="http://schemas.openxmlformats.org/officeDocument/2006/relationships/hyperlink" Target="http://113.160.97.58:8224/Viewer/HoaDonViewer.aspx?mhd=835eddca-be27-455c-86c6-948ca7f46c89&amp;iscd=1" TargetMode="External"/><Relationship Id="rId1237" Type="http://schemas.openxmlformats.org/officeDocument/2006/relationships/hyperlink" Target="http://113.160.97.58:8224/Viewer/HoaDonViewer.aspx?mhd=9d803f1b-a51c-4d42-a354-179ab2ffa871" TargetMode="External"/><Relationship Id="rId1444" Type="http://schemas.openxmlformats.org/officeDocument/2006/relationships/hyperlink" Target="https://thuphi.haiphong.gov.vn:8222/tra-cuu-bien-lai-dien-tu?ma_tracuu=FAT1MY96YN" TargetMode="External"/><Relationship Id="rId246" Type="http://schemas.openxmlformats.org/officeDocument/2006/relationships/hyperlink" Target="http://113.160.97.58:8224/Viewer/HoaDonViewer.aspx?mhd=dbcce418-e3b3-4681-8bd0-c0c7b601ebf3&amp;iscd=1" TargetMode="External"/><Relationship Id="rId453" Type="http://schemas.openxmlformats.org/officeDocument/2006/relationships/hyperlink" Target="http://113.160.97.58:8224/Viewer/HoaDonViewer.aspx?mhd=238f3468-a15e-4875-b274-aef517386eeb" TargetMode="External"/><Relationship Id="rId660" Type="http://schemas.openxmlformats.org/officeDocument/2006/relationships/hyperlink" Target="https://thuphi.haiphong.gov.vn:8222/tra-cuu-bien-lai-dien-tu?ma_tracuu=KH4GSLR2D5" TargetMode="External"/><Relationship Id="rId898" Type="http://schemas.openxmlformats.org/officeDocument/2006/relationships/hyperlink" Target="http://113.160.97.58:8224/Viewer/HoaDonViewer.aspx?mhd=1ab19d89-8926-4712-b0f1-192632ce0b92&amp;iscd=1" TargetMode="External"/><Relationship Id="rId1083" Type="http://schemas.openxmlformats.org/officeDocument/2006/relationships/hyperlink" Target="http://113.160.97.58:8224/Viewer/Downloadfile.aspx?mhd=7adf4f51-307d-43ca-89ba-577df1db2457" TargetMode="External"/><Relationship Id="rId1290" Type="http://schemas.openxmlformats.org/officeDocument/2006/relationships/hyperlink" Target="http://113.160.97.58:8224/Viewer/HoaDonViewer.aspx?mhd=a15c3686-685b-4fce-8f1f-1292a3266cc6&amp;iscd=1" TargetMode="External"/><Relationship Id="rId1304" Type="http://schemas.openxmlformats.org/officeDocument/2006/relationships/hyperlink" Target="https://thuphi.haiphong.gov.vn:8222/tra-cuu-bien-lai-dien-tu?ma_tracuu=K81Y7KX6TE" TargetMode="External"/><Relationship Id="rId106" Type="http://schemas.openxmlformats.org/officeDocument/2006/relationships/hyperlink" Target="http://113.160.97.58:8224/Viewer/HoaDonViewer.aspx?mhd=85bd3546-6edd-417b-b72c-56a14d2e58c8&amp;iscd=1" TargetMode="External"/><Relationship Id="rId313" Type="http://schemas.openxmlformats.org/officeDocument/2006/relationships/hyperlink" Target="http://113.160.97.58:8224/Viewer/HoaDonViewer.aspx?mhd=bc5298a8-c4a5-430d-8d84-7a6c0b902af7" TargetMode="External"/><Relationship Id="rId758" Type="http://schemas.openxmlformats.org/officeDocument/2006/relationships/hyperlink" Target="http://113.160.97.58:8224/Viewer/HoaDonViewer.aspx?mhd=b78066d0-0dc4-4b56-b370-b0b19f30eca5&amp;iscd=1" TargetMode="External"/><Relationship Id="rId965" Type="http://schemas.openxmlformats.org/officeDocument/2006/relationships/hyperlink" Target="http://113.160.97.58:8224/Viewer/HoaDonViewer.aspx?mhd=97b25498-1464-4b4b-815a-b9414f45b011" TargetMode="External"/><Relationship Id="rId1150" Type="http://schemas.openxmlformats.org/officeDocument/2006/relationships/hyperlink" Target="http://113.160.97.58:8224/Viewer/HoaDonViewer.aspx?mhd=6043e2f2-ccec-481e-a797-deeb6db43049&amp;iscd=1" TargetMode="External"/><Relationship Id="rId1388" Type="http://schemas.openxmlformats.org/officeDocument/2006/relationships/hyperlink" Target="https://thuphi.haiphong.gov.vn:8222/tra-cuu-bien-lai-dien-tu?ma_tracuu=H533RYZ2TQ" TargetMode="External"/><Relationship Id="rId10" Type="http://schemas.openxmlformats.org/officeDocument/2006/relationships/hyperlink" Target="http://113.160.97.58:8224/Viewer/HoaDonViewer.aspx?mhd=7b3c0fec-48b9-4cdc-85d1-60c3844bee45&amp;iscd=1" TargetMode="External"/><Relationship Id="rId94" Type="http://schemas.openxmlformats.org/officeDocument/2006/relationships/hyperlink" Target="http://113.160.97.58:8224/Viewer/HoaDonViewer.aspx?mhd=7b163e74-8fc4-47d2-9191-07e38e5ef25e&amp;iscd=1" TargetMode="External"/><Relationship Id="rId397" Type="http://schemas.openxmlformats.org/officeDocument/2006/relationships/hyperlink" Target="http://113.160.97.58:8224/Viewer/HoaDonViewer.aspx?mhd=71249e20-07aa-498e-a327-5e3428749a86" TargetMode="External"/><Relationship Id="rId520" Type="http://schemas.openxmlformats.org/officeDocument/2006/relationships/hyperlink" Target="https://thuphi.haiphong.gov.vn:8222/tra-cuu-bien-lai-dien-tu?ma_tracuu=4JFD6SK14B" TargetMode="External"/><Relationship Id="rId618" Type="http://schemas.openxmlformats.org/officeDocument/2006/relationships/hyperlink" Target="http://113.160.97.58:8224/Viewer/HoaDonViewer.aspx?mhd=df5c133e-d6b5-4763-9297-6ee9d808ff7c&amp;iscd=1" TargetMode="External"/><Relationship Id="rId825" Type="http://schemas.openxmlformats.org/officeDocument/2006/relationships/hyperlink" Target="http://113.160.97.58:8224/Viewer/HoaDonViewer.aspx?mhd=9aaefd75-eb1c-45a2-8918-0a474fa2a824" TargetMode="External"/><Relationship Id="rId1248" Type="http://schemas.openxmlformats.org/officeDocument/2006/relationships/hyperlink" Target="https://thuphi.haiphong.gov.vn:8222/tra-cuu-bien-lai-dien-tu?ma_tracuu=PZQLH4AU5L" TargetMode="External"/><Relationship Id="rId257" Type="http://schemas.openxmlformats.org/officeDocument/2006/relationships/hyperlink" Target="http://113.160.97.58:8224/Viewer/HoaDonViewer.aspx?mhd=23acd6da-3543-4b3e-9675-dc7c346def81" TargetMode="External"/><Relationship Id="rId464" Type="http://schemas.openxmlformats.org/officeDocument/2006/relationships/hyperlink" Target="https://thuphi.haiphong.gov.vn:8222/tra-cuu-bien-lai-dien-tu?ma_tracuu=2KTI36XG4E" TargetMode="External"/><Relationship Id="rId1010" Type="http://schemas.openxmlformats.org/officeDocument/2006/relationships/hyperlink" Target="http://113.160.97.58:8224/Viewer/HoaDonViewer.aspx?mhd=96412ae7-1e4e-4140-8e82-92d245f767e4&amp;iscd=1" TargetMode="External"/><Relationship Id="rId1094" Type="http://schemas.openxmlformats.org/officeDocument/2006/relationships/hyperlink" Target="http://113.160.97.58:8224/Viewer/HoaDonViewer.aspx?mhd=82ba8622-3794-4d4e-8ce6-c114ff2e71fd&amp;iscd=1" TargetMode="External"/><Relationship Id="rId1108" Type="http://schemas.openxmlformats.org/officeDocument/2006/relationships/hyperlink" Target="https://thuphi.haiphong.gov.vn:8222/tra-cuu-bien-lai-dien-tu?ma_tracuu=Y9Y9KCP1XB" TargetMode="External"/><Relationship Id="rId1315" Type="http://schemas.openxmlformats.org/officeDocument/2006/relationships/hyperlink" Target="http://113.160.97.58:8224/Viewer/Downloadfile.aspx?mhd=fd749185-0b0e-4054-82e8-7a996ffd6fcd" TargetMode="External"/><Relationship Id="rId117" Type="http://schemas.openxmlformats.org/officeDocument/2006/relationships/hyperlink" Target="http://113.160.97.58:8224/Viewer/HoaDonViewer.aspx?mhd=a1ac71e4-5b53-4300-8bf0-d3a930508528" TargetMode="External"/><Relationship Id="rId671" Type="http://schemas.openxmlformats.org/officeDocument/2006/relationships/hyperlink" Target="http://113.160.97.58:8224/Viewer/Downloadfile.aspx?mhd=218211ec-3585-456d-956e-1b028592dc16" TargetMode="External"/><Relationship Id="rId769" Type="http://schemas.openxmlformats.org/officeDocument/2006/relationships/hyperlink" Target="http://113.160.97.58:8224/Viewer/HoaDonViewer.aspx?mhd=b5ffea2c-d39f-49d6-ab70-019bff65102d" TargetMode="External"/><Relationship Id="rId976" Type="http://schemas.openxmlformats.org/officeDocument/2006/relationships/hyperlink" Target="https://thuphi.haiphong.gov.vn:8222/tra-cuu-bien-lai-dien-tu?ma_tracuu=U2SGE7ZS3J" TargetMode="External"/><Relationship Id="rId1399" Type="http://schemas.openxmlformats.org/officeDocument/2006/relationships/hyperlink" Target="http://113.160.97.58:8224/Viewer/Downloadfile.aspx?mhd=052a403d-bcbd-4cdf-b724-b1264c9dcbfb" TargetMode="External"/><Relationship Id="rId324" Type="http://schemas.openxmlformats.org/officeDocument/2006/relationships/hyperlink" Target="https://thuphi.haiphong.gov.vn:8222/tra-cuu-bien-lai-dien-tu?ma_tracuu=ZGAET937FC" TargetMode="External"/><Relationship Id="rId531" Type="http://schemas.openxmlformats.org/officeDocument/2006/relationships/hyperlink" Target="http://113.160.97.58:8224/Viewer/Downloadfile.aspx?mhd=4f8f5d29-ae64-4e10-aaa3-591a4c2fc2f6" TargetMode="External"/><Relationship Id="rId629" Type="http://schemas.openxmlformats.org/officeDocument/2006/relationships/hyperlink" Target="http://113.160.97.58:8224/Viewer/HoaDonViewer.aspx?mhd=f6d30ccb-80c4-4b3e-823a-9f6f02d9bbc3" TargetMode="External"/><Relationship Id="rId1161" Type="http://schemas.openxmlformats.org/officeDocument/2006/relationships/hyperlink" Target="http://113.160.97.58:8224/Viewer/HoaDonViewer.aspx?mhd=7ede1ab3-435e-4a4a-9c3e-f9fbb4ce6198" TargetMode="External"/><Relationship Id="rId1259" Type="http://schemas.openxmlformats.org/officeDocument/2006/relationships/hyperlink" Target="http://113.160.97.58:8224/Viewer/Downloadfile.aspx?mhd=7ca53f91-1d01-4d4d-b3ed-bca483428193" TargetMode="External"/><Relationship Id="rId836" Type="http://schemas.openxmlformats.org/officeDocument/2006/relationships/hyperlink" Target="https://thuphi.haiphong.gov.vn:8222/tra-cuu-bien-lai-dien-tu?ma_tracuu=WFZK0S5D3Z" TargetMode="External"/><Relationship Id="rId1021" Type="http://schemas.openxmlformats.org/officeDocument/2006/relationships/hyperlink" Target="http://113.160.97.58:8224/Viewer/HoaDonViewer.aspx?mhd=e92dc50c-2fd8-4890-899c-30fb5fbc2ede" TargetMode="External"/><Relationship Id="rId1119" Type="http://schemas.openxmlformats.org/officeDocument/2006/relationships/hyperlink" Target="http://113.160.97.58:8224/Viewer/Downloadfile.aspx?mhd=de3d603b-dba1-45a5-8c1f-5e2e9b47e85f" TargetMode="External"/><Relationship Id="rId903" Type="http://schemas.openxmlformats.org/officeDocument/2006/relationships/hyperlink" Target="http://113.160.97.58:8224/Viewer/Downloadfile.aspx?mhd=2df1f01e-aae5-40ce-9445-dd852e575649" TargetMode="External"/><Relationship Id="rId1326" Type="http://schemas.openxmlformats.org/officeDocument/2006/relationships/hyperlink" Target="http://113.160.97.58:8224/Viewer/HoaDonViewer.aspx?mhd=699c6215-5fa7-44c6-af5f-1a7729896a2d&amp;iscd=1" TargetMode="External"/><Relationship Id="rId32" Type="http://schemas.openxmlformats.org/officeDocument/2006/relationships/hyperlink" Target="https://thuphi.haiphong.gov.vn:8222/tra-cuu-bien-lai-dien-tu?ma_tracuu=785R41975A" TargetMode="External"/><Relationship Id="rId181" Type="http://schemas.openxmlformats.org/officeDocument/2006/relationships/hyperlink" Target="http://113.160.97.58:8224/Viewer/HoaDonViewer.aspx?mhd=5fa641a8-21c6-45dc-8efe-7bfbeec5b3b2" TargetMode="External"/><Relationship Id="rId279" Type="http://schemas.openxmlformats.org/officeDocument/2006/relationships/hyperlink" Target="http://113.160.97.58:8224/Viewer/Downloadfile.aspx?mhd=41cafa4a-0332-4a84-97af-83572d72e59b" TargetMode="External"/><Relationship Id="rId486" Type="http://schemas.openxmlformats.org/officeDocument/2006/relationships/hyperlink" Target="http://113.160.97.58:8224/Viewer/HoaDonViewer.aspx?mhd=77eabce0-2924-468a-9716-43f258b8739e&amp;iscd=1" TargetMode="External"/><Relationship Id="rId693" Type="http://schemas.openxmlformats.org/officeDocument/2006/relationships/hyperlink" Target="http://113.160.97.58:8224/Viewer/HoaDonViewer.aspx?mhd=75ab17ac-4b94-4fc1-94b1-79c0ec054d09" TargetMode="External"/><Relationship Id="rId139" Type="http://schemas.openxmlformats.org/officeDocument/2006/relationships/hyperlink" Target="http://113.160.97.58:8224/Viewer/Downloadfile.aspx?mhd=90781c7d-fc62-4d27-855c-28a5b38ba43c" TargetMode="External"/><Relationship Id="rId346" Type="http://schemas.openxmlformats.org/officeDocument/2006/relationships/hyperlink" Target="http://113.160.97.58:8224/Viewer/HoaDonViewer.aspx?mhd=ca822dcb-1cc3-4537-b10a-17fbb08da10d&amp;iscd=1" TargetMode="External"/><Relationship Id="rId553" Type="http://schemas.openxmlformats.org/officeDocument/2006/relationships/hyperlink" Target="http://113.160.97.58:8224/Viewer/HoaDonViewer.aspx?mhd=5ef07cf0-0918-4ba6-8132-026619c7b443" TargetMode="External"/><Relationship Id="rId760" Type="http://schemas.openxmlformats.org/officeDocument/2006/relationships/hyperlink" Target="https://thuphi.haiphong.gov.vn:8222/tra-cuu-bien-lai-dien-tu?ma_tracuu=8127N6403H" TargetMode="External"/><Relationship Id="rId998" Type="http://schemas.openxmlformats.org/officeDocument/2006/relationships/hyperlink" Target="http://113.160.97.58:8224/Viewer/HoaDonViewer.aspx?mhd=36663e66-3091-44a1-8149-c3c61c942107&amp;iscd=1" TargetMode="External"/><Relationship Id="rId1183" Type="http://schemas.openxmlformats.org/officeDocument/2006/relationships/hyperlink" Target="http://113.160.97.58:8224/Viewer/Downloadfile.aspx?mhd=11eb93c1-e582-4882-8fbc-be04f47d0c8b" TargetMode="External"/><Relationship Id="rId1390" Type="http://schemas.openxmlformats.org/officeDocument/2006/relationships/hyperlink" Target="http://113.160.97.58:8224/Viewer/HoaDonViewer.aspx?mhd=2a523fa2-ae54-493b-a286-d319c682af3a&amp;iscd=1" TargetMode="External"/><Relationship Id="rId206" Type="http://schemas.openxmlformats.org/officeDocument/2006/relationships/hyperlink" Target="http://113.160.97.58:8224/Viewer/HoaDonViewer.aspx?mhd=67297fde-9a31-4662-9aa7-c837feade523&amp;iscd=1" TargetMode="External"/><Relationship Id="rId413" Type="http://schemas.openxmlformats.org/officeDocument/2006/relationships/hyperlink" Target="http://113.160.97.58:8224/Viewer/HoaDonViewer.aspx?mhd=e6415ad5-efca-414f-a6d1-f9c5ddaec05e" TargetMode="External"/><Relationship Id="rId858" Type="http://schemas.openxmlformats.org/officeDocument/2006/relationships/hyperlink" Target="http://113.160.97.58:8224/Viewer/HoaDonViewer.aspx?mhd=53944915-5978-4e9e-ab19-cefd50d2aacc&amp;iscd=1" TargetMode="External"/><Relationship Id="rId1043" Type="http://schemas.openxmlformats.org/officeDocument/2006/relationships/hyperlink" Target="http://113.160.97.58:8224/Viewer/Downloadfile.aspx?mhd=a3e074c6-f336-4696-9dc2-5d036b36464d" TargetMode="External"/><Relationship Id="rId620" Type="http://schemas.openxmlformats.org/officeDocument/2006/relationships/hyperlink" Target="https://thuphi.haiphong.gov.vn:8222/tra-cuu-bien-lai-dien-tu?ma_tracuu=7G3XNYD0DF" TargetMode="External"/><Relationship Id="rId718" Type="http://schemas.openxmlformats.org/officeDocument/2006/relationships/hyperlink" Target="http://113.160.97.58:8224/Viewer/HoaDonViewer.aspx?mhd=99cf9d00-fe15-48b0-b404-b82b31e1c4cc&amp;iscd=1" TargetMode="External"/><Relationship Id="rId925" Type="http://schemas.openxmlformats.org/officeDocument/2006/relationships/hyperlink" Target="http://113.160.97.58:8224/Viewer/HoaDonViewer.aspx?mhd=a767b660-46f1-4073-a564-055d3f46b452" TargetMode="External"/><Relationship Id="rId1250" Type="http://schemas.openxmlformats.org/officeDocument/2006/relationships/hyperlink" Target="http://113.160.97.58:8224/Viewer/HoaDonViewer.aspx?mhd=6d7e17f0-3ba0-4e97-bfe6-1ccf48fa1489&amp;iscd=1" TargetMode="External"/><Relationship Id="rId1348" Type="http://schemas.openxmlformats.org/officeDocument/2006/relationships/hyperlink" Target="https://thuphi.haiphong.gov.vn:8222/tra-cuu-bien-lai-dien-tu?ma_tracuu=WSSYE715TL" TargetMode="External"/><Relationship Id="rId1110" Type="http://schemas.openxmlformats.org/officeDocument/2006/relationships/hyperlink" Target="http://113.160.97.58:8224/Viewer/HoaDonViewer.aspx?mhd=545ceb02-c254-4f6f-aca3-d57c0dc4ce18&amp;iscd=1" TargetMode="External"/><Relationship Id="rId1208" Type="http://schemas.openxmlformats.org/officeDocument/2006/relationships/hyperlink" Target="https://thuphi.haiphong.gov.vn:8222/tra-cuu-bien-lai-dien-tu?ma_tracuu=XKFEFS22T3" TargetMode="External"/><Relationship Id="rId1415" Type="http://schemas.openxmlformats.org/officeDocument/2006/relationships/hyperlink" Target="http://113.160.97.58:8224/Viewer/Downloadfile.aspx?mhd=f5d2be1e-4a3b-4272-a1fe-e388f599773d" TargetMode="External"/><Relationship Id="rId54" Type="http://schemas.openxmlformats.org/officeDocument/2006/relationships/hyperlink" Target="http://113.160.97.58:8224/Viewer/HoaDonViewer.aspx?mhd=a15c3686-685b-4fce-8f1f-1292a3266cc6&amp;iscd=1" TargetMode="External"/><Relationship Id="rId270" Type="http://schemas.openxmlformats.org/officeDocument/2006/relationships/hyperlink" Target="http://113.160.97.58:8224/Viewer/HoaDonViewer.aspx?mhd=c1496207-e1ea-4b2c-8100-86f7bb894478&amp;iscd=1" TargetMode="External"/><Relationship Id="rId130" Type="http://schemas.openxmlformats.org/officeDocument/2006/relationships/hyperlink" Target="http://113.160.97.58:8224/Viewer/HoaDonViewer.aspx?mhd=36349a8a-dcfd-44ec-afe9-4149d6c1026a&amp;iscd=1" TargetMode="External"/><Relationship Id="rId368" Type="http://schemas.openxmlformats.org/officeDocument/2006/relationships/hyperlink" Target="https://thuphi.haiphong.gov.vn:8222/tra-cuu-bien-lai-dien-tu?ma_tracuu=WGMYDSSPRV" TargetMode="External"/><Relationship Id="rId575" Type="http://schemas.openxmlformats.org/officeDocument/2006/relationships/hyperlink" Target="http://113.160.97.58:8224/Viewer/Downloadfile.aspx?mhd=90676658-6a41-4021-9566-a6efc500c71c" TargetMode="External"/><Relationship Id="rId782" Type="http://schemas.openxmlformats.org/officeDocument/2006/relationships/hyperlink" Target="http://113.160.97.58:8224/Viewer/HoaDonViewer.aspx?mhd=2bfdfcf5-3a65-454c-a4ee-7b61094ca6fa&amp;iscd=1" TargetMode="External"/><Relationship Id="rId228" Type="http://schemas.openxmlformats.org/officeDocument/2006/relationships/hyperlink" Target="https://thuphi.haiphong.gov.vn:8222/tra-cuu-bien-lai-dien-tu?ma_tracuu=Q15WENZ8F6" TargetMode="External"/><Relationship Id="rId435" Type="http://schemas.openxmlformats.org/officeDocument/2006/relationships/hyperlink" Target="http://113.160.97.58:8224/Viewer/Downloadfile.aspx?mhd=d85acf7c-f400-4655-98c3-b8079952d636" TargetMode="External"/><Relationship Id="rId642" Type="http://schemas.openxmlformats.org/officeDocument/2006/relationships/hyperlink" Target="http://113.160.97.58:8224/Viewer/HoaDonViewer.aspx?mhd=b85689bd-9229-422d-a2c2-d21649007759&amp;iscd=1" TargetMode="External"/><Relationship Id="rId1065" Type="http://schemas.openxmlformats.org/officeDocument/2006/relationships/hyperlink" Target="http://113.160.97.58:8224/Viewer/HoaDonViewer.aspx?mhd=dac33801-3338-4c31-9255-a10f02cc07a1" TargetMode="External"/><Relationship Id="rId1272" Type="http://schemas.openxmlformats.org/officeDocument/2006/relationships/hyperlink" Target="https://thuphi.haiphong.gov.vn:8222/tra-cuu-bien-lai-dien-tu?ma_tracuu=0UTWP9EN5W" TargetMode="External"/><Relationship Id="rId502" Type="http://schemas.openxmlformats.org/officeDocument/2006/relationships/hyperlink" Target="http://113.160.97.58:8224/Viewer/HoaDonViewer.aspx?mhd=3cd51a2e-c21b-4713-9a02-a3274345c9b4&amp;iscd=1" TargetMode="External"/><Relationship Id="rId947" Type="http://schemas.openxmlformats.org/officeDocument/2006/relationships/hyperlink" Target="http://113.160.97.58:8224/Viewer/Downloadfile.aspx?mhd=ef74b536-1018-408e-8431-a62957284165" TargetMode="External"/><Relationship Id="rId1132" Type="http://schemas.openxmlformats.org/officeDocument/2006/relationships/hyperlink" Target="https://thuphi.haiphong.gov.vn:8222/tra-cuu-bien-lai-dien-tu?ma_tracuu=SBZ6HZCNSN" TargetMode="External"/><Relationship Id="rId76" Type="http://schemas.openxmlformats.org/officeDocument/2006/relationships/hyperlink" Target="https://thuphi.haiphong.gov.vn:8222/tra-cuu-bien-lai-dien-tu?ma_tracuu=5EEJWP8D5N" TargetMode="External"/><Relationship Id="rId807" Type="http://schemas.openxmlformats.org/officeDocument/2006/relationships/hyperlink" Target="http://113.160.97.58:8224/Viewer/Downloadfile.aspx?mhd=477b1763-a60b-4553-a2cb-b5fbda2f4a1f" TargetMode="External"/><Relationship Id="rId1437" Type="http://schemas.openxmlformats.org/officeDocument/2006/relationships/hyperlink" Target="http://113.160.97.58:8224/Viewer/HoaDonViewer.aspx?mhd=5e3066e8-15e5-49ee-a613-07ac4d35ca2a" TargetMode="External"/><Relationship Id="rId292" Type="http://schemas.openxmlformats.org/officeDocument/2006/relationships/hyperlink" Target="https://thuphi.haiphong.gov.vn:8222/tra-cuu-bien-lai-dien-tu?ma_tracuu=8SZUMYHUF6" TargetMode="External"/><Relationship Id="rId597" Type="http://schemas.openxmlformats.org/officeDocument/2006/relationships/hyperlink" Target="http://113.160.97.58:8224/Viewer/HoaDonViewer.aspx?mhd=1eefcfca-100c-46b3-87eb-d50834c2cd05" TargetMode="External"/><Relationship Id="rId152" Type="http://schemas.openxmlformats.org/officeDocument/2006/relationships/hyperlink" Target="https://thuphi.haiphong.gov.vn:8222/tra-cuu-bien-lai-dien-tu?ma_tracuu=1I312H735R" TargetMode="External"/><Relationship Id="rId457" Type="http://schemas.openxmlformats.org/officeDocument/2006/relationships/hyperlink" Target="http://113.160.97.58:8224/Viewer/HoaDonViewer.aspx?mhd=462fb770-96c3-4159-902d-32abdd876b5e" TargetMode="External"/><Relationship Id="rId1087" Type="http://schemas.openxmlformats.org/officeDocument/2006/relationships/hyperlink" Target="http://113.160.97.58:8224/Viewer/Downloadfile.aspx?mhd=28c41497-5c9a-428a-9103-dad084470cfd" TargetMode="External"/><Relationship Id="rId1294" Type="http://schemas.openxmlformats.org/officeDocument/2006/relationships/hyperlink" Target="http://113.160.97.58:8224/Viewer/HoaDonViewer.aspx?mhd=a7516057-8ca7-4882-ba7a-1a4eaa4cbfbd&amp;iscd=1" TargetMode="External"/><Relationship Id="rId664" Type="http://schemas.openxmlformats.org/officeDocument/2006/relationships/hyperlink" Target="https://thuphi.haiphong.gov.vn:8222/tra-cuu-bien-lai-dien-tu?ma_tracuu=S6BCBFR2D0" TargetMode="External"/><Relationship Id="rId871" Type="http://schemas.openxmlformats.org/officeDocument/2006/relationships/hyperlink" Target="http://113.160.97.58:8224/Viewer/Downloadfile.aspx?mhd=fbf3de23-c830-4b60-854c-883e9bae38fa" TargetMode="External"/><Relationship Id="rId969" Type="http://schemas.openxmlformats.org/officeDocument/2006/relationships/hyperlink" Target="http://113.160.97.58:8224/Viewer/HoaDonViewer.aspx?mhd=8de95677-dad1-4d46-a33c-2c16cd768c38" TargetMode="External"/><Relationship Id="rId317" Type="http://schemas.openxmlformats.org/officeDocument/2006/relationships/hyperlink" Target="http://113.160.97.58:8224/Viewer/HoaDonViewer.aspx?mhd=29d50d30-8d3e-41d8-bd3a-cb557c6ea8dc" TargetMode="External"/><Relationship Id="rId524" Type="http://schemas.openxmlformats.org/officeDocument/2006/relationships/hyperlink" Target="https://thuphi.haiphong.gov.vn:8222/tra-cuu-bien-lai-dien-tu?ma_tracuu=8SSIN5E14I" TargetMode="External"/><Relationship Id="rId731" Type="http://schemas.openxmlformats.org/officeDocument/2006/relationships/hyperlink" Target="http://113.160.97.58:8224/Viewer/Downloadfile.aspx?mhd=fa84e481-38e3-4584-abfa-9fe1570d1f2b" TargetMode="External"/><Relationship Id="rId1154" Type="http://schemas.openxmlformats.org/officeDocument/2006/relationships/hyperlink" Target="http://113.160.97.58:8224/Viewer/HoaDonViewer.aspx?mhd=eadad92b-daba-4996-b150-d9924185d77c&amp;iscd=1" TargetMode="External"/><Relationship Id="rId1361" Type="http://schemas.openxmlformats.org/officeDocument/2006/relationships/hyperlink" Target="http://113.160.97.58:8224/Viewer/HoaDonViewer.aspx?mhd=93db2b70-abce-4b36-865c-46c65b9a3480" TargetMode="External"/><Relationship Id="rId98" Type="http://schemas.openxmlformats.org/officeDocument/2006/relationships/hyperlink" Target="http://113.160.97.58:8224/Viewer/HoaDonViewer.aspx?mhd=6cc65e25-6ea3-41d6-b38f-8e6759a70e7e&amp;iscd=1" TargetMode="External"/><Relationship Id="rId829" Type="http://schemas.openxmlformats.org/officeDocument/2006/relationships/hyperlink" Target="http://113.160.97.58:8224/Viewer/HoaDonViewer.aspx?mhd=3df4b132-d510-4810-86d9-f4acb61b1ef3" TargetMode="External"/><Relationship Id="rId1014" Type="http://schemas.openxmlformats.org/officeDocument/2006/relationships/hyperlink" Target="http://113.160.97.58:8224/Viewer/HoaDonViewer.aspx?mhd=62c2eb57-488d-49d9-ad21-9e4f6d7e57a4&amp;iscd=1" TargetMode="External"/><Relationship Id="rId1221" Type="http://schemas.openxmlformats.org/officeDocument/2006/relationships/hyperlink" Target="http://113.160.97.58:8224/Viewer/HoaDonViewer.aspx?mhd=49431209-154d-4c06-8408-8359b91760a2" TargetMode="External"/><Relationship Id="rId1319" Type="http://schemas.openxmlformats.org/officeDocument/2006/relationships/hyperlink" Target="http://113.160.97.58:8224/Viewer/Downloadfile.aspx?mhd=958fd5b5-9901-44ec-b661-eb9af1ce7347" TargetMode="External"/><Relationship Id="rId25" Type="http://schemas.openxmlformats.org/officeDocument/2006/relationships/hyperlink" Target="http://113.160.97.58:8224/Viewer/HoaDonViewer.aspx?mhd=847aa2fa-8ba0-4e05-84a5-9cf00536f9a6" TargetMode="External"/><Relationship Id="rId174" Type="http://schemas.openxmlformats.org/officeDocument/2006/relationships/hyperlink" Target="http://113.160.97.58:8224/Viewer/HoaDonViewer.aspx?mhd=0c893a9a-2db7-474a-a308-2aa1acaf0399&amp;iscd=1" TargetMode="External"/><Relationship Id="rId381" Type="http://schemas.openxmlformats.org/officeDocument/2006/relationships/hyperlink" Target="http://113.160.97.58:8224/Viewer/HoaDonViewer.aspx?mhd=132f62df-fa13-4add-9147-64ec43eb31de" TargetMode="External"/><Relationship Id="rId241" Type="http://schemas.openxmlformats.org/officeDocument/2006/relationships/hyperlink" Target="http://113.160.97.58:8224/Viewer/HoaDonViewer.aspx?mhd=c79064f9-da0e-4c54-a292-680e91f3c357" TargetMode="External"/><Relationship Id="rId479" Type="http://schemas.openxmlformats.org/officeDocument/2006/relationships/hyperlink" Target="http://113.160.97.58:8224/Viewer/Downloadfile.aspx?mhd=6eb91a14-6abf-4e54-8df8-04f3d3f50c9f" TargetMode="External"/><Relationship Id="rId686" Type="http://schemas.openxmlformats.org/officeDocument/2006/relationships/hyperlink" Target="http://113.160.97.58:8224/Viewer/HoaDonViewer.aspx?mhd=711aeafb-a045-447b-8d80-3004240de030&amp;iscd=1" TargetMode="External"/><Relationship Id="rId893" Type="http://schemas.openxmlformats.org/officeDocument/2006/relationships/hyperlink" Target="http://113.160.97.58:8224/Viewer/HoaDonViewer.aspx?mhd=88a33e95-96e5-4c98-802c-9956d7222009" TargetMode="External"/><Relationship Id="rId339" Type="http://schemas.openxmlformats.org/officeDocument/2006/relationships/hyperlink" Target="http://113.160.97.58:8224/Viewer/Downloadfile.aspx?mhd=b9ea1ef5-69ac-4605-8c71-5d4c0c503358" TargetMode="External"/><Relationship Id="rId546" Type="http://schemas.openxmlformats.org/officeDocument/2006/relationships/hyperlink" Target="http://113.160.97.58:8224/Viewer/HoaDonViewer.aspx?mhd=4308d4a5-eeba-4290-8332-23875a649a16&amp;iscd=1" TargetMode="External"/><Relationship Id="rId753" Type="http://schemas.openxmlformats.org/officeDocument/2006/relationships/hyperlink" Target="http://113.160.97.58:8224/Viewer/HoaDonViewer.aspx?mhd=3ade4c2b-0216-4f9b-8e93-7b319fa383e3" TargetMode="External"/><Relationship Id="rId1176" Type="http://schemas.openxmlformats.org/officeDocument/2006/relationships/hyperlink" Target="https://thuphi.haiphong.gov.vn:8222/tra-cuu-bien-lai-dien-tu?ma_tracuu=HR6TSNRESC" TargetMode="External"/><Relationship Id="rId1383" Type="http://schemas.openxmlformats.org/officeDocument/2006/relationships/hyperlink" Target="http://113.160.97.58:8224/Viewer/Downloadfile.aspx?mhd=792710bd-dae7-4a78-9e4c-7295eac46ed6" TargetMode="External"/><Relationship Id="rId101" Type="http://schemas.openxmlformats.org/officeDocument/2006/relationships/hyperlink" Target="http://113.160.97.58:8224/Viewer/HoaDonViewer.aspx?mhd=895fbdf4-69af-41c1-9e49-d02005087eb7" TargetMode="External"/><Relationship Id="rId406" Type="http://schemas.openxmlformats.org/officeDocument/2006/relationships/hyperlink" Target="http://113.160.97.58:8224/Viewer/HoaDonViewer.aspx?mhd=c34e3e5a-c92d-4507-892d-fc8fb7ddc4b8&amp;iscd=1" TargetMode="External"/><Relationship Id="rId960" Type="http://schemas.openxmlformats.org/officeDocument/2006/relationships/hyperlink" Target="https://thuphi.haiphong.gov.vn:8222/tra-cuu-bien-lai-dien-tu?ma_tracuu=13LUWYMS3C" TargetMode="External"/><Relationship Id="rId1036" Type="http://schemas.openxmlformats.org/officeDocument/2006/relationships/hyperlink" Target="https://thuphi.haiphong.gov.vn:8222/tra-cuu-bien-lai-dien-tu?ma_tracuu=2F9PXLYFX6" TargetMode="External"/><Relationship Id="rId1243" Type="http://schemas.openxmlformats.org/officeDocument/2006/relationships/hyperlink" Target="http://113.160.97.58:8224/Viewer/Downloadfile.aspx?mhd=abfe3efe-b6cd-491c-ae39-977fddf52186" TargetMode="External"/><Relationship Id="rId613" Type="http://schemas.openxmlformats.org/officeDocument/2006/relationships/hyperlink" Target="http://113.160.97.58:8224/Viewer/HoaDonViewer.aspx?mhd=6db8e244-68b1-4a92-8642-ce809dc0a8cd" TargetMode="External"/><Relationship Id="rId820" Type="http://schemas.openxmlformats.org/officeDocument/2006/relationships/hyperlink" Target="https://thuphi.haiphong.gov.vn:8222/tra-cuu-bien-lai-dien-tu?ma_tracuu=3G8E06WB3C" TargetMode="External"/><Relationship Id="rId918" Type="http://schemas.openxmlformats.org/officeDocument/2006/relationships/hyperlink" Target="http://113.160.97.58:8224/Viewer/HoaDonViewer.aspx?mhd=3fb9dbcd-bccb-4871-9744-9f88feb454d4&amp;iscd=1" TargetMode="External"/><Relationship Id="rId1450" Type="http://schemas.openxmlformats.org/officeDocument/2006/relationships/hyperlink" Target="http://113.160.97.58:8224/Viewer/HoaDonViewer.aspx?mhd=0d01c7c4-3186-4e9d-bc79-c5ac152db48b&amp;iscd=1" TargetMode="External"/><Relationship Id="rId1103" Type="http://schemas.openxmlformats.org/officeDocument/2006/relationships/hyperlink" Target="http://113.160.97.58:8224/Viewer/Downloadfile.aspx?mhd=ae9f5f30-4700-49b7-9cb2-801bacff8028" TargetMode="External"/><Relationship Id="rId1310" Type="http://schemas.openxmlformats.org/officeDocument/2006/relationships/hyperlink" Target="http://113.160.97.58:8224/Viewer/HoaDonViewer.aspx?mhd=18288ce8-61dc-455c-adf4-c35d73d8db04&amp;iscd=1" TargetMode="External"/><Relationship Id="rId1408" Type="http://schemas.openxmlformats.org/officeDocument/2006/relationships/hyperlink" Target="https://thuphi.haiphong.gov.vn:8222/tra-cuu-bien-lai-dien-tu?ma_tracuu=4D4YIQA2T2" TargetMode="External"/><Relationship Id="rId47" Type="http://schemas.openxmlformats.org/officeDocument/2006/relationships/hyperlink" Target="http://113.160.97.58:8224/Viewer/Downloadfile.aspx?mhd=72c3a870-6e34-4e51-9946-5d73c1264d79" TargetMode="External"/><Relationship Id="rId196" Type="http://schemas.openxmlformats.org/officeDocument/2006/relationships/hyperlink" Target="https://thuphi.haiphong.gov.vn:8222/tra-cuu-bien-lai-dien-tu?ma_tracuu=5UZE8FTWVE" TargetMode="External"/><Relationship Id="rId263" Type="http://schemas.openxmlformats.org/officeDocument/2006/relationships/hyperlink" Target="http://113.160.97.58:8224/Viewer/Downloadfile.aspx?mhd=79052034-1b24-4db3-9e4d-2a066070d390" TargetMode="External"/><Relationship Id="rId470" Type="http://schemas.openxmlformats.org/officeDocument/2006/relationships/hyperlink" Target="http://113.160.97.58:8224/Viewer/HoaDonViewer.aspx?mhd=d28fac4f-86dc-453f-b820-b0b41b1990b4&amp;iscd=1" TargetMode="External"/><Relationship Id="rId123" Type="http://schemas.openxmlformats.org/officeDocument/2006/relationships/hyperlink" Target="http://113.160.97.58:8224/Viewer/Downloadfile.aspx?mhd=f4b1c50d-3f16-4529-a3ad-b08dad0827a6" TargetMode="External"/><Relationship Id="rId330" Type="http://schemas.openxmlformats.org/officeDocument/2006/relationships/hyperlink" Target="http://113.160.97.58:8224/Viewer/HoaDonViewer.aspx?mhd=9ca16921-9e64-4222-a529-5a78fff42b2f&amp;iscd=1" TargetMode="External"/><Relationship Id="rId568" Type="http://schemas.openxmlformats.org/officeDocument/2006/relationships/hyperlink" Target="https://thuphi.haiphong.gov.vn:8222/tra-cuu-bien-lai-dien-tu?ma_tracuu=CCJ17ZVHCM" TargetMode="External"/><Relationship Id="rId775" Type="http://schemas.openxmlformats.org/officeDocument/2006/relationships/hyperlink" Target="http://113.160.97.58:8224/Viewer/Downloadfile.aspx?mhd=896a6499-63a4-49f7-aa8d-c24e5e38c49f" TargetMode="External"/><Relationship Id="rId982" Type="http://schemas.openxmlformats.org/officeDocument/2006/relationships/hyperlink" Target="http://113.160.97.58:8224/Viewer/HoaDonViewer.aspx?mhd=007ce71d-4d5e-4347-b2c0-c8dbd6d07775&amp;iscd=1" TargetMode="External"/><Relationship Id="rId1198" Type="http://schemas.openxmlformats.org/officeDocument/2006/relationships/hyperlink" Target="http://113.160.97.58:8224/Viewer/HoaDonViewer.aspx?mhd=60a63e4f-5050-4195-b62b-498849431a8e&amp;iscd=1" TargetMode="External"/><Relationship Id="rId428" Type="http://schemas.openxmlformats.org/officeDocument/2006/relationships/hyperlink" Target="https://thuphi.haiphong.gov.vn:8222/tra-cuu-bien-lai-dien-tu?ma_tracuu=F1AJXQ584A" TargetMode="External"/><Relationship Id="rId635" Type="http://schemas.openxmlformats.org/officeDocument/2006/relationships/hyperlink" Target="http://113.160.97.58:8224/Viewer/Downloadfile.aspx?mhd=2f3ba930-eb97-4158-ba0c-d46a545cb69a" TargetMode="External"/><Relationship Id="rId842" Type="http://schemas.openxmlformats.org/officeDocument/2006/relationships/hyperlink" Target="http://113.160.97.58:8224/Viewer/HoaDonViewer.aspx?mhd=7e688161-f7c1-4073-b9d1-f1e938b82654&amp;iscd=1" TargetMode="External"/><Relationship Id="rId1058" Type="http://schemas.openxmlformats.org/officeDocument/2006/relationships/hyperlink" Target="http://113.160.97.58:8224/Viewer/HoaDonViewer.aspx?mhd=e65cb7fc-2c05-448a-8ac0-2508592eb558&amp;iscd=1" TargetMode="External"/><Relationship Id="rId1265" Type="http://schemas.openxmlformats.org/officeDocument/2006/relationships/hyperlink" Target="http://113.160.97.58:8224/Viewer/HoaDonViewer.aspx?mhd=b7922478-c335-4bd0-8bba-ff57e9c82928" TargetMode="External"/><Relationship Id="rId702" Type="http://schemas.openxmlformats.org/officeDocument/2006/relationships/hyperlink" Target="http://113.160.97.58:8224/Viewer/HoaDonViewer.aspx?mhd=13ce1278-4008-4a72-902b-f9f75e8c2725&amp;iscd=1" TargetMode="External"/><Relationship Id="rId1125" Type="http://schemas.openxmlformats.org/officeDocument/2006/relationships/hyperlink" Target="http://113.160.97.58:8224/Viewer/HoaDonViewer.aspx?mhd=ac164a91-000a-428e-aa6a-00fdf2821344" TargetMode="External"/><Relationship Id="rId1332" Type="http://schemas.openxmlformats.org/officeDocument/2006/relationships/hyperlink" Target="https://thuphi.haiphong.gov.vn:8222/tra-cuu-bien-lai-dien-tu?ma_tracuu=ZU0RNGSTTC" TargetMode="External"/><Relationship Id="rId69" Type="http://schemas.openxmlformats.org/officeDocument/2006/relationships/hyperlink" Target="http://113.160.97.58:8224/Viewer/HoaDonViewer.aspx?mhd=edbfe2d7-6dc0-46be-8e26-acab7701add6" TargetMode="External"/><Relationship Id="rId285" Type="http://schemas.openxmlformats.org/officeDocument/2006/relationships/hyperlink" Target="http://113.160.97.58:8224/Viewer/HoaDonViewer.aspx?mhd=2d5fdf70-21c8-46ff-ac43-5ef20f052e98" TargetMode="External"/><Relationship Id="rId492" Type="http://schemas.openxmlformats.org/officeDocument/2006/relationships/hyperlink" Target="https://thuphi.haiphong.gov.vn:8222/tra-cuu-bien-lai-dien-tu?ma_tracuu=2BBFD41Z4H" TargetMode="External"/><Relationship Id="rId797" Type="http://schemas.openxmlformats.org/officeDocument/2006/relationships/hyperlink" Target="http://113.160.97.58:8224/Viewer/HoaDonViewer.aspx?mhd=225b10c2-fd8a-495e-b866-48c0c476fae8" TargetMode="External"/><Relationship Id="rId145" Type="http://schemas.openxmlformats.org/officeDocument/2006/relationships/hyperlink" Target="http://113.160.97.58:8224/Viewer/HoaDonViewer.aspx?mhd=58d3c0db-ff5c-4388-a06c-9dd5aac3c6e2" TargetMode="External"/><Relationship Id="rId352" Type="http://schemas.openxmlformats.org/officeDocument/2006/relationships/hyperlink" Target="https://thuphi.haiphong.gov.vn:8222/tra-cuu-bien-lai-dien-tu?ma_tracuu=Y0KU8N8PR1" TargetMode="External"/><Relationship Id="rId1287" Type="http://schemas.openxmlformats.org/officeDocument/2006/relationships/hyperlink" Target="http://113.160.97.58:8224/Viewer/Downloadfile.aspx?mhd=adf63ed6-a4ae-4922-ae87-a385bc176345" TargetMode="External"/><Relationship Id="rId212" Type="http://schemas.openxmlformats.org/officeDocument/2006/relationships/hyperlink" Target="https://thuphi.haiphong.gov.vn:8222/tra-cuu-bien-lai-dien-tu?ma_tracuu=P2DRCS28F2" TargetMode="External"/><Relationship Id="rId657" Type="http://schemas.openxmlformats.org/officeDocument/2006/relationships/hyperlink" Target="http://113.160.97.58:8224/Viewer/HoaDonViewer.aspx?mhd=82962104-4c55-4c5b-937c-dc48e3a7a434" TargetMode="External"/><Relationship Id="rId864" Type="http://schemas.openxmlformats.org/officeDocument/2006/relationships/hyperlink" Target="https://thuphi.haiphong.gov.vn:8222/tra-cuu-bien-lai-dien-tu?ma_tracuu=F3Y1M0CD3J" TargetMode="External"/><Relationship Id="rId517" Type="http://schemas.openxmlformats.org/officeDocument/2006/relationships/hyperlink" Target="http://113.160.97.58:8224/Viewer/HoaDonViewer.aspx?mhd=95836ee9-e0c6-458e-bd14-06d7cfa355b1" TargetMode="External"/><Relationship Id="rId724" Type="http://schemas.openxmlformats.org/officeDocument/2006/relationships/hyperlink" Target="https://thuphi.haiphong.gov.vn:8222/tra-cuu-bien-lai-dien-tu?ma_tracuu=SU4QZ29FE2" TargetMode="External"/><Relationship Id="rId931" Type="http://schemas.openxmlformats.org/officeDocument/2006/relationships/hyperlink" Target="http://113.160.97.58:8224/Viewer/Downloadfile.aspx?mhd=8ff4d90a-5220-4af8-b46f-0ae53428381d" TargetMode="External"/><Relationship Id="rId1147" Type="http://schemas.openxmlformats.org/officeDocument/2006/relationships/hyperlink" Target="http://113.160.97.58:8224/Viewer/Downloadfile.aspx?mhd=d585c663-48b9-4512-a586-f7df0ecc9974" TargetMode="External"/><Relationship Id="rId1354" Type="http://schemas.openxmlformats.org/officeDocument/2006/relationships/hyperlink" Target="http://113.160.97.58:8224/Viewer/HoaDonViewer.aspx?mhd=7daf5e7c-d2ab-4cf3-97ac-0d1c7f5348b4&amp;iscd=1" TargetMode="External"/><Relationship Id="rId60" Type="http://schemas.openxmlformats.org/officeDocument/2006/relationships/hyperlink" Target="https://thuphi.haiphong.gov.vn:8222/tra-cuu-bien-lai-dien-tu?ma_tracuu=04WBSDJ45A" TargetMode="External"/><Relationship Id="rId1007" Type="http://schemas.openxmlformats.org/officeDocument/2006/relationships/hyperlink" Target="http://113.160.97.58:8224/Viewer/Downloadfile.aspx?mhd=6bd140e6-4492-4b09-8e64-47b4ec05ad2b" TargetMode="External"/><Relationship Id="rId1214" Type="http://schemas.openxmlformats.org/officeDocument/2006/relationships/hyperlink" Target="http://113.160.97.58:8224/Viewer/HoaDonViewer.aspx?mhd=ead8845c-ad24-4b7a-a663-94586b54a6e9&amp;iscd=1" TargetMode="External"/><Relationship Id="rId1421" Type="http://schemas.openxmlformats.org/officeDocument/2006/relationships/hyperlink" Target="http://113.160.97.58:8224/Viewer/HoaDonViewer.aspx?mhd=2fa58687-03db-4566-84b2-d7cce9647bc9" TargetMode="External"/><Relationship Id="rId18" Type="http://schemas.openxmlformats.org/officeDocument/2006/relationships/hyperlink" Target="http://113.160.97.58:8224/Viewer/HoaDonViewer.aspx?mhd=ecb3994c-876d-4dac-ac03-172281686dcc&amp;iscd=1" TargetMode="External"/><Relationship Id="rId167" Type="http://schemas.openxmlformats.org/officeDocument/2006/relationships/hyperlink" Target="http://113.160.97.58:8224/Viewer/Downloadfile.aspx?mhd=b053466f-825a-4957-8f1b-922c41e00d15" TargetMode="External"/><Relationship Id="rId374" Type="http://schemas.openxmlformats.org/officeDocument/2006/relationships/hyperlink" Target="http://113.160.97.58:8224/Viewer/HoaDonViewer.aspx?mhd=c8f4abdf-9f9f-4d24-b507-896db25a5aa8&amp;iscd=1" TargetMode="External"/><Relationship Id="rId581" Type="http://schemas.openxmlformats.org/officeDocument/2006/relationships/hyperlink" Target="http://113.160.97.58:8224/Viewer/HoaDonViewer.aspx?mhd=adeee0ba-daef-4302-ba28-e002d00916a6" TargetMode="External"/><Relationship Id="rId234" Type="http://schemas.openxmlformats.org/officeDocument/2006/relationships/hyperlink" Target="http://113.160.97.58:8224/Viewer/HoaDonViewer.aspx?mhd=ba01724b-ee91-4d65-84f0-5a6d679867aa&amp;iscd=1" TargetMode="External"/><Relationship Id="rId679" Type="http://schemas.openxmlformats.org/officeDocument/2006/relationships/hyperlink" Target="http://113.160.97.58:8224/Viewer/Downloadfile.aspx?mhd=e94000de-9542-4394-818b-e1a17a74647f" TargetMode="External"/><Relationship Id="rId886" Type="http://schemas.openxmlformats.org/officeDocument/2006/relationships/hyperlink" Target="http://113.160.97.58:8224/Viewer/HoaDonViewer.aspx?mhd=d36831a5-f2d4-4b1a-bef8-2987a40884a5&amp;iscd=1" TargetMode="External"/><Relationship Id="rId2" Type="http://schemas.openxmlformats.org/officeDocument/2006/relationships/hyperlink" Target="http://113.160.97.58:8224/Viewer/HoaDonViewer.aspx?mhd=9d803f1b-a51c-4d42-a354-179ab2ffa871&amp;iscd=1" TargetMode="External"/><Relationship Id="rId441" Type="http://schemas.openxmlformats.org/officeDocument/2006/relationships/hyperlink" Target="http://113.160.97.58:8224/Viewer/HoaDonViewer.aspx?mhd=bcc2c7a4-1b86-49ba-aefe-59c28e33b30c" TargetMode="External"/><Relationship Id="rId539" Type="http://schemas.openxmlformats.org/officeDocument/2006/relationships/hyperlink" Target="http://113.160.97.58:8224/Viewer/Downloadfile.aspx?mhd=1021ccfb-72bf-439b-aaa0-fc4185def5a8" TargetMode="External"/><Relationship Id="rId746" Type="http://schemas.openxmlformats.org/officeDocument/2006/relationships/hyperlink" Target="http://113.160.97.58:8224/Viewer/HoaDonViewer.aspx?mhd=25e02a32-33d7-4cdf-825a-2a52f3758f6d&amp;iscd=1" TargetMode="External"/><Relationship Id="rId1071" Type="http://schemas.openxmlformats.org/officeDocument/2006/relationships/hyperlink" Target="http://113.160.97.58:8224/Viewer/Downloadfile.aspx?mhd=f1785040-b7a1-4672-9276-492f45c049a4" TargetMode="External"/><Relationship Id="rId1169" Type="http://schemas.openxmlformats.org/officeDocument/2006/relationships/hyperlink" Target="http://113.160.97.58:8224/Viewer/HoaDonViewer.aspx?mhd=abb3bee2-359d-4d84-8fe0-e86c7be18720" TargetMode="External"/><Relationship Id="rId1376" Type="http://schemas.openxmlformats.org/officeDocument/2006/relationships/hyperlink" Target="https://thuphi.haiphong.gov.vn:8222/tra-cuu-bien-lai-dien-tu?ma_tracuu=I5VA1ERRTE" TargetMode="External"/><Relationship Id="rId301" Type="http://schemas.openxmlformats.org/officeDocument/2006/relationships/hyperlink" Target="http://113.160.97.58:8224/Viewer/HoaDonViewer.aspx?mhd=89d427f9-335b-49fa-9bae-191fdc5c8933" TargetMode="External"/><Relationship Id="rId953" Type="http://schemas.openxmlformats.org/officeDocument/2006/relationships/hyperlink" Target="http://113.160.97.58:8224/Viewer/HoaDonViewer.aspx?mhd=4a7f251d-6087-4036-a2fb-7b7a7950a290" TargetMode="External"/><Relationship Id="rId1029" Type="http://schemas.openxmlformats.org/officeDocument/2006/relationships/hyperlink" Target="http://113.160.97.58:8224/Viewer/HoaDonViewer.aspx?mhd=d753f1b1-46aa-4b52-b73c-57cbf64afa10" TargetMode="External"/><Relationship Id="rId1236" Type="http://schemas.openxmlformats.org/officeDocument/2006/relationships/hyperlink" Target="https://thuphi.haiphong.gov.vn:8222/tra-cuu-bien-lai-dien-tu?ma_tracuu=R4S6KBBP58" TargetMode="External"/><Relationship Id="rId82" Type="http://schemas.openxmlformats.org/officeDocument/2006/relationships/hyperlink" Target="http://113.160.97.58:8224/Viewer/HoaDonViewer.aspx?mhd=797321e1-3a46-4bf9-9bf0-2f9bc1bf762f&amp;iscd=1" TargetMode="External"/><Relationship Id="rId606" Type="http://schemas.openxmlformats.org/officeDocument/2006/relationships/hyperlink" Target="http://113.160.97.58:8224/Viewer/HoaDonViewer.aspx?mhd=3991588d-0dbb-4ad6-88bb-5a9476a6a414&amp;iscd=1" TargetMode="External"/><Relationship Id="rId813" Type="http://schemas.openxmlformats.org/officeDocument/2006/relationships/hyperlink" Target="http://113.160.97.58:8224/Viewer/HoaDonViewer.aspx?mhd=835eddca-be27-455c-86c6-948ca7f46c89" TargetMode="External"/><Relationship Id="rId1443" Type="http://schemas.openxmlformats.org/officeDocument/2006/relationships/hyperlink" Target="http://113.160.97.58:8224/Viewer/Downloadfile.aspx?mhd=89b0eb95-a352-4f1f-815b-38b6e5d3ea41" TargetMode="External"/><Relationship Id="rId1303" Type="http://schemas.openxmlformats.org/officeDocument/2006/relationships/hyperlink" Target="http://113.160.97.58:8224/Viewer/Downloadfile.aspx?mhd=9d351923-219d-4a9f-b41d-38b7f119b8e7" TargetMode="External"/><Relationship Id="rId189" Type="http://schemas.openxmlformats.org/officeDocument/2006/relationships/hyperlink" Target="http://113.160.97.58:8224/Viewer/HoaDonViewer.aspx?mhd=f7839817-21ba-40c4-bbba-6d049b78978c" TargetMode="External"/><Relationship Id="rId396" Type="http://schemas.openxmlformats.org/officeDocument/2006/relationships/hyperlink" Target="https://thuphi.haiphong.gov.vn:8222/tra-cuu-bien-lai-dien-tu?ma_tracuu=ZV3AW3R6RP" TargetMode="External"/><Relationship Id="rId256" Type="http://schemas.openxmlformats.org/officeDocument/2006/relationships/hyperlink" Target="https://thuphi.haiphong.gov.vn:8222/tra-cuu-bien-lai-dien-tu?ma_tracuu=T6A3FCGJFF" TargetMode="External"/><Relationship Id="rId463" Type="http://schemas.openxmlformats.org/officeDocument/2006/relationships/hyperlink" Target="http://113.160.97.58:8224/Viewer/Downloadfile.aspx?mhd=fefded5a-286f-4695-b26e-9a0f2513b3a9" TargetMode="External"/><Relationship Id="rId670" Type="http://schemas.openxmlformats.org/officeDocument/2006/relationships/hyperlink" Target="http://113.160.97.58:8224/Viewer/HoaDonViewer.aspx?mhd=218211ec-3585-456d-956e-1b028592dc16&amp;iscd=1" TargetMode="External"/><Relationship Id="rId1093" Type="http://schemas.openxmlformats.org/officeDocument/2006/relationships/hyperlink" Target="http://113.160.97.58:8224/Viewer/HoaDonViewer.aspx?mhd=82ba8622-3794-4d4e-8ce6-c114ff2e71fd" TargetMode="External"/><Relationship Id="rId116" Type="http://schemas.openxmlformats.org/officeDocument/2006/relationships/hyperlink" Target="https://thuphi.haiphong.gov.vn:8222/tra-cuu-bien-lai-dien-tu?ma_tracuu=Z7C5I05E5H" TargetMode="External"/><Relationship Id="rId323" Type="http://schemas.openxmlformats.org/officeDocument/2006/relationships/hyperlink" Target="http://113.160.97.58:8224/Viewer/Downloadfile.aspx?mhd=bea0dfcd-8722-4d70-b2fd-ebfe9c6e2567" TargetMode="External"/><Relationship Id="rId530" Type="http://schemas.openxmlformats.org/officeDocument/2006/relationships/hyperlink" Target="http://113.160.97.58:8224/Viewer/HoaDonViewer.aspx?mhd=4f8f5d29-ae64-4e10-aaa3-591a4c2fc2f6&amp;iscd=1" TargetMode="External"/><Relationship Id="rId768" Type="http://schemas.openxmlformats.org/officeDocument/2006/relationships/hyperlink" Target="https://thuphi.haiphong.gov.vn:8222/tra-cuu-bien-lai-dien-tu?ma_tracuu=GN1NIFN735" TargetMode="External"/><Relationship Id="rId975" Type="http://schemas.openxmlformats.org/officeDocument/2006/relationships/hyperlink" Target="http://113.160.97.58:8224/Viewer/Downloadfile.aspx?mhd=8d5102f2-d0af-41d3-948a-17cf0561e5fe" TargetMode="External"/><Relationship Id="rId1160" Type="http://schemas.openxmlformats.org/officeDocument/2006/relationships/hyperlink" Target="https://thuphi.haiphong.gov.vn:8222/tra-cuu-bien-lai-dien-tu?ma_tracuu=CCUBTTUCS4" TargetMode="External"/><Relationship Id="rId1398" Type="http://schemas.openxmlformats.org/officeDocument/2006/relationships/hyperlink" Target="http://113.160.97.58:8224/Viewer/HoaDonViewer.aspx?mhd=052a403d-bcbd-4cdf-b724-b1264c9dcbfb&amp;iscd=1" TargetMode="External"/><Relationship Id="rId628" Type="http://schemas.openxmlformats.org/officeDocument/2006/relationships/hyperlink" Target="https://thuphi.haiphong.gov.vn:8222/tra-cuu-bien-lai-dien-tu?ma_tracuu=Y7L5MED0DD" TargetMode="External"/><Relationship Id="rId835" Type="http://schemas.openxmlformats.org/officeDocument/2006/relationships/hyperlink" Target="http://113.160.97.58:8224/Viewer/Downloadfile.aspx?mhd=36fdd49f-5394-405f-971c-f8906167070d" TargetMode="External"/><Relationship Id="rId1258" Type="http://schemas.openxmlformats.org/officeDocument/2006/relationships/hyperlink" Target="http://113.160.97.58:8224/Viewer/HoaDonViewer.aspx?mhd=7ca53f91-1d01-4d4d-b3ed-bca483428193&amp;iscd=1" TargetMode="External"/><Relationship Id="rId1020" Type="http://schemas.openxmlformats.org/officeDocument/2006/relationships/hyperlink" Target="https://thuphi.haiphong.gov.vn:8222/tra-cuu-bien-lai-dien-tu?ma_tracuu=79HUARK0X9" TargetMode="External"/><Relationship Id="rId1118" Type="http://schemas.openxmlformats.org/officeDocument/2006/relationships/hyperlink" Target="http://113.160.97.58:8224/Viewer/HoaDonViewer.aspx?mhd=de3d603b-dba1-45a5-8c1f-5e2e9b47e85f&amp;iscd=1" TargetMode="External"/><Relationship Id="rId1325" Type="http://schemas.openxmlformats.org/officeDocument/2006/relationships/hyperlink" Target="http://113.160.97.58:8224/Viewer/HoaDonViewer.aspx?mhd=699c6215-5fa7-44c6-af5f-1a7729896a2d" TargetMode="External"/><Relationship Id="rId902" Type="http://schemas.openxmlformats.org/officeDocument/2006/relationships/hyperlink" Target="http://113.160.97.58:8224/Viewer/HoaDonViewer.aspx?mhd=2df1f01e-aae5-40ce-9445-dd852e575649&amp;iscd=1" TargetMode="External"/><Relationship Id="rId31" Type="http://schemas.openxmlformats.org/officeDocument/2006/relationships/hyperlink" Target="http://113.160.97.58:8224/Viewer/Downloadfile.aspx?mhd=b7922478-c335-4bd0-8bba-ff57e9c82928" TargetMode="External"/><Relationship Id="rId180" Type="http://schemas.openxmlformats.org/officeDocument/2006/relationships/hyperlink" Target="https://thuphi.haiphong.gov.vn:8222/tra-cuu-bien-lai-dien-tu?ma_tracuu=PZB4BTGTV4" TargetMode="External"/><Relationship Id="rId278" Type="http://schemas.openxmlformats.org/officeDocument/2006/relationships/hyperlink" Target="http://113.160.97.58:8224/Viewer/HoaDonViewer.aspx?mhd=41cafa4a-0332-4a84-97af-83572d72e59b&amp;iscd=1" TargetMode="External"/><Relationship Id="rId485" Type="http://schemas.openxmlformats.org/officeDocument/2006/relationships/hyperlink" Target="http://113.160.97.58:8224/Viewer/HoaDonViewer.aspx?mhd=77eabce0-2924-468a-9716-43f258b8739e" TargetMode="External"/><Relationship Id="rId692" Type="http://schemas.openxmlformats.org/officeDocument/2006/relationships/hyperlink" Target="https://thuphi.haiphong.gov.vn:8222/tra-cuu-bien-lai-dien-tu?ma_tracuu=S3WD60P7EP" TargetMode="External"/><Relationship Id="rId138" Type="http://schemas.openxmlformats.org/officeDocument/2006/relationships/hyperlink" Target="http://113.160.97.58:8224/Viewer/HoaDonViewer.aspx?mhd=90781c7d-fc62-4d27-855c-28a5b38ba43c&amp;iscd=1" TargetMode="External"/><Relationship Id="rId345" Type="http://schemas.openxmlformats.org/officeDocument/2006/relationships/hyperlink" Target="http://113.160.97.58:8224/Viewer/HoaDonViewer.aspx?mhd=ca822dcb-1cc3-4537-b10a-17fbb08da10d" TargetMode="External"/><Relationship Id="rId552" Type="http://schemas.openxmlformats.org/officeDocument/2006/relationships/hyperlink" Target="https://thuphi.haiphong.gov.vn:8222/tra-cuu-bien-lai-dien-tu?ma_tracuu=ABQ4YWGHCA" TargetMode="External"/><Relationship Id="rId997" Type="http://schemas.openxmlformats.org/officeDocument/2006/relationships/hyperlink" Target="http://113.160.97.58:8224/Viewer/HoaDonViewer.aspx?mhd=36663e66-3091-44a1-8149-c3c61c942107" TargetMode="External"/><Relationship Id="rId1182" Type="http://schemas.openxmlformats.org/officeDocument/2006/relationships/hyperlink" Target="http://113.160.97.58:8224/Viewer/HoaDonViewer.aspx?mhd=11eb93c1-e582-4882-8fbc-be04f47d0c8b&amp;iscd=1" TargetMode="External"/><Relationship Id="rId205" Type="http://schemas.openxmlformats.org/officeDocument/2006/relationships/hyperlink" Target="http://113.160.97.58:8224/Viewer/HoaDonViewer.aspx?mhd=67297fde-9a31-4662-9aa7-c837feade523" TargetMode="External"/><Relationship Id="rId412" Type="http://schemas.openxmlformats.org/officeDocument/2006/relationships/hyperlink" Target="https://thuphi.haiphong.gov.vn:8222/tra-cuu-bien-lai-dien-tu?ma_tracuu=LJ7YFCGGRU" TargetMode="External"/><Relationship Id="rId857" Type="http://schemas.openxmlformats.org/officeDocument/2006/relationships/hyperlink" Target="http://113.160.97.58:8224/Viewer/HoaDonViewer.aspx?mhd=53944915-5978-4e9e-ab19-cefd50d2aacc" TargetMode="External"/><Relationship Id="rId1042" Type="http://schemas.openxmlformats.org/officeDocument/2006/relationships/hyperlink" Target="http://113.160.97.58:8224/Viewer/HoaDonViewer.aspx?mhd=a3e074c6-f336-4696-9dc2-5d036b36464d&amp;iscd=1" TargetMode="External"/><Relationship Id="rId717" Type="http://schemas.openxmlformats.org/officeDocument/2006/relationships/hyperlink" Target="http://113.160.97.58:8224/Viewer/HoaDonViewer.aspx?mhd=99cf9d00-fe15-48b0-b404-b82b31e1c4cc" TargetMode="External"/><Relationship Id="rId924" Type="http://schemas.openxmlformats.org/officeDocument/2006/relationships/hyperlink" Target="https://thuphi.haiphong.gov.vn:8222/tra-cuu-bien-lai-dien-tu?ma_tracuu=7JXIV7ED38" TargetMode="External"/><Relationship Id="rId1347" Type="http://schemas.openxmlformats.org/officeDocument/2006/relationships/hyperlink" Target="http://113.160.97.58:8224/Viewer/Downloadfile.aspx?mhd=8893c399-3add-440a-92bc-c8d3e8efc150" TargetMode="External"/><Relationship Id="rId53" Type="http://schemas.openxmlformats.org/officeDocument/2006/relationships/hyperlink" Target="http://113.160.97.58:8224/Viewer/HoaDonViewer.aspx?mhd=a15c3686-685b-4fce-8f1f-1292a3266cc6" TargetMode="External"/><Relationship Id="rId1207" Type="http://schemas.openxmlformats.org/officeDocument/2006/relationships/hyperlink" Target="http://113.160.97.58:8224/Viewer/Downloadfile.aspx?mhd=c3696651-36a9-40d0-8452-a4f2f3078fde" TargetMode="External"/><Relationship Id="rId1414" Type="http://schemas.openxmlformats.org/officeDocument/2006/relationships/hyperlink" Target="http://113.160.97.58:8224/Viewer/HoaDonViewer.aspx?mhd=f5d2be1e-4a3b-4272-a1fe-e388f599773d&amp;iscd=1" TargetMode="External"/><Relationship Id="rId367" Type="http://schemas.openxmlformats.org/officeDocument/2006/relationships/hyperlink" Target="http://113.160.97.58:8224/Viewer/Downloadfile.aspx?mhd=a29473ce-be98-4938-a84c-15d478e3ce1b" TargetMode="External"/><Relationship Id="rId574" Type="http://schemas.openxmlformats.org/officeDocument/2006/relationships/hyperlink" Target="http://113.160.97.58:8224/Viewer/HoaDonViewer.aspx?mhd=90676658-6a41-4021-9566-a6efc500c71c&amp;iscd=1" TargetMode="External"/><Relationship Id="rId227" Type="http://schemas.openxmlformats.org/officeDocument/2006/relationships/hyperlink" Target="http://113.160.97.58:8224/Viewer/Downloadfile.aspx?mhd=511dd0df-4de2-4868-868a-6af515c36e06" TargetMode="External"/><Relationship Id="rId781" Type="http://schemas.openxmlformats.org/officeDocument/2006/relationships/hyperlink" Target="http://113.160.97.58:8224/Viewer/HoaDonViewer.aspx?mhd=2bfdfcf5-3a65-454c-a4ee-7b61094ca6fa" TargetMode="External"/><Relationship Id="rId879" Type="http://schemas.openxmlformats.org/officeDocument/2006/relationships/hyperlink" Target="http://113.160.97.58:8224/Viewer/Downloadfile.aspx?mhd=06409a0e-1f63-4f3d-86c5-700f58520aae" TargetMode="External"/><Relationship Id="rId434" Type="http://schemas.openxmlformats.org/officeDocument/2006/relationships/hyperlink" Target="http://113.160.97.58:8224/Viewer/HoaDonViewer.aspx?mhd=d85acf7c-f400-4655-98c3-b8079952d636&amp;iscd=1" TargetMode="External"/><Relationship Id="rId641" Type="http://schemas.openxmlformats.org/officeDocument/2006/relationships/hyperlink" Target="http://113.160.97.58:8224/Viewer/HoaDonViewer.aspx?mhd=b85689bd-9229-422d-a2c2-d21649007759" TargetMode="External"/><Relationship Id="rId739" Type="http://schemas.openxmlformats.org/officeDocument/2006/relationships/hyperlink" Target="http://113.160.97.58:8224/Viewer/Downloadfile.aspx?mhd=92332d5c-7e32-43e5-ab91-0c44f4235bb4" TargetMode="External"/><Relationship Id="rId1064" Type="http://schemas.openxmlformats.org/officeDocument/2006/relationships/hyperlink" Target="https://thuphi.haiphong.gov.vn:8222/tra-cuu-bien-lai-dien-tu?ma_tracuu=VQFDJVHZXI" TargetMode="External"/><Relationship Id="rId1271" Type="http://schemas.openxmlformats.org/officeDocument/2006/relationships/hyperlink" Target="http://113.160.97.58:8224/Viewer/Downloadfile.aspx?mhd=160d5b4c-4c77-4206-910f-699b6df177c1" TargetMode="External"/><Relationship Id="rId1369" Type="http://schemas.openxmlformats.org/officeDocument/2006/relationships/hyperlink" Target="http://113.160.97.58:8224/Viewer/HoaDonViewer.aspx?mhd=d648d315-e9a6-4f91-a461-97c8749a9040" TargetMode="External"/><Relationship Id="rId501" Type="http://schemas.openxmlformats.org/officeDocument/2006/relationships/hyperlink" Target="http://113.160.97.58:8224/Viewer/HoaDonViewer.aspx?mhd=3cd51a2e-c21b-4713-9a02-a3274345c9b4" TargetMode="External"/><Relationship Id="rId946" Type="http://schemas.openxmlformats.org/officeDocument/2006/relationships/hyperlink" Target="http://113.160.97.58:8224/Viewer/HoaDonViewer.aspx?mhd=ef74b536-1018-408e-8431-a62957284165&amp;iscd=1" TargetMode="External"/><Relationship Id="rId1131" Type="http://schemas.openxmlformats.org/officeDocument/2006/relationships/hyperlink" Target="http://113.160.97.58:8224/Viewer/Downloadfile.aspx?mhd=1b9af5c1-df06-462d-85db-a579711254b2" TargetMode="External"/><Relationship Id="rId1229" Type="http://schemas.openxmlformats.org/officeDocument/2006/relationships/hyperlink" Target="http://113.160.97.58:8224/Viewer/HoaDonViewer.aspx?mhd=5006e17d-1a34-4838-966e-ff1b30949cf7" TargetMode="External"/><Relationship Id="rId75" Type="http://schemas.openxmlformats.org/officeDocument/2006/relationships/hyperlink" Target="http://113.160.97.58:8224/Viewer/Downloadfile.aspx?mhd=f7c00b33-ff9d-49a5-8983-931371b53543" TargetMode="External"/><Relationship Id="rId806" Type="http://schemas.openxmlformats.org/officeDocument/2006/relationships/hyperlink" Target="http://113.160.97.58:8224/Viewer/HoaDonViewer.aspx?mhd=477b1763-a60b-4553-a2cb-b5fbda2f4a1f&amp;iscd=1" TargetMode="External"/><Relationship Id="rId1436" Type="http://schemas.openxmlformats.org/officeDocument/2006/relationships/hyperlink" Target="https://thuphi.haiphong.gov.vn:8222/tra-cuu-bien-lai-dien-tu?ma_tracuu=HH60S4K6Y5" TargetMode="External"/><Relationship Id="rId291" Type="http://schemas.openxmlformats.org/officeDocument/2006/relationships/hyperlink" Target="http://113.160.97.58:8224/Viewer/Downloadfile.aspx?mhd=b8c9f72b-6507-4aef-acae-e8318ff3c9af" TargetMode="External"/><Relationship Id="rId151" Type="http://schemas.openxmlformats.org/officeDocument/2006/relationships/hyperlink" Target="http://113.160.97.58:8224/Viewer/Downloadfile.aspx?mhd=4e79ad26-3fe8-40c9-b73a-eaee4749e229" TargetMode="External"/><Relationship Id="rId389" Type="http://schemas.openxmlformats.org/officeDocument/2006/relationships/hyperlink" Target="http://113.160.97.58:8224/Viewer/HoaDonViewer.aspx?mhd=29c9f2ff-e18e-4f52-b26b-82034cc61eb5" TargetMode="External"/><Relationship Id="rId596" Type="http://schemas.openxmlformats.org/officeDocument/2006/relationships/hyperlink" Target="https://thuphi.haiphong.gov.vn:8222/tra-cuu-bien-lai-dien-tu?ma_tracuu=829GKC80DC" TargetMode="External"/><Relationship Id="rId249" Type="http://schemas.openxmlformats.org/officeDocument/2006/relationships/hyperlink" Target="http://113.160.97.58:8224/Viewer/HoaDonViewer.aspx?mhd=a9ede311-e57d-4d19-b295-2accecf02cad" TargetMode="External"/><Relationship Id="rId456" Type="http://schemas.openxmlformats.org/officeDocument/2006/relationships/hyperlink" Target="https://thuphi.haiphong.gov.vn:8222/tra-cuu-bien-lai-dien-tu?ma_tracuu=XTR9F2XG46" TargetMode="External"/><Relationship Id="rId663" Type="http://schemas.openxmlformats.org/officeDocument/2006/relationships/hyperlink" Target="http://113.160.97.58:8224/Viewer/Downloadfile.aspx?mhd=9ccdaca7-4693-4d67-8047-14f321d54cf5" TargetMode="External"/><Relationship Id="rId870" Type="http://schemas.openxmlformats.org/officeDocument/2006/relationships/hyperlink" Target="http://113.160.97.58:8224/Viewer/HoaDonViewer.aspx?mhd=fbf3de23-c830-4b60-854c-883e9bae38fa&amp;iscd=1" TargetMode="External"/><Relationship Id="rId1086" Type="http://schemas.openxmlformats.org/officeDocument/2006/relationships/hyperlink" Target="http://113.160.97.58:8224/Viewer/HoaDonViewer.aspx?mhd=28c41497-5c9a-428a-9103-dad084470cfd&amp;iscd=1" TargetMode="External"/><Relationship Id="rId1293" Type="http://schemas.openxmlformats.org/officeDocument/2006/relationships/hyperlink" Target="http://113.160.97.58:8224/Viewer/HoaDonViewer.aspx?mhd=a7516057-8ca7-4882-ba7a-1a4eaa4cbfbd" TargetMode="External"/><Relationship Id="rId109" Type="http://schemas.openxmlformats.org/officeDocument/2006/relationships/hyperlink" Target="http://113.160.97.58:8224/Viewer/HoaDonViewer.aspx?mhd=4bda66c6-0649-4220-a620-0e5a18c36940" TargetMode="External"/><Relationship Id="rId316" Type="http://schemas.openxmlformats.org/officeDocument/2006/relationships/hyperlink" Target="https://thuphi.haiphong.gov.vn:8222/tra-cuu-bien-lai-dien-tu?ma_tracuu=Q543S6E7FX" TargetMode="External"/><Relationship Id="rId523" Type="http://schemas.openxmlformats.org/officeDocument/2006/relationships/hyperlink" Target="http://113.160.97.58:8224/Viewer/Downloadfile.aspx?mhd=2150e320-d11d-452e-b342-50adf667e26d" TargetMode="External"/><Relationship Id="rId968" Type="http://schemas.openxmlformats.org/officeDocument/2006/relationships/hyperlink" Target="https://thuphi.haiphong.gov.vn:8222/tra-cuu-bien-lai-dien-tu?ma_tracuu=DSZ66CJS30" TargetMode="External"/><Relationship Id="rId1153" Type="http://schemas.openxmlformats.org/officeDocument/2006/relationships/hyperlink" Target="http://113.160.97.58:8224/Viewer/HoaDonViewer.aspx?mhd=eadad92b-daba-4996-b150-d9924185d77c" TargetMode="External"/><Relationship Id="rId97" Type="http://schemas.openxmlformats.org/officeDocument/2006/relationships/hyperlink" Target="http://113.160.97.58:8224/Viewer/HoaDonViewer.aspx?mhd=6cc65e25-6ea3-41d6-b38f-8e6759a70e7e" TargetMode="External"/><Relationship Id="rId730" Type="http://schemas.openxmlformats.org/officeDocument/2006/relationships/hyperlink" Target="http://113.160.97.58:8224/Viewer/HoaDonViewer.aspx?mhd=fa84e481-38e3-4584-abfa-9fe1570d1f2b&amp;iscd=1" TargetMode="External"/><Relationship Id="rId828" Type="http://schemas.openxmlformats.org/officeDocument/2006/relationships/hyperlink" Target="https://thuphi.haiphong.gov.vn:8222/tra-cuu-bien-lai-dien-tu?ma_tracuu=VZA836VD3U" TargetMode="External"/><Relationship Id="rId1013" Type="http://schemas.openxmlformats.org/officeDocument/2006/relationships/hyperlink" Target="http://113.160.97.58:8224/Viewer/HoaDonViewer.aspx?mhd=62c2eb57-488d-49d9-ad21-9e4f6d7e57a4" TargetMode="External"/><Relationship Id="rId1360" Type="http://schemas.openxmlformats.org/officeDocument/2006/relationships/hyperlink" Target="https://thuphi.haiphong.gov.vn:8222/tra-cuu-bien-lai-dien-tu?ma_tracuu=6LEW8R5FTJ" TargetMode="External"/><Relationship Id="rId1220" Type="http://schemas.openxmlformats.org/officeDocument/2006/relationships/hyperlink" Target="https://thuphi.haiphong.gov.vn:8222/tra-cuu-bien-lai-dien-tu?ma_tracuu=BK7P3LUP5C" TargetMode="External"/><Relationship Id="rId1318" Type="http://schemas.openxmlformats.org/officeDocument/2006/relationships/hyperlink" Target="http://113.160.97.58:8224/Viewer/HoaDonViewer.aspx?mhd=958fd5b5-9901-44ec-b661-eb9af1ce7347&amp;iscd=1" TargetMode="External"/><Relationship Id="rId24" Type="http://schemas.openxmlformats.org/officeDocument/2006/relationships/hyperlink" Target="https://thuphi.haiphong.gov.vn:8222/tra-cuu-bien-lai-dien-tu?ma_tracuu=U559GMAU5I" TargetMode="External"/><Relationship Id="rId173" Type="http://schemas.openxmlformats.org/officeDocument/2006/relationships/hyperlink" Target="http://113.160.97.58:8224/Viewer/HoaDonViewer.aspx?mhd=0c893a9a-2db7-474a-a308-2aa1acaf0399" TargetMode="External"/><Relationship Id="rId380" Type="http://schemas.openxmlformats.org/officeDocument/2006/relationships/hyperlink" Target="https://thuphi.haiphong.gov.vn:8222/tra-cuu-bien-lai-dien-tu?ma_tracuu=32626E4LRI" TargetMode="External"/><Relationship Id="rId240" Type="http://schemas.openxmlformats.org/officeDocument/2006/relationships/hyperlink" Target="https://thuphi.haiphong.gov.vn:8222/tra-cuu-bien-lai-dien-tu?ma_tracuu=41FPIXUJF2" TargetMode="External"/><Relationship Id="rId478" Type="http://schemas.openxmlformats.org/officeDocument/2006/relationships/hyperlink" Target="http://113.160.97.58:8224/Viewer/HoaDonViewer.aspx?mhd=6eb91a14-6abf-4e54-8df8-04f3d3f50c9f&amp;iscd=1" TargetMode="External"/><Relationship Id="rId685" Type="http://schemas.openxmlformats.org/officeDocument/2006/relationships/hyperlink" Target="http://113.160.97.58:8224/Viewer/HoaDonViewer.aspx?mhd=711aeafb-a045-447b-8d80-3004240de030" TargetMode="External"/><Relationship Id="rId892" Type="http://schemas.openxmlformats.org/officeDocument/2006/relationships/hyperlink" Target="https://thuphi.haiphong.gov.vn:8222/tra-cuu-bien-lai-dien-tu?ma_tracuu=53UXDFDD3C" TargetMode="External"/><Relationship Id="rId100" Type="http://schemas.openxmlformats.org/officeDocument/2006/relationships/hyperlink" Target="https://thuphi.haiphong.gov.vn:8222/tra-cuu-bien-lai-dien-tu?ma_tracuu=P8SNN9GE5B" TargetMode="External"/><Relationship Id="rId338" Type="http://schemas.openxmlformats.org/officeDocument/2006/relationships/hyperlink" Target="http://113.160.97.58:8224/Viewer/HoaDonViewer.aspx?mhd=b9ea1ef5-69ac-4605-8c71-5d4c0c503358&amp;iscd=1" TargetMode="External"/><Relationship Id="rId545" Type="http://schemas.openxmlformats.org/officeDocument/2006/relationships/hyperlink" Target="http://113.160.97.58:8224/Viewer/HoaDonViewer.aspx?mhd=4308d4a5-eeba-4290-8332-23875a649a16" TargetMode="External"/><Relationship Id="rId752" Type="http://schemas.openxmlformats.org/officeDocument/2006/relationships/hyperlink" Target="https://thuphi.haiphong.gov.vn:8222/tra-cuu-bien-lai-dien-tu?ma_tracuu=Y1BCTSHP3K" TargetMode="External"/><Relationship Id="rId1175" Type="http://schemas.openxmlformats.org/officeDocument/2006/relationships/hyperlink" Target="http://113.160.97.58:8224/Viewer/Downloadfile.aspx?mhd=42bbe721-18f9-45e8-a710-dcce92d1bf83" TargetMode="External"/><Relationship Id="rId1382" Type="http://schemas.openxmlformats.org/officeDocument/2006/relationships/hyperlink" Target="http://113.160.97.58:8224/Viewer/HoaDonViewer.aspx?mhd=792710bd-dae7-4a78-9e4c-7295eac46ed6&amp;iscd=1" TargetMode="External"/><Relationship Id="rId405" Type="http://schemas.openxmlformats.org/officeDocument/2006/relationships/hyperlink" Target="http://113.160.97.58:8224/Viewer/HoaDonViewer.aspx?mhd=c34e3e5a-c92d-4507-892d-fc8fb7ddc4b8" TargetMode="External"/><Relationship Id="rId612" Type="http://schemas.openxmlformats.org/officeDocument/2006/relationships/hyperlink" Target="https://thuphi.haiphong.gov.vn:8222/tra-cuu-bien-lai-dien-tu?ma_tracuu=L7Z69TC0DM" TargetMode="External"/><Relationship Id="rId1035" Type="http://schemas.openxmlformats.org/officeDocument/2006/relationships/hyperlink" Target="http://113.160.97.58:8224/Viewer/Downloadfile.aspx?mhd=07a2cac0-0be3-48ea-b281-6769ea7e361d" TargetMode="External"/><Relationship Id="rId1242" Type="http://schemas.openxmlformats.org/officeDocument/2006/relationships/hyperlink" Target="http://113.160.97.58:8224/Viewer/HoaDonViewer.aspx?mhd=abfe3efe-b6cd-491c-ae39-977fddf52186&amp;iscd=1" TargetMode="External"/><Relationship Id="rId917" Type="http://schemas.openxmlformats.org/officeDocument/2006/relationships/hyperlink" Target="http://113.160.97.58:8224/Viewer/HoaDonViewer.aspx?mhd=3fb9dbcd-bccb-4871-9744-9f88feb454d4" TargetMode="External"/><Relationship Id="rId1102" Type="http://schemas.openxmlformats.org/officeDocument/2006/relationships/hyperlink" Target="http://113.160.97.58:8224/Viewer/HoaDonViewer.aspx?mhd=ae9f5f30-4700-49b7-9cb2-801bacff8028&amp;iscd=1" TargetMode="External"/><Relationship Id="rId46" Type="http://schemas.openxmlformats.org/officeDocument/2006/relationships/hyperlink" Target="http://113.160.97.58:8224/Viewer/HoaDonViewer.aspx?mhd=72c3a870-6e34-4e51-9946-5d73c1264d79&amp;iscd=1" TargetMode="External"/><Relationship Id="rId1407" Type="http://schemas.openxmlformats.org/officeDocument/2006/relationships/hyperlink" Target="http://113.160.97.58:8224/Viewer/Downloadfile.aspx?mhd=038e0687-d504-4637-af66-60eea510cb48" TargetMode="External"/><Relationship Id="rId195" Type="http://schemas.openxmlformats.org/officeDocument/2006/relationships/hyperlink" Target="http://113.160.97.58:8224/Viewer/Downloadfile.aspx?mhd=a7424874-ff94-4eef-ad82-3b1a3a667366" TargetMode="External"/><Relationship Id="rId262" Type="http://schemas.openxmlformats.org/officeDocument/2006/relationships/hyperlink" Target="http://113.160.97.58:8224/Viewer/HoaDonViewer.aspx?mhd=79052034-1b24-4db3-9e4d-2a066070d390&amp;iscd=1" TargetMode="External"/><Relationship Id="rId567" Type="http://schemas.openxmlformats.org/officeDocument/2006/relationships/hyperlink" Target="http://113.160.97.58:8224/Viewer/Downloadfile.aspx?mhd=727fae9f-68a0-40cb-87b5-8dccb25739c7" TargetMode="External"/><Relationship Id="rId1197" Type="http://schemas.openxmlformats.org/officeDocument/2006/relationships/hyperlink" Target="http://113.160.97.58:8224/Viewer/HoaDonViewer.aspx?mhd=60a63e4f-5050-4195-b62b-498849431a8e" TargetMode="External"/><Relationship Id="rId122" Type="http://schemas.openxmlformats.org/officeDocument/2006/relationships/hyperlink" Target="http://113.160.97.58:8224/Viewer/HoaDonViewer.aspx?mhd=f4b1c50d-3f16-4529-a3ad-b08dad0827a6&amp;iscd=1" TargetMode="External"/><Relationship Id="rId774" Type="http://schemas.openxmlformats.org/officeDocument/2006/relationships/hyperlink" Target="http://113.160.97.58:8224/Viewer/HoaDonViewer.aspx?mhd=896a6499-63a4-49f7-aa8d-c24e5e38c49f&amp;iscd=1" TargetMode="External"/><Relationship Id="rId981" Type="http://schemas.openxmlformats.org/officeDocument/2006/relationships/hyperlink" Target="http://113.160.97.58:8224/Viewer/HoaDonViewer.aspx?mhd=007ce71d-4d5e-4347-b2c0-c8dbd6d07775" TargetMode="External"/><Relationship Id="rId1057" Type="http://schemas.openxmlformats.org/officeDocument/2006/relationships/hyperlink" Target="http://113.160.97.58:8224/Viewer/HoaDonViewer.aspx?mhd=e65cb7fc-2c05-448a-8ac0-2508592eb558" TargetMode="External"/><Relationship Id="rId427" Type="http://schemas.openxmlformats.org/officeDocument/2006/relationships/hyperlink" Target="http://113.160.97.58:8224/Viewer/Downloadfile.aspx?mhd=b00277a5-a792-4156-98b9-885978b84a1e" TargetMode="External"/><Relationship Id="rId634" Type="http://schemas.openxmlformats.org/officeDocument/2006/relationships/hyperlink" Target="http://113.160.97.58:8224/Viewer/HoaDonViewer.aspx?mhd=2f3ba930-eb97-4158-ba0c-d46a545cb69a&amp;iscd=1" TargetMode="External"/><Relationship Id="rId841" Type="http://schemas.openxmlformats.org/officeDocument/2006/relationships/hyperlink" Target="http://113.160.97.58:8224/Viewer/HoaDonViewer.aspx?mhd=7e688161-f7c1-4073-b9d1-f1e938b82654" TargetMode="External"/><Relationship Id="rId1264" Type="http://schemas.openxmlformats.org/officeDocument/2006/relationships/hyperlink" Target="https://thuphi.haiphong.gov.vn:8222/tra-cuu-bien-lai-dien-tu?ma_tracuu=ACCC27QU5W" TargetMode="External"/><Relationship Id="rId701" Type="http://schemas.openxmlformats.org/officeDocument/2006/relationships/hyperlink" Target="http://113.160.97.58:8224/Viewer/HoaDonViewer.aspx?mhd=13ce1278-4008-4a72-902b-f9f75e8c2725" TargetMode="External"/><Relationship Id="rId939" Type="http://schemas.openxmlformats.org/officeDocument/2006/relationships/hyperlink" Target="http://113.160.97.58:8224/Viewer/Downloadfile.aspx?mhd=2881ab14-c2da-48d7-b594-cb60fd778f0c" TargetMode="External"/><Relationship Id="rId1124" Type="http://schemas.openxmlformats.org/officeDocument/2006/relationships/hyperlink" Target="https://thuphi.haiphong.gov.vn:8222/tra-cuu-bien-lai-dien-tu?ma_tracuu=35SKBS4NSF" TargetMode="External"/><Relationship Id="rId1331" Type="http://schemas.openxmlformats.org/officeDocument/2006/relationships/hyperlink" Target="http://113.160.97.58:8224/Viewer/Downloadfile.aspx?mhd=2251effa-5f9a-4c96-8601-3a01abb124a8" TargetMode="External"/><Relationship Id="rId68" Type="http://schemas.openxmlformats.org/officeDocument/2006/relationships/hyperlink" Target="https://thuphi.haiphong.gov.vn:8222/tra-cuu-bien-lai-dien-tu?ma_tracuu=FJ5K6C3C52" TargetMode="External"/><Relationship Id="rId1429" Type="http://schemas.openxmlformats.org/officeDocument/2006/relationships/hyperlink" Target="http://113.160.97.58:8224/Viewer/HoaDonViewer.aspx?mhd=ac580fb3-4267-4be9-8b1c-3738f6267e08" TargetMode="External"/><Relationship Id="rId284" Type="http://schemas.openxmlformats.org/officeDocument/2006/relationships/hyperlink" Target="https://thuphi.haiphong.gov.vn:8222/tra-cuu-bien-lai-dien-tu?ma_tracuu=24HE2ALUFB" TargetMode="External"/><Relationship Id="rId491" Type="http://schemas.openxmlformats.org/officeDocument/2006/relationships/hyperlink" Target="http://113.160.97.58:8224/Viewer/Downloadfile.aspx?mhd=82070aaa-9fdf-4622-8f9c-5d16138c92c3" TargetMode="External"/><Relationship Id="rId144" Type="http://schemas.openxmlformats.org/officeDocument/2006/relationships/hyperlink" Target="https://thuphi.haiphong.gov.vn:8222/tra-cuu-bien-lai-dien-tu?ma_tracuu=IJ6AXQU35Z" TargetMode="External"/><Relationship Id="rId589" Type="http://schemas.openxmlformats.org/officeDocument/2006/relationships/hyperlink" Target="http://113.160.97.58:8224/Viewer/HoaDonViewer.aspx?mhd=10640380-8dee-4e2d-a7ce-ce2715372236" TargetMode="External"/><Relationship Id="rId796" Type="http://schemas.openxmlformats.org/officeDocument/2006/relationships/hyperlink" Target="https://thuphi.haiphong.gov.vn:8222/tra-cuu-bien-lai-dien-tu?ma_tracuu=4SMF84PY3V" TargetMode="External"/><Relationship Id="rId351" Type="http://schemas.openxmlformats.org/officeDocument/2006/relationships/hyperlink" Target="http://113.160.97.58:8224/Viewer/Downloadfile.aspx?mhd=e4bb34cc-410c-49f9-b4f3-b0fc9792be9d" TargetMode="External"/><Relationship Id="rId449" Type="http://schemas.openxmlformats.org/officeDocument/2006/relationships/hyperlink" Target="http://113.160.97.58:8224/Viewer/HoaDonViewer.aspx?mhd=8779cc83-49af-4856-8458-7ae4ab1d2dee" TargetMode="External"/><Relationship Id="rId656" Type="http://schemas.openxmlformats.org/officeDocument/2006/relationships/hyperlink" Target="https://thuphi.haiphong.gov.vn:8222/tra-cuu-bien-lai-dien-tu?ma_tracuu=2S3SJFR2D8" TargetMode="External"/><Relationship Id="rId863" Type="http://schemas.openxmlformats.org/officeDocument/2006/relationships/hyperlink" Target="http://113.160.97.58:8224/Viewer/Downloadfile.aspx?mhd=de82cdff-bfd5-4e28-a1a1-aa2195d4657a" TargetMode="External"/><Relationship Id="rId1079" Type="http://schemas.openxmlformats.org/officeDocument/2006/relationships/hyperlink" Target="http://113.160.97.58:8224/Viewer/Downloadfile.aspx?mhd=3b9945a1-b229-4f0b-af66-f0448b4d18e8" TargetMode="External"/><Relationship Id="rId1286" Type="http://schemas.openxmlformats.org/officeDocument/2006/relationships/hyperlink" Target="http://113.160.97.58:8224/Viewer/HoaDonViewer.aspx?mhd=adf63ed6-a4ae-4922-ae87-a385bc176345&amp;iscd=1" TargetMode="External"/><Relationship Id="rId211" Type="http://schemas.openxmlformats.org/officeDocument/2006/relationships/hyperlink" Target="http://113.160.97.58:8224/Viewer/Downloadfile.aspx?mhd=505733db-af82-4691-9486-b17659f1b8f1" TargetMode="External"/><Relationship Id="rId309" Type="http://schemas.openxmlformats.org/officeDocument/2006/relationships/hyperlink" Target="http://113.160.97.58:8224/Viewer/HoaDonViewer.aspx?mhd=d2e8511a-6e4f-4296-8ece-cd76cd81ad13" TargetMode="External"/><Relationship Id="rId516" Type="http://schemas.openxmlformats.org/officeDocument/2006/relationships/hyperlink" Target="https://thuphi.haiphong.gov.vn:8222/tra-cuu-bien-lai-dien-tu?ma_tracuu=Q1C0E0RA4M" TargetMode="External"/><Relationship Id="rId1146" Type="http://schemas.openxmlformats.org/officeDocument/2006/relationships/hyperlink" Target="http://113.160.97.58:8224/Viewer/HoaDonViewer.aspx?mhd=d585c663-48b9-4512-a586-f7df0ecc9974&amp;iscd=1" TargetMode="External"/><Relationship Id="rId723" Type="http://schemas.openxmlformats.org/officeDocument/2006/relationships/hyperlink" Target="http://113.160.97.58:8224/Viewer/Downloadfile.aspx?mhd=2ede85cf-6c7e-4847-a76b-0b97e962a717" TargetMode="External"/><Relationship Id="rId930" Type="http://schemas.openxmlformats.org/officeDocument/2006/relationships/hyperlink" Target="http://113.160.97.58:8224/Viewer/HoaDonViewer.aspx?mhd=8ff4d90a-5220-4af8-b46f-0ae53428381d&amp;iscd=1" TargetMode="External"/><Relationship Id="rId1006" Type="http://schemas.openxmlformats.org/officeDocument/2006/relationships/hyperlink" Target="http://113.160.97.58:8224/Viewer/HoaDonViewer.aspx?mhd=6bd140e6-4492-4b09-8e64-47b4ec05ad2b&amp;iscd=1" TargetMode="External"/><Relationship Id="rId1353" Type="http://schemas.openxmlformats.org/officeDocument/2006/relationships/hyperlink" Target="http://113.160.97.58:8224/Viewer/HoaDonViewer.aspx?mhd=7daf5e7c-d2ab-4cf3-97ac-0d1c7f5348b4" TargetMode="External"/><Relationship Id="rId1213" Type="http://schemas.openxmlformats.org/officeDocument/2006/relationships/hyperlink" Target="http://113.160.97.58:8224/Viewer/HoaDonViewer.aspx?mhd=ead8845c-ad24-4b7a-a663-94586b54a6e9" TargetMode="External"/><Relationship Id="rId1420" Type="http://schemas.openxmlformats.org/officeDocument/2006/relationships/hyperlink" Target="https://thuphi.haiphong.gov.vn:8222/tra-cuu-bien-lai-dien-tu?ma_tracuu=AAQZS7UP57" TargetMode="External"/><Relationship Id="rId17" Type="http://schemas.openxmlformats.org/officeDocument/2006/relationships/hyperlink" Target="http://113.160.97.58:8224/Viewer/HoaDonViewer.aspx?mhd=ecb3994c-876d-4dac-ac03-172281686dcc" TargetMode="External"/><Relationship Id="rId166" Type="http://schemas.openxmlformats.org/officeDocument/2006/relationships/hyperlink" Target="http://113.160.97.58:8224/Viewer/HoaDonViewer.aspx?mhd=b053466f-825a-4957-8f1b-922c41e00d15&amp;iscd=1" TargetMode="External"/><Relationship Id="rId373" Type="http://schemas.openxmlformats.org/officeDocument/2006/relationships/hyperlink" Target="http://113.160.97.58:8224/Viewer/HoaDonViewer.aspx?mhd=c8f4abdf-9f9f-4d24-b507-896db25a5aa8" TargetMode="External"/><Relationship Id="rId580" Type="http://schemas.openxmlformats.org/officeDocument/2006/relationships/hyperlink" Target="https://thuphi.haiphong.gov.vn:8222/tra-cuu-bien-lai-dien-tu?ma_tracuu=THT9QQ4E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Views>
    <sheetView view="pageBreakPreview" topLeftCell="A25" zoomScaleNormal="85" zoomScaleSheetLayoutView="100" workbookViewId="0">
      <selection activeCell="E9" sqref="E9"/>
    </sheetView>
  </sheetViews>
  <sheetFormatPr defaultColWidth="9.140625" defaultRowHeight="15.75"/>
  <cols>
    <col min="1" max="1" width="5.28515625" style="2" customWidth="1"/>
    <col min="2" max="2" width="22.5703125" style="3" bestFit="1" customWidth="1"/>
    <col min="3" max="3" width="20.140625" style="2" bestFit="1" customWidth="1"/>
    <col min="4" max="4" width="9.5703125" style="2" customWidth="1"/>
    <col min="5" max="5" width="24.85546875" style="2" customWidth="1"/>
    <col min="6" max="6" width="6.7109375" style="2" customWidth="1"/>
    <col min="7" max="7" width="12.85546875" style="2" customWidth="1"/>
    <col min="8" max="8" width="13.85546875" style="2" customWidth="1"/>
    <col min="9" max="9" width="9.140625" style="2"/>
    <col min="10" max="10" width="23.28515625" style="2" customWidth="1"/>
    <col min="11" max="16384" width="9.140625" style="2"/>
  </cols>
  <sheetData>
    <row r="1" spans="1:8" ht="16.5" customHeight="1">
      <c r="A1" s="524" t="s">
        <v>0</v>
      </c>
      <c r="B1" s="524"/>
      <c r="C1" s="524"/>
      <c r="D1" s="524"/>
      <c r="E1" s="524"/>
      <c r="F1" s="524"/>
      <c r="G1" s="524"/>
      <c r="H1" s="524"/>
    </row>
    <row r="2" spans="1:8" ht="15.75" customHeight="1">
      <c r="A2" s="525" t="s">
        <v>1</v>
      </c>
      <c r="B2" s="525"/>
      <c r="C2" s="525"/>
      <c r="D2" s="525"/>
      <c r="E2" s="525"/>
      <c r="F2" s="525"/>
      <c r="G2" s="525"/>
      <c r="H2" s="525"/>
    </row>
    <row r="3" spans="1:8" ht="5.25" customHeight="1"/>
    <row r="4" spans="1:8" ht="21.75" customHeight="1">
      <c r="A4" s="523" t="s">
        <v>31</v>
      </c>
      <c r="B4" s="523"/>
      <c r="C4" s="523"/>
      <c r="D4" s="523"/>
      <c r="E4" s="523"/>
      <c r="F4" s="523"/>
      <c r="G4" s="523"/>
      <c r="H4" s="523"/>
    </row>
    <row r="5" spans="1:8" ht="1.5" customHeight="1"/>
    <row r="6" spans="1:8" ht="15.6" customHeight="1">
      <c r="A6" s="7" t="s">
        <v>2</v>
      </c>
    </row>
    <row r="7" spans="1:8" ht="13.5" customHeight="1">
      <c r="A7" s="2" t="s">
        <v>3</v>
      </c>
    </row>
    <row r="8" spans="1:8" ht="16.5" customHeight="1">
      <c r="A8" s="8" t="s">
        <v>27</v>
      </c>
      <c r="F8" s="9"/>
      <c r="G8" s="9"/>
      <c r="H8" s="9"/>
    </row>
    <row r="9" spans="1:8" ht="16.5" customHeight="1">
      <c r="A9" s="2" t="s">
        <v>82</v>
      </c>
      <c r="F9" s="9"/>
      <c r="G9" s="9"/>
      <c r="H9" s="10"/>
    </row>
    <row r="10" spans="1:8" ht="13.5" customHeight="1">
      <c r="A10" s="2" t="s">
        <v>28</v>
      </c>
      <c r="F10" s="9"/>
      <c r="G10" s="9"/>
      <c r="H10" s="9"/>
    </row>
    <row r="11" spans="1:8" ht="15.75" customHeight="1">
      <c r="A11" s="2" t="s">
        <v>4</v>
      </c>
      <c r="D11" s="2" t="s">
        <v>5</v>
      </c>
    </row>
    <row r="12" spans="1:8" ht="3" customHeight="1"/>
    <row r="13" spans="1:8" ht="15" customHeight="1">
      <c r="A13" s="8" t="s">
        <v>6</v>
      </c>
    </row>
    <row r="14" spans="1:8" ht="16.5" customHeight="1">
      <c r="A14" s="2" t="s">
        <v>81</v>
      </c>
    </row>
    <row r="15" spans="1:8" ht="13.5" customHeight="1">
      <c r="A15" s="2" t="s">
        <v>7</v>
      </c>
    </row>
    <row r="16" spans="1:8" ht="15.75" customHeight="1">
      <c r="A16" s="2" t="s">
        <v>4</v>
      </c>
      <c r="D16" s="2" t="s">
        <v>5</v>
      </c>
    </row>
    <row r="17" spans="1:8">
      <c r="A17" s="2" t="s">
        <v>8</v>
      </c>
    </row>
    <row r="18" spans="1:8" ht="27" customHeight="1">
      <c r="C18" s="450" t="s">
        <v>29</v>
      </c>
      <c r="D18" s="451" t="s">
        <v>290</v>
      </c>
      <c r="E18" s="452"/>
      <c r="F18" s="25"/>
    </row>
    <row r="19" spans="1:8" ht="27" customHeight="1">
      <c r="C19" s="450" t="s">
        <v>30</v>
      </c>
      <c r="D19" s="453" t="s">
        <v>952</v>
      </c>
      <c r="E19" s="452"/>
      <c r="F19" s="25"/>
    </row>
    <row r="20" spans="1:8" ht="17.25" customHeight="1"/>
    <row r="21" spans="1:8" ht="27" customHeight="1"/>
    <row r="22" spans="1:8" s="15" customFormat="1" ht="31.5">
      <c r="A22" s="526" t="s">
        <v>32</v>
      </c>
      <c r="B22" s="527"/>
      <c r="C22" s="527"/>
      <c r="D22" s="528"/>
      <c r="E22" s="26" t="s">
        <v>33</v>
      </c>
      <c r="F22" s="529" t="s">
        <v>34</v>
      </c>
      <c r="G22" s="527"/>
      <c r="H22" s="528"/>
    </row>
    <row r="23" spans="1:8" s="18" customFormat="1" ht="24" customHeight="1">
      <c r="A23" s="27">
        <v>1</v>
      </c>
      <c r="B23" s="71" t="s">
        <v>35</v>
      </c>
      <c r="C23" s="29"/>
      <c r="D23" s="30"/>
      <c r="E23" s="31">
        <f>'XUẤT-HPH'!J68</f>
        <v>167079801</v>
      </c>
      <c r="F23" s="32"/>
      <c r="G23" s="32"/>
      <c r="H23" s="33"/>
    </row>
    <row r="24" spans="1:8" s="68" customFormat="1" ht="24" customHeight="1">
      <c r="A24" s="34">
        <v>2</v>
      </c>
      <c r="B24" s="70" t="s">
        <v>61</v>
      </c>
      <c r="C24" s="35"/>
      <c r="D24" s="36"/>
      <c r="E24" s="37">
        <f>'XUẤT-HPH'!K68</f>
        <v>0</v>
      </c>
      <c r="F24" s="32"/>
      <c r="G24" s="32"/>
      <c r="H24" s="33"/>
    </row>
    <row r="25" spans="1:8" s="18" customFormat="1" ht="24" customHeight="1">
      <c r="A25" s="34">
        <v>2</v>
      </c>
      <c r="B25" s="70" t="s">
        <v>47</v>
      </c>
      <c r="C25" s="35"/>
      <c r="D25" s="36"/>
      <c r="E25" s="37">
        <f>'XUẤT-HPH'!N68</f>
        <v>4600000</v>
      </c>
      <c r="F25" s="32"/>
      <c r="G25" s="32"/>
      <c r="H25" s="33"/>
    </row>
    <row r="26" spans="1:8" s="18" customFormat="1" ht="24" customHeight="1">
      <c r="A26" s="34">
        <v>3</v>
      </c>
      <c r="B26" s="72" t="s">
        <v>57</v>
      </c>
      <c r="C26" s="39"/>
      <c r="D26" s="40"/>
      <c r="E26" s="37">
        <f>'XUẤT-HPH'!L68</f>
        <v>0</v>
      </c>
      <c r="F26" s="32"/>
      <c r="G26" s="32"/>
      <c r="H26" s="33"/>
    </row>
    <row r="27" spans="1:8" s="18" customFormat="1" ht="24" customHeight="1">
      <c r="A27" s="34">
        <v>4</v>
      </c>
      <c r="B27" s="522" t="s">
        <v>56</v>
      </c>
      <c r="C27" s="522"/>
      <c r="D27" s="40"/>
      <c r="E27" s="37">
        <f>'XUẤT-HPH'!M68</f>
        <v>0</v>
      </c>
      <c r="F27" s="32"/>
      <c r="G27" s="32"/>
      <c r="H27" s="33"/>
    </row>
    <row r="28" spans="1:8" s="18" customFormat="1" ht="34.5" customHeight="1">
      <c r="A28" s="34"/>
      <c r="B28" s="520"/>
      <c r="C28" s="520"/>
      <c r="D28" s="521"/>
      <c r="E28" s="37"/>
      <c r="F28" s="32"/>
      <c r="G28" s="32"/>
      <c r="H28" s="33"/>
    </row>
    <row r="29" spans="1:8" s="18" customFormat="1" ht="24" customHeight="1">
      <c r="A29" s="34"/>
      <c r="B29" s="38"/>
      <c r="C29" s="39"/>
      <c r="D29" s="40"/>
      <c r="E29" s="37"/>
      <c r="F29" s="32"/>
      <c r="G29" s="32"/>
      <c r="H29" s="33"/>
    </row>
    <row r="30" spans="1:8" s="18" customFormat="1" ht="24" customHeight="1">
      <c r="A30" s="34"/>
      <c r="B30" s="41"/>
      <c r="C30" s="39"/>
      <c r="D30" s="40"/>
      <c r="E30" s="37"/>
      <c r="F30" s="32"/>
      <c r="G30" s="32"/>
      <c r="H30" s="33"/>
    </row>
    <row r="31" spans="1:8" s="18" customFormat="1" ht="24" customHeight="1">
      <c r="A31" s="34"/>
      <c r="B31" s="41"/>
      <c r="C31" s="39"/>
      <c r="D31" s="40"/>
      <c r="E31" s="37"/>
      <c r="F31" s="32"/>
      <c r="G31" s="32"/>
      <c r="H31" s="33"/>
    </row>
    <row r="32" spans="1:8" s="18" customFormat="1" ht="24" customHeight="1">
      <c r="A32" s="34"/>
      <c r="B32" s="41"/>
      <c r="C32" s="39"/>
      <c r="D32" s="40"/>
      <c r="E32" s="37"/>
      <c r="F32" s="32"/>
      <c r="G32" s="32"/>
      <c r="H32" s="33"/>
    </row>
    <row r="33" spans="1:10" ht="24" customHeight="1">
      <c r="A33" s="34"/>
      <c r="B33" s="41"/>
      <c r="C33" s="39"/>
      <c r="D33" s="40"/>
      <c r="E33" s="37"/>
      <c r="F33" s="32"/>
      <c r="G33" s="32"/>
      <c r="H33" s="33"/>
    </row>
    <row r="34" spans="1:10" ht="24" customHeight="1">
      <c r="A34" s="34"/>
      <c r="B34" s="41"/>
      <c r="C34" s="39"/>
      <c r="D34" s="40"/>
      <c r="E34" s="37"/>
      <c r="F34" s="32"/>
      <c r="G34" s="32"/>
      <c r="H34" s="33"/>
    </row>
    <row r="35" spans="1:10" ht="24" customHeight="1">
      <c r="A35" s="34"/>
      <c r="B35" s="38"/>
      <c r="C35" s="39"/>
      <c r="D35" s="40"/>
      <c r="E35" s="37"/>
      <c r="F35" s="32"/>
      <c r="G35" s="32"/>
      <c r="H35" s="33"/>
    </row>
    <row r="36" spans="1:10" ht="24" customHeight="1">
      <c r="A36" s="529" t="s">
        <v>36</v>
      </c>
      <c r="B36" s="527"/>
      <c r="C36" s="527"/>
      <c r="D36" s="528"/>
      <c r="E36" s="58">
        <f>E23+E25+E26+E27+E24+E28</f>
        <v>171679801</v>
      </c>
      <c r="F36" s="42"/>
      <c r="G36" s="42"/>
      <c r="H36" s="43"/>
    </row>
    <row r="37" spans="1:10" ht="24" customHeight="1">
      <c r="A37" s="529" t="s">
        <v>37</v>
      </c>
      <c r="B37" s="527"/>
      <c r="C37" s="527"/>
      <c r="D37" s="528"/>
      <c r="E37" s="44"/>
      <c r="F37" s="45"/>
      <c r="G37" s="45"/>
      <c r="H37" s="46"/>
    </row>
    <row r="38" spans="1:10" ht="24" customHeight="1">
      <c r="A38" s="529" t="s">
        <v>38</v>
      </c>
      <c r="B38" s="527"/>
      <c r="C38" s="527"/>
      <c r="D38" s="528"/>
      <c r="E38" s="54">
        <f>SUM(E36:E37)</f>
        <v>171679801</v>
      </c>
      <c r="F38" s="45"/>
      <c r="G38" s="45"/>
      <c r="H38" s="46"/>
      <c r="J38" s="421"/>
    </row>
    <row r="39" spans="1:10" ht="24" customHeight="1">
      <c r="A39" s="532"/>
      <c r="B39" s="532"/>
      <c r="C39" s="532"/>
      <c r="D39" s="532"/>
      <c r="E39" s="532"/>
      <c r="F39" s="532"/>
      <c r="G39" s="532"/>
      <c r="H39" s="532"/>
      <c r="J39" s="5"/>
    </row>
    <row r="40" spans="1:10" ht="24" customHeight="1">
      <c r="A40" s="39"/>
      <c r="B40" s="39"/>
      <c r="C40" s="39"/>
      <c r="D40" s="39"/>
      <c r="E40" s="39"/>
      <c r="F40" s="39"/>
      <c r="G40" s="39"/>
      <c r="H40" s="39"/>
      <c r="J40" s="5"/>
    </row>
    <row r="41" spans="1:10">
      <c r="A41" s="39"/>
      <c r="B41" s="39"/>
      <c r="C41" s="39"/>
      <c r="D41" s="530" t="s">
        <v>953</v>
      </c>
      <c r="E41" s="530"/>
      <c r="F41" s="530"/>
      <c r="G41" s="530"/>
      <c r="H41" s="530"/>
      <c r="J41" s="5"/>
    </row>
    <row r="42" spans="1:10">
      <c r="F42" s="4"/>
      <c r="G42" s="4"/>
      <c r="H42" s="5"/>
      <c r="J42" s="5"/>
    </row>
    <row r="43" spans="1:10">
      <c r="D43" s="531" t="s">
        <v>42</v>
      </c>
      <c r="E43" s="531"/>
      <c r="F43" s="531"/>
      <c r="G43" s="531"/>
      <c r="H43" s="531"/>
      <c r="J43" s="5"/>
    </row>
    <row r="44" spans="1:10">
      <c r="J44" s="5"/>
    </row>
    <row r="45" spans="1:10">
      <c r="J45" s="5"/>
    </row>
    <row r="46" spans="1:10">
      <c r="J46" s="5"/>
    </row>
    <row r="47" spans="1:10">
      <c r="J47" s="5"/>
    </row>
    <row r="48" spans="1:10">
      <c r="J48" s="5"/>
    </row>
    <row r="49" spans="10:10">
      <c r="J49" s="5"/>
    </row>
    <row r="50" spans="10:10">
      <c r="J50" s="5"/>
    </row>
    <row r="51" spans="10:10">
      <c r="J51" s="5"/>
    </row>
    <row r="52" spans="10:10">
      <c r="J52" s="5"/>
    </row>
    <row r="53" spans="10:10">
      <c r="J53" s="5"/>
    </row>
  </sheetData>
  <mergeCells count="13">
    <mergeCell ref="D41:H41"/>
    <mergeCell ref="D43:H43"/>
    <mergeCell ref="A36:D36"/>
    <mergeCell ref="A37:D37"/>
    <mergeCell ref="A38:D38"/>
    <mergeCell ref="A39:H39"/>
    <mergeCell ref="B28:D28"/>
    <mergeCell ref="B27:C27"/>
    <mergeCell ref="A4:H4"/>
    <mergeCell ref="A1:H1"/>
    <mergeCell ref="A2:H2"/>
    <mergeCell ref="A22:D22"/>
    <mergeCell ref="F22:H22"/>
  </mergeCells>
  <pageMargins left="0.7" right="0.7" top="0.31" bottom="0.75" header="0.21" footer="0.3"/>
  <pageSetup paperSize="9" scale="7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D95"/>
  <sheetViews>
    <sheetView view="pageBreakPreview" zoomScale="85" zoomScaleNormal="85" zoomScaleSheetLayoutView="85" workbookViewId="0">
      <pane ySplit="21" topLeftCell="A67" activePane="bottomLeft" state="frozen"/>
      <selection activeCell="N137" sqref="N137"/>
      <selection pane="bottomLeft" activeCell="H18" sqref="H18"/>
    </sheetView>
  </sheetViews>
  <sheetFormatPr defaultColWidth="9.140625" defaultRowHeight="15.75"/>
  <cols>
    <col min="1" max="1" width="5.28515625" style="2" customWidth="1"/>
    <col min="2" max="2" width="37.42578125" style="3" customWidth="1"/>
    <col min="3" max="3" width="19.28515625" style="92" customWidth="1"/>
    <col min="4" max="4" width="25" style="52" customWidth="1"/>
    <col min="5" max="5" width="21.140625" style="52" customWidth="1"/>
    <col min="6" max="6" width="10.5703125" style="2" customWidth="1"/>
    <col min="7" max="7" width="18" style="132" customWidth="1"/>
    <col min="8" max="8" width="24.28515625" style="2" customWidth="1"/>
    <col min="9" max="9" width="25.5703125" style="2" customWidth="1"/>
    <col min="10" max="10" width="22.5703125" style="82" customWidth="1"/>
    <col min="11" max="11" width="9.85546875" style="5" hidden="1" customWidth="1"/>
    <col min="12" max="12" width="17" style="2" hidden="1" customWidth="1"/>
    <col min="13" max="13" width="18.140625" style="5" hidden="1" customWidth="1"/>
    <col min="14" max="14" width="18.140625" style="4" customWidth="1"/>
    <col min="15" max="15" width="20.5703125" style="4" bestFit="1" customWidth="1"/>
    <col min="16" max="16" width="36.28515625" style="5" customWidth="1"/>
    <col min="17" max="17" width="17" style="199" customWidth="1"/>
    <col min="18" max="18" width="14.85546875" style="95" customWidth="1"/>
    <col min="19" max="19" width="9.42578125" style="95" customWidth="1"/>
    <col min="20" max="21" width="12.42578125" style="95" customWidth="1"/>
    <col min="22" max="22" width="4.5703125" style="95" customWidth="1"/>
    <col min="23" max="24" width="4.5703125" style="56" customWidth="1"/>
    <col min="25" max="25" width="4.5703125" style="255" customWidth="1"/>
    <col min="26" max="26" width="58.28515625" style="56" customWidth="1"/>
    <col min="27" max="27" width="30.7109375" style="56" customWidth="1"/>
    <col min="28" max="28" width="12.5703125" style="56" customWidth="1"/>
    <col min="29" max="29" width="14.42578125" style="56" hidden="1" customWidth="1"/>
    <col min="30" max="30" width="9.140625" style="56"/>
    <col min="31" max="16384" width="9.140625" style="2"/>
  </cols>
  <sheetData>
    <row r="1" spans="1:30" s="62" customFormat="1" ht="21.75" customHeight="1">
      <c r="A1" s="535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198"/>
      <c r="R1" s="94"/>
      <c r="S1" s="94"/>
      <c r="T1" s="94"/>
      <c r="U1" s="94"/>
      <c r="V1" s="94"/>
      <c r="W1" s="61"/>
      <c r="X1" s="61"/>
      <c r="Y1" s="254"/>
      <c r="Z1" s="61"/>
      <c r="AA1" s="61"/>
      <c r="AB1" s="61"/>
      <c r="AC1" s="61"/>
      <c r="AD1" s="61"/>
    </row>
    <row r="2" spans="1:30" s="62" customFormat="1" ht="21.75" customHeight="1">
      <c r="A2" s="530" t="s">
        <v>1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198"/>
      <c r="R2" s="94"/>
      <c r="S2" s="94"/>
      <c r="T2" s="94"/>
      <c r="U2" s="94"/>
      <c r="V2" s="94"/>
      <c r="W2" s="61"/>
      <c r="X2" s="61"/>
      <c r="Y2" s="254"/>
      <c r="Z2" s="61"/>
      <c r="AA2" s="61"/>
      <c r="AB2" s="61"/>
      <c r="AC2" s="61"/>
      <c r="AD2" s="61"/>
    </row>
    <row r="3" spans="1:30" ht="5.25" customHeight="1"/>
    <row r="4" spans="1:30" ht="32.25" customHeight="1">
      <c r="A4" s="523" t="s">
        <v>40</v>
      </c>
      <c r="B4" s="523"/>
      <c r="C4" s="523"/>
      <c r="D4" s="523"/>
      <c r="E4" s="523"/>
      <c r="F4" s="523"/>
      <c r="G4" s="523"/>
      <c r="H4" s="523"/>
      <c r="I4" s="523"/>
      <c r="J4" s="523"/>
      <c r="K4" s="523"/>
      <c r="L4" s="523"/>
      <c r="M4" s="523"/>
      <c r="N4" s="523"/>
      <c r="O4" s="523"/>
      <c r="P4" s="523"/>
      <c r="Q4" s="200"/>
    </row>
    <row r="5" spans="1:30" ht="1.5" customHeight="1"/>
    <row r="6" spans="1:30" s="62" customFormat="1" ht="17.25" customHeight="1">
      <c r="A6" s="97" t="s">
        <v>2</v>
      </c>
      <c r="B6" s="74"/>
      <c r="C6" s="93"/>
      <c r="D6" s="76"/>
      <c r="E6" s="76"/>
      <c r="F6" s="75"/>
      <c r="G6" s="83"/>
      <c r="J6" s="82"/>
      <c r="K6" s="81"/>
      <c r="M6" s="81"/>
      <c r="N6" s="80"/>
      <c r="O6" s="80"/>
      <c r="P6" s="81"/>
      <c r="Q6" s="201"/>
      <c r="R6" s="94"/>
      <c r="S6" s="94"/>
      <c r="T6" s="94"/>
      <c r="U6" s="94"/>
      <c r="V6" s="94"/>
      <c r="W6" s="61"/>
      <c r="X6" s="61"/>
      <c r="Y6" s="254"/>
      <c r="Z6" s="61"/>
      <c r="AA6" s="61"/>
      <c r="AB6" s="61"/>
      <c r="AC6" s="61"/>
      <c r="AD6" s="61"/>
    </row>
    <row r="7" spans="1:30" s="62" customFormat="1" ht="17.25" customHeight="1">
      <c r="A7" s="75" t="s">
        <v>3</v>
      </c>
      <c r="B7" s="74"/>
      <c r="C7" s="93"/>
      <c r="D7" s="76"/>
      <c r="E7" s="76"/>
      <c r="F7" s="75"/>
      <c r="G7" s="83"/>
      <c r="J7" s="82"/>
      <c r="K7" s="81"/>
      <c r="M7" s="81"/>
      <c r="N7" s="80"/>
      <c r="O7" s="80"/>
      <c r="P7" s="81"/>
      <c r="Q7" s="201"/>
      <c r="R7" s="94"/>
      <c r="S7" s="94"/>
      <c r="T7" s="94"/>
      <c r="U7" s="94"/>
      <c r="V7" s="94"/>
      <c r="W7" s="61"/>
      <c r="X7" s="61"/>
      <c r="Y7" s="254"/>
      <c r="Z7" s="61"/>
      <c r="AA7" s="61"/>
      <c r="AB7" s="61"/>
      <c r="AC7" s="61"/>
      <c r="AD7" s="61"/>
    </row>
    <row r="8" spans="1:30" s="62" customFormat="1" ht="21.75" customHeight="1">
      <c r="A8" s="73" t="s">
        <v>27</v>
      </c>
      <c r="B8" s="74"/>
      <c r="C8" s="93"/>
      <c r="D8" s="76"/>
      <c r="E8" s="76"/>
      <c r="F8" s="77"/>
      <c r="G8" s="133"/>
      <c r="H8" s="78"/>
      <c r="I8" s="78"/>
      <c r="J8" s="17"/>
      <c r="K8" s="79"/>
      <c r="L8" s="78"/>
      <c r="M8" s="79"/>
      <c r="N8" s="80"/>
      <c r="O8" s="80"/>
      <c r="P8" s="81"/>
      <c r="Q8" s="201"/>
      <c r="R8" s="94"/>
      <c r="S8" s="94"/>
      <c r="T8" s="94"/>
      <c r="U8" s="94"/>
      <c r="V8" s="94"/>
      <c r="W8" s="61"/>
      <c r="X8" s="61"/>
      <c r="Y8" s="254"/>
      <c r="Z8" s="61"/>
      <c r="AA8" s="61"/>
      <c r="AB8" s="61"/>
      <c r="AC8" s="61"/>
      <c r="AD8" s="61"/>
    </row>
    <row r="9" spans="1:30" ht="19.5" customHeight="1">
      <c r="A9" s="64" t="s">
        <v>82</v>
      </c>
      <c r="B9" s="63"/>
      <c r="C9" s="142"/>
      <c r="D9" s="65"/>
      <c r="E9" s="65"/>
      <c r="F9" s="66"/>
      <c r="G9" s="134"/>
      <c r="H9" s="10"/>
      <c r="I9" s="10"/>
      <c r="J9" s="17"/>
      <c r="K9" s="67"/>
      <c r="L9" s="9"/>
      <c r="M9" s="67"/>
    </row>
    <row r="10" spans="1:30" ht="19.5" customHeight="1">
      <c r="A10" s="64" t="s">
        <v>28</v>
      </c>
      <c r="B10" s="63"/>
      <c r="C10" s="142"/>
      <c r="D10" s="65"/>
      <c r="E10" s="65"/>
      <c r="F10" s="66"/>
      <c r="G10" s="134"/>
      <c r="H10" s="9"/>
      <c r="I10" s="9"/>
      <c r="J10" s="17"/>
      <c r="K10" s="67"/>
      <c r="L10" s="9"/>
      <c r="M10" s="67"/>
    </row>
    <row r="11" spans="1:30" ht="19.5" customHeight="1">
      <c r="A11" s="64" t="s">
        <v>4</v>
      </c>
      <c r="B11" s="63"/>
      <c r="C11" s="142"/>
      <c r="D11" s="65" t="s">
        <v>5</v>
      </c>
      <c r="E11" s="65"/>
      <c r="F11" s="64"/>
      <c r="Q11" s="202"/>
      <c r="S11" s="460"/>
      <c r="T11" s="333"/>
      <c r="U11" s="333"/>
    </row>
    <row r="12" spans="1:30" ht="3" customHeight="1">
      <c r="A12" s="64"/>
      <c r="B12" s="63"/>
      <c r="C12" s="142"/>
      <c r="D12" s="65"/>
      <c r="E12" s="65"/>
      <c r="F12" s="64"/>
      <c r="Q12" s="202"/>
    </row>
    <row r="13" spans="1:30" s="62" customFormat="1" ht="21.75" customHeight="1">
      <c r="A13" s="73" t="s">
        <v>6</v>
      </c>
      <c r="B13" s="74"/>
      <c r="C13" s="93"/>
      <c r="D13" s="76"/>
      <c r="E13" s="76"/>
      <c r="F13" s="75"/>
      <c r="G13" s="83"/>
      <c r="J13" s="82"/>
      <c r="K13" s="81"/>
      <c r="M13" s="81"/>
      <c r="N13" s="80"/>
      <c r="O13" s="80"/>
      <c r="P13" s="81"/>
      <c r="Q13" s="203"/>
      <c r="R13" s="17"/>
      <c r="S13" s="94"/>
      <c r="T13" s="94"/>
      <c r="U13" s="94"/>
      <c r="V13" s="94"/>
      <c r="W13" s="61"/>
      <c r="X13" s="61"/>
      <c r="Y13" s="254"/>
      <c r="Z13" s="61"/>
      <c r="AA13" s="61"/>
      <c r="AB13" s="61"/>
      <c r="AC13" s="61"/>
      <c r="AD13" s="61"/>
    </row>
    <row r="14" spans="1:30" ht="19.5" customHeight="1">
      <c r="A14" s="64" t="s">
        <v>81</v>
      </c>
      <c r="B14" s="63"/>
      <c r="C14" s="142"/>
      <c r="D14" s="65"/>
      <c r="E14" s="65"/>
      <c r="F14" s="64"/>
      <c r="Q14" s="203"/>
    </row>
    <row r="15" spans="1:30" ht="19.5" customHeight="1">
      <c r="A15" s="64" t="s">
        <v>7</v>
      </c>
      <c r="B15" s="63"/>
      <c r="C15" s="142"/>
      <c r="D15" s="65"/>
      <c r="E15" s="65"/>
      <c r="F15" s="64"/>
      <c r="Q15" s="203"/>
    </row>
    <row r="16" spans="1:30" ht="19.5" customHeight="1">
      <c r="A16" s="64" t="s">
        <v>4</v>
      </c>
      <c r="B16" s="63"/>
      <c r="C16" s="142"/>
      <c r="D16" s="65" t="s">
        <v>5</v>
      </c>
      <c r="E16" s="65"/>
      <c r="F16" s="64"/>
      <c r="R16" s="17"/>
      <c r="S16" s="57"/>
    </row>
    <row r="17" spans="1:30" ht="18.75" customHeight="1">
      <c r="A17" s="64" t="s">
        <v>8</v>
      </c>
      <c r="B17" s="63"/>
      <c r="C17" s="142"/>
      <c r="D17" s="65"/>
      <c r="E17" s="65"/>
      <c r="F17" s="64"/>
    </row>
    <row r="18" spans="1:30" ht="25.5" customHeight="1">
      <c r="N18" s="90" t="s">
        <v>29</v>
      </c>
      <c r="O18" s="50" t="str">
        <f>'COVER DN XUẤT'!D18</f>
        <v>MBF-CTS11022026-1</v>
      </c>
      <c r="P18" s="11"/>
    </row>
    <row r="19" spans="1:30" ht="25.5" customHeight="1">
      <c r="N19" s="90" t="s">
        <v>30</v>
      </c>
      <c r="O19" s="50" t="str">
        <f>'COVER DN XUẤT'!D19</f>
        <v>23/02/2026</v>
      </c>
      <c r="P19" s="11"/>
      <c r="Y19" s="255" t="s">
        <v>86</v>
      </c>
      <c r="Z19" s="56" t="s">
        <v>78</v>
      </c>
      <c r="AA19" s="56" t="s">
        <v>79</v>
      </c>
      <c r="AB19" s="56" t="s">
        <v>80</v>
      </c>
    </row>
    <row r="20" spans="1:30" ht="6.75" customHeight="1"/>
    <row r="21" spans="1:30" s="15" customFormat="1" ht="51" customHeight="1">
      <c r="A21" s="103" t="s">
        <v>9</v>
      </c>
      <c r="B21" s="103" t="s">
        <v>10</v>
      </c>
      <c r="C21" s="148" t="s">
        <v>63</v>
      </c>
      <c r="D21" s="53" t="s">
        <v>12</v>
      </c>
      <c r="E21" s="53" t="s">
        <v>17</v>
      </c>
      <c r="F21" s="103" t="s">
        <v>21</v>
      </c>
      <c r="G21" s="12" t="s">
        <v>25</v>
      </c>
      <c r="H21" s="12" t="s">
        <v>13</v>
      </c>
      <c r="I21" s="12" t="s">
        <v>278</v>
      </c>
      <c r="J21" s="13" t="s">
        <v>14</v>
      </c>
      <c r="K21" s="13" t="s">
        <v>60</v>
      </c>
      <c r="L21" s="12" t="s">
        <v>54</v>
      </c>
      <c r="M21" s="13" t="s">
        <v>55</v>
      </c>
      <c r="N21" s="23" t="s">
        <v>20</v>
      </c>
      <c r="O21" s="13" t="s">
        <v>23</v>
      </c>
      <c r="P21" s="24" t="s">
        <v>19</v>
      </c>
      <c r="Q21" s="204"/>
      <c r="R21" s="96"/>
      <c r="S21" s="96"/>
      <c r="T21" s="96" t="s">
        <v>84</v>
      </c>
      <c r="U21" s="96" t="s">
        <v>85</v>
      </c>
      <c r="V21" s="96"/>
      <c r="W21" s="57"/>
      <c r="X21" s="57"/>
      <c r="Y21" s="96"/>
      <c r="Z21" s="57"/>
      <c r="AA21" s="57"/>
      <c r="AB21" s="57"/>
      <c r="AC21" s="57"/>
      <c r="AD21" s="57"/>
    </row>
    <row r="22" spans="1:30" s="15" customFormat="1" ht="63" customHeight="1">
      <c r="A22" s="103">
        <f>ROW()-21</f>
        <v>1</v>
      </c>
      <c r="B22" s="454" t="str">
        <f>VLOOKUP(P22,'chuyển 26.12'!$O$5:$P$6000,2,0)</f>
        <v>Hải Phòng - Canon Tiên Sơn - Hải Phòng</v>
      </c>
      <c r="C22" s="455">
        <v>46038</v>
      </c>
      <c r="D22" s="456" t="s">
        <v>285</v>
      </c>
      <c r="E22" s="457">
        <f>VLOOKUP(H22,[1]Sheet1!$I$1:$Q$180000,9,0)</f>
        <v>308158278210</v>
      </c>
      <c r="F22" s="458" t="s">
        <v>22</v>
      </c>
      <c r="G22" s="459" t="s">
        <v>333</v>
      </c>
      <c r="H22" s="458" t="s">
        <v>291</v>
      </c>
      <c r="I22" s="460" t="s">
        <v>848</v>
      </c>
      <c r="J22" s="461">
        <v>3588286</v>
      </c>
      <c r="K22" s="461"/>
      <c r="L22" s="462"/>
      <c r="M22" s="463"/>
      <c r="N22" s="461">
        <v>100000</v>
      </c>
      <c r="O22" s="464">
        <f t="shared" ref="O22:O67" si="0">SUM(J22:N22)</f>
        <v>3688286</v>
      </c>
      <c r="P22" s="462" t="s">
        <v>279</v>
      </c>
      <c r="Q22" s="205"/>
      <c r="R22" s="471" t="s">
        <v>944</v>
      </c>
      <c r="S22" s="105"/>
      <c r="T22" s="151" t="s">
        <v>266</v>
      </c>
      <c r="U22" s="151" t="s">
        <v>266</v>
      </c>
      <c r="V22" s="409"/>
      <c r="W22" s="174"/>
      <c r="X22" s="151"/>
      <c r="Y22" s="256"/>
      <c r="Z22" s="151" t="str">
        <f>$Z$19&amp;B22&amp;$AA$19&amp;H22</f>
        <v>Cước vận chuyển Hải Phòng - Canon Tiên Sơn - Hải Phòng , số cont EMCU8313605</v>
      </c>
      <c r="AA22" s="151"/>
      <c r="AB22" s="151"/>
      <c r="AC22" s="102"/>
      <c r="AD22" s="87"/>
    </row>
    <row r="23" spans="1:30" s="15" customFormat="1" ht="63" customHeight="1">
      <c r="A23" s="118">
        <f t="shared" ref="A23:A67" si="1">ROW()-21</f>
        <v>2</v>
      </c>
      <c r="B23" s="454" t="str">
        <f>VLOOKUP(P23,'chuyển 26.12'!$O$5:$P$6000,2,0)</f>
        <v>Hải Phòng - Canon Tiên Sơn - Hải Phòng</v>
      </c>
      <c r="C23" s="455">
        <v>46038</v>
      </c>
      <c r="D23" s="456" t="s">
        <v>317</v>
      </c>
      <c r="E23" s="457">
        <f>VLOOKUP(H23,[1]Sheet1!$I$1:$Q$180000,9,0)</f>
        <v>308158323820</v>
      </c>
      <c r="F23" s="458" t="s">
        <v>22</v>
      </c>
      <c r="G23" s="459" t="s">
        <v>334</v>
      </c>
      <c r="H23" s="458" t="s">
        <v>292</v>
      </c>
      <c r="I23" s="460" t="s">
        <v>849</v>
      </c>
      <c r="J23" s="461">
        <v>3888286</v>
      </c>
      <c r="K23" s="461"/>
      <c r="L23" s="462"/>
      <c r="M23" s="463"/>
      <c r="N23" s="461">
        <v>100000</v>
      </c>
      <c r="O23" s="464">
        <f t="shared" si="0"/>
        <v>3988286</v>
      </c>
      <c r="P23" s="462" t="s">
        <v>267</v>
      </c>
      <c r="Q23" s="205" t="s">
        <v>289</v>
      </c>
      <c r="R23" s="471" t="s">
        <v>944</v>
      </c>
      <c r="S23" s="105"/>
      <c r="T23" s="151" t="s">
        <v>266</v>
      </c>
      <c r="U23" s="151" t="s">
        <v>330</v>
      </c>
      <c r="V23" s="409"/>
      <c r="W23" s="174"/>
      <c r="X23" s="151"/>
      <c r="Y23" s="256"/>
      <c r="Z23" s="151" t="str">
        <f t="shared" ref="Z23:Z67" si="2">$Z$19&amp;B23&amp;$AA$19&amp;H23</f>
        <v>Cước vận chuyển Hải Phòng - Canon Tiên Sơn - Hải Phòng , số cont NSSU7171637</v>
      </c>
      <c r="AA23" s="151"/>
      <c r="AB23" s="151"/>
      <c r="AC23" s="102"/>
      <c r="AD23" s="87"/>
    </row>
    <row r="24" spans="1:30" s="15" customFormat="1" ht="63" customHeight="1">
      <c r="A24" s="118">
        <f t="shared" si="1"/>
        <v>3</v>
      </c>
      <c r="B24" s="454" t="str">
        <f>VLOOKUP(P24,'chuyển 26.12'!$O$5:$P$6000,2,0)</f>
        <v>Hải Phòng - Canon Tiên Sơn - Hải Phòng</v>
      </c>
      <c r="C24" s="455">
        <v>46038</v>
      </c>
      <c r="D24" s="456" t="s">
        <v>285</v>
      </c>
      <c r="E24" s="457">
        <f>VLOOKUP(H24,[1]Sheet1!$I$1:$Q$180000,9,0)</f>
        <v>308158430550</v>
      </c>
      <c r="F24" s="458" t="s">
        <v>22</v>
      </c>
      <c r="G24" s="459" t="s">
        <v>335</v>
      </c>
      <c r="H24" s="458" t="s">
        <v>293</v>
      </c>
      <c r="I24" s="460" t="s">
        <v>850</v>
      </c>
      <c r="J24" s="461">
        <v>3588286</v>
      </c>
      <c r="K24" s="461"/>
      <c r="L24" s="462"/>
      <c r="M24" s="463"/>
      <c r="N24" s="461">
        <v>100000</v>
      </c>
      <c r="O24" s="464">
        <f t="shared" si="0"/>
        <v>3688286</v>
      </c>
      <c r="P24" s="462" t="s">
        <v>279</v>
      </c>
      <c r="Q24" s="205"/>
      <c r="R24" s="471" t="s">
        <v>944</v>
      </c>
      <c r="S24" s="105"/>
      <c r="T24" s="151" t="s">
        <v>266</v>
      </c>
      <c r="U24" s="151" t="s">
        <v>266</v>
      </c>
      <c r="V24" s="409"/>
      <c r="W24" s="174"/>
      <c r="X24" s="151"/>
      <c r="Y24" s="256"/>
      <c r="Z24" s="151" t="str">
        <f t="shared" si="2"/>
        <v>Cước vận chuyển Hải Phòng - Canon Tiên Sơn - Hải Phòng , số cont BMOU6012145</v>
      </c>
      <c r="AA24" s="151"/>
      <c r="AB24" s="151"/>
      <c r="AC24" s="102"/>
      <c r="AD24" s="87"/>
    </row>
    <row r="25" spans="1:30" s="15" customFormat="1" ht="63" customHeight="1">
      <c r="A25" s="118">
        <f t="shared" si="1"/>
        <v>4</v>
      </c>
      <c r="B25" s="454" t="str">
        <f>VLOOKUP(P25,'chuyển 26.12'!$O$5:$P$6000,2,0)</f>
        <v>Hải Phòng - Canon Tiên Sơn - Hải Phòng</v>
      </c>
      <c r="C25" s="455">
        <v>46038</v>
      </c>
      <c r="D25" s="456" t="s">
        <v>285</v>
      </c>
      <c r="E25" s="457">
        <f>VLOOKUP(H25,[1]Sheet1!$I$1:$Q$180000,9,0)</f>
        <v>308158509650</v>
      </c>
      <c r="F25" s="458" t="s">
        <v>22</v>
      </c>
      <c r="G25" s="459" t="s">
        <v>336</v>
      </c>
      <c r="H25" s="458" t="s">
        <v>294</v>
      </c>
      <c r="I25" s="460" t="s">
        <v>851</v>
      </c>
      <c r="J25" s="461">
        <v>3888286</v>
      </c>
      <c r="K25" s="461"/>
      <c r="L25" s="462"/>
      <c r="M25" s="463"/>
      <c r="N25" s="461">
        <v>100000</v>
      </c>
      <c r="O25" s="464">
        <f t="shared" si="0"/>
        <v>3988286</v>
      </c>
      <c r="P25" s="462" t="s">
        <v>267</v>
      </c>
      <c r="Q25" s="205" t="s">
        <v>289</v>
      </c>
      <c r="R25" s="471" t="s">
        <v>944</v>
      </c>
      <c r="S25" s="105"/>
      <c r="T25" s="151" t="s">
        <v>266</v>
      </c>
      <c r="U25" s="151" t="s">
        <v>266</v>
      </c>
      <c r="V25" s="409"/>
      <c r="W25" s="174"/>
      <c r="X25" s="151"/>
      <c r="Y25" s="256"/>
      <c r="Z25" s="151" t="str">
        <f t="shared" si="2"/>
        <v>Cước vận chuyển Hải Phòng - Canon Tiên Sơn - Hải Phòng , số cont EGSU9553960</v>
      </c>
      <c r="AA25" s="151"/>
      <c r="AB25" s="151"/>
      <c r="AC25" s="102"/>
      <c r="AD25" s="87"/>
    </row>
    <row r="26" spans="1:30" s="15" customFormat="1" ht="63" customHeight="1">
      <c r="A26" s="118">
        <f t="shared" si="1"/>
        <v>5</v>
      </c>
      <c r="B26" s="454" t="str">
        <f>VLOOKUP(P26,'chuyển 26.12'!$O$5:$P$6000,2,0)</f>
        <v>Hưng Yên - Canon Tiên Sơn - Hải Phòng</v>
      </c>
      <c r="C26" s="455">
        <v>46038</v>
      </c>
      <c r="D26" s="456" t="s">
        <v>318</v>
      </c>
      <c r="E26" s="457">
        <f>VLOOKUP(H26,[1]Sheet1!$I$1:$Q$180000,9,0)</f>
        <v>308158360000</v>
      </c>
      <c r="F26" s="458" t="s">
        <v>22</v>
      </c>
      <c r="G26" s="459" t="s">
        <v>337</v>
      </c>
      <c r="H26" s="458" t="s">
        <v>295</v>
      </c>
      <c r="I26" s="460" t="s">
        <v>830</v>
      </c>
      <c r="J26" s="461">
        <v>2985312</v>
      </c>
      <c r="K26" s="461"/>
      <c r="L26" s="462"/>
      <c r="M26" s="463"/>
      <c r="N26" s="461">
        <v>100000</v>
      </c>
      <c r="O26" s="464">
        <f t="shared" si="0"/>
        <v>3085312</v>
      </c>
      <c r="P26" s="462" t="s">
        <v>268</v>
      </c>
      <c r="Q26" s="205"/>
      <c r="R26" s="471" t="s">
        <v>944</v>
      </c>
      <c r="S26" s="105"/>
      <c r="T26" s="151" t="s">
        <v>110</v>
      </c>
      <c r="U26" s="151" t="s">
        <v>62</v>
      </c>
      <c r="V26" s="409"/>
      <c r="W26" s="174"/>
      <c r="X26" s="151"/>
      <c r="Y26" s="256"/>
      <c r="Z26" s="151" t="str">
        <f t="shared" si="2"/>
        <v>Cước vận chuyển Hưng Yên - Canon Tiên Sơn - Hải Phòng , số cont TRHU5424799</v>
      </c>
      <c r="AA26" s="151"/>
      <c r="AB26" s="151"/>
      <c r="AC26" s="102"/>
      <c r="AD26" s="87"/>
    </row>
    <row r="27" spans="1:30" s="15" customFormat="1" ht="63" customHeight="1">
      <c r="A27" s="118">
        <f t="shared" si="1"/>
        <v>6</v>
      </c>
      <c r="B27" s="454" t="str">
        <f>VLOOKUP(P27,'chuyển 26.12'!$O$5:$P$6000,2,0)</f>
        <v>Hưng Yên - Canon Tiên Sơn - Hải Phòng</v>
      </c>
      <c r="C27" s="455">
        <v>46038</v>
      </c>
      <c r="D27" s="456" t="s">
        <v>319</v>
      </c>
      <c r="E27" s="457">
        <f>VLOOKUP(H27,[1]Sheet1!$I$1:$Q$180000,9,0)</f>
        <v>308158391130</v>
      </c>
      <c r="F27" s="458" t="s">
        <v>22</v>
      </c>
      <c r="G27" s="459" t="s">
        <v>338</v>
      </c>
      <c r="H27" s="458" t="s">
        <v>296</v>
      </c>
      <c r="I27" s="460" t="s">
        <v>840</v>
      </c>
      <c r="J27" s="461">
        <v>2985312</v>
      </c>
      <c r="K27" s="461"/>
      <c r="L27" s="462"/>
      <c r="M27" s="463"/>
      <c r="N27" s="461">
        <v>100000</v>
      </c>
      <c r="O27" s="464">
        <f t="shared" si="0"/>
        <v>3085312</v>
      </c>
      <c r="P27" s="462" t="s">
        <v>268</v>
      </c>
      <c r="Q27" s="205"/>
      <c r="R27" s="471" t="s">
        <v>944</v>
      </c>
      <c r="S27" s="105"/>
      <c r="T27" s="151" t="s">
        <v>110</v>
      </c>
      <c r="U27" s="151" t="s">
        <v>62</v>
      </c>
      <c r="V27" s="409"/>
      <c r="W27" s="174"/>
      <c r="X27" s="151"/>
      <c r="Y27" s="256"/>
      <c r="Z27" s="151" t="str">
        <f t="shared" si="2"/>
        <v>Cước vận chuyển Hưng Yên - Canon Tiên Sơn - Hải Phòng , số cont TCNU7535165</v>
      </c>
      <c r="AA27" s="151"/>
      <c r="AB27" s="151"/>
      <c r="AC27" s="102"/>
      <c r="AD27" s="87"/>
    </row>
    <row r="28" spans="1:30" s="15" customFormat="1" ht="63" customHeight="1">
      <c r="A28" s="118">
        <f t="shared" si="1"/>
        <v>7</v>
      </c>
      <c r="B28" s="454" t="str">
        <f>VLOOKUP(P28,'chuyển 26.12'!$O$5:$P$6000,2,0)</f>
        <v>Hải Phòng - Canon Tiên Sơn - Hải Phòng</v>
      </c>
      <c r="C28" s="455">
        <v>46041</v>
      </c>
      <c r="D28" s="456" t="s">
        <v>320</v>
      </c>
      <c r="E28" s="457">
        <f>VLOOKUP(H28,[1]Sheet1!$I$1:$Q$180000,9,0)</f>
        <v>308163768160</v>
      </c>
      <c r="F28" s="458" t="s">
        <v>22</v>
      </c>
      <c r="G28" s="459" t="s">
        <v>339</v>
      </c>
      <c r="H28" s="458" t="s">
        <v>297</v>
      </c>
      <c r="I28" s="460" t="s">
        <v>852</v>
      </c>
      <c r="J28" s="461">
        <v>3888286</v>
      </c>
      <c r="K28" s="461"/>
      <c r="L28" s="462"/>
      <c r="M28" s="463"/>
      <c r="N28" s="461">
        <v>100000</v>
      </c>
      <c r="O28" s="464">
        <f t="shared" si="0"/>
        <v>3988286</v>
      </c>
      <c r="P28" s="462" t="s">
        <v>267</v>
      </c>
      <c r="Q28" s="205" t="s">
        <v>289</v>
      </c>
      <c r="R28" s="471" t="s">
        <v>944</v>
      </c>
      <c r="S28" s="105"/>
      <c r="T28" s="151" t="s">
        <v>331</v>
      </c>
      <c r="U28" s="151" t="s">
        <v>331</v>
      </c>
      <c r="V28" s="409"/>
      <c r="W28" s="174"/>
      <c r="X28" s="151"/>
      <c r="Y28" s="256"/>
      <c r="Z28" s="151" t="str">
        <f t="shared" si="2"/>
        <v>Cước vận chuyển Hải Phòng - Canon Tiên Sơn - Hải Phòng , số cont REGU5201120</v>
      </c>
      <c r="AA28" s="151"/>
      <c r="AB28" s="151"/>
      <c r="AC28" s="102"/>
      <c r="AD28" s="87"/>
    </row>
    <row r="29" spans="1:30" s="15" customFormat="1" ht="63" customHeight="1">
      <c r="A29" s="118">
        <f t="shared" si="1"/>
        <v>8</v>
      </c>
      <c r="B29" s="454" t="str">
        <f>VLOOKUP(P29,'chuyển 26.12'!$O$5:$P$6000,2,0)</f>
        <v>Canon Tiên Sơn - Hải Phòng</v>
      </c>
      <c r="C29" s="455">
        <v>46041</v>
      </c>
      <c r="D29" s="456">
        <v>6438798511</v>
      </c>
      <c r="E29" s="457">
        <f>VLOOKUP(H29,[1]Sheet1!$I$1:$Q$180000,9,0)</f>
        <v>308163870250</v>
      </c>
      <c r="F29" s="458" t="s">
        <v>22</v>
      </c>
      <c r="G29" s="459" t="s">
        <v>340</v>
      </c>
      <c r="H29" s="458" t="s">
        <v>298</v>
      </c>
      <c r="I29" s="460" t="s">
        <v>847</v>
      </c>
      <c r="J29" s="461">
        <v>2697592</v>
      </c>
      <c r="K29" s="461"/>
      <c r="L29" s="462"/>
      <c r="M29" s="463"/>
      <c r="N29" s="461">
        <v>100000</v>
      </c>
      <c r="O29" s="464">
        <f t="shared" si="0"/>
        <v>2797592</v>
      </c>
      <c r="P29" s="465" t="s">
        <v>141</v>
      </c>
      <c r="Q29" s="205"/>
      <c r="R29" s="471" t="s">
        <v>944</v>
      </c>
      <c r="S29" s="105"/>
      <c r="T29" s="151" t="s">
        <v>144</v>
      </c>
      <c r="U29" s="151" t="s">
        <v>62</v>
      </c>
      <c r="V29" s="409"/>
      <c r="W29" s="174"/>
      <c r="X29" s="151"/>
      <c r="Y29" s="256"/>
      <c r="Z29" s="151" t="str">
        <f t="shared" si="2"/>
        <v>Cước vận chuyển Canon Tiên Sơn - Hải Phòng , số cont TIIU5347234</v>
      </c>
      <c r="AA29" s="151"/>
      <c r="AB29" s="151"/>
      <c r="AC29" s="102"/>
      <c r="AD29" s="87"/>
    </row>
    <row r="30" spans="1:30" s="15" customFormat="1" ht="63" customHeight="1">
      <c r="A30" s="118">
        <f t="shared" si="1"/>
        <v>9</v>
      </c>
      <c r="B30" s="454" t="str">
        <f>VLOOKUP(P30,'chuyển 26.12'!$O$5:$P$6000,2,0)</f>
        <v>Hưng Yên - Canon Tiên Sơn - Hải Phòng</v>
      </c>
      <c r="C30" s="455">
        <v>46042</v>
      </c>
      <c r="D30" s="456">
        <v>6438798511</v>
      </c>
      <c r="E30" s="457">
        <f>VLOOKUP(H30,[1]Sheet1!$I$1:$Q$180000,9,0)</f>
        <v>308169652730</v>
      </c>
      <c r="F30" s="458" t="s">
        <v>22</v>
      </c>
      <c r="G30" s="459" t="s">
        <v>341</v>
      </c>
      <c r="H30" s="460" t="s">
        <v>299</v>
      </c>
      <c r="I30" s="460" t="s">
        <v>841</v>
      </c>
      <c r="J30" s="461">
        <v>2985312</v>
      </c>
      <c r="K30" s="461"/>
      <c r="L30" s="462"/>
      <c r="M30" s="463"/>
      <c r="N30" s="461">
        <v>100000</v>
      </c>
      <c r="O30" s="464">
        <f t="shared" si="0"/>
        <v>3085312</v>
      </c>
      <c r="P30" s="462" t="s">
        <v>268</v>
      </c>
      <c r="Q30" s="205"/>
      <c r="R30" s="471" t="s">
        <v>944</v>
      </c>
      <c r="S30" s="105"/>
      <c r="T30" s="151" t="s">
        <v>110</v>
      </c>
      <c r="U30" s="151" t="s">
        <v>62</v>
      </c>
      <c r="V30" s="409"/>
      <c r="W30" s="174"/>
      <c r="X30" s="151"/>
      <c r="Y30" s="256"/>
      <c r="Z30" s="151" t="str">
        <f t="shared" si="2"/>
        <v>Cước vận chuyển Hưng Yên - Canon Tiên Sơn - Hải Phòng , số cont CSNU8639981</v>
      </c>
      <c r="AA30" s="151"/>
      <c r="AB30" s="151"/>
      <c r="AC30" s="102"/>
      <c r="AD30" s="87"/>
    </row>
    <row r="31" spans="1:30" s="15" customFormat="1" ht="63" customHeight="1">
      <c r="A31" s="118">
        <f t="shared" si="1"/>
        <v>10</v>
      </c>
      <c r="B31" s="454" t="str">
        <f>VLOOKUP(P31,'chuyển 26.12'!$O$5:$P$6000,2,0)</f>
        <v>Hải Phòng - Canon Tiên Sơn - Hải Phòng</v>
      </c>
      <c r="C31" s="455">
        <v>46043</v>
      </c>
      <c r="D31" s="456" t="s">
        <v>321</v>
      </c>
      <c r="E31" s="457">
        <v>308173905600</v>
      </c>
      <c r="F31" s="458" t="s">
        <v>52</v>
      </c>
      <c r="G31" s="459" t="s">
        <v>342</v>
      </c>
      <c r="H31" s="458" t="s">
        <v>300</v>
      </c>
      <c r="I31" s="460" t="s">
        <v>849</v>
      </c>
      <c r="J31" s="461">
        <v>3588286</v>
      </c>
      <c r="K31" s="461"/>
      <c r="L31" s="462"/>
      <c r="M31" s="463"/>
      <c r="N31" s="461">
        <v>100000</v>
      </c>
      <c r="O31" s="464">
        <f t="shared" si="0"/>
        <v>3688286</v>
      </c>
      <c r="P31" s="462" t="s">
        <v>279</v>
      </c>
      <c r="Q31" s="205"/>
      <c r="R31" s="471" t="s">
        <v>943</v>
      </c>
      <c r="S31" s="105"/>
      <c r="T31" s="151" t="s">
        <v>142</v>
      </c>
      <c r="U31" s="151" t="s">
        <v>266</v>
      </c>
      <c r="V31" s="409"/>
      <c r="W31" s="174"/>
      <c r="X31" s="151"/>
      <c r="Y31" s="256"/>
      <c r="Z31" s="151" t="str">
        <f t="shared" si="2"/>
        <v>Cước vận chuyển Hải Phòng - Canon Tiên Sơn - Hải Phòng , số cont EITU3162502</v>
      </c>
      <c r="AA31" s="151"/>
      <c r="AB31" s="151"/>
      <c r="AC31" s="102"/>
      <c r="AD31" s="87"/>
    </row>
    <row r="32" spans="1:30" s="15" customFormat="1" ht="63" customHeight="1">
      <c r="A32" s="118">
        <f t="shared" si="1"/>
        <v>11</v>
      </c>
      <c r="B32" s="454" t="str">
        <f>VLOOKUP(P32,'chuyển 26.12'!$O$5:$P$6000,2,0)</f>
        <v>Hải Phòng - Canon Tiên Sơn - Hải Phòng</v>
      </c>
      <c r="C32" s="455">
        <v>46045</v>
      </c>
      <c r="D32" s="456" t="s">
        <v>322</v>
      </c>
      <c r="E32" s="457">
        <f>VLOOKUP(H32,[1]Sheet1!$I$1:$Q$180000,9,0)</f>
        <v>308182232540</v>
      </c>
      <c r="F32" s="458" t="s">
        <v>22</v>
      </c>
      <c r="G32" s="459" t="s">
        <v>343</v>
      </c>
      <c r="H32" s="458" t="s">
        <v>301</v>
      </c>
      <c r="I32" s="460" t="s">
        <v>853</v>
      </c>
      <c r="J32" s="461">
        <v>3588286</v>
      </c>
      <c r="K32" s="461"/>
      <c r="L32" s="462"/>
      <c r="M32" s="463"/>
      <c r="N32" s="461">
        <v>100000</v>
      </c>
      <c r="O32" s="464">
        <f t="shared" si="0"/>
        <v>3688286</v>
      </c>
      <c r="P32" s="462" t="s">
        <v>279</v>
      </c>
      <c r="Q32" s="205"/>
      <c r="R32" s="471" t="s">
        <v>944</v>
      </c>
      <c r="S32" s="105"/>
      <c r="T32" s="151" t="s">
        <v>266</v>
      </c>
      <c r="U32" s="151" t="s">
        <v>266</v>
      </c>
      <c r="V32" s="409"/>
      <c r="W32" s="174"/>
      <c r="X32" s="151"/>
      <c r="Y32" s="256"/>
      <c r="Z32" s="151" t="str">
        <f t="shared" si="2"/>
        <v>Cước vận chuyển Hải Phòng - Canon Tiên Sơn - Hải Phòng , số cont EGSU6484249</v>
      </c>
      <c r="AA32" s="151"/>
      <c r="AB32" s="151"/>
      <c r="AC32" s="102"/>
      <c r="AD32" s="87"/>
    </row>
    <row r="33" spans="1:30" s="15" customFormat="1" ht="63" customHeight="1">
      <c r="A33" s="118">
        <f t="shared" si="1"/>
        <v>12</v>
      </c>
      <c r="B33" s="454" t="str">
        <f>VLOOKUP(P33,'chuyển 26.12'!$O$5:$P$6000,2,0)</f>
        <v>Hải Phòng - Canon Tiên Sơn - Hải Phòng</v>
      </c>
      <c r="C33" s="455">
        <v>46045</v>
      </c>
      <c r="D33" s="456" t="s">
        <v>323</v>
      </c>
      <c r="E33" s="457">
        <f>VLOOKUP(H33,[1]Sheet1!$I$1:$Q$180000,9,0)</f>
        <v>308181125140</v>
      </c>
      <c r="F33" s="458" t="s">
        <v>22</v>
      </c>
      <c r="G33" s="459" t="s">
        <v>344</v>
      </c>
      <c r="H33" s="458" t="s">
        <v>302</v>
      </c>
      <c r="I33" s="460" t="s">
        <v>850</v>
      </c>
      <c r="J33" s="461">
        <v>3888286</v>
      </c>
      <c r="K33" s="461"/>
      <c r="L33" s="462"/>
      <c r="M33" s="463"/>
      <c r="N33" s="461">
        <v>100000</v>
      </c>
      <c r="O33" s="464">
        <f t="shared" si="0"/>
        <v>3988286</v>
      </c>
      <c r="P33" s="462" t="s">
        <v>267</v>
      </c>
      <c r="Q33" s="205" t="s">
        <v>289</v>
      </c>
      <c r="R33" s="471" t="s">
        <v>944</v>
      </c>
      <c r="S33" s="105"/>
      <c r="T33" s="151" t="s">
        <v>284</v>
      </c>
      <c r="U33" s="151" t="s">
        <v>266</v>
      </c>
      <c r="V33" s="409"/>
      <c r="W33" s="174"/>
      <c r="X33" s="151"/>
      <c r="Y33" s="256"/>
      <c r="Z33" s="151" t="str">
        <f t="shared" si="2"/>
        <v>Cước vận chuyển Hải Phòng - Canon Tiên Sơn - Hải Phòng , số cont TGBU6583045</v>
      </c>
      <c r="AA33" s="151"/>
      <c r="AB33" s="151"/>
      <c r="AC33" s="102"/>
      <c r="AD33" s="87"/>
    </row>
    <row r="34" spans="1:30" s="15" customFormat="1" ht="63" customHeight="1">
      <c r="A34" s="118">
        <f t="shared" si="1"/>
        <v>13</v>
      </c>
      <c r="B34" s="454" t="str">
        <f>VLOOKUP(P34,'chuyển 26.12'!$O$5:$P$6000,2,0)</f>
        <v>Hải Phòng - Canon Tiên Sơn - Hải Phòng</v>
      </c>
      <c r="C34" s="455">
        <v>46045</v>
      </c>
      <c r="D34" s="456" t="s">
        <v>324</v>
      </c>
      <c r="E34" s="457">
        <f>VLOOKUP(H34,[1]Sheet1!$I$1:$Q$180000,9,0)</f>
        <v>308182479050</v>
      </c>
      <c r="F34" s="458" t="s">
        <v>22</v>
      </c>
      <c r="G34" s="459" t="s">
        <v>345</v>
      </c>
      <c r="H34" s="458" t="s">
        <v>303</v>
      </c>
      <c r="I34" s="460" t="s">
        <v>849</v>
      </c>
      <c r="J34" s="461">
        <v>3588286</v>
      </c>
      <c r="K34" s="461"/>
      <c r="L34" s="462"/>
      <c r="M34" s="463"/>
      <c r="N34" s="461">
        <v>100000</v>
      </c>
      <c r="O34" s="464">
        <f t="shared" si="0"/>
        <v>3688286</v>
      </c>
      <c r="P34" s="462" t="s">
        <v>279</v>
      </c>
      <c r="Q34" s="205"/>
      <c r="R34" s="471" t="s">
        <v>944</v>
      </c>
      <c r="S34" s="105"/>
      <c r="T34" s="151" t="s">
        <v>284</v>
      </c>
      <c r="U34" s="151" t="s">
        <v>266</v>
      </c>
      <c r="V34" s="409"/>
      <c r="W34" s="174"/>
      <c r="X34" s="151"/>
      <c r="Y34" s="256"/>
      <c r="Z34" s="151" t="str">
        <f t="shared" si="2"/>
        <v>Cước vận chuyển Hải Phòng - Canon Tiên Sơn - Hải Phòng , số cont EGHU9330270</v>
      </c>
      <c r="AA34" s="151"/>
      <c r="AB34" s="151"/>
      <c r="AC34" s="102"/>
      <c r="AD34" s="87"/>
    </row>
    <row r="35" spans="1:30" s="15" customFormat="1" ht="63" customHeight="1">
      <c r="A35" s="118">
        <f t="shared" si="1"/>
        <v>14</v>
      </c>
      <c r="B35" s="454" t="str">
        <f>VLOOKUP(P35,'chuyển 26.12'!$O$5:$P$6000,2,0)</f>
        <v>Hải Phòng - Canon Tiên Sơn - Hải Phòng</v>
      </c>
      <c r="C35" s="455">
        <v>46046</v>
      </c>
      <c r="D35" s="456" t="s">
        <v>324</v>
      </c>
      <c r="E35" s="457">
        <f>VLOOKUP(H35,[1]Sheet1!$I$1:$Q$180000,9,0)</f>
        <v>308184601230</v>
      </c>
      <c r="F35" s="458" t="s">
        <v>22</v>
      </c>
      <c r="G35" s="459" t="s">
        <v>346</v>
      </c>
      <c r="H35" s="458" t="s">
        <v>304</v>
      </c>
      <c r="I35" s="460" t="s">
        <v>852</v>
      </c>
      <c r="J35" s="461">
        <v>3588286</v>
      </c>
      <c r="K35" s="461"/>
      <c r="L35" s="462"/>
      <c r="M35" s="463"/>
      <c r="N35" s="461">
        <v>100000</v>
      </c>
      <c r="O35" s="464">
        <f t="shared" si="0"/>
        <v>3688286</v>
      </c>
      <c r="P35" s="462" t="s">
        <v>279</v>
      </c>
      <c r="Q35" s="205"/>
      <c r="R35" s="471" t="s">
        <v>944</v>
      </c>
      <c r="S35" s="105"/>
      <c r="T35" s="151" t="s">
        <v>284</v>
      </c>
      <c r="U35" s="151" t="s">
        <v>266</v>
      </c>
      <c r="V35" s="409"/>
      <c r="W35" s="174"/>
      <c r="X35" s="151"/>
      <c r="Y35" s="256"/>
      <c r="Z35" s="151" t="str">
        <f t="shared" si="2"/>
        <v>Cước vận chuyển Hải Phòng - Canon Tiên Sơn - Hải Phòng , số cont TIIU5457859</v>
      </c>
      <c r="AA35" s="151"/>
      <c r="AB35" s="151"/>
      <c r="AC35" s="102"/>
      <c r="AD35" s="87"/>
    </row>
    <row r="36" spans="1:30" s="15" customFormat="1" ht="63" customHeight="1">
      <c r="A36" s="118">
        <f t="shared" si="1"/>
        <v>15</v>
      </c>
      <c r="B36" s="454" t="str">
        <f>VLOOKUP(P36,'chuyển 26.12'!$O$5:$P$6000,2,0)</f>
        <v>Hải Phòng - Canon Tiên Sơn - Hải Phòng</v>
      </c>
      <c r="C36" s="455">
        <v>46046</v>
      </c>
      <c r="D36" s="456" t="s">
        <v>323</v>
      </c>
      <c r="E36" s="457">
        <f>VLOOKUP(H36,[1]Sheet1!$I$1:$Q$180000,9,0)</f>
        <v>308184642050</v>
      </c>
      <c r="F36" s="458" t="s">
        <v>22</v>
      </c>
      <c r="G36" s="459" t="s">
        <v>347</v>
      </c>
      <c r="H36" s="458" t="s">
        <v>305</v>
      </c>
      <c r="I36" s="460" t="s">
        <v>851</v>
      </c>
      <c r="J36" s="461">
        <v>3588286</v>
      </c>
      <c r="K36" s="461"/>
      <c r="L36" s="462"/>
      <c r="M36" s="463"/>
      <c r="N36" s="461">
        <v>100000</v>
      </c>
      <c r="O36" s="464">
        <f t="shared" si="0"/>
        <v>3688286</v>
      </c>
      <c r="P36" s="462" t="s">
        <v>279</v>
      </c>
      <c r="Q36" s="205"/>
      <c r="R36" s="471" t="s">
        <v>944</v>
      </c>
      <c r="S36" s="105"/>
      <c r="T36" s="151" t="s">
        <v>284</v>
      </c>
      <c r="U36" s="151" t="s">
        <v>266</v>
      </c>
      <c r="V36" s="409"/>
      <c r="W36" s="174"/>
      <c r="X36" s="151"/>
      <c r="Y36" s="256"/>
      <c r="Z36" s="151" t="str">
        <f t="shared" si="2"/>
        <v>Cước vận chuyển Hải Phòng - Canon Tiên Sơn - Hải Phòng , số cont FFAU1594240</v>
      </c>
      <c r="AA36" s="151"/>
      <c r="AB36" s="151"/>
      <c r="AC36" s="102"/>
      <c r="AD36" s="87"/>
    </row>
    <row r="37" spans="1:30" s="15" customFormat="1" ht="63" customHeight="1">
      <c r="A37" s="118">
        <f t="shared" si="1"/>
        <v>16</v>
      </c>
      <c r="B37" s="454" t="str">
        <f>VLOOKUP(P37,'chuyển 26.12'!$O$5:$P$6000,2,0)</f>
        <v>Hải Phòng - Canon Tiên Sơn - Hải Phòng</v>
      </c>
      <c r="C37" s="455">
        <v>46046</v>
      </c>
      <c r="D37" s="456" t="s">
        <v>322</v>
      </c>
      <c r="E37" s="457">
        <f>VLOOKUP(H37,[1]Sheet1!$I$1:$Q$180000,9,0)</f>
        <v>308184728520</v>
      </c>
      <c r="F37" s="458" t="s">
        <v>22</v>
      </c>
      <c r="G37" s="459" t="s">
        <v>348</v>
      </c>
      <c r="H37" s="458" t="s">
        <v>306</v>
      </c>
      <c r="I37" s="460" t="s">
        <v>848</v>
      </c>
      <c r="J37" s="461">
        <v>3888286</v>
      </c>
      <c r="K37" s="461"/>
      <c r="L37" s="462"/>
      <c r="M37" s="463"/>
      <c r="N37" s="461">
        <v>100000</v>
      </c>
      <c r="O37" s="464">
        <f t="shared" si="0"/>
        <v>3988286</v>
      </c>
      <c r="P37" s="462" t="s">
        <v>267</v>
      </c>
      <c r="Q37" s="205" t="s">
        <v>289</v>
      </c>
      <c r="R37" s="471" t="s">
        <v>944</v>
      </c>
      <c r="S37" s="105"/>
      <c r="T37" s="151" t="s">
        <v>266</v>
      </c>
      <c r="U37" s="151" t="s">
        <v>266</v>
      </c>
      <c r="V37" s="409"/>
      <c r="W37" s="174"/>
      <c r="X37" s="151"/>
      <c r="Y37" s="256"/>
      <c r="Z37" s="151" t="str">
        <f t="shared" si="2"/>
        <v>Cước vận chuyển Hải Phòng - Canon Tiên Sơn - Hải Phòng , số cont EGSU6484172</v>
      </c>
      <c r="AA37" s="151"/>
      <c r="AB37" s="151"/>
      <c r="AC37" s="102"/>
      <c r="AD37" s="87"/>
    </row>
    <row r="38" spans="1:30" s="15" customFormat="1" ht="63" customHeight="1">
      <c r="A38" s="118">
        <f t="shared" si="1"/>
        <v>17</v>
      </c>
      <c r="B38" s="454" t="str">
        <f>VLOOKUP(P38,'chuyển 26.12'!$O$5:$P$6000,2,0)</f>
        <v>Hải Phòng - Canon Tiên Sơn - Hải Phòng</v>
      </c>
      <c r="C38" s="455">
        <v>46046</v>
      </c>
      <c r="D38" s="456" t="s">
        <v>322</v>
      </c>
      <c r="E38" s="457">
        <f>VLOOKUP(H38,[1]Sheet1!$I$1:$Q$180000,9,0)</f>
        <v>308184527510</v>
      </c>
      <c r="F38" s="458" t="s">
        <v>22</v>
      </c>
      <c r="G38" s="459" t="s">
        <v>349</v>
      </c>
      <c r="H38" s="458" t="s">
        <v>307</v>
      </c>
      <c r="I38" s="460" t="s">
        <v>839</v>
      </c>
      <c r="J38" s="461">
        <v>3888286</v>
      </c>
      <c r="K38" s="461"/>
      <c r="L38" s="462"/>
      <c r="M38" s="463"/>
      <c r="N38" s="461">
        <v>100000</v>
      </c>
      <c r="O38" s="464">
        <f t="shared" si="0"/>
        <v>3988286</v>
      </c>
      <c r="P38" s="462" t="s">
        <v>267</v>
      </c>
      <c r="Q38" s="205" t="s">
        <v>289</v>
      </c>
      <c r="R38" s="471" t="s">
        <v>944</v>
      </c>
      <c r="S38" s="105"/>
      <c r="T38" s="151" t="s">
        <v>266</v>
      </c>
      <c r="U38" s="151" t="s">
        <v>266</v>
      </c>
      <c r="V38" s="409"/>
      <c r="W38" s="174"/>
      <c r="X38" s="151"/>
      <c r="Y38" s="256"/>
      <c r="Z38" s="151" t="str">
        <f t="shared" si="2"/>
        <v>Cước vận chuyển Hải Phòng - Canon Tiên Sơn - Hải Phòng , số cont EGSU6489718</v>
      </c>
      <c r="AA38" s="151"/>
      <c r="AB38" s="151"/>
      <c r="AC38" s="102"/>
      <c r="AD38" s="87"/>
    </row>
    <row r="39" spans="1:30" s="15" customFormat="1" ht="63" customHeight="1">
      <c r="A39" s="118">
        <f t="shared" si="1"/>
        <v>18</v>
      </c>
      <c r="B39" s="454" t="str">
        <f>VLOOKUP(P39,'chuyển 26.12'!$O$5:$P$6000,2,0)</f>
        <v>Hải Phòng - Canon Tiên Sơn - Hải Phòng</v>
      </c>
      <c r="C39" s="455">
        <v>46048</v>
      </c>
      <c r="D39" s="456" t="s">
        <v>323</v>
      </c>
      <c r="E39" s="457">
        <f>VLOOKUP(H39,[1]Sheet1!$I$1:$Q$180000,9,0)</f>
        <v>308188076360</v>
      </c>
      <c r="F39" s="458" t="s">
        <v>22</v>
      </c>
      <c r="G39" s="459" t="s">
        <v>350</v>
      </c>
      <c r="H39" s="458" t="s">
        <v>308</v>
      </c>
      <c r="I39" s="460" t="s">
        <v>835</v>
      </c>
      <c r="J39" s="461">
        <v>3588286</v>
      </c>
      <c r="K39" s="461"/>
      <c r="L39" s="462"/>
      <c r="M39" s="463"/>
      <c r="N39" s="461">
        <v>100000</v>
      </c>
      <c r="O39" s="464">
        <f t="shared" si="0"/>
        <v>3688286</v>
      </c>
      <c r="P39" s="462" t="s">
        <v>279</v>
      </c>
      <c r="Q39" s="205"/>
      <c r="R39" s="471" t="s">
        <v>944</v>
      </c>
      <c r="S39" s="105"/>
      <c r="T39" s="151" t="s">
        <v>284</v>
      </c>
      <c r="U39" s="151" t="s">
        <v>266</v>
      </c>
      <c r="V39" s="409"/>
      <c r="W39" s="174"/>
      <c r="X39" s="151"/>
      <c r="Y39" s="256"/>
      <c r="Z39" s="151" t="str">
        <f t="shared" si="2"/>
        <v>Cước vận chuyển Hải Phòng - Canon Tiên Sơn - Hải Phòng , số cont EGHU9777247</v>
      </c>
      <c r="AA39" s="151"/>
      <c r="AB39" s="151"/>
      <c r="AC39" s="102"/>
      <c r="AD39" s="87"/>
    </row>
    <row r="40" spans="1:30" s="15" customFormat="1" ht="63" customHeight="1">
      <c r="A40" s="118">
        <f t="shared" si="1"/>
        <v>19</v>
      </c>
      <c r="B40" s="454" t="str">
        <f>VLOOKUP(P40,'chuyển 26.12'!$O$5:$P$6000,2,0)</f>
        <v>Hải Phòng - Canon Tiên Sơn - Hải Phòng</v>
      </c>
      <c r="C40" s="455">
        <v>46048</v>
      </c>
      <c r="D40" s="456" t="s">
        <v>325</v>
      </c>
      <c r="E40" s="457">
        <f>VLOOKUP(H40,[1]Sheet1!$I$1:$Q$180000,9,0)</f>
        <v>308188091320</v>
      </c>
      <c r="F40" s="458" t="s">
        <v>22</v>
      </c>
      <c r="G40" s="459" t="s">
        <v>351</v>
      </c>
      <c r="H40" s="458" t="s">
        <v>309</v>
      </c>
      <c r="I40" s="460" t="s">
        <v>854</v>
      </c>
      <c r="J40" s="461">
        <v>3588286</v>
      </c>
      <c r="K40" s="461"/>
      <c r="L40" s="462"/>
      <c r="M40" s="463"/>
      <c r="N40" s="461">
        <v>100000</v>
      </c>
      <c r="O40" s="464">
        <f t="shared" si="0"/>
        <v>3688286</v>
      </c>
      <c r="P40" s="462" t="s">
        <v>279</v>
      </c>
      <c r="Q40" s="205"/>
      <c r="R40" s="471" t="s">
        <v>944</v>
      </c>
      <c r="S40" s="105"/>
      <c r="T40" s="151" t="s">
        <v>332</v>
      </c>
      <c r="U40" s="151" t="s">
        <v>287</v>
      </c>
      <c r="V40" s="409"/>
      <c r="W40" s="174"/>
      <c r="X40" s="151"/>
      <c r="Y40" s="256"/>
      <c r="Z40" s="151" t="str">
        <f t="shared" si="2"/>
        <v>Cước vận chuyển Hải Phòng - Canon Tiên Sơn - Hải Phòng , số cont HMMU7026820</v>
      </c>
      <c r="AA40" s="151"/>
      <c r="AB40" s="151"/>
      <c r="AC40" s="102"/>
      <c r="AD40" s="87"/>
    </row>
    <row r="41" spans="1:30" s="15" customFormat="1" ht="63" customHeight="1">
      <c r="A41" s="118">
        <f t="shared" si="1"/>
        <v>20</v>
      </c>
      <c r="B41" s="454" t="str">
        <f>VLOOKUP(P41,'chuyển 26.12'!$O$5:$P$6000,2,0)</f>
        <v>Hải Phòng - Canon Tiên Sơn - Hải Phòng</v>
      </c>
      <c r="C41" s="455">
        <v>46049</v>
      </c>
      <c r="D41" s="456" t="s">
        <v>322</v>
      </c>
      <c r="E41" s="457">
        <f>VLOOKUP(H41,[1]Sheet1!$I$1:$Q$180000,9,0)</f>
        <v>308193111610</v>
      </c>
      <c r="F41" s="458" t="s">
        <v>22</v>
      </c>
      <c r="G41" s="459" t="s">
        <v>352</v>
      </c>
      <c r="H41" s="458" t="s">
        <v>310</v>
      </c>
      <c r="I41" s="460" t="s">
        <v>852</v>
      </c>
      <c r="J41" s="461">
        <v>3588286</v>
      </c>
      <c r="K41" s="461"/>
      <c r="L41" s="462"/>
      <c r="M41" s="463"/>
      <c r="N41" s="461">
        <v>100000</v>
      </c>
      <c r="O41" s="464">
        <f t="shared" si="0"/>
        <v>3688286</v>
      </c>
      <c r="P41" s="462" t="s">
        <v>279</v>
      </c>
      <c r="Q41" s="205"/>
      <c r="R41" s="471" t="s">
        <v>944</v>
      </c>
      <c r="S41" s="105"/>
      <c r="T41" s="151" t="s">
        <v>266</v>
      </c>
      <c r="U41" s="151" t="s">
        <v>266</v>
      </c>
      <c r="V41" s="409"/>
      <c r="W41" s="174"/>
      <c r="X41" s="151"/>
      <c r="Y41" s="256"/>
      <c r="Z41" s="151" t="str">
        <f t="shared" si="2"/>
        <v>Cước vận chuyển Hải Phòng - Canon Tiên Sơn - Hải Phòng , số cont GCXU6443400</v>
      </c>
      <c r="AA41" s="151"/>
      <c r="AB41" s="151"/>
      <c r="AC41" s="102"/>
      <c r="AD41" s="87"/>
    </row>
    <row r="42" spans="1:30" s="15" customFormat="1" ht="63" customHeight="1">
      <c r="A42" s="118">
        <f t="shared" si="1"/>
        <v>21</v>
      </c>
      <c r="B42" s="454" t="str">
        <f>VLOOKUP(P42,'chuyển 26.12'!$O$5:$P$6000,2,0)</f>
        <v>Hải Phòng - Canon Tiên Sơn - Hải Phòng</v>
      </c>
      <c r="C42" s="455">
        <v>46051</v>
      </c>
      <c r="D42" s="456" t="s">
        <v>326</v>
      </c>
      <c r="E42" s="457">
        <f>VLOOKUP(H42,[1]Sheet1!$I$1:$Q$180000,9,0)</f>
        <v>308202099500</v>
      </c>
      <c r="F42" s="458" t="s">
        <v>22</v>
      </c>
      <c r="G42" s="459" t="s">
        <v>353</v>
      </c>
      <c r="H42" s="458" t="s">
        <v>311</v>
      </c>
      <c r="I42" s="460" t="s">
        <v>839</v>
      </c>
      <c r="J42" s="461">
        <v>3888286</v>
      </c>
      <c r="K42" s="461"/>
      <c r="L42" s="462"/>
      <c r="M42" s="463"/>
      <c r="N42" s="461">
        <v>100000</v>
      </c>
      <c r="O42" s="464">
        <f t="shared" si="0"/>
        <v>3988286</v>
      </c>
      <c r="P42" s="462" t="s">
        <v>267</v>
      </c>
      <c r="Q42" s="205" t="s">
        <v>289</v>
      </c>
      <c r="R42" s="471" t="s">
        <v>944</v>
      </c>
      <c r="S42" s="105"/>
      <c r="T42" s="151" t="s">
        <v>265</v>
      </c>
      <c r="U42" s="151" t="s">
        <v>266</v>
      </c>
      <c r="V42" s="409"/>
      <c r="W42" s="174"/>
      <c r="X42" s="151"/>
      <c r="Y42" s="256"/>
      <c r="Z42" s="151" t="str">
        <f t="shared" si="2"/>
        <v>Cước vận chuyển Hải Phòng - Canon Tiên Sơn - Hải Phòng , số cont EGSU1600794</v>
      </c>
      <c r="AA42" s="151"/>
      <c r="AB42" s="151"/>
      <c r="AC42" s="102"/>
      <c r="AD42" s="87"/>
    </row>
    <row r="43" spans="1:30" s="15" customFormat="1" ht="63" customHeight="1">
      <c r="A43" s="118">
        <f t="shared" si="1"/>
        <v>22</v>
      </c>
      <c r="B43" s="454" t="str">
        <f>VLOOKUP(P43,'chuyển 26.12'!$O$5:$P$6000,2,0)</f>
        <v>Hải Phòng - Canon Tiên Sơn - Hải Phòng</v>
      </c>
      <c r="C43" s="455">
        <v>46051</v>
      </c>
      <c r="D43" s="456" t="s">
        <v>327</v>
      </c>
      <c r="E43" s="457">
        <f>VLOOKUP(H43,[1]Sheet1!$I$1:$Q$180000,9,0)</f>
        <v>308202123520</v>
      </c>
      <c r="F43" s="458" t="s">
        <v>22</v>
      </c>
      <c r="G43" s="459" t="s">
        <v>354</v>
      </c>
      <c r="H43" s="458" t="s">
        <v>312</v>
      </c>
      <c r="I43" s="460" t="s">
        <v>847</v>
      </c>
      <c r="J43" s="461">
        <v>3888286</v>
      </c>
      <c r="K43" s="461"/>
      <c r="L43" s="462"/>
      <c r="M43" s="463"/>
      <c r="N43" s="461">
        <v>100000</v>
      </c>
      <c r="O43" s="464">
        <f t="shared" si="0"/>
        <v>3988286</v>
      </c>
      <c r="P43" s="462" t="s">
        <v>267</v>
      </c>
      <c r="Q43" s="205" t="s">
        <v>289</v>
      </c>
      <c r="R43" s="471" t="s">
        <v>944</v>
      </c>
      <c r="S43" s="105"/>
      <c r="T43" s="151" t="s">
        <v>284</v>
      </c>
      <c r="U43" s="151" t="s">
        <v>266</v>
      </c>
      <c r="V43" s="409"/>
      <c r="W43" s="174"/>
      <c r="X43" s="151"/>
      <c r="Y43" s="256"/>
      <c r="Z43" s="151" t="str">
        <f t="shared" si="2"/>
        <v>Cước vận chuyển Hải Phòng - Canon Tiên Sơn - Hải Phòng , số cont TLLU7977255</v>
      </c>
      <c r="AA43" s="151"/>
      <c r="AB43" s="151"/>
      <c r="AC43" s="102"/>
      <c r="AD43" s="87"/>
    </row>
    <row r="44" spans="1:30" s="15" customFormat="1" ht="63" customHeight="1">
      <c r="A44" s="118">
        <f t="shared" si="1"/>
        <v>23</v>
      </c>
      <c r="B44" s="454" t="str">
        <f>VLOOKUP(P44,'chuyển 26.12'!$O$5:$P$6000,2,0)</f>
        <v>Hưng Yên - Canon Tiên Sơn - Hải Phòng</v>
      </c>
      <c r="C44" s="455">
        <v>46051</v>
      </c>
      <c r="D44" s="456" t="s">
        <v>328</v>
      </c>
      <c r="E44" s="457">
        <v>308202052820</v>
      </c>
      <c r="F44" s="458" t="s">
        <v>22</v>
      </c>
      <c r="G44" s="459" t="s">
        <v>355</v>
      </c>
      <c r="H44" s="458" t="s">
        <v>313</v>
      </c>
      <c r="I44" s="460" t="s">
        <v>842</v>
      </c>
      <c r="J44" s="461">
        <v>2985312</v>
      </c>
      <c r="K44" s="461"/>
      <c r="L44" s="462"/>
      <c r="M44" s="463"/>
      <c r="N44" s="461">
        <v>100000</v>
      </c>
      <c r="O44" s="464">
        <f t="shared" si="0"/>
        <v>3085312</v>
      </c>
      <c r="P44" s="462" t="s">
        <v>268</v>
      </c>
      <c r="Q44" s="205"/>
      <c r="R44" s="471" t="s">
        <v>944</v>
      </c>
      <c r="S44" s="105"/>
      <c r="T44" s="151" t="s">
        <v>110</v>
      </c>
      <c r="U44" s="151" t="s">
        <v>62</v>
      </c>
      <c r="V44" s="409"/>
      <c r="W44" s="174"/>
      <c r="X44" s="151"/>
      <c r="Y44" s="256"/>
      <c r="Z44" s="151" t="str">
        <f t="shared" si="2"/>
        <v xml:space="preserve">Cước vận chuyển Hưng Yên - Canon Tiên Sơn - Hải Phòng , số cont CMAU7489161 </v>
      </c>
      <c r="AA44" s="151"/>
      <c r="AB44" s="151"/>
      <c r="AC44" s="102"/>
      <c r="AD44" s="87"/>
    </row>
    <row r="45" spans="1:30" s="15" customFormat="1" ht="63" customHeight="1">
      <c r="A45" s="118">
        <f t="shared" si="1"/>
        <v>24</v>
      </c>
      <c r="B45" s="454" t="str">
        <f>VLOOKUP(P45,'chuyển 26.12'!$O$5:$P$6000,2,0)</f>
        <v>Hải Phòng - Canon Tiên Sơn - Hải Phòng</v>
      </c>
      <c r="C45" s="455">
        <v>46052</v>
      </c>
      <c r="D45" s="456" t="s">
        <v>329</v>
      </c>
      <c r="E45" s="457">
        <f>VLOOKUP(H45,[1]Sheet1!$I$1:$Q$180000,9,0)</f>
        <v>308206863110</v>
      </c>
      <c r="F45" s="458" t="s">
        <v>22</v>
      </c>
      <c r="G45" s="459" t="s">
        <v>356</v>
      </c>
      <c r="H45" s="458" t="s">
        <v>314</v>
      </c>
      <c r="I45" s="460" t="s">
        <v>848</v>
      </c>
      <c r="J45" s="461">
        <v>3991627</v>
      </c>
      <c r="K45" s="461"/>
      <c r="L45" s="462"/>
      <c r="M45" s="463"/>
      <c r="N45" s="461">
        <v>100000</v>
      </c>
      <c r="O45" s="464">
        <f t="shared" si="0"/>
        <v>4091627</v>
      </c>
      <c r="P45" s="462" t="s">
        <v>267</v>
      </c>
      <c r="Q45" s="205" t="s">
        <v>289</v>
      </c>
      <c r="R45" s="471" t="s">
        <v>944</v>
      </c>
      <c r="S45" s="105"/>
      <c r="T45" s="151" t="s">
        <v>265</v>
      </c>
      <c r="U45" s="151" t="s">
        <v>266</v>
      </c>
      <c r="V45" s="409"/>
      <c r="W45" s="174"/>
      <c r="X45" s="151"/>
      <c r="Y45" s="256"/>
      <c r="Z45" s="151" t="str">
        <f t="shared" si="2"/>
        <v>Cước vận chuyển Hải Phòng - Canon Tiên Sơn - Hải Phòng , số cont TGBU7742141</v>
      </c>
      <c r="AA45" s="151"/>
      <c r="AB45" s="151"/>
      <c r="AC45" s="102"/>
      <c r="AD45" s="87"/>
    </row>
    <row r="46" spans="1:30" s="15" customFormat="1" ht="63" customHeight="1">
      <c r="A46" s="118">
        <f t="shared" si="1"/>
        <v>25</v>
      </c>
      <c r="B46" s="454" t="str">
        <f>VLOOKUP(P46,'chuyển 26.12'!$O$5:$P$6000,2,0)</f>
        <v>Hải Phòng - Canon Tiên Sơn - Hải Phòng</v>
      </c>
      <c r="C46" s="455">
        <v>46052</v>
      </c>
      <c r="D46" s="456" t="s">
        <v>329</v>
      </c>
      <c r="E46" s="457">
        <f>VLOOKUP(H46,[1]Sheet1!$I$1:$Q$180000,9,0)</f>
        <v>308206869740</v>
      </c>
      <c r="F46" s="458" t="s">
        <v>22</v>
      </c>
      <c r="G46" s="459" t="s">
        <v>357</v>
      </c>
      <c r="H46" s="458" t="s">
        <v>315</v>
      </c>
      <c r="I46" s="460" t="s">
        <v>851</v>
      </c>
      <c r="J46" s="461">
        <v>3991627</v>
      </c>
      <c r="K46" s="461"/>
      <c r="L46" s="462"/>
      <c r="M46" s="463"/>
      <c r="N46" s="461">
        <v>100000</v>
      </c>
      <c r="O46" s="464">
        <f t="shared" si="0"/>
        <v>4091627</v>
      </c>
      <c r="P46" s="462" t="s">
        <v>267</v>
      </c>
      <c r="Q46" s="205" t="s">
        <v>289</v>
      </c>
      <c r="R46" s="471" t="s">
        <v>944</v>
      </c>
      <c r="S46" s="105"/>
      <c r="T46" s="151" t="s">
        <v>265</v>
      </c>
      <c r="U46" s="151" t="s">
        <v>266</v>
      </c>
      <c r="V46" s="409"/>
      <c r="W46" s="174"/>
      <c r="X46" s="151"/>
      <c r="Y46" s="256"/>
      <c r="Z46" s="151" t="str">
        <f t="shared" si="2"/>
        <v>Cước vận chuyển Hải Phòng - Canon Tiên Sơn - Hải Phòng , số cont EGSU6255047</v>
      </c>
      <c r="AA46" s="151"/>
      <c r="AB46" s="151"/>
      <c r="AC46" s="102"/>
      <c r="AD46" s="87"/>
    </row>
    <row r="47" spans="1:30" s="15" customFormat="1" ht="63" customHeight="1">
      <c r="A47" s="118">
        <f t="shared" si="1"/>
        <v>26</v>
      </c>
      <c r="B47" s="454" t="str">
        <f>VLOOKUP(P47,'chuyển 26.12'!$O$5:$P$6000,2,0)</f>
        <v>Hưng Yên - Canon Tiên Sơn - Hải Phòng</v>
      </c>
      <c r="C47" s="455">
        <v>46052</v>
      </c>
      <c r="D47" s="456">
        <v>6441249510</v>
      </c>
      <c r="E47" s="457">
        <f>VLOOKUP(H47,[1]Sheet1!$I$1:$Q$180000,9,0)</f>
        <v>308208412320</v>
      </c>
      <c r="F47" s="458" t="s">
        <v>22</v>
      </c>
      <c r="G47" s="459" t="s">
        <v>358</v>
      </c>
      <c r="H47" s="458" t="s">
        <v>316</v>
      </c>
      <c r="I47" s="460" t="s">
        <v>843</v>
      </c>
      <c r="J47" s="461">
        <v>3057684</v>
      </c>
      <c r="K47" s="461"/>
      <c r="L47" s="462"/>
      <c r="M47" s="463"/>
      <c r="N47" s="461">
        <v>100000</v>
      </c>
      <c r="O47" s="464">
        <f t="shared" si="0"/>
        <v>3157684</v>
      </c>
      <c r="P47" s="462" t="s">
        <v>268</v>
      </c>
      <c r="Q47" s="205"/>
      <c r="R47" s="471" t="s">
        <v>944</v>
      </c>
      <c r="S47" s="105"/>
      <c r="T47" s="151" t="s">
        <v>110</v>
      </c>
      <c r="U47" s="151" t="s">
        <v>62</v>
      </c>
      <c r="V47" s="409"/>
      <c r="W47" s="174"/>
      <c r="X47" s="151"/>
      <c r="Y47" s="256"/>
      <c r="Z47" s="151" t="str">
        <f t="shared" si="2"/>
        <v>Cước vận chuyển Hưng Yên - Canon Tiên Sơn - Hải Phòng , số cont TGBU4372613</v>
      </c>
      <c r="AA47" s="151"/>
      <c r="AB47" s="151"/>
      <c r="AC47" s="102"/>
      <c r="AD47" s="87"/>
    </row>
    <row r="48" spans="1:30" s="15" customFormat="1" ht="63" customHeight="1">
      <c r="A48" s="118">
        <f t="shared" si="1"/>
        <v>27</v>
      </c>
      <c r="B48" s="454" t="str">
        <f>VLOOKUP(P48,'chuyển 26.12'!$O$5:$P$6000,2,0)</f>
        <v>Hưng Yên - Canon Tiên Sơn - Hải Phòng</v>
      </c>
      <c r="C48" s="455">
        <v>46055</v>
      </c>
      <c r="D48" s="456">
        <v>7266235620</v>
      </c>
      <c r="E48" s="457">
        <f>VLOOKUP(H48,[1]Sheet1!$I$1:$Q$180000,9,0)</f>
        <v>308214663320</v>
      </c>
      <c r="F48" s="458" t="s">
        <v>22</v>
      </c>
      <c r="G48" s="459" t="s">
        <v>366</v>
      </c>
      <c r="H48" s="458" t="s">
        <v>376</v>
      </c>
      <c r="I48" s="460" t="s">
        <v>847</v>
      </c>
      <c r="J48" s="461">
        <v>3057684</v>
      </c>
      <c r="K48" s="461"/>
      <c r="L48" s="462"/>
      <c r="M48" s="463"/>
      <c r="N48" s="461">
        <v>100000</v>
      </c>
      <c r="O48" s="464">
        <f t="shared" si="0"/>
        <v>3157684</v>
      </c>
      <c r="P48" s="462" t="s">
        <v>268</v>
      </c>
      <c r="Q48" s="205"/>
      <c r="R48" s="471" t="s">
        <v>944</v>
      </c>
      <c r="S48" s="105"/>
      <c r="T48" s="488" t="s">
        <v>110</v>
      </c>
      <c r="U48" s="488" t="s">
        <v>288</v>
      </c>
      <c r="V48" s="409"/>
      <c r="W48" s="174"/>
      <c r="X48" s="151"/>
      <c r="Y48" s="256"/>
      <c r="Z48" s="151" t="str">
        <f t="shared" si="2"/>
        <v>Cước vận chuyển Hưng Yên - Canon Tiên Sơn - Hải Phòng , số cont OOCU9677689</v>
      </c>
      <c r="AA48" s="151"/>
      <c r="AB48" s="151"/>
      <c r="AC48" s="102"/>
      <c r="AD48" s="87"/>
    </row>
    <row r="49" spans="1:30" s="15" customFormat="1" ht="63" customHeight="1">
      <c r="A49" s="118">
        <f t="shared" si="1"/>
        <v>28</v>
      </c>
      <c r="B49" s="454" t="str">
        <f>VLOOKUP(P49,'chuyển 26.12'!$O$5:$P$6000,2,0)</f>
        <v>Hưng Yên - Canon Tiên Sơn - Hải Phòng</v>
      </c>
      <c r="C49" s="455">
        <v>46055</v>
      </c>
      <c r="D49" s="456">
        <v>6441249510</v>
      </c>
      <c r="E49" s="457">
        <f>VLOOKUP(H49,[1]Sheet1!$I$1:$Q$180000,9,0)</f>
        <v>308214660520</v>
      </c>
      <c r="F49" s="458" t="s">
        <v>22</v>
      </c>
      <c r="G49" s="459" t="s">
        <v>367</v>
      </c>
      <c r="H49" s="458" t="s">
        <v>377</v>
      </c>
      <c r="I49" s="460" t="s">
        <v>844</v>
      </c>
      <c r="J49" s="461">
        <v>3057684</v>
      </c>
      <c r="K49" s="461"/>
      <c r="L49" s="462"/>
      <c r="M49" s="463"/>
      <c r="N49" s="461">
        <v>100000</v>
      </c>
      <c r="O49" s="464">
        <f t="shared" si="0"/>
        <v>3157684</v>
      </c>
      <c r="P49" s="462" t="s">
        <v>268</v>
      </c>
      <c r="Q49" s="205"/>
      <c r="R49" s="471" t="s">
        <v>944</v>
      </c>
      <c r="S49" s="105"/>
      <c r="T49" s="488" t="s">
        <v>110</v>
      </c>
      <c r="U49" s="488" t="s">
        <v>62</v>
      </c>
      <c r="V49" s="409"/>
      <c r="W49" s="174"/>
      <c r="X49" s="151"/>
      <c r="Y49" s="256"/>
      <c r="Z49" s="151" t="str">
        <f t="shared" si="2"/>
        <v>Cước vận chuyển Hưng Yên - Canon Tiên Sơn - Hải Phòng , số cont OOCU9724332</v>
      </c>
      <c r="AA49" s="151"/>
      <c r="AB49" s="151"/>
      <c r="AC49" s="102"/>
      <c r="AD49" s="87"/>
    </row>
    <row r="50" spans="1:30" s="15" customFormat="1" ht="63" customHeight="1">
      <c r="A50" s="118">
        <f t="shared" si="1"/>
        <v>29</v>
      </c>
      <c r="B50" s="454" t="str">
        <f>VLOOKUP(P50,'chuyển 26.12'!$O$5:$P$6000,2,0)</f>
        <v>Hưng Yên - Canon Tiên Sơn - Hải Phòng</v>
      </c>
      <c r="C50" s="455">
        <v>46056</v>
      </c>
      <c r="D50" s="456">
        <v>6443474480</v>
      </c>
      <c r="E50" s="457">
        <f>VLOOKUP(H50,[1]Sheet1!$I$1:$Q$180000,9,0)</f>
        <v>308219883920</v>
      </c>
      <c r="F50" s="458" t="s">
        <v>22</v>
      </c>
      <c r="G50" s="459" t="s">
        <v>368</v>
      </c>
      <c r="H50" s="458" t="s">
        <v>378</v>
      </c>
      <c r="I50" s="460" t="s">
        <v>848</v>
      </c>
      <c r="J50" s="461">
        <v>3057684</v>
      </c>
      <c r="K50" s="461"/>
      <c r="L50" s="462"/>
      <c r="M50" s="463"/>
      <c r="N50" s="461">
        <v>100000</v>
      </c>
      <c r="O50" s="464">
        <f t="shared" si="0"/>
        <v>3157684</v>
      </c>
      <c r="P50" s="462" t="s">
        <v>268</v>
      </c>
      <c r="Q50" s="205"/>
      <c r="R50" s="471" t="s">
        <v>944</v>
      </c>
      <c r="S50" s="105"/>
      <c r="T50" s="488" t="s">
        <v>110</v>
      </c>
      <c r="U50" s="488" t="s">
        <v>288</v>
      </c>
      <c r="V50" s="409"/>
      <c r="W50" s="174"/>
      <c r="X50" s="151"/>
      <c r="Y50" s="256"/>
      <c r="Z50" s="151" t="str">
        <f t="shared" si="2"/>
        <v>Cước vận chuyển Hưng Yên - Canon Tiên Sơn - Hải Phòng , số cont OOLU9182201</v>
      </c>
      <c r="AA50" s="151"/>
      <c r="AB50" s="151"/>
      <c r="AC50" s="102"/>
      <c r="AD50" s="87"/>
    </row>
    <row r="51" spans="1:30" s="15" customFormat="1" ht="63" customHeight="1">
      <c r="A51" s="118">
        <f t="shared" si="1"/>
        <v>30</v>
      </c>
      <c r="B51" s="454" t="str">
        <f>VLOOKUP(P51,'chuyển 26.12'!$O$5:$P$6000,2,0)</f>
        <v>Hưng Yên - Canon Tiên Sơn - Hải Phòng</v>
      </c>
      <c r="C51" s="455">
        <v>46056</v>
      </c>
      <c r="D51" s="456">
        <v>6443474480</v>
      </c>
      <c r="E51" s="457">
        <f>VLOOKUP(H51,[1]Sheet1!$I$1:$Q$180000,9,0)</f>
        <v>308219852530</v>
      </c>
      <c r="F51" s="458" t="s">
        <v>22</v>
      </c>
      <c r="G51" s="459" t="s">
        <v>369</v>
      </c>
      <c r="H51" s="458" t="s">
        <v>379</v>
      </c>
      <c r="I51" s="460" t="s">
        <v>844</v>
      </c>
      <c r="J51" s="461">
        <v>3057684</v>
      </c>
      <c r="K51" s="461"/>
      <c r="L51" s="462"/>
      <c r="M51" s="463"/>
      <c r="N51" s="461">
        <v>100000</v>
      </c>
      <c r="O51" s="464">
        <f t="shared" si="0"/>
        <v>3157684</v>
      </c>
      <c r="P51" s="462" t="s">
        <v>268</v>
      </c>
      <c r="Q51" s="205"/>
      <c r="R51" s="471" t="s">
        <v>944</v>
      </c>
      <c r="S51" s="105"/>
      <c r="T51" s="488" t="s">
        <v>110</v>
      </c>
      <c r="U51" s="488" t="s">
        <v>288</v>
      </c>
      <c r="V51" s="409"/>
      <c r="W51" s="174"/>
      <c r="X51" s="151"/>
      <c r="Y51" s="256"/>
      <c r="Z51" s="151" t="str">
        <f t="shared" si="2"/>
        <v>Cước vận chuyển Hưng Yên - Canon Tiên Sơn - Hải Phòng , số cont TCNU4314670</v>
      </c>
      <c r="AA51" s="151"/>
      <c r="AB51" s="151"/>
      <c r="AC51" s="102"/>
      <c r="AD51" s="87"/>
    </row>
    <row r="52" spans="1:30" s="15" customFormat="1" ht="63" customHeight="1">
      <c r="A52" s="118">
        <f t="shared" si="1"/>
        <v>31</v>
      </c>
      <c r="B52" s="454" t="str">
        <f>VLOOKUP(P52,'chuyển 26.12'!$O$5:$P$6000,2,0)</f>
        <v>Hải Phòng - Canon Tiên Sơn - Lạch Huyện, Hải Phòng</v>
      </c>
      <c r="C52" s="455">
        <v>46056</v>
      </c>
      <c r="D52" s="456" t="s">
        <v>359</v>
      </c>
      <c r="E52" s="457">
        <f>VLOOKUP(H52,[1]Sheet1!$I$1:$Q$180000,9,0)</f>
        <v>308219818820</v>
      </c>
      <c r="F52" s="458" t="s">
        <v>52</v>
      </c>
      <c r="G52" s="459" t="s">
        <v>370</v>
      </c>
      <c r="H52" s="458" t="s">
        <v>380</v>
      </c>
      <c r="I52" s="460" t="s">
        <v>845</v>
      </c>
      <c r="J52" s="461">
        <v>4021445</v>
      </c>
      <c r="K52" s="461"/>
      <c r="L52" s="462"/>
      <c r="M52" s="463"/>
      <c r="N52" s="461">
        <v>100000</v>
      </c>
      <c r="O52" s="464">
        <f t="shared" si="0"/>
        <v>4121445</v>
      </c>
      <c r="P52" s="462" t="s">
        <v>140</v>
      </c>
      <c r="Q52" s="205"/>
      <c r="R52" s="471" t="s">
        <v>943</v>
      </c>
      <c r="S52" s="105"/>
      <c r="T52" s="488" t="s">
        <v>265</v>
      </c>
      <c r="U52" s="488" t="s">
        <v>143</v>
      </c>
      <c r="V52" s="409"/>
      <c r="W52" s="174"/>
      <c r="X52" s="151"/>
      <c r="Y52" s="256"/>
      <c r="Z52" s="151" t="str">
        <f t="shared" si="2"/>
        <v>Cước vận chuyển Hải Phòng - Canon Tiên Sơn - Lạch Huyện, Hải Phòng , số cont ONEU2350452</v>
      </c>
      <c r="AA52" s="151"/>
      <c r="AB52" s="151"/>
      <c r="AC52" s="102"/>
      <c r="AD52" s="87"/>
    </row>
    <row r="53" spans="1:30" s="15" customFormat="1" ht="63" customHeight="1">
      <c r="A53" s="118">
        <f t="shared" si="1"/>
        <v>32</v>
      </c>
      <c r="B53" s="454" t="str">
        <f>VLOOKUP(P53,'chuyển 26.12'!$O$5:$P$6000,2,0)</f>
        <v>Hải Phòng - Canon Tiên Sơn - Hải Phòng</v>
      </c>
      <c r="C53" s="455">
        <v>46057</v>
      </c>
      <c r="D53" s="456" t="s">
        <v>360</v>
      </c>
      <c r="E53" s="457">
        <f>VLOOKUP(H53,[1]Sheet1!$I$1:$Q$180000,9,0)</f>
        <v>308225764620</v>
      </c>
      <c r="F53" s="458" t="s">
        <v>22</v>
      </c>
      <c r="G53" s="459" t="s">
        <v>371</v>
      </c>
      <c r="H53" s="458" t="s">
        <v>381</v>
      </c>
      <c r="I53" s="460" t="s">
        <v>846</v>
      </c>
      <c r="J53" s="461">
        <v>3991627</v>
      </c>
      <c r="K53" s="461"/>
      <c r="L53" s="462"/>
      <c r="M53" s="463"/>
      <c r="N53" s="461">
        <v>100000</v>
      </c>
      <c r="O53" s="464">
        <f t="shared" si="0"/>
        <v>4091627</v>
      </c>
      <c r="P53" s="462" t="s">
        <v>267</v>
      </c>
      <c r="Q53" s="205" t="s">
        <v>289</v>
      </c>
      <c r="R53" s="471" t="s">
        <v>944</v>
      </c>
      <c r="S53" s="105"/>
      <c r="T53" s="488" t="s">
        <v>286</v>
      </c>
      <c r="U53" s="488" t="s">
        <v>266</v>
      </c>
      <c r="V53" s="409"/>
      <c r="W53" s="174"/>
      <c r="X53" s="151"/>
      <c r="Y53" s="256"/>
      <c r="Z53" s="151" t="str">
        <f t="shared" si="2"/>
        <v>Cước vận chuyển Hải Phòng - Canon Tiên Sơn - Hải Phòng , số cont SNBU8270906</v>
      </c>
      <c r="AA53" s="151"/>
      <c r="AB53" s="151"/>
      <c r="AC53" s="102"/>
      <c r="AD53" s="87"/>
    </row>
    <row r="54" spans="1:30" s="15" customFormat="1" ht="63" customHeight="1">
      <c r="A54" s="118">
        <f t="shared" si="1"/>
        <v>33</v>
      </c>
      <c r="B54" s="454" t="str">
        <f>VLOOKUP(P54,'chuyển 26.12'!$O$5:$P$6000,2,0)</f>
        <v>Hải Phòng - Canon Tiên Sơn - Lạch Huyện, Hải Phòng</v>
      </c>
      <c r="C54" s="455">
        <v>46058</v>
      </c>
      <c r="D54" s="456" t="s">
        <v>361</v>
      </c>
      <c r="E54" s="457">
        <f>VLOOKUP(H54,[1]Sheet1!$I$1:$Q$180000,9,0)</f>
        <v>308227339360</v>
      </c>
      <c r="F54" s="458" t="s">
        <v>22</v>
      </c>
      <c r="G54" s="459" t="s">
        <v>372</v>
      </c>
      <c r="H54" s="519" t="s">
        <v>382</v>
      </c>
      <c r="I54" s="462" t="s">
        <v>846</v>
      </c>
      <c r="J54" s="461">
        <v>4021445</v>
      </c>
      <c r="K54" s="461"/>
      <c r="L54" s="462"/>
      <c r="M54" s="463"/>
      <c r="N54" s="461">
        <v>100000</v>
      </c>
      <c r="O54" s="464">
        <f t="shared" si="0"/>
        <v>4121445</v>
      </c>
      <c r="P54" s="462" t="s">
        <v>140</v>
      </c>
      <c r="Q54" s="205"/>
      <c r="R54" s="471" t="s">
        <v>944</v>
      </c>
      <c r="S54" s="105"/>
      <c r="T54" s="488" t="s">
        <v>365</v>
      </c>
      <c r="U54" s="488" t="s">
        <v>143</v>
      </c>
      <c r="V54" s="409"/>
      <c r="W54" s="174"/>
      <c r="X54" s="151"/>
      <c r="Y54" s="256"/>
      <c r="Z54" s="151" t="str">
        <f t="shared" si="2"/>
        <v>Cước vận chuyển Hải Phòng - Canon Tiên Sơn - Lạch Huyện, Hải Phòng , số cont ONEU5769530</v>
      </c>
      <c r="AA54" s="151"/>
      <c r="AB54" s="151"/>
      <c r="AC54" s="102"/>
      <c r="AD54" s="87"/>
    </row>
    <row r="55" spans="1:30" s="15" customFormat="1" ht="63" customHeight="1">
      <c r="A55" s="118">
        <f t="shared" si="1"/>
        <v>34</v>
      </c>
      <c r="B55" s="454" t="str">
        <f>VLOOKUP(P55,'chuyển 26.12'!$O$5:$P$6000,2,0)</f>
        <v>Hải Phòng - Canon Tiên Sơn - Hải Phòng</v>
      </c>
      <c r="C55" s="455">
        <v>46058</v>
      </c>
      <c r="D55" s="456" t="s">
        <v>362</v>
      </c>
      <c r="E55" s="457">
        <f>VLOOKUP(H55,[1]Sheet1!$I$1:$Q$180000,9,0)</f>
        <v>308227361210</v>
      </c>
      <c r="F55" s="458" t="s">
        <v>22</v>
      </c>
      <c r="G55" s="459" t="s">
        <v>373</v>
      </c>
      <c r="H55" s="458" t="s">
        <v>383</v>
      </c>
      <c r="I55" s="460" t="s">
        <v>846</v>
      </c>
      <c r="J55" s="461">
        <v>3991627</v>
      </c>
      <c r="K55" s="461"/>
      <c r="L55" s="462"/>
      <c r="M55" s="463"/>
      <c r="N55" s="461">
        <v>100000</v>
      </c>
      <c r="O55" s="464">
        <f t="shared" si="0"/>
        <v>4091627</v>
      </c>
      <c r="P55" s="462" t="s">
        <v>267</v>
      </c>
      <c r="Q55" s="205" t="s">
        <v>289</v>
      </c>
      <c r="R55" s="471" t="s">
        <v>944</v>
      </c>
      <c r="S55" s="105"/>
      <c r="T55" s="488" t="s">
        <v>265</v>
      </c>
      <c r="U55" s="488" t="s">
        <v>266</v>
      </c>
      <c r="V55" s="409"/>
      <c r="W55" s="174"/>
      <c r="X55" s="151"/>
      <c r="Y55" s="256"/>
      <c r="Z55" s="151" t="str">
        <f t="shared" si="2"/>
        <v>Cước vận chuyển Hải Phòng - Canon Tiên Sơn - Hải Phòng , số cont EMCU9928728</v>
      </c>
      <c r="AA55" s="151"/>
      <c r="AB55" s="151"/>
      <c r="AC55" s="102"/>
      <c r="AD55" s="87"/>
    </row>
    <row r="56" spans="1:30" s="15" customFormat="1" ht="63" customHeight="1">
      <c r="A56" s="118">
        <f t="shared" si="1"/>
        <v>35</v>
      </c>
      <c r="B56" s="454" t="str">
        <f>VLOOKUP(P56,'chuyển 26.12'!$O$5:$P$6000,2,0)</f>
        <v>Hải Phòng - Canon Tiên Sơn - Hải Phòng</v>
      </c>
      <c r="C56" s="455">
        <v>46059</v>
      </c>
      <c r="D56" s="456" t="s">
        <v>363</v>
      </c>
      <c r="E56" s="457">
        <f>VLOOKUP(H56,[1]Sheet1!$I$1:$Q$180000,9,0)</f>
        <v>308233006820</v>
      </c>
      <c r="F56" s="458" t="s">
        <v>22</v>
      </c>
      <c r="G56" s="459" t="s">
        <v>374</v>
      </c>
      <c r="H56" s="458" t="s">
        <v>384</v>
      </c>
      <c r="I56" s="460" t="s">
        <v>854</v>
      </c>
      <c r="J56" s="461">
        <v>3991627</v>
      </c>
      <c r="K56" s="461"/>
      <c r="L56" s="462"/>
      <c r="M56" s="463"/>
      <c r="N56" s="461">
        <v>100000</v>
      </c>
      <c r="O56" s="464">
        <f t="shared" si="0"/>
        <v>4091627</v>
      </c>
      <c r="P56" s="462" t="s">
        <v>267</v>
      </c>
      <c r="Q56" s="205" t="s">
        <v>289</v>
      </c>
      <c r="R56" s="471" t="s">
        <v>944</v>
      </c>
      <c r="S56" s="105"/>
      <c r="T56" s="488" t="s">
        <v>265</v>
      </c>
      <c r="U56" s="488" t="s">
        <v>266</v>
      </c>
      <c r="V56" s="409"/>
      <c r="W56" s="174"/>
      <c r="X56" s="151"/>
      <c r="Y56" s="256"/>
      <c r="Z56" s="151" t="str">
        <f t="shared" si="2"/>
        <v>Cước vận chuyển Hải Phòng - Canon Tiên Sơn - Hải Phòng , số cont EGSU1767971</v>
      </c>
      <c r="AA56" s="151"/>
      <c r="AB56" s="151"/>
      <c r="AC56" s="102"/>
      <c r="AD56" s="87"/>
    </row>
    <row r="57" spans="1:30" s="15" customFormat="1" ht="63" customHeight="1">
      <c r="A57" s="118">
        <f t="shared" si="1"/>
        <v>36</v>
      </c>
      <c r="B57" s="454" t="str">
        <f>VLOOKUP(P57,'chuyển 26.12'!$O$5:$P$6000,2,0)</f>
        <v>Hải Phòng - Canon Tiên Sơn - Hải Phòng</v>
      </c>
      <c r="C57" s="455">
        <v>46059</v>
      </c>
      <c r="D57" s="456" t="s">
        <v>364</v>
      </c>
      <c r="E57" s="457">
        <f>VLOOKUP(H57,[1]Sheet1!$I$1:$Q$180000,9,0)</f>
        <v>308233069120</v>
      </c>
      <c r="F57" s="458" t="s">
        <v>22</v>
      </c>
      <c r="G57" s="459" t="s">
        <v>375</v>
      </c>
      <c r="H57" s="458" t="s">
        <v>385</v>
      </c>
      <c r="I57" s="460" t="s">
        <v>852</v>
      </c>
      <c r="J57" s="461">
        <v>3991627</v>
      </c>
      <c r="K57" s="461"/>
      <c r="L57" s="462"/>
      <c r="M57" s="463"/>
      <c r="N57" s="461">
        <v>100000</v>
      </c>
      <c r="O57" s="464">
        <f t="shared" si="0"/>
        <v>4091627</v>
      </c>
      <c r="P57" s="462" t="s">
        <v>267</v>
      </c>
      <c r="Q57" s="205" t="s">
        <v>289</v>
      </c>
      <c r="R57" s="471" t="s">
        <v>944</v>
      </c>
      <c r="S57" s="105"/>
      <c r="T57" s="488" t="s">
        <v>265</v>
      </c>
      <c r="U57" s="488" t="s">
        <v>266</v>
      </c>
      <c r="V57" s="409"/>
      <c r="W57" s="174"/>
      <c r="X57" s="151"/>
      <c r="Y57" s="256"/>
      <c r="Z57" s="151" t="str">
        <f t="shared" si="2"/>
        <v>Cước vận chuyển Hải Phòng - Canon Tiên Sơn - Hải Phòng , số cont EGHU8316929</v>
      </c>
      <c r="AA57" s="151"/>
      <c r="AB57" s="151"/>
      <c r="AC57" s="102"/>
      <c r="AD57" s="87"/>
    </row>
    <row r="58" spans="1:30" s="15" customFormat="1" ht="63" customHeight="1">
      <c r="A58" s="118">
        <f t="shared" si="1"/>
        <v>37</v>
      </c>
      <c r="B58" s="454" t="str">
        <f>VLOOKUP(P58,'chuyển 26.12'!$O$5:$P$6000,2,0)</f>
        <v>Hải Phòng - Canon Tiên Sơn - Lạch Huyện, Hải Phòng</v>
      </c>
      <c r="C58" s="455">
        <v>46062</v>
      </c>
      <c r="D58" s="456" t="s">
        <v>428</v>
      </c>
      <c r="E58" s="457">
        <v>308240528100</v>
      </c>
      <c r="F58" s="458" t="s">
        <v>52</v>
      </c>
      <c r="G58" s="459" t="s">
        <v>430</v>
      </c>
      <c r="H58" s="458" t="s">
        <v>425</v>
      </c>
      <c r="I58" s="460" t="s">
        <v>849</v>
      </c>
      <c r="J58" s="461">
        <v>4321445</v>
      </c>
      <c r="K58" s="461"/>
      <c r="L58" s="462"/>
      <c r="M58" s="463"/>
      <c r="N58" s="461">
        <v>100000</v>
      </c>
      <c r="O58" s="464">
        <f t="shared" si="0"/>
        <v>4421445</v>
      </c>
      <c r="P58" s="462" t="s">
        <v>510</v>
      </c>
      <c r="Q58" s="205" t="s">
        <v>289</v>
      </c>
      <c r="R58" s="471" t="s">
        <v>943</v>
      </c>
      <c r="S58" s="105"/>
      <c r="T58" s="151" t="s">
        <v>286</v>
      </c>
      <c r="U58" s="151" t="s">
        <v>162</v>
      </c>
      <c r="V58" s="409"/>
      <c r="W58" s="174"/>
      <c r="X58" s="151"/>
      <c r="Y58" s="256"/>
      <c r="Z58" s="151" t="str">
        <f t="shared" si="2"/>
        <v>Cước vận chuyển Hải Phòng - Canon Tiên Sơn - Lạch Huyện, Hải Phòng , số cont MSDU2090600</v>
      </c>
      <c r="AA58" s="151"/>
      <c r="AB58" s="151"/>
      <c r="AC58" s="102"/>
      <c r="AD58" s="87"/>
    </row>
    <row r="59" spans="1:30" s="15" customFormat="1" ht="63" customHeight="1">
      <c r="A59" s="118">
        <f t="shared" si="1"/>
        <v>38</v>
      </c>
      <c r="B59" s="454" t="str">
        <f>VLOOKUP(P59,'chuyển 26.12'!$O$5:$P$6000,2,0)</f>
        <v>Hải Phòng - Canon Tiên Sơn - Lạch Huyện, Hải Phòng</v>
      </c>
      <c r="C59" s="455">
        <v>46062</v>
      </c>
      <c r="D59" s="456" t="s">
        <v>429</v>
      </c>
      <c r="E59" s="457">
        <v>308240529460</v>
      </c>
      <c r="F59" s="458" t="s">
        <v>52</v>
      </c>
      <c r="G59" s="459" t="s">
        <v>431</v>
      </c>
      <c r="H59" s="458" t="s">
        <v>426</v>
      </c>
      <c r="I59" s="460" t="s">
        <v>849</v>
      </c>
      <c r="J59" s="461">
        <v>4021445</v>
      </c>
      <c r="K59" s="461"/>
      <c r="L59" s="462"/>
      <c r="M59" s="463"/>
      <c r="N59" s="461">
        <v>100000</v>
      </c>
      <c r="O59" s="464">
        <f t="shared" si="0"/>
        <v>4121445</v>
      </c>
      <c r="P59" s="462" t="s">
        <v>140</v>
      </c>
      <c r="Q59" s="205"/>
      <c r="R59" s="471" t="s">
        <v>943</v>
      </c>
      <c r="S59" s="105"/>
      <c r="T59" s="494" t="s">
        <v>286</v>
      </c>
      <c r="U59" s="151" t="s">
        <v>162</v>
      </c>
      <c r="V59" s="409"/>
      <c r="W59" s="174"/>
      <c r="X59" s="151"/>
      <c r="Y59" s="256"/>
      <c r="Z59" s="151" t="str">
        <f t="shared" si="2"/>
        <v>Cước vận chuyển Hải Phòng - Canon Tiên Sơn - Lạch Huyện, Hải Phòng , số cont CMAU3236720</v>
      </c>
      <c r="AA59" s="151"/>
      <c r="AB59" s="151"/>
      <c r="AC59" s="102"/>
      <c r="AD59" s="87"/>
    </row>
    <row r="60" spans="1:30" s="15" customFormat="1" ht="63" customHeight="1">
      <c r="A60" s="118">
        <f t="shared" si="1"/>
        <v>39</v>
      </c>
      <c r="B60" s="454" t="str">
        <f>VLOOKUP(P60,'chuyển 26.12'!$O$5:$P$6000,2,0)</f>
        <v>Hải Phòng - Canon Tiên Sơn - Hải Phòng</v>
      </c>
      <c r="C60" s="455">
        <v>46062</v>
      </c>
      <c r="D60" s="456" t="s">
        <v>360</v>
      </c>
      <c r="E60" s="457">
        <v>308240538230</v>
      </c>
      <c r="F60" s="458" t="s">
        <v>22</v>
      </c>
      <c r="G60" s="459" t="s">
        <v>505</v>
      </c>
      <c r="H60" s="458" t="s">
        <v>502</v>
      </c>
      <c r="I60" s="460" t="s">
        <v>847</v>
      </c>
      <c r="J60" s="461">
        <v>3991627</v>
      </c>
      <c r="K60" s="461"/>
      <c r="L60" s="462"/>
      <c r="M60" s="463"/>
      <c r="N60" s="461">
        <v>100000</v>
      </c>
      <c r="O60" s="464">
        <f t="shared" si="0"/>
        <v>4091627</v>
      </c>
      <c r="P60" s="462" t="s">
        <v>267</v>
      </c>
      <c r="Q60" s="205" t="s">
        <v>289</v>
      </c>
      <c r="R60" s="471" t="s">
        <v>944</v>
      </c>
      <c r="S60" s="105"/>
      <c r="T60" s="151" t="s">
        <v>286</v>
      </c>
      <c r="U60" s="151" t="s">
        <v>266</v>
      </c>
      <c r="V60" s="409"/>
      <c r="W60" s="174"/>
      <c r="X60" s="151"/>
      <c r="Y60" s="256"/>
      <c r="Z60" s="151" t="str">
        <f t="shared" si="2"/>
        <v>Cước vận chuyển Hải Phòng - Canon Tiên Sơn - Hải Phòng , số cont UETU5660170</v>
      </c>
      <c r="AA60" s="151"/>
      <c r="AB60" s="151"/>
      <c r="AC60" s="102"/>
      <c r="AD60" s="87"/>
    </row>
    <row r="61" spans="1:30" s="15" customFormat="1" ht="63" customHeight="1">
      <c r="A61" s="118">
        <f t="shared" si="1"/>
        <v>40</v>
      </c>
      <c r="B61" s="454" t="str">
        <f>VLOOKUP(P61,'chuyển 26.12'!$O$5:$P$6000,2,0)</f>
        <v>Hải Phòng - Canon Tiên Sơn - Hải Phòng</v>
      </c>
      <c r="C61" s="455">
        <v>46063</v>
      </c>
      <c r="D61" s="456" t="s">
        <v>360</v>
      </c>
      <c r="E61" s="457">
        <v>308246968210</v>
      </c>
      <c r="F61" s="458" t="s">
        <v>52</v>
      </c>
      <c r="G61" s="459" t="s">
        <v>506</v>
      </c>
      <c r="H61" s="458" t="s">
        <v>503</v>
      </c>
      <c r="I61" s="460" t="s">
        <v>848</v>
      </c>
      <c r="J61" s="461">
        <v>3991627</v>
      </c>
      <c r="K61" s="461"/>
      <c r="L61" s="462"/>
      <c r="M61" s="463"/>
      <c r="N61" s="461">
        <v>100000</v>
      </c>
      <c r="O61" s="464">
        <f t="shared" si="0"/>
        <v>4091627</v>
      </c>
      <c r="P61" s="462" t="s">
        <v>267</v>
      </c>
      <c r="Q61" s="205" t="s">
        <v>289</v>
      </c>
      <c r="R61" s="471" t="s">
        <v>943</v>
      </c>
      <c r="S61" s="105"/>
      <c r="T61" s="151" t="s">
        <v>266</v>
      </c>
      <c r="U61" s="151" t="s">
        <v>266</v>
      </c>
      <c r="V61" s="409"/>
      <c r="W61" s="174"/>
      <c r="X61" s="151"/>
      <c r="Y61" s="256"/>
      <c r="Z61" s="151" t="str">
        <f t="shared" si="2"/>
        <v>Cước vận chuyển Hải Phòng - Canon Tiên Sơn - Hải Phòng , số cont SNBU2409126</v>
      </c>
      <c r="AA61" s="151"/>
      <c r="AB61" s="151"/>
      <c r="AC61" s="102"/>
      <c r="AD61" s="87"/>
    </row>
    <row r="62" spans="1:30" s="15" customFormat="1" ht="63" customHeight="1">
      <c r="A62" s="118">
        <f t="shared" si="1"/>
        <v>41</v>
      </c>
      <c r="B62" s="454" t="str">
        <f>VLOOKUP(P62,'chuyển 26.12'!$O$5:$P$6000,2,0)</f>
        <v>Hải Phòng - Canon Tiên Sơn - Hải Phòng</v>
      </c>
      <c r="C62" s="455">
        <v>46063</v>
      </c>
      <c r="D62" s="456" t="s">
        <v>360</v>
      </c>
      <c r="E62" s="457">
        <v>308246996800</v>
      </c>
      <c r="F62" s="458" t="s">
        <v>22</v>
      </c>
      <c r="G62" s="459" t="s">
        <v>507</v>
      </c>
      <c r="H62" s="458" t="s">
        <v>504</v>
      </c>
      <c r="I62" s="460" t="s">
        <v>834</v>
      </c>
      <c r="J62" s="461">
        <v>3691627</v>
      </c>
      <c r="K62" s="461"/>
      <c r="L62" s="462"/>
      <c r="M62" s="463"/>
      <c r="N62" s="461">
        <v>100000</v>
      </c>
      <c r="O62" s="464">
        <f t="shared" si="0"/>
        <v>3791627</v>
      </c>
      <c r="P62" s="462" t="s">
        <v>279</v>
      </c>
      <c r="Q62" s="205"/>
      <c r="R62" s="471" t="s">
        <v>944</v>
      </c>
      <c r="S62" s="105"/>
      <c r="T62" s="151" t="s">
        <v>266</v>
      </c>
      <c r="U62" s="151" t="s">
        <v>266</v>
      </c>
      <c r="V62" s="409"/>
      <c r="W62" s="174"/>
      <c r="X62" s="151"/>
      <c r="Y62" s="256"/>
      <c r="Z62" s="151" t="str">
        <f t="shared" si="2"/>
        <v>Cước vận chuyển Hải Phòng - Canon Tiên Sơn - Hải Phòng , số cont WSDU5035910</v>
      </c>
      <c r="AA62" s="151"/>
      <c r="AB62" s="151"/>
      <c r="AC62" s="102"/>
      <c r="AD62" s="87"/>
    </row>
    <row r="63" spans="1:30" s="15" customFormat="1" ht="63" customHeight="1">
      <c r="A63" s="118">
        <f t="shared" si="1"/>
        <v>42</v>
      </c>
      <c r="B63" s="454" t="str">
        <f>VLOOKUP(P63,'chuyển 26.12'!$O$5:$P$6000,2,0)</f>
        <v>Hải Phòng - Canon Tiên Sơn - Hải Phòng</v>
      </c>
      <c r="C63" s="455">
        <v>46063</v>
      </c>
      <c r="D63" s="456" t="s">
        <v>865</v>
      </c>
      <c r="E63" s="457">
        <v>308247380730</v>
      </c>
      <c r="F63" s="458" t="s">
        <v>52</v>
      </c>
      <c r="G63" s="459" t="s">
        <v>860</v>
      </c>
      <c r="H63" s="458" t="s">
        <v>855</v>
      </c>
      <c r="I63" s="460" t="s">
        <v>839</v>
      </c>
      <c r="J63" s="461">
        <v>3991627</v>
      </c>
      <c r="K63" s="461"/>
      <c r="L63" s="462"/>
      <c r="M63" s="463"/>
      <c r="N63" s="461">
        <v>100000</v>
      </c>
      <c r="O63" s="464">
        <f t="shared" si="0"/>
        <v>4091627</v>
      </c>
      <c r="P63" s="462" t="s">
        <v>267</v>
      </c>
      <c r="Q63" s="205" t="s">
        <v>289</v>
      </c>
      <c r="R63" s="471" t="s">
        <v>943</v>
      </c>
      <c r="S63" s="105"/>
      <c r="T63" s="151" t="s">
        <v>508</v>
      </c>
      <c r="U63" s="151" t="s">
        <v>287</v>
      </c>
      <c r="V63" s="409"/>
      <c r="W63" s="174"/>
      <c r="X63" s="151"/>
      <c r="Y63" s="256"/>
      <c r="Z63" s="151" t="str">
        <f t="shared" si="2"/>
        <v>Cước vận chuyển Hải Phòng - Canon Tiên Sơn - Hải Phòng , số cont ONEU2971320</v>
      </c>
      <c r="AA63" s="151"/>
      <c r="AB63" s="151"/>
      <c r="AC63" s="102"/>
      <c r="AD63" s="87"/>
    </row>
    <row r="64" spans="1:30" s="15" customFormat="1" ht="63" customHeight="1">
      <c r="A64" s="118">
        <f t="shared" si="1"/>
        <v>43</v>
      </c>
      <c r="B64" s="454" t="str">
        <f>VLOOKUP(P64,'chuyển 26.12'!$O$5:$P$6000,2,0)</f>
        <v>Hải Phòng - Canon Tiên Sơn - Hải Phòng</v>
      </c>
      <c r="C64" s="455">
        <v>46063</v>
      </c>
      <c r="D64" s="456" t="s">
        <v>427</v>
      </c>
      <c r="E64" s="457">
        <v>308247417020</v>
      </c>
      <c r="F64" s="458" t="s">
        <v>52</v>
      </c>
      <c r="G64" s="459" t="s">
        <v>861</v>
      </c>
      <c r="H64" s="458" t="s">
        <v>856</v>
      </c>
      <c r="I64" s="460" t="s">
        <v>839</v>
      </c>
      <c r="J64" s="461">
        <v>3691627</v>
      </c>
      <c r="K64" s="461"/>
      <c r="L64" s="462"/>
      <c r="M64" s="463"/>
      <c r="N64" s="461">
        <v>100000</v>
      </c>
      <c r="O64" s="464">
        <f t="shared" si="0"/>
        <v>3791627</v>
      </c>
      <c r="P64" s="462" t="s">
        <v>279</v>
      </c>
      <c r="Q64" s="205"/>
      <c r="R64" s="471" t="s">
        <v>943</v>
      </c>
      <c r="S64" s="105"/>
      <c r="T64" s="151" t="s">
        <v>265</v>
      </c>
      <c r="U64" s="151" t="s">
        <v>266</v>
      </c>
      <c r="V64" s="409"/>
      <c r="W64" s="174"/>
      <c r="X64" s="151"/>
      <c r="Y64" s="256"/>
      <c r="Z64" s="151" t="str">
        <f t="shared" si="2"/>
        <v>Cước vận chuyển Hải Phòng - Canon Tiên Sơn - Hải Phòng , số cont EGSU3767625</v>
      </c>
      <c r="AA64" s="151"/>
      <c r="AB64" s="151"/>
      <c r="AC64" s="102"/>
      <c r="AD64" s="87"/>
    </row>
    <row r="65" spans="1:30" s="15" customFormat="1" ht="63" customHeight="1">
      <c r="A65" s="118">
        <f t="shared" si="1"/>
        <v>44</v>
      </c>
      <c r="B65" s="454" t="s">
        <v>166</v>
      </c>
      <c r="C65" s="455">
        <v>46063</v>
      </c>
      <c r="D65" s="456" t="s">
        <v>866</v>
      </c>
      <c r="E65" s="457">
        <v>308240536830</v>
      </c>
      <c r="F65" s="458" t="s">
        <v>22</v>
      </c>
      <c r="G65" s="459" t="s">
        <v>862</v>
      </c>
      <c r="H65" s="458" t="s">
        <v>857</v>
      </c>
      <c r="I65" s="487" t="s">
        <v>853</v>
      </c>
      <c r="J65" s="461">
        <v>2756644</v>
      </c>
      <c r="K65" s="461"/>
      <c r="L65" s="462"/>
      <c r="M65" s="463"/>
      <c r="N65" s="461">
        <v>100000</v>
      </c>
      <c r="O65" s="464">
        <f t="shared" si="0"/>
        <v>2856644</v>
      </c>
      <c r="P65" s="462" t="s">
        <v>871</v>
      </c>
      <c r="Q65" s="205"/>
      <c r="R65" s="471" t="s">
        <v>944</v>
      </c>
      <c r="S65" s="105"/>
      <c r="T65" s="151" t="s">
        <v>144</v>
      </c>
      <c r="U65" s="151" t="s">
        <v>145</v>
      </c>
      <c r="V65" s="409"/>
      <c r="W65" s="174"/>
      <c r="X65" s="151"/>
      <c r="Y65" s="256"/>
      <c r="Z65" s="151" t="str">
        <f t="shared" si="2"/>
        <v>Cước vận chuyển Canon Tiên Sơn - Hải Phòng , số cont FCIU9815555</v>
      </c>
      <c r="AA65" s="151"/>
      <c r="AB65" s="151"/>
      <c r="AC65" s="102"/>
      <c r="AD65" s="87"/>
    </row>
    <row r="66" spans="1:30" s="15" customFormat="1" ht="63" customHeight="1">
      <c r="A66" s="118">
        <f t="shared" si="1"/>
        <v>45</v>
      </c>
      <c r="B66" s="454" t="str">
        <f>VLOOKUP(P66,'chuyển 26.12'!$O$5:$P$6000,2,0)</f>
        <v>Hải Phòng - Canon Tiên Sơn - Lạch Huyện, Hải Phòng</v>
      </c>
      <c r="C66" s="455">
        <v>46064</v>
      </c>
      <c r="D66" s="456" t="s">
        <v>867</v>
      </c>
      <c r="E66" s="457">
        <v>308252039120</v>
      </c>
      <c r="F66" s="458" t="s">
        <v>22</v>
      </c>
      <c r="G66" s="459" t="s">
        <v>863</v>
      </c>
      <c r="H66" s="458" t="s">
        <v>858</v>
      </c>
      <c r="I66" s="460" t="s">
        <v>869</v>
      </c>
      <c r="J66" s="461">
        <v>4021445</v>
      </c>
      <c r="K66" s="461"/>
      <c r="L66" s="462"/>
      <c r="M66" s="463"/>
      <c r="N66" s="461">
        <v>100000</v>
      </c>
      <c r="O66" s="464">
        <f t="shared" si="0"/>
        <v>4121445</v>
      </c>
      <c r="P66" s="462" t="s">
        <v>140</v>
      </c>
      <c r="Q66" s="205"/>
      <c r="R66" s="471" t="s">
        <v>944</v>
      </c>
      <c r="S66" s="105"/>
      <c r="T66" s="151" t="s">
        <v>284</v>
      </c>
      <c r="U66" s="151" t="s">
        <v>143</v>
      </c>
      <c r="V66" s="409"/>
      <c r="W66" s="174"/>
      <c r="X66" s="151"/>
      <c r="Y66" s="256"/>
      <c r="Z66" s="151" t="str">
        <f t="shared" si="2"/>
        <v>Cước vận chuyển Hải Phòng - Canon Tiên Sơn - Lạch Huyện, Hải Phòng , số cont CSNU7713111</v>
      </c>
      <c r="AA66" s="151"/>
      <c r="AB66" s="151"/>
      <c r="AC66" s="102"/>
      <c r="AD66" s="87"/>
    </row>
    <row r="67" spans="1:30" s="15" customFormat="1" ht="63" customHeight="1">
      <c r="A67" s="118">
        <f t="shared" si="1"/>
        <v>46</v>
      </c>
      <c r="B67" s="454" t="str">
        <f>VLOOKUP(P67,'chuyển 26.12'!$O$5:$P$6000,2,0)</f>
        <v>Hải Phòng - Canon Tiên Sơn - Hải Phòng</v>
      </c>
      <c r="C67" s="455">
        <v>46063</v>
      </c>
      <c r="D67" s="456" t="s">
        <v>868</v>
      </c>
      <c r="E67" s="457">
        <v>308249638450</v>
      </c>
      <c r="F67" s="458" t="s">
        <v>22</v>
      </c>
      <c r="G67" s="459" t="s">
        <v>864</v>
      </c>
      <c r="H67" s="458" t="s">
        <v>859</v>
      </c>
      <c r="I67" s="460" t="s">
        <v>870</v>
      </c>
      <c r="J67" s="461">
        <v>3691627</v>
      </c>
      <c r="K67" s="461"/>
      <c r="L67" s="462"/>
      <c r="M67" s="463"/>
      <c r="N67" s="461">
        <v>100000</v>
      </c>
      <c r="O67" s="464">
        <f t="shared" si="0"/>
        <v>3791627</v>
      </c>
      <c r="P67" s="462" t="s">
        <v>279</v>
      </c>
      <c r="Q67" s="205"/>
      <c r="R67" s="471" t="s">
        <v>944</v>
      </c>
      <c r="S67" s="105"/>
      <c r="T67" s="151" t="s">
        <v>284</v>
      </c>
      <c r="U67" s="151" t="s">
        <v>145</v>
      </c>
      <c r="V67" s="409"/>
      <c r="W67" s="174"/>
      <c r="X67" s="151"/>
      <c r="Y67" s="256"/>
      <c r="Z67" s="151" t="str">
        <f t="shared" si="2"/>
        <v>Cước vận chuyển Hải Phòng - Canon Tiên Sơn - Hải Phòng , số cont OOCU6133470</v>
      </c>
      <c r="AA67" s="151"/>
      <c r="AB67" s="151"/>
      <c r="AC67" s="102"/>
      <c r="AD67" s="87"/>
    </row>
    <row r="68" spans="1:30" s="62" customFormat="1" ht="50.25" customHeight="1">
      <c r="A68" s="536" t="s">
        <v>15</v>
      </c>
      <c r="B68" s="536"/>
      <c r="C68" s="536"/>
      <c r="D68" s="536"/>
      <c r="E68" s="536"/>
      <c r="F68" s="536"/>
      <c r="G68" s="536"/>
      <c r="H68" s="536"/>
      <c r="I68" s="177"/>
      <c r="J68" s="476">
        <f t="shared" ref="J68:O68" si="3">SUM(J22:J67)</f>
        <v>167079801</v>
      </c>
      <c r="K68" s="476">
        <f t="shared" si="3"/>
        <v>0</v>
      </c>
      <c r="L68" s="476">
        <f t="shared" si="3"/>
        <v>0</v>
      </c>
      <c r="M68" s="476">
        <f t="shared" si="3"/>
        <v>0</v>
      </c>
      <c r="N68" s="476">
        <f t="shared" si="3"/>
        <v>4600000</v>
      </c>
      <c r="O68" s="476">
        <f t="shared" si="3"/>
        <v>171679801</v>
      </c>
      <c r="P68" s="60"/>
      <c r="Q68" s="206"/>
      <c r="R68" s="94"/>
      <c r="S68" s="94"/>
      <c r="T68" s="94"/>
      <c r="U68" s="94"/>
      <c r="V68" s="94"/>
      <c r="W68" s="61"/>
      <c r="X68" s="69"/>
      <c r="Y68" s="133"/>
      <c r="Z68" s="61"/>
      <c r="AA68" s="69"/>
      <c r="AB68" s="61"/>
      <c r="AC68" s="61"/>
      <c r="AD68" s="61"/>
    </row>
    <row r="69" spans="1:30" ht="15" customHeight="1">
      <c r="A69" s="89"/>
      <c r="B69" s="22"/>
      <c r="L69" s="5"/>
    </row>
    <row r="70" spans="1:30" ht="17.25" customHeight="1">
      <c r="B70" s="2"/>
      <c r="J70" s="537" t="str">
        <f>'COVER DN XUẤT'!D41</f>
        <v xml:space="preserve">         Ngày  23  tháng 02  năm 2026</v>
      </c>
      <c r="K70" s="537"/>
      <c r="L70" s="537"/>
      <c r="M70" s="537"/>
      <c r="N70" s="537"/>
      <c r="O70" s="537"/>
      <c r="P70" s="537"/>
      <c r="Q70" s="198"/>
    </row>
    <row r="71" spans="1:30" ht="2.25" customHeight="1">
      <c r="B71" s="2"/>
    </row>
    <row r="72" spans="1:30" ht="18.75" customHeight="1">
      <c r="A72" s="533"/>
      <c r="B72" s="534"/>
      <c r="C72" s="534"/>
      <c r="J72" s="531" t="s">
        <v>44</v>
      </c>
      <c r="K72" s="531"/>
      <c r="L72" s="531"/>
      <c r="M72" s="531"/>
      <c r="N72" s="531"/>
      <c r="O72" s="531"/>
      <c r="P72" s="531"/>
      <c r="Q72" s="200"/>
    </row>
    <row r="73" spans="1:30">
      <c r="B73" s="2"/>
    </row>
    <row r="74" spans="1:30">
      <c r="B74" s="2"/>
    </row>
    <row r="77" spans="1:30">
      <c r="O77" s="5"/>
    </row>
    <row r="82" spans="8:15">
      <c r="O82" s="5"/>
    </row>
    <row r="83" spans="8:15">
      <c r="H83" s="502"/>
    </row>
    <row r="84" spans="8:15">
      <c r="H84" s="502"/>
    </row>
    <row r="85" spans="8:15">
      <c r="H85" s="502"/>
    </row>
    <row r="86" spans="8:15">
      <c r="H86" s="502"/>
    </row>
    <row r="87" spans="8:15">
      <c r="H87" s="502"/>
    </row>
    <row r="88" spans="8:15">
      <c r="H88" s="502"/>
    </row>
    <row r="89" spans="8:15">
      <c r="H89" s="502"/>
    </row>
    <row r="90" spans="8:15">
      <c r="H90" s="502"/>
    </row>
    <row r="91" spans="8:15">
      <c r="H91" s="502"/>
    </row>
    <row r="92" spans="8:15">
      <c r="H92" s="502"/>
    </row>
    <row r="93" spans="8:15">
      <c r="H93" s="502"/>
    </row>
    <row r="94" spans="8:15">
      <c r="H94" s="502"/>
    </row>
    <row r="95" spans="8:15">
      <c r="H95" s="502"/>
    </row>
  </sheetData>
  <autoFilter ref="A21:AB68"/>
  <mergeCells count="7">
    <mergeCell ref="A72:C72"/>
    <mergeCell ref="J72:P72"/>
    <mergeCell ref="A1:P1"/>
    <mergeCell ref="A2:P2"/>
    <mergeCell ref="A4:P4"/>
    <mergeCell ref="A68:H68"/>
    <mergeCell ref="J70:P70"/>
  </mergeCells>
  <conditionalFormatting sqref="R68:W1048576 R1:W10 R12:W12 R11 V11:W11 R14:W15 S13:W13 R17:W21 T16:W16">
    <cfRule type="duplicateValues" dxfId="763" priority="3095"/>
    <cfRule type="duplicateValues" dxfId="762" priority="3096"/>
  </conditionalFormatting>
  <conditionalFormatting sqref="S68:V1048576 S1:V10 S12:V15 V11 S17:V21 T16:V16">
    <cfRule type="duplicateValues" dxfId="761" priority="3113"/>
  </conditionalFormatting>
  <conditionalFormatting sqref="AA68:AA1048576 AA1:AA21">
    <cfRule type="duplicateValues" dxfId="760" priority="3144"/>
  </conditionalFormatting>
  <conditionalFormatting sqref="W68:W1048576 W1:W21">
    <cfRule type="duplicateValues" dxfId="759" priority="16592"/>
  </conditionalFormatting>
  <conditionalFormatting sqref="G68:G1048576 G1:G21">
    <cfRule type="duplicateValues" dxfId="758" priority="1024"/>
  </conditionalFormatting>
  <conditionalFormatting sqref="G68:G1048576">
    <cfRule type="duplicateValues" dxfId="757" priority="660"/>
  </conditionalFormatting>
  <conditionalFormatting sqref="R13">
    <cfRule type="duplicateValues" dxfId="756" priority="479"/>
  </conditionalFormatting>
  <conditionalFormatting sqref="R13">
    <cfRule type="duplicateValues" dxfId="755" priority="478"/>
  </conditionalFormatting>
  <conditionalFormatting sqref="R16">
    <cfRule type="duplicateValues" dxfId="754" priority="180"/>
  </conditionalFormatting>
  <conditionalFormatting sqref="R16">
    <cfRule type="duplicateValues" dxfId="753" priority="181"/>
  </conditionalFormatting>
  <conditionalFormatting sqref="R16">
    <cfRule type="duplicateValues" dxfId="752" priority="179"/>
  </conditionalFormatting>
  <conditionalFormatting sqref="E68:E1048576 E1:E21">
    <cfRule type="duplicateValues" dxfId="751" priority="31235"/>
    <cfRule type="duplicateValues" dxfId="750" priority="31236"/>
  </conditionalFormatting>
  <conditionalFormatting sqref="H1:H21 H48:H82 H96:H1048576">
    <cfRule type="duplicateValues" dxfId="749" priority="9"/>
  </conditionalFormatting>
  <conditionalFormatting sqref="H68:H82 H1:H21 H96:H1048576">
    <cfRule type="duplicateValues" dxfId="748" priority="36864"/>
  </conditionalFormatting>
  <conditionalFormatting sqref="H68:H82 H96:H1048576">
    <cfRule type="duplicateValues" dxfId="747" priority="36868"/>
  </conditionalFormatting>
  <conditionalFormatting sqref="H79:H82 H96:H1048576">
    <cfRule type="duplicateValues" dxfId="746" priority="36871"/>
  </conditionalFormatting>
  <conditionalFormatting sqref="H68:H82 H1:H21 H96:H1048576">
    <cfRule type="duplicateValues" dxfId="745" priority="36873"/>
    <cfRule type="duplicateValues" dxfId="744" priority="36874"/>
  </conditionalFormatting>
  <conditionalFormatting sqref="H68:H82 H96:H1048576">
    <cfRule type="duplicateValues" dxfId="743" priority="36881"/>
    <cfRule type="duplicateValues" dxfId="742" priority="36882"/>
  </conditionalFormatting>
  <conditionalFormatting sqref="R68:R1048576 H1:H21 R1:R12 R14:R15 R17:R21 H68:H82 H96:H1048576">
    <cfRule type="duplicateValues" dxfId="741" priority="36887"/>
  </conditionalFormatting>
  <conditionalFormatting sqref="R68:R1048576 R1:R12 H1:H21 R14:R15 R17:R21 H68:H82 H96:H1048576">
    <cfRule type="duplicateValues" dxfId="740" priority="36897"/>
  </conditionalFormatting>
  <conditionalFormatting sqref="S68:V1048576 H1:H21 S1:V10 S12:V15 V11 S17:V21 T16:V16 H68:H82 H96:H1048576">
    <cfRule type="duplicateValues" dxfId="739" priority="36907"/>
  </conditionalFormatting>
  <conditionalFormatting sqref="H68:H82 H1:H21 R22:R67 H96:H1048576">
    <cfRule type="duplicateValues" dxfId="738" priority="36919"/>
  </conditionalFormatting>
  <conditionalFormatting sqref="H22:H31">
    <cfRule type="duplicateValues" dxfId="737" priority="6"/>
    <cfRule type="duplicateValues" dxfId="736" priority="7"/>
    <cfRule type="duplicateValues" dxfId="735" priority="8"/>
  </conditionalFormatting>
  <conditionalFormatting sqref="H22:H38">
    <cfRule type="duplicateValues" dxfId="734" priority="5"/>
  </conditionalFormatting>
  <conditionalFormatting sqref="H22:H47">
    <cfRule type="duplicateValues" dxfId="733" priority="4"/>
  </conditionalFormatting>
  <conditionalFormatting sqref="H48:H67">
    <cfRule type="duplicateValues" dxfId="732" priority="37413"/>
  </conditionalFormatting>
  <conditionalFormatting sqref="R22:R67">
    <cfRule type="duplicateValues" dxfId="731" priority="37414"/>
  </conditionalFormatting>
  <conditionalFormatting sqref="R22:R67">
    <cfRule type="duplicateValues" dxfId="730" priority="37415"/>
    <cfRule type="duplicateValues" dxfId="729" priority="37416"/>
  </conditionalFormatting>
  <conditionalFormatting sqref="AD22:AD67">
    <cfRule type="duplicateValues" dxfId="728" priority="37417"/>
  </conditionalFormatting>
  <conditionalFormatting sqref="S22:S67">
    <cfRule type="duplicateValues" dxfId="727" priority="37418"/>
    <cfRule type="duplicateValues" dxfId="726" priority="37419"/>
    <cfRule type="duplicateValues" dxfId="725" priority="37420"/>
  </conditionalFormatting>
  <conditionalFormatting sqref="E22:E67">
    <cfRule type="duplicateValues" dxfId="724" priority="37421"/>
    <cfRule type="duplicateValues" dxfId="723" priority="37422"/>
  </conditionalFormatting>
  <conditionalFormatting sqref="W22:W67">
    <cfRule type="duplicateValues" dxfId="722" priority="37423"/>
  </conditionalFormatting>
  <conditionalFormatting sqref="W22:W67">
    <cfRule type="duplicateValues" dxfId="721" priority="37424"/>
    <cfRule type="duplicateValues" dxfId="720" priority="37425"/>
    <cfRule type="duplicateValues" dxfId="719" priority="37426"/>
  </conditionalFormatting>
  <conditionalFormatting sqref="H83:H84 H87:H95">
    <cfRule type="duplicateValues" dxfId="718" priority="3"/>
  </conditionalFormatting>
  <conditionalFormatting sqref="H83:H95">
    <cfRule type="duplicateValues" dxfId="717" priority="2"/>
  </conditionalFormatting>
  <conditionalFormatting sqref="H1:H1048576">
    <cfRule type="duplicateValues" dxfId="716" priority="1"/>
  </conditionalFormatting>
  <pageMargins left="0.7" right="0.7" top="0.26" bottom="0.34" header="0.2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view="pageBreakPreview" zoomScale="85" zoomScaleNormal="85" zoomScaleSheetLayoutView="85" workbookViewId="0">
      <selection activeCell="F28" sqref="F28"/>
    </sheetView>
  </sheetViews>
  <sheetFormatPr defaultColWidth="9.140625" defaultRowHeight="15.75"/>
  <cols>
    <col min="1" max="1" width="5.28515625" style="2" customWidth="1"/>
    <col min="2" max="2" width="22.5703125" style="3" bestFit="1" customWidth="1"/>
    <col min="3" max="3" width="20.140625" style="2" bestFit="1" customWidth="1"/>
    <col min="4" max="4" width="9.5703125" style="2" customWidth="1"/>
    <col min="5" max="5" width="24.85546875" style="2" customWidth="1"/>
    <col min="6" max="6" width="6.7109375" style="2" customWidth="1"/>
    <col min="7" max="7" width="12.85546875" style="2" customWidth="1"/>
    <col min="8" max="8" width="12.7109375" style="2" customWidth="1"/>
    <col min="9" max="9" width="9.140625" style="2"/>
    <col min="10" max="10" width="14.140625" style="2" bestFit="1" customWidth="1"/>
    <col min="11" max="16384" width="9.140625" style="2"/>
  </cols>
  <sheetData>
    <row r="1" spans="1:8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>
      <c r="A2" s="525" t="s">
        <v>1</v>
      </c>
      <c r="B2" s="525"/>
      <c r="C2" s="525"/>
      <c r="D2" s="525"/>
      <c r="E2" s="525"/>
      <c r="F2" s="525"/>
      <c r="G2" s="525"/>
      <c r="H2" s="525"/>
    </row>
    <row r="4" spans="1:8" ht="20.25">
      <c r="A4" s="523" t="s">
        <v>31</v>
      </c>
      <c r="B4" s="523"/>
      <c r="C4" s="523"/>
      <c r="D4" s="523"/>
      <c r="E4" s="523"/>
      <c r="F4" s="523"/>
      <c r="G4" s="523"/>
      <c r="H4" s="523"/>
    </row>
    <row r="5" spans="1:8" ht="11.25" customHeight="1"/>
    <row r="6" spans="1:8">
      <c r="A6" s="7" t="s">
        <v>2</v>
      </c>
    </row>
    <row r="7" spans="1:8">
      <c r="A7" s="2" t="s">
        <v>3</v>
      </c>
    </row>
    <row r="8" spans="1:8">
      <c r="A8" s="8" t="s">
        <v>27</v>
      </c>
      <c r="F8" s="9"/>
      <c r="G8" s="9"/>
      <c r="H8" s="9"/>
    </row>
    <row r="9" spans="1:8">
      <c r="A9" s="2" t="s">
        <v>82</v>
      </c>
      <c r="F9" s="9"/>
      <c r="G9" s="9"/>
      <c r="H9" s="10"/>
    </row>
    <row r="10" spans="1:8">
      <c r="A10" s="2" t="s">
        <v>28</v>
      </c>
      <c r="F10" s="9"/>
      <c r="G10" s="9"/>
      <c r="H10" s="9"/>
    </row>
    <row r="11" spans="1:8">
      <c r="A11" s="2" t="s">
        <v>4</v>
      </c>
      <c r="D11" s="2" t="s">
        <v>5</v>
      </c>
    </row>
    <row r="13" spans="1:8">
      <c r="A13" s="8" t="s">
        <v>6</v>
      </c>
    </row>
    <row r="14" spans="1:8">
      <c r="A14" s="2" t="s">
        <v>81</v>
      </c>
    </row>
    <row r="15" spans="1:8">
      <c r="A15" s="2" t="s">
        <v>7</v>
      </c>
    </row>
    <row r="16" spans="1:8">
      <c r="A16" s="2" t="s">
        <v>4</v>
      </c>
      <c r="D16" s="2" t="s">
        <v>5</v>
      </c>
    </row>
    <row r="17" spans="1:8">
      <c r="A17" s="2" t="s">
        <v>8</v>
      </c>
    </row>
    <row r="18" spans="1:8" ht="25.5">
      <c r="C18" s="90" t="s">
        <v>29</v>
      </c>
      <c r="D18" s="50" t="s">
        <v>423</v>
      </c>
      <c r="E18" s="47"/>
      <c r="F18" s="25"/>
    </row>
    <row r="19" spans="1:8" ht="25.5">
      <c r="C19" s="90" t="s">
        <v>30</v>
      </c>
      <c r="D19" s="51" t="str">
        <f>'COVER DN XUẤT'!D19</f>
        <v>23/02/2026</v>
      </c>
      <c r="E19" s="47"/>
      <c r="F19" s="25"/>
    </row>
    <row r="22" spans="1:8" s="15" customFormat="1" ht="31.5">
      <c r="A22" s="526" t="s">
        <v>32</v>
      </c>
      <c r="B22" s="527"/>
      <c r="C22" s="527"/>
      <c r="D22" s="528"/>
      <c r="E22" s="26" t="s">
        <v>33</v>
      </c>
      <c r="F22" s="529" t="s">
        <v>34</v>
      </c>
      <c r="G22" s="527"/>
      <c r="H22" s="528"/>
    </row>
    <row r="23" spans="1:8" s="263" customFormat="1" ht="22.5" customHeight="1">
      <c r="A23" s="27">
        <v>1</v>
      </c>
      <c r="B23" s="28" t="s">
        <v>93</v>
      </c>
      <c r="C23" s="29"/>
      <c r="D23" s="30"/>
      <c r="E23" s="31">
        <f>'ICD TP'!K44</f>
        <v>29158670</v>
      </c>
      <c r="F23" s="32"/>
      <c r="G23" s="32"/>
      <c r="H23" s="33"/>
    </row>
    <row r="24" spans="1:8" s="263" customFormat="1" ht="22.5" customHeight="1">
      <c r="A24" s="34">
        <v>2</v>
      </c>
      <c r="B24" s="38" t="s">
        <v>56</v>
      </c>
      <c r="C24" s="35"/>
      <c r="D24" s="36"/>
      <c r="E24" s="37">
        <f>'[2]XUẤT- ICD'!O100</f>
        <v>0</v>
      </c>
      <c r="F24" s="32"/>
      <c r="G24" s="32"/>
      <c r="H24" s="33"/>
    </row>
    <row r="25" spans="1:8" s="263" customFormat="1" ht="22.5" customHeight="1">
      <c r="A25" s="34">
        <v>3</v>
      </c>
      <c r="B25" s="38" t="s">
        <v>89</v>
      </c>
      <c r="C25" s="39"/>
      <c r="D25" s="40"/>
      <c r="E25" s="37">
        <f>'ICD TP'!L44</f>
        <v>81000000</v>
      </c>
      <c r="F25" s="32"/>
      <c r="G25" s="32"/>
      <c r="H25" s="33"/>
    </row>
    <row r="26" spans="1:8" s="263" customFormat="1" ht="22.5" customHeight="1">
      <c r="A26" s="34">
        <v>4</v>
      </c>
      <c r="B26" s="70" t="s">
        <v>47</v>
      </c>
      <c r="C26" s="39"/>
      <c r="D26" s="40"/>
      <c r="E26" s="37">
        <f>'ICD TP'!P44</f>
        <v>2100000</v>
      </c>
      <c r="F26" s="32"/>
      <c r="G26" s="32"/>
      <c r="H26" s="33"/>
    </row>
    <row r="27" spans="1:8" s="263" customFormat="1" ht="22.5" customHeight="1">
      <c r="A27" s="34">
        <v>5</v>
      </c>
      <c r="B27" s="38" t="s">
        <v>90</v>
      </c>
      <c r="C27" s="39"/>
      <c r="D27" s="40"/>
      <c r="E27" s="37">
        <f>'[2]XUẤT- ICD'!N100</f>
        <v>0</v>
      </c>
      <c r="F27" s="32"/>
      <c r="G27" s="32"/>
      <c r="H27" s="33"/>
    </row>
    <row r="28" spans="1:8" s="263" customFormat="1" ht="22.5" customHeight="1">
      <c r="A28" s="34">
        <v>6</v>
      </c>
      <c r="B28" s="39" t="s">
        <v>91</v>
      </c>
      <c r="C28" s="39"/>
      <c r="D28" s="40"/>
      <c r="E28" s="37">
        <f>'[2]XUẤT- ICD'!Q100</f>
        <v>0</v>
      </c>
      <c r="F28" s="32"/>
      <c r="G28" s="32"/>
      <c r="H28" s="33"/>
    </row>
    <row r="29" spans="1:8" s="263" customFormat="1" ht="22.5" customHeight="1">
      <c r="A29" s="34">
        <v>7</v>
      </c>
      <c r="B29" s="39" t="s">
        <v>92</v>
      </c>
      <c r="C29" s="39"/>
      <c r="D29" s="40"/>
      <c r="E29" s="37">
        <f>'[2]XUẤT- ICD'!M100</f>
        <v>0</v>
      </c>
      <c r="F29" s="32"/>
      <c r="G29" s="32"/>
      <c r="H29" s="33"/>
    </row>
    <row r="30" spans="1:8" s="497" customFormat="1" ht="38.25" customHeight="1">
      <c r="A30" s="34">
        <v>8</v>
      </c>
      <c r="B30" s="520" t="s">
        <v>925</v>
      </c>
      <c r="C30" s="520"/>
      <c r="D30" s="521"/>
      <c r="E30" s="37">
        <f>'ICD TP'!M44</f>
        <v>0</v>
      </c>
      <c r="F30" s="498"/>
      <c r="G30" s="498"/>
      <c r="H30" s="499"/>
    </row>
    <row r="31" spans="1:8" s="263" customFormat="1">
      <c r="A31" s="34"/>
      <c r="B31" s="41"/>
      <c r="C31" s="39"/>
      <c r="D31" s="40"/>
      <c r="E31" s="37"/>
      <c r="F31" s="32"/>
      <c r="G31" s="32"/>
      <c r="H31" s="33"/>
    </row>
    <row r="32" spans="1:8">
      <c r="A32" s="34"/>
      <c r="B32" s="41"/>
      <c r="C32" s="39"/>
      <c r="D32" s="40"/>
      <c r="E32" s="37"/>
      <c r="F32" s="32"/>
      <c r="G32" s="32"/>
      <c r="H32" s="33"/>
    </row>
    <row r="33" spans="1:10">
      <c r="A33" s="34"/>
      <c r="B33" s="41"/>
      <c r="C33" s="39"/>
      <c r="D33" s="40"/>
      <c r="E33" s="37"/>
      <c r="F33" s="32"/>
      <c r="G33" s="32"/>
      <c r="H33" s="33"/>
    </row>
    <row r="34" spans="1:10">
      <c r="A34" s="34"/>
      <c r="B34" s="38"/>
      <c r="C34" s="39"/>
      <c r="D34" s="40"/>
      <c r="E34" s="37"/>
      <c r="F34" s="32"/>
      <c r="G34" s="32"/>
      <c r="H34" s="33"/>
    </row>
    <row r="35" spans="1:10" ht="21.75" customHeight="1">
      <c r="A35" s="529" t="s">
        <v>36</v>
      </c>
      <c r="B35" s="527"/>
      <c r="C35" s="527"/>
      <c r="D35" s="528"/>
      <c r="E35" s="58">
        <f>E23+E24+E25+E26+E27+E28+E29+E30</f>
        <v>112258670</v>
      </c>
      <c r="F35" s="42"/>
      <c r="G35" s="42"/>
      <c r="H35" s="43"/>
      <c r="J35" s="268"/>
    </row>
    <row r="36" spans="1:10" ht="21.75" customHeight="1">
      <c r="A36" s="529" t="s">
        <v>37</v>
      </c>
      <c r="B36" s="527"/>
      <c r="C36" s="527"/>
      <c r="D36" s="528"/>
      <c r="E36" s="44"/>
      <c r="F36" s="45"/>
      <c r="G36" s="45"/>
      <c r="H36" s="46"/>
      <c r="J36" s="268"/>
    </row>
    <row r="37" spans="1:10" ht="21.75" customHeight="1">
      <c r="A37" s="529" t="s">
        <v>38</v>
      </c>
      <c r="B37" s="527"/>
      <c r="C37" s="527"/>
      <c r="D37" s="528"/>
      <c r="E37" s="54">
        <f>SUM(E35:E36)</f>
        <v>112258670</v>
      </c>
      <c r="F37" s="45"/>
      <c r="G37" s="45"/>
      <c r="H37" s="46"/>
    </row>
    <row r="38" spans="1:10" ht="21.75" customHeight="1">
      <c r="A38" s="532"/>
      <c r="B38" s="532"/>
      <c r="C38" s="532"/>
      <c r="D38" s="532"/>
      <c r="E38" s="532"/>
      <c r="F38" s="532"/>
      <c r="G38" s="532"/>
      <c r="H38" s="532"/>
    </row>
    <row r="39" spans="1:10">
      <c r="A39" s="39"/>
      <c r="B39" s="39"/>
      <c r="C39" s="39"/>
      <c r="D39" s="39"/>
      <c r="E39" s="39"/>
      <c r="F39" s="39"/>
      <c r="G39" s="39"/>
      <c r="H39" s="39"/>
    </row>
    <row r="40" spans="1:10">
      <c r="A40" s="39"/>
      <c r="B40" s="39"/>
      <c r="C40" s="39"/>
      <c r="D40" s="530" t="str">
        <f>'COVER DN XUẤT'!D41</f>
        <v xml:space="preserve">         Ngày  23  tháng 02  năm 2026</v>
      </c>
      <c r="E40" s="530"/>
      <c r="F40" s="530"/>
      <c r="G40" s="530"/>
      <c r="H40" s="530"/>
    </row>
    <row r="41" spans="1:10">
      <c r="F41" s="4"/>
      <c r="G41" s="4"/>
      <c r="H41" s="5"/>
    </row>
    <row r="42" spans="1:10">
      <c r="D42" s="531" t="s">
        <v>42</v>
      </c>
      <c r="E42" s="531"/>
      <c r="F42" s="531"/>
      <c r="G42" s="531"/>
      <c r="H42" s="531"/>
    </row>
  </sheetData>
  <mergeCells count="12">
    <mergeCell ref="A36:D36"/>
    <mergeCell ref="A37:D37"/>
    <mergeCell ref="A38:H38"/>
    <mergeCell ref="D40:H40"/>
    <mergeCell ref="D42:H42"/>
    <mergeCell ref="A35:D35"/>
    <mergeCell ref="A1:H1"/>
    <mergeCell ref="A2:H2"/>
    <mergeCell ref="A4:H4"/>
    <mergeCell ref="A22:D22"/>
    <mergeCell ref="F22:H22"/>
    <mergeCell ref="B30:D30"/>
  </mergeCells>
  <pageMargins left="0.7" right="0.7" top="0.37" bottom="0.75" header="0.3" footer="0.3"/>
  <pageSetup paperSize="9" scale="7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73"/>
  <sheetViews>
    <sheetView tabSelected="1" view="pageBreakPreview" topLeftCell="A29" zoomScale="70" zoomScaleNormal="70" zoomScaleSheetLayoutView="70" workbookViewId="0">
      <selection activeCell="M37" sqref="M37"/>
    </sheetView>
  </sheetViews>
  <sheetFormatPr defaultColWidth="9.140625" defaultRowHeight="15"/>
  <cols>
    <col min="1" max="1" width="5.28515625" style="270" customWidth="1"/>
    <col min="2" max="2" width="35.140625" style="271" customWidth="1"/>
    <col min="3" max="3" width="13.28515625" style="270" customWidth="1"/>
    <col min="4" max="4" width="20.42578125" style="272" customWidth="1"/>
    <col min="5" max="5" width="17" style="273" customWidth="1"/>
    <col min="6" max="6" width="9.5703125" style="270" customWidth="1"/>
    <col min="7" max="7" width="16.42578125" style="274" customWidth="1"/>
    <col min="8" max="8" width="17.7109375" style="270" customWidth="1"/>
    <col min="9" max="9" width="21.42578125" style="270" customWidth="1"/>
    <col min="10" max="10" width="17.85546875" style="270" customWidth="1"/>
    <col min="11" max="11" width="24.5703125" style="275" customWidth="1"/>
    <col min="12" max="13" width="20.85546875" style="270" customWidth="1"/>
    <col min="14" max="15" width="20.85546875" style="270" hidden="1" customWidth="1"/>
    <col min="16" max="16" width="15" style="276" customWidth="1"/>
    <col min="17" max="17" width="18.28515625" style="276" hidden="1" customWidth="1"/>
    <col min="18" max="18" width="20.5703125" style="276" bestFit="1" customWidth="1"/>
    <col min="19" max="19" width="17.28515625" style="275" customWidth="1"/>
    <col min="20" max="20" width="16.5703125" style="275" customWidth="1"/>
    <col min="21" max="21" width="18" style="279" customWidth="1"/>
    <col min="22" max="22" width="15.5703125" style="278" hidden="1" customWidth="1"/>
    <col min="23" max="23" width="20.28515625" style="279" hidden="1" customWidth="1"/>
    <col min="24" max="24" width="26.85546875" style="280" hidden="1" customWidth="1"/>
    <col min="25" max="25" width="23.85546875" style="279" hidden="1" customWidth="1"/>
    <col min="26" max="26" width="13" style="279" hidden="1" customWidth="1"/>
    <col min="27" max="27" width="22.140625" style="279" hidden="1" customWidth="1"/>
    <col min="28" max="28" width="29" style="279" hidden="1" customWidth="1"/>
    <col min="29" max="29" width="75.5703125" style="279" customWidth="1"/>
    <col min="30" max="30" width="75.42578125" style="279" customWidth="1"/>
    <col min="31" max="31" width="14" style="281" customWidth="1"/>
    <col min="32" max="36" width="9.140625" style="270" customWidth="1"/>
    <col min="37" max="16384" width="9.140625" style="270"/>
  </cols>
  <sheetData>
    <row r="1" spans="1:31" s="62" customFormat="1" ht="21" customHeight="1">
      <c r="A1" s="531" t="s">
        <v>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263"/>
      <c r="U1" s="61"/>
      <c r="V1" s="269"/>
      <c r="W1" s="61"/>
      <c r="X1" s="94"/>
      <c r="Y1" s="61"/>
      <c r="Z1" s="61"/>
      <c r="AA1" s="61"/>
      <c r="AB1" s="61"/>
      <c r="AC1" s="61"/>
      <c r="AD1" s="61"/>
      <c r="AE1" s="78"/>
    </row>
    <row r="2" spans="1:31" s="62" customFormat="1" ht="21" customHeight="1">
      <c r="A2" s="531" t="s">
        <v>1</v>
      </c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263"/>
      <c r="U2" s="61"/>
      <c r="V2" s="269"/>
      <c r="W2" s="61"/>
      <c r="X2" s="94"/>
      <c r="Y2" s="61"/>
      <c r="Z2" s="61"/>
      <c r="AA2" s="61"/>
      <c r="AB2" s="61"/>
      <c r="AC2" s="61"/>
      <c r="AD2" s="61"/>
      <c r="AE2" s="78"/>
    </row>
    <row r="3" spans="1:31" ht="5.25" customHeight="1">
      <c r="U3" s="277"/>
    </row>
    <row r="4" spans="1:31" ht="28.5" customHeight="1">
      <c r="A4" s="538" t="s">
        <v>40</v>
      </c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8"/>
      <c r="R4" s="538"/>
      <c r="S4" s="538"/>
      <c r="T4" s="282"/>
    </row>
    <row r="5" spans="1:31" ht="1.5" customHeight="1">
      <c r="A5" s="2"/>
      <c r="B5" s="3"/>
      <c r="C5" s="2"/>
      <c r="D5" s="91"/>
      <c r="E5" s="52"/>
      <c r="F5" s="2"/>
      <c r="G5" s="264"/>
      <c r="H5" s="2"/>
      <c r="I5" s="2"/>
      <c r="J5" s="2"/>
      <c r="K5" s="5"/>
      <c r="L5" s="2"/>
      <c r="M5" s="2"/>
      <c r="N5" s="2"/>
      <c r="O5" s="2"/>
      <c r="P5" s="4"/>
      <c r="Q5" s="4"/>
      <c r="R5" s="4"/>
      <c r="S5" s="5"/>
    </row>
    <row r="6" spans="1:31" ht="15.6" customHeight="1">
      <c r="A6" s="7" t="s">
        <v>2</v>
      </c>
      <c r="B6" s="3"/>
      <c r="C6" s="2"/>
      <c r="D6" s="91"/>
      <c r="E6" s="52"/>
      <c r="F6" s="2"/>
      <c r="G6" s="264"/>
      <c r="H6" s="2"/>
      <c r="I6" s="2"/>
      <c r="J6" s="2"/>
      <c r="K6" s="5"/>
      <c r="L6" s="2"/>
      <c r="M6" s="2"/>
      <c r="N6" s="2"/>
      <c r="O6" s="2"/>
      <c r="P6" s="4"/>
      <c r="Q6" s="4"/>
      <c r="R6" s="4"/>
      <c r="S6" s="5"/>
      <c r="U6" s="277"/>
    </row>
    <row r="7" spans="1:31" ht="15" customHeight="1">
      <c r="A7" s="2" t="s">
        <v>3</v>
      </c>
      <c r="B7" s="3"/>
      <c r="C7" s="2"/>
      <c r="D7" s="91"/>
      <c r="E7" s="52"/>
      <c r="F7" s="2"/>
      <c r="G7" s="264"/>
      <c r="H7" s="2"/>
      <c r="I7" s="2"/>
      <c r="J7" s="2"/>
      <c r="K7" s="5"/>
      <c r="L7" s="2"/>
      <c r="M7" s="2"/>
      <c r="N7" s="2"/>
      <c r="O7" s="2"/>
      <c r="P7" s="4"/>
      <c r="Q7" s="4"/>
      <c r="R7" s="4"/>
      <c r="S7" s="5"/>
      <c r="U7" s="277"/>
    </row>
    <row r="8" spans="1:31" s="75" customFormat="1" ht="23.25" customHeight="1">
      <c r="A8" s="73" t="s">
        <v>27</v>
      </c>
      <c r="B8" s="74"/>
      <c r="D8" s="283"/>
      <c r="E8" s="76"/>
      <c r="F8" s="77"/>
      <c r="G8" s="284"/>
      <c r="H8" s="77"/>
      <c r="I8" s="77"/>
      <c r="J8" s="77"/>
      <c r="K8" s="285"/>
      <c r="L8" s="77"/>
      <c r="M8" s="77"/>
      <c r="N8" s="77"/>
      <c r="O8" s="77"/>
      <c r="P8" s="286"/>
      <c r="Q8" s="286"/>
      <c r="R8" s="286"/>
      <c r="S8" s="287"/>
      <c r="T8" s="287"/>
      <c r="U8" s="288"/>
      <c r="V8" s="289"/>
      <c r="W8" s="288"/>
      <c r="X8" s="290"/>
      <c r="Y8" s="288"/>
      <c r="Z8" s="288"/>
      <c r="AA8" s="288"/>
      <c r="AB8" s="288"/>
      <c r="AC8" s="288"/>
      <c r="AD8" s="288"/>
      <c r="AE8" s="77"/>
    </row>
    <row r="9" spans="1:31" s="301" customFormat="1" ht="23.25" customHeight="1">
      <c r="A9" s="62" t="s">
        <v>82</v>
      </c>
      <c r="B9" s="291"/>
      <c r="C9" s="62"/>
      <c r="D9" s="292"/>
      <c r="E9" s="293"/>
      <c r="F9" s="78"/>
      <c r="G9" s="294"/>
      <c r="H9" s="295"/>
      <c r="I9" s="295"/>
      <c r="J9" s="295"/>
      <c r="K9" s="79"/>
      <c r="L9" s="78"/>
      <c r="M9" s="78"/>
      <c r="N9" s="78"/>
      <c r="O9" s="78"/>
      <c r="P9" s="80"/>
      <c r="Q9" s="80"/>
      <c r="R9" s="80"/>
      <c r="S9" s="81"/>
      <c r="T9" s="296"/>
      <c r="U9" s="297"/>
      <c r="V9" s="298"/>
      <c r="W9" s="297"/>
      <c r="X9" s="299"/>
      <c r="Y9" s="297"/>
      <c r="Z9" s="297"/>
      <c r="AA9" s="297"/>
      <c r="AB9" s="297"/>
      <c r="AC9" s="297"/>
      <c r="AD9" s="297"/>
      <c r="AE9" s="300"/>
    </row>
    <row r="10" spans="1:31" s="301" customFormat="1" ht="23.25" customHeight="1">
      <c r="A10" s="62" t="s">
        <v>28</v>
      </c>
      <c r="B10" s="291"/>
      <c r="C10" s="62"/>
      <c r="D10" s="292"/>
      <c r="E10" s="293"/>
      <c r="F10" s="78"/>
      <c r="G10" s="294"/>
      <c r="H10" s="78"/>
      <c r="I10" s="78"/>
      <c r="J10" s="78"/>
      <c r="K10" s="79"/>
      <c r="L10" s="78"/>
      <c r="M10" s="78"/>
      <c r="N10" s="78"/>
      <c r="O10" s="78"/>
      <c r="P10" s="80"/>
      <c r="Q10" s="80"/>
      <c r="R10" s="80"/>
      <c r="S10" s="81"/>
      <c r="T10" s="296"/>
      <c r="U10" s="267"/>
      <c r="V10" s="302"/>
      <c r="W10" s="302"/>
      <c r="X10" s="299"/>
      <c r="Y10" s="297"/>
      <c r="Z10" s="297"/>
      <c r="AA10" s="297"/>
      <c r="AB10" s="297"/>
      <c r="AC10" s="297"/>
      <c r="AD10" s="297"/>
      <c r="AE10" s="300"/>
    </row>
    <row r="11" spans="1:31" s="301" customFormat="1" ht="23.25" customHeight="1">
      <c r="A11" s="62" t="s">
        <v>4</v>
      </c>
      <c r="B11" s="291"/>
      <c r="C11" s="62"/>
      <c r="D11" s="292" t="s">
        <v>5</v>
      </c>
      <c r="E11" s="293"/>
      <c r="F11" s="62"/>
      <c r="G11" s="263"/>
      <c r="H11" s="62"/>
      <c r="I11" s="62"/>
      <c r="J11" s="62"/>
      <c r="K11" s="81"/>
      <c r="L11" s="62"/>
      <c r="M11" s="62"/>
      <c r="N11" s="62"/>
      <c r="O11" s="62"/>
      <c r="P11" s="80"/>
      <c r="Q11" s="80"/>
      <c r="R11" s="80"/>
      <c r="S11" s="81"/>
      <c r="T11" s="296"/>
      <c r="U11" s="267"/>
      <c r="V11" s="302"/>
      <c r="W11" s="297"/>
      <c r="X11" s="297"/>
      <c r="Y11" s="297"/>
      <c r="Z11" s="297"/>
      <c r="AA11" s="297"/>
      <c r="AB11" s="297"/>
      <c r="AC11" s="297"/>
      <c r="AD11" s="297"/>
      <c r="AE11" s="300"/>
    </row>
    <row r="12" spans="1:31" ht="3" customHeight="1">
      <c r="A12" s="2"/>
      <c r="B12" s="3"/>
      <c r="C12" s="2"/>
      <c r="D12" s="91"/>
      <c r="E12" s="52"/>
      <c r="F12" s="2"/>
      <c r="G12" s="264"/>
      <c r="H12" s="2"/>
      <c r="I12" s="2"/>
      <c r="J12" s="2"/>
      <c r="K12" s="5"/>
      <c r="L12" s="2"/>
      <c r="M12" s="2"/>
      <c r="N12" s="2"/>
      <c r="O12" s="2"/>
      <c r="P12" s="4"/>
      <c r="Q12" s="4"/>
      <c r="R12" s="4"/>
      <c r="S12" s="5"/>
    </row>
    <row r="13" spans="1:31" s="75" customFormat="1" ht="23.25" customHeight="1">
      <c r="A13" s="73" t="s">
        <v>6</v>
      </c>
      <c r="B13" s="74"/>
      <c r="D13" s="283"/>
      <c r="E13" s="76"/>
      <c r="G13" s="266"/>
      <c r="K13" s="287"/>
      <c r="P13" s="286"/>
      <c r="Q13" s="286"/>
      <c r="R13" s="286"/>
      <c r="S13" s="287"/>
      <c r="T13" s="287"/>
      <c r="U13" s="304" t="s">
        <v>94</v>
      </c>
      <c r="V13" s="305" t="s">
        <v>95</v>
      </c>
      <c r="W13" s="305"/>
      <c r="X13" s="290"/>
      <c r="Y13" s="288"/>
      <c r="Z13" s="288"/>
      <c r="AA13" s="288"/>
      <c r="AB13" s="288"/>
      <c r="AC13" s="288"/>
      <c r="AD13" s="288"/>
      <c r="AE13" s="77"/>
    </row>
    <row r="14" spans="1:31" s="301" customFormat="1" ht="23.25" customHeight="1">
      <c r="A14" s="62" t="s">
        <v>81</v>
      </c>
      <c r="B14" s="291"/>
      <c r="C14" s="62"/>
      <c r="D14" s="292"/>
      <c r="E14" s="293"/>
      <c r="F14" s="62"/>
      <c r="G14" s="263"/>
      <c r="H14" s="62"/>
      <c r="I14" s="62"/>
      <c r="J14" s="62"/>
      <c r="K14" s="81"/>
      <c r="L14" s="62"/>
      <c r="M14" s="62"/>
      <c r="N14" s="62"/>
      <c r="O14" s="62"/>
      <c r="P14" s="80"/>
      <c r="Q14" s="80"/>
      <c r="R14" s="80"/>
      <c r="S14" s="81"/>
      <c r="T14" s="296"/>
      <c r="U14" s="297"/>
      <c r="V14" s="306"/>
      <c r="W14" s="302"/>
      <c r="X14" s="297"/>
      <c r="Y14" s="297"/>
      <c r="Z14" s="297"/>
      <c r="AA14" s="297"/>
      <c r="AB14" s="297"/>
      <c r="AC14" s="297"/>
      <c r="AD14" s="297"/>
      <c r="AE14" s="300"/>
    </row>
    <row r="15" spans="1:31" s="301" customFormat="1" ht="23.25" customHeight="1">
      <c r="A15" s="62" t="s">
        <v>7</v>
      </c>
      <c r="B15" s="291"/>
      <c r="C15" s="62"/>
      <c r="D15" s="292"/>
      <c r="E15" s="293"/>
      <c r="F15" s="62"/>
      <c r="G15" s="263"/>
      <c r="H15" s="62"/>
      <c r="I15" s="62"/>
      <c r="J15" s="62"/>
      <c r="K15" s="81"/>
      <c r="L15" s="62"/>
      <c r="M15" s="62"/>
      <c r="N15" s="62"/>
      <c r="O15" s="62"/>
      <c r="P15" s="80"/>
      <c r="Q15" s="80"/>
      <c r="R15" s="80"/>
      <c r="S15" s="81"/>
      <c r="T15" s="296"/>
      <c r="U15" s="297"/>
      <c r="V15" s="306"/>
      <c r="W15" s="321"/>
      <c r="X15" s="299"/>
      <c r="Y15" s="297"/>
      <c r="Z15" s="297"/>
      <c r="AA15" s="297"/>
      <c r="AB15" s="297"/>
      <c r="AC15" s="297"/>
      <c r="AD15" s="297"/>
      <c r="AE15" s="300"/>
    </row>
    <row r="16" spans="1:31" s="301" customFormat="1" ht="23.25" customHeight="1">
      <c r="A16" s="62" t="s">
        <v>4</v>
      </c>
      <c r="B16" s="291"/>
      <c r="C16" s="62"/>
      <c r="D16" s="292" t="s">
        <v>5</v>
      </c>
      <c r="E16" s="293"/>
      <c r="F16" s="62"/>
      <c r="G16" s="263"/>
      <c r="H16" s="62"/>
      <c r="I16" s="62"/>
      <c r="J16" s="62"/>
      <c r="K16" s="81"/>
      <c r="L16" s="62"/>
      <c r="M16" s="62"/>
      <c r="N16" s="62"/>
      <c r="O16" s="62"/>
      <c r="P16" s="80"/>
      <c r="Q16" s="80"/>
      <c r="R16" s="80"/>
      <c r="S16" s="81"/>
      <c r="T16" s="296"/>
      <c r="U16" s="297"/>
      <c r="V16" s="298"/>
      <c r="W16" s="297"/>
      <c r="X16" s="299"/>
      <c r="Y16" s="297"/>
      <c r="Z16" s="297"/>
      <c r="AA16" s="297"/>
      <c r="AB16" s="297"/>
      <c r="AC16" s="297"/>
      <c r="AD16" s="297"/>
      <c r="AE16" s="300"/>
    </row>
    <row r="17" spans="1:32" s="301" customFormat="1" ht="23.25" customHeight="1">
      <c r="A17" s="62" t="s">
        <v>8</v>
      </c>
      <c r="B17" s="291"/>
      <c r="C17" s="62"/>
      <c r="D17" s="292"/>
      <c r="E17" s="293"/>
      <c r="F17" s="62"/>
      <c r="G17" s="263"/>
      <c r="H17" s="62"/>
      <c r="I17" s="62"/>
      <c r="J17" s="62"/>
      <c r="K17" s="81"/>
      <c r="L17" s="62"/>
      <c r="M17" s="62"/>
      <c r="N17" s="62"/>
      <c r="O17" s="62"/>
      <c r="P17" s="80"/>
      <c r="Q17" s="80"/>
      <c r="R17" s="80"/>
      <c r="S17" s="81"/>
      <c r="T17" s="296"/>
      <c r="U17" s="297"/>
      <c r="V17" s="298"/>
      <c r="W17" s="297"/>
      <c r="X17" s="299"/>
      <c r="Y17" s="297"/>
      <c r="Z17" s="297"/>
      <c r="AA17" s="297"/>
      <c r="AB17" s="297"/>
      <c r="AC17" s="297"/>
      <c r="AD17" s="297"/>
      <c r="AE17" s="300"/>
    </row>
    <row r="18" spans="1:32" s="301" customFormat="1" ht="24.75" customHeight="1">
      <c r="B18" s="307"/>
      <c r="D18" s="308"/>
      <c r="E18" s="309"/>
      <c r="G18" s="310"/>
      <c r="K18" s="296"/>
      <c r="P18" s="311" t="s">
        <v>29</v>
      </c>
      <c r="Q18" s="311"/>
      <c r="R18" s="50" t="str">
        <f>'COVER DN ICDTP'!D18</f>
        <v>MBF-CTS11022026-4</v>
      </c>
      <c r="S18" s="312"/>
      <c r="T18" s="296"/>
      <c r="U18" s="297"/>
      <c r="V18" s="313"/>
      <c r="W18" s="302"/>
      <c r="X18" s="303"/>
      <c r="Y18" s="105"/>
      <c r="Z18" s="267"/>
      <c r="AA18" s="303"/>
      <c r="AB18" s="303"/>
      <c r="AC18" s="297"/>
      <c r="AD18" s="314" t="s">
        <v>96</v>
      </c>
      <c r="AE18" s="300"/>
    </row>
    <row r="19" spans="1:32" s="301" customFormat="1" ht="24.75" customHeight="1">
      <c r="B19" s="307"/>
      <c r="D19" s="308"/>
      <c r="E19" s="309"/>
      <c r="G19" s="310"/>
      <c r="K19" s="296"/>
      <c r="P19" s="311" t="s">
        <v>30</v>
      </c>
      <c r="Q19" s="311"/>
      <c r="R19" s="51" t="str">
        <f>'COVER DN ICDTP'!D19</f>
        <v>23/02/2026</v>
      </c>
      <c r="S19" s="312"/>
      <c r="T19" s="296"/>
      <c r="U19" s="297"/>
      <c r="V19" s="313"/>
      <c r="W19" s="302"/>
      <c r="X19" s="303"/>
      <c r="Y19" s="105"/>
      <c r="Z19" s="297"/>
      <c r="AA19" s="297"/>
      <c r="AB19" s="297"/>
      <c r="AC19" s="297" t="s">
        <v>97</v>
      </c>
      <c r="AD19" s="297" t="s">
        <v>98</v>
      </c>
      <c r="AE19" s="300"/>
    </row>
    <row r="20" spans="1:32" ht="5.25" customHeight="1"/>
    <row r="21" spans="1:32" s="319" customFormat="1" ht="51" customHeight="1">
      <c r="A21" s="118" t="s">
        <v>9</v>
      </c>
      <c r="B21" s="118" t="s">
        <v>10</v>
      </c>
      <c r="C21" s="118" t="s">
        <v>99</v>
      </c>
      <c r="D21" s="315" t="s">
        <v>12</v>
      </c>
      <c r="E21" s="53" t="s">
        <v>17</v>
      </c>
      <c r="F21" s="118" t="s">
        <v>21</v>
      </c>
      <c r="G21" s="12" t="s">
        <v>25</v>
      </c>
      <c r="H21" s="12" t="s">
        <v>13</v>
      </c>
      <c r="I21" s="12" t="s">
        <v>65</v>
      </c>
      <c r="J21" s="12" t="s">
        <v>100</v>
      </c>
      <c r="K21" s="13" t="s">
        <v>111</v>
      </c>
      <c r="L21" s="12" t="s">
        <v>101</v>
      </c>
      <c r="M21" s="13" t="s">
        <v>422</v>
      </c>
      <c r="N21" s="13" t="s">
        <v>102</v>
      </c>
      <c r="O21" s="13" t="s">
        <v>55</v>
      </c>
      <c r="P21" s="13" t="s">
        <v>20</v>
      </c>
      <c r="Q21" s="13" t="s">
        <v>103</v>
      </c>
      <c r="R21" s="13" t="s">
        <v>23</v>
      </c>
      <c r="S21" s="24" t="s">
        <v>19</v>
      </c>
      <c r="T21" s="316"/>
      <c r="U21" s="314"/>
      <c r="V21" s="317" t="s">
        <v>104</v>
      </c>
      <c r="W21" s="314"/>
      <c r="X21" s="314" t="s">
        <v>105</v>
      </c>
      <c r="Y21" s="317" t="s">
        <v>106</v>
      </c>
      <c r="Z21" s="314" t="s">
        <v>86</v>
      </c>
      <c r="AA21" s="314"/>
      <c r="AB21" s="314"/>
      <c r="AC21" s="314" t="s">
        <v>78</v>
      </c>
      <c r="AD21" s="314" t="s">
        <v>79</v>
      </c>
      <c r="AE21" s="318"/>
      <c r="AF21" s="319" t="s">
        <v>107</v>
      </c>
    </row>
    <row r="22" spans="1:32" s="319" customFormat="1" ht="48.75" customHeight="1">
      <c r="A22" s="118">
        <f t="shared" ref="A22:A43" si="0">ROW()-21</f>
        <v>1</v>
      </c>
      <c r="B22" s="104" t="s">
        <v>97</v>
      </c>
      <c r="C22" s="320">
        <v>46039</v>
      </c>
      <c r="D22" s="490">
        <v>6438798510</v>
      </c>
      <c r="E22" s="313"/>
      <c r="F22" s="105" t="s">
        <v>22</v>
      </c>
      <c r="G22" s="267" t="s">
        <v>387</v>
      </c>
      <c r="H22" s="303" t="s">
        <v>386</v>
      </c>
      <c r="I22" s="303" t="s">
        <v>832</v>
      </c>
      <c r="J22" s="334"/>
      <c r="K22" s="322">
        <v>1478840</v>
      </c>
      <c r="L22" s="321"/>
      <c r="M22" s="321"/>
      <c r="N22" s="321"/>
      <c r="O22" s="321"/>
      <c r="P22" s="321"/>
      <c r="Q22" s="321"/>
      <c r="R22" s="13">
        <f t="shared" ref="R22" si="1">SUM(K22:Q22)</f>
        <v>1478840</v>
      </c>
      <c r="S22" s="321"/>
      <c r="T22" s="317" t="s">
        <v>289</v>
      </c>
      <c r="U22" s="323"/>
      <c r="V22" s="326"/>
      <c r="W22" s="448"/>
      <c r="X22" s="314"/>
      <c r="Y22" s="314"/>
      <c r="Z22" s="314"/>
      <c r="AA22" s="390"/>
      <c r="AB22" s="314"/>
      <c r="AC22" s="314" t="str">
        <f t="shared" ref="AC22:AC42" si="2">$AC$21&amp;$AC$19&amp;$AD$21&amp;H22</f>
        <v>Cước vận chuyển ICD Tri Phương- Canon Tiên Sơn- ICD Tri Phương , số cont FFAU2878148</v>
      </c>
      <c r="AD22" s="314"/>
      <c r="AE22" s="318"/>
    </row>
    <row r="23" spans="1:32" s="319" customFormat="1" ht="48.75" customHeight="1">
      <c r="A23" s="118">
        <f t="shared" si="0"/>
        <v>2</v>
      </c>
      <c r="B23" s="104" t="s">
        <v>109</v>
      </c>
      <c r="C23" s="320">
        <v>46039</v>
      </c>
      <c r="D23" s="491">
        <v>262590698</v>
      </c>
      <c r="E23" s="313">
        <v>308161200230</v>
      </c>
      <c r="F23" s="105" t="s">
        <v>22</v>
      </c>
      <c r="G23" s="267" t="s">
        <v>395</v>
      </c>
      <c r="H23" s="303" t="s">
        <v>388</v>
      </c>
      <c r="I23" s="303" t="s">
        <v>833</v>
      </c>
      <c r="J23" s="334" t="s">
        <v>939</v>
      </c>
      <c r="K23" s="322">
        <v>1178840</v>
      </c>
      <c r="L23" s="321">
        <v>4050000</v>
      </c>
      <c r="M23" s="321"/>
      <c r="N23" s="321"/>
      <c r="O23" s="321"/>
      <c r="P23" s="321">
        <v>100000</v>
      </c>
      <c r="Q23" s="321"/>
      <c r="R23" s="13">
        <f t="shared" ref="R23:R30" si="3">SUM(K23:Q23)</f>
        <v>5328840</v>
      </c>
      <c r="S23" s="321"/>
      <c r="T23" s="489"/>
      <c r="U23" s="323"/>
      <c r="V23" s="326"/>
      <c r="W23" s="448"/>
      <c r="X23" s="314"/>
      <c r="Y23" s="314"/>
      <c r="Z23" s="314"/>
      <c r="AA23" s="390"/>
      <c r="AB23" s="314"/>
      <c r="AC23" s="314" t="str">
        <f t="shared" si="2"/>
        <v>Cước vận chuyển ICD Tri Phương- Canon Tiên Sơn- ICD Tri Phương , số cont TCNU8079500</v>
      </c>
      <c r="AD23" s="314" t="str">
        <f t="shared" ref="AD23:AD42" si="4">$AD$18&amp;$AD$19&amp;$AD$21&amp;H23</f>
        <v>Cước vận chuyển sà lan ICD Tri Phương - Lạch Huyện, Hải Phòng , số cont TCNU8079500</v>
      </c>
      <c r="AE23" s="318"/>
    </row>
    <row r="24" spans="1:32" s="319" customFormat="1" ht="48.75" customHeight="1">
      <c r="A24" s="118">
        <f t="shared" si="0"/>
        <v>3</v>
      </c>
      <c r="B24" s="104" t="s">
        <v>109</v>
      </c>
      <c r="C24" s="320">
        <v>46039</v>
      </c>
      <c r="D24" s="491">
        <v>262590698</v>
      </c>
      <c r="E24" s="313">
        <v>308161249010</v>
      </c>
      <c r="F24" s="105" t="s">
        <v>22</v>
      </c>
      <c r="G24" s="267" t="s">
        <v>396</v>
      </c>
      <c r="H24" s="303" t="s">
        <v>389</v>
      </c>
      <c r="I24" s="303" t="s">
        <v>834</v>
      </c>
      <c r="J24" s="334" t="s">
        <v>939</v>
      </c>
      <c r="K24" s="322">
        <v>1178840</v>
      </c>
      <c r="L24" s="321">
        <v>4050000</v>
      </c>
      <c r="M24" s="321"/>
      <c r="N24" s="321"/>
      <c r="O24" s="321"/>
      <c r="P24" s="321">
        <v>100000</v>
      </c>
      <c r="Q24" s="321"/>
      <c r="R24" s="13">
        <f t="shared" si="3"/>
        <v>5328840</v>
      </c>
      <c r="S24" s="321"/>
      <c r="T24" s="317"/>
      <c r="U24" s="323"/>
      <c r="V24" s="326"/>
      <c r="W24" s="448"/>
      <c r="X24" s="314"/>
      <c r="Y24" s="314"/>
      <c r="Z24" s="314"/>
      <c r="AA24" s="390"/>
      <c r="AB24" s="314"/>
      <c r="AC24" s="314" t="str">
        <f t="shared" si="2"/>
        <v>Cước vận chuyển ICD Tri Phương- Canon Tiên Sơn- ICD Tri Phương , số cont HASU4792005</v>
      </c>
      <c r="AD24" s="314" t="str">
        <f t="shared" si="4"/>
        <v>Cước vận chuyển sà lan ICD Tri Phương - Lạch Huyện, Hải Phòng , số cont HASU4792005</v>
      </c>
      <c r="AE24" s="318"/>
    </row>
    <row r="25" spans="1:32" s="319" customFormat="1" ht="48.75" customHeight="1">
      <c r="A25" s="118">
        <f t="shared" si="0"/>
        <v>4</v>
      </c>
      <c r="B25" s="104" t="s">
        <v>109</v>
      </c>
      <c r="C25" s="320">
        <v>46043</v>
      </c>
      <c r="D25" s="491">
        <v>262863213</v>
      </c>
      <c r="E25" s="313">
        <v>308174416450</v>
      </c>
      <c r="F25" s="105" t="s">
        <v>22</v>
      </c>
      <c r="G25" s="267" t="s">
        <v>397</v>
      </c>
      <c r="H25" s="303" t="s">
        <v>390</v>
      </c>
      <c r="I25" s="303" t="s">
        <v>833</v>
      </c>
      <c r="J25" s="334" t="s">
        <v>940</v>
      </c>
      <c r="K25" s="322">
        <v>1178840</v>
      </c>
      <c r="L25" s="321">
        <v>4050000</v>
      </c>
      <c r="M25" s="321"/>
      <c r="N25" s="321"/>
      <c r="O25" s="321"/>
      <c r="P25" s="321">
        <v>100000</v>
      </c>
      <c r="Q25" s="321"/>
      <c r="R25" s="13">
        <f t="shared" si="3"/>
        <v>5328840</v>
      </c>
      <c r="S25" s="321"/>
      <c r="T25" s="317"/>
      <c r="U25" s="323"/>
      <c r="V25" s="326"/>
      <c r="W25" s="448"/>
      <c r="X25" s="314"/>
      <c r="Y25" s="314"/>
      <c r="Z25" s="314"/>
      <c r="AA25" s="390"/>
      <c r="AB25" s="314"/>
      <c r="AC25" s="314" t="str">
        <f t="shared" si="2"/>
        <v>Cước vận chuyển ICD Tri Phương- Canon Tiên Sơn- ICD Tri Phương , số cont UETU6938394</v>
      </c>
      <c r="AD25" s="314" t="str">
        <f t="shared" si="4"/>
        <v>Cước vận chuyển sà lan ICD Tri Phương - Lạch Huyện, Hải Phòng , số cont UETU6938394</v>
      </c>
      <c r="AE25" s="318"/>
    </row>
    <row r="26" spans="1:32" s="319" customFormat="1" ht="48.75" customHeight="1">
      <c r="A26" s="118">
        <f t="shared" si="0"/>
        <v>5</v>
      </c>
      <c r="B26" s="104" t="s">
        <v>109</v>
      </c>
      <c r="C26" s="320">
        <v>46045</v>
      </c>
      <c r="D26" s="491">
        <v>262863213</v>
      </c>
      <c r="E26" s="313">
        <v>308182398000</v>
      </c>
      <c r="F26" s="105" t="s">
        <v>22</v>
      </c>
      <c r="G26" s="267" t="s">
        <v>398</v>
      </c>
      <c r="H26" s="303" t="s">
        <v>391</v>
      </c>
      <c r="I26" s="303" t="s">
        <v>835</v>
      </c>
      <c r="J26" s="334" t="s">
        <v>941</v>
      </c>
      <c r="K26" s="322">
        <v>1178840</v>
      </c>
      <c r="L26" s="321">
        <v>4050000</v>
      </c>
      <c r="M26" s="321"/>
      <c r="N26" s="321"/>
      <c r="O26" s="321"/>
      <c r="P26" s="321">
        <v>100000</v>
      </c>
      <c r="Q26" s="321"/>
      <c r="R26" s="13">
        <f t="shared" si="3"/>
        <v>5328840</v>
      </c>
      <c r="S26" s="321"/>
      <c r="T26" s="317"/>
      <c r="U26" s="323"/>
      <c r="V26" s="326"/>
      <c r="W26" s="448"/>
      <c r="X26" s="314"/>
      <c r="Y26" s="314"/>
      <c r="Z26" s="314"/>
      <c r="AA26" s="390"/>
      <c r="AB26" s="314"/>
      <c r="AC26" s="314" t="str">
        <f t="shared" si="2"/>
        <v>Cước vận chuyển ICD Tri Phương- Canon Tiên Sơn- ICD Tri Phương , số cont MRSU7085290</v>
      </c>
      <c r="AD26" s="314" t="str">
        <f t="shared" si="4"/>
        <v>Cước vận chuyển sà lan ICD Tri Phương - Lạch Huyện, Hải Phòng , số cont MRSU7085290</v>
      </c>
      <c r="AE26" s="318"/>
    </row>
    <row r="27" spans="1:32" s="319" customFormat="1" ht="48.75" customHeight="1">
      <c r="A27" s="118">
        <f t="shared" si="0"/>
        <v>6</v>
      </c>
      <c r="B27" s="104" t="s">
        <v>109</v>
      </c>
      <c r="C27" s="320">
        <v>46049</v>
      </c>
      <c r="D27" s="491">
        <v>263155880</v>
      </c>
      <c r="E27" s="313">
        <v>308196593520</v>
      </c>
      <c r="F27" s="105" t="s">
        <v>22</v>
      </c>
      <c r="G27" s="267" t="s">
        <v>399</v>
      </c>
      <c r="H27" s="303" t="s">
        <v>392</v>
      </c>
      <c r="I27" s="303" t="s">
        <v>832</v>
      </c>
      <c r="J27" s="334" t="s">
        <v>940</v>
      </c>
      <c r="K27" s="322">
        <v>1178840</v>
      </c>
      <c r="L27" s="321">
        <v>4050000</v>
      </c>
      <c r="M27" s="321"/>
      <c r="N27" s="321"/>
      <c r="O27" s="321"/>
      <c r="P27" s="321">
        <v>100000</v>
      </c>
      <c r="Q27" s="321"/>
      <c r="R27" s="13">
        <f t="shared" si="3"/>
        <v>5328840</v>
      </c>
      <c r="S27" s="321"/>
      <c r="T27" s="317"/>
      <c r="U27" s="323"/>
      <c r="V27" s="326"/>
      <c r="W27" s="448"/>
      <c r="X27" s="314"/>
      <c r="Y27" s="314"/>
      <c r="Z27" s="314"/>
      <c r="AA27" s="390"/>
      <c r="AB27" s="314"/>
      <c r="AC27" s="314" t="str">
        <f t="shared" si="2"/>
        <v>Cước vận chuyển ICD Tri Phương- Canon Tiên Sơn- ICD Tri Phương , số cont MRKU6092501</v>
      </c>
      <c r="AD27" s="314" t="str">
        <f t="shared" si="4"/>
        <v>Cước vận chuyển sà lan ICD Tri Phương - Lạch Huyện, Hải Phòng , số cont MRKU6092501</v>
      </c>
      <c r="AE27" s="318"/>
    </row>
    <row r="28" spans="1:32" s="319" customFormat="1" ht="48.75" customHeight="1">
      <c r="A28" s="118">
        <f t="shared" si="0"/>
        <v>7</v>
      </c>
      <c r="B28" s="104" t="s">
        <v>109</v>
      </c>
      <c r="C28" s="320">
        <v>46050</v>
      </c>
      <c r="D28" s="491">
        <v>263155880</v>
      </c>
      <c r="E28" s="313">
        <v>308201614950</v>
      </c>
      <c r="F28" s="105" t="s">
        <v>22</v>
      </c>
      <c r="G28" s="267" t="s">
        <v>400</v>
      </c>
      <c r="H28" s="303" t="s">
        <v>393</v>
      </c>
      <c r="I28" s="303" t="s">
        <v>836</v>
      </c>
      <c r="J28" s="334" t="s">
        <v>942</v>
      </c>
      <c r="K28" s="322">
        <v>1178840</v>
      </c>
      <c r="L28" s="321">
        <v>4050000</v>
      </c>
      <c r="M28" s="321"/>
      <c r="N28" s="321"/>
      <c r="O28" s="321"/>
      <c r="P28" s="321">
        <v>100000</v>
      </c>
      <c r="Q28" s="321"/>
      <c r="R28" s="13">
        <f t="shared" si="3"/>
        <v>5328840</v>
      </c>
      <c r="S28" s="321"/>
      <c r="T28" s="317"/>
      <c r="U28" s="323"/>
      <c r="V28" s="326"/>
      <c r="W28" s="448"/>
      <c r="X28" s="314"/>
      <c r="Y28" s="314"/>
      <c r="Z28" s="314"/>
      <c r="AA28" s="390"/>
      <c r="AB28" s="314"/>
      <c r="AC28" s="314" t="str">
        <f t="shared" si="2"/>
        <v>Cước vận chuyển ICD Tri Phương- Canon Tiên Sơn- ICD Tri Phương , số cont CAIU8271361</v>
      </c>
      <c r="AD28" s="314" t="str">
        <f t="shared" si="4"/>
        <v>Cước vận chuyển sà lan ICD Tri Phương - Lạch Huyện, Hải Phòng , số cont CAIU8271361</v>
      </c>
      <c r="AE28" s="318"/>
    </row>
    <row r="29" spans="1:32" s="319" customFormat="1" ht="48.75" customHeight="1">
      <c r="A29" s="118">
        <f t="shared" si="0"/>
        <v>8</v>
      </c>
      <c r="B29" s="104" t="s">
        <v>109</v>
      </c>
      <c r="C29" s="320">
        <v>46050</v>
      </c>
      <c r="D29" s="491">
        <v>263155880</v>
      </c>
      <c r="E29" s="313">
        <v>308202089550</v>
      </c>
      <c r="F29" s="105" t="s">
        <v>22</v>
      </c>
      <c r="G29" s="267" t="s">
        <v>401</v>
      </c>
      <c r="H29" s="303" t="s">
        <v>394</v>
      </c>
      <c r="I29" s="303" t="s">
        <v>834</v>
      </c>
      <c r="J29" s="334" t="s">
        <v>942</v>
      </c>
      <c r="K29" s="322">
        <v>1178840</v>
      </c>
      <c r="L29" s="321">
        <v>4050000</v>
      </c>
      <c r="M29" s="321"/>
      <c r="N29" s="321"/>
      <c r="O29" s="321"/>
      <c r="P29" s="321">
        <v>100000</v>
      </c>
      <c r="Q29" s="321"/>
      <c r="R29" s="13">
        <f t="shared" si="3"/>
        <v>5328840</v>
      </c>
      <c r="S29" s="321"/>
      <c r="T29" s="317"/>
      <c r="U29" s="323"/>
      <c r="V29" s="326"/>
      <c r="W29" s="448"/>
      <c r="X29" s="314"/>
      <c r="Y29" s="314"/>
      <c r="Z29" s="314"/>
      <c r="AA29" s="390"/>
      <c r="AB29" s="314"/>
      <c r="AC29" s="314" t="str">
        <f t="shared" si="2"/>
        <v>Cước vận chuyển ICD Tri Phương- Canon Tiên Sơn- ICD Tri Phương , số cont MRKU4878425</v>
      </c>
      <c r="AD29" s="314" t="str">
        <f t="shared" si="4"/>
        <v>Cước vận chuyển sà lan ICD Tri Phương - Lạch Huyện, Hải Phòng , số cont MRKU4878425</v>
      </c>
      <c r="AE29" s="318"/>
    </row>
    <row r="30" spans="1:32" s="319" customFormat="1" ht="48.75" customHeight="1">
      <c r="A30" s="118">
        <f t="shared" si="0"/>
        <v>9</v>
      </c>
      <c r="B30" s="104" t="s">
        <v>109</v>
      </c>
      <c r="C30" s="320">
        <v>46052</v>
      </c>
      <c r="D30" s="491">
        <v>263415697</v>
      </c>
      <c r="E30" s="313">
        <v>308214657940</v>
      </c>
      <c r="F30" s="105" t="s">
        <v>22</v>
      </c>
      <c r="G30" s="267" t="s">
        <v>412</v>
      </c>
      <c r="H30" s="303" t="s">
        <v>402</v>
      </c>
      <c r="I30" s="303" t="s">
        <v>834</v>
      </c>
      <c r="J30" s="334" t="s">
        <v>942</v>
      </c>
      <c r="K30" s="322">
        <v>1194380</v>
      </c>
      <c r="L30" s="321">
        <v>4050000</v>
      </c>
      <c r="M30" s="321"/>
      <c r="N30" s="321"/>
      <c r="O30" s="321"/>
      <c r="P30" s="321">
        <v>100000</v>
      </c>
      <c r="Q30" s="321"/>
      <c r="R30" s="13">
        <f t="shared" si="3"/>
        <v>5344380</v>
      </c>
      <c r="S30" s="321"/>
      <c r="T30" s="317"/>
      <c r="U30" s="323"/>
      <c r="V30" s="326"/>
      <c r="W30" s="448"/>
      <c r="X30" s="314"/>
      <c r="Y30" s="314"/>
      <c r="Z30" s="314"/>
      <c r="AA30" s="390"/>
      <c r="AB30" s="314"/>
      <c r="AC30" s="314" t="str">
        <f t="shared" si="2"/>
        <v>Cước vận chuyển ICD Tri Phương- Canon Tiên Sơn- ICD Tri Phương , số cont MRKU5471706</v>
      </c>
      <c r="AD30" s="314" t="str">
        <f t="shared" si="4"/>
        <v>Cước vận chuyển sà lan ICD Tri Phương - Lạch Huyện, Hải Phòng , số cont MRKU5471706</v>
      </c>
      <c r="AE30" s="318"/>
    </row>
    <row r="31" spans="1:32" s="319" customFormat="1" ht="48.75" customHeight="1">
      <c r="A31" s="118">
        <f t="shared" si="0"/>
        <v>10</v>
      </c>
      <c r="B31" s="104" t="s">
        <v>109</v>
      </c>
      <c r="C31" s="320">
        <v>46055</v>
      </c>
      <c r="D31" s="491">
        <v>263415697</v>
      </c>
      <c r="E31" s="313">
        <v>308214658640</v>
      </c>
      <c r="F31" s="105" t="s">
        <v>22</v>
      </c>
      <c r="G31" s="267" t="s">
        <v>413</v>
      </c>
      <c r="H31" s="303" t="s">
        <v>403</v>
      </c>
      <c r="I31" s="303" t="s">
        <v>835</v>
      </c>
      <c r="J31" s="334" t="s">
        <v>942</v>
      </c>
      <c r="K31" s="322">
        <v>1194380</v>
      </c>
      <c r="L31" s="321">
        <v>4050000</v>
      </c>
      <c r="M31" s="321"/>
      <c r="N31" s="321"/>
      <c r="O31" s="321"/>
      <c r="P31" s="321">
        <v>100000</v>
      </c>
      <c r="Q31" s="321"/>
      <c r="R31" s="13">
        <f t="shared" ref="R31:R39" si="5">SUM(K31:Q31)</f>
        <v>5344380</v>
      </c>
      <c r="S31" s="321"/>
      <c r="T31" s="317"/>
      <c r="U31" s="323"/>
      <c r="V31" s="326"/>
      <c r="W31" s="448"/>
      <c r="X31" s="314"/>
      <c r="Y31" s="314"/>
      <c r="Z31" s="314"/>
      <c r="AA31" s="390"/>
      <c r="AB31" s="314"/>
      <c r="AC31" s="314" t="str">
        <f t="shared" si="2"/>
        <v>Cước vận chuyển ICD Tri Phương- Canon Tiên Sơn- ICD Tri Phương , số cont MRKU5130187</v>
      </c>
      <c r="AD31" s="314" t="str">
        <f t="shared" si="4"/>
        <v>Cước vận chuyển sà lan ICD Tri Phương - Lạch Huyện, Hải Phòng , số cont MRKU5130187</v>
      </c>
      <c r="AE31" s="318"/>
    </row>
    <row r="32" spans="1:32" s="319" customFormat="1" ht="48.75" customHeight="1">
      <c r="A32" s="118">
        <f t="shared" si="0"/>
        <v>11</v>
      </c>
      <c r="B32" s="104" t="s">
        <v>109</v>
      </c>
      <c r="C32" s="320">
        <v>46055</v>
      </c>
      <c r="D32" s="491">
        <v>263415697</v>
      </c>
      <c r="E32" s="313">
        <v>308214659120</v>
      </c>
      <c r="F32" s="105" t="s">
        <v>22</v>
      </c>
      <c r="G32" s="267" t="s">
        <v>414</v>
      </c>
      <c r="H32" s="303" t="s">
        <v>404</v>
      </c>
      <c r="I32" s="303" t="s">
        <v>832</v>
      </c>
      <c r="J32" s="334" t="s">
        <v>942</v>
      </c>
      <c r="K32" s="322">
        <v>1194380</v>
      </c>
      <c r="L32" s="321">
        <v>4050000</v>
      </c>
      <c r="M32" s="321"/>
      <c r="N32" s="321"/>
      <c r="O32" s="321"/>
      <c r="P32" s="321">
        <v>100000</v>
      </c>
      <c r="Q32" s="321"/>
      <c r="R32" s="13">
        <f t="shared" si="5"/>
        <v>5344380</v>
      </c>
      <c r="S32" s="321"/>
      <c r="T32" s="317"/>
      <c r="U32" s="323"/>
      <c r="V32" s="326"/>
      <c r="W32" s="448"/>
      <c r="X32" s="314"/>
      <c r="Y32" s="314"/>
      <c r="Z32" s="314"/>
      <c r="AA32" s="390"/>
      <c r="AB32" s="314"/>
      <c r="AC32" s="314" t="str">
        <f t="shared" si="2"/>
        <v>Cước vận chuyển ICD Tri Phương- Canon Tiên Sơn- ICD Tri Phương , số cont MRSU3560345</v>
      </c>
      <c r="AD32" s="314" t="str">
        <f t="shared" si="4"/>
        <v>Cước vận chuyển sà lan ICD Tri Phương - Lạch Huyện, Hải Phòng , số cont MRSU3560345</v>
      </c>
      <c r="AE32" s="318"/>
    </row>
    <row r="33" spans="1:31" s="319" customFormat="1" ht="48.75" customHeight="1">
      <c r="A33" s="118">
        <f t="shared" si="0"/>
        <v>12</v>
      </c>
      <c r="B33" s="104" t="s">
        <v>109</v>
      </c>
      <c r="C33" s="320">
        <v>46055</v>
      </c>
      <c r="D33" s="491">
        <v>263415697</v>
      </c>
      <c r="E33" s="313">
        <v>308214659600</v>
      </c>
      <c r="F33" s="105" t="s">
        <v>22</v>
      </c>
      <c r="G33" s="267" t="s">
        <v>415</v>
      </c>
      <c r="H33" s="303" t="s">
        <v>405</v>
      </c>
      <c r="I33" s="303" t="s">
        <v>837</v>
      </c>
      <c r="J33" s="334" t="s">
        <v>942</v>
      </c>
      <c r="K33" s="322">
        <v>1194380</v>
      </c>
      <c r="L33" s="321">
        <v>4050000</v>
      </c>
      <c r="M33" s="321"/>
      <c r="N33" s="321"/>
      <c r="O33" s="321"/>
      <c r="P33" s="321">
        <v>100000</v>
      </c>
      <c r="Q33" s="321"/>
      <c r="R33" s="13">
        <f t="shared" si="5"/>
        <v>5344380</v>
      </c>
      <c r="S33" s="321"/>
      <c r="T33" s="317"/>
      <c r="U33" s="323"/>
      <c r="V33" s="326"/>
      <c r="W33" s="448"/>
      <c r="X33" s="314"/>
      <c r="Y33" s="314"/>
      <c r="Z33" s="314"/>
      <c r="AA33" s="390"/>
      <c r="AB33" s="314"/>
      <c r="AC33" s="314" t="str">
        <f t="shared" si="2"/>
        <v>Cước vận chuyển ICD Tri Phương- Canon Tiên Sơn- ICD Tri Phương , số cont CAAU5939840</v>
      </c>
      <c r="AD33" s="314" t="str">
        <f t="shared" si="4"/>
        <v>Cước vận chuyển sà lan ICD Tri Phương - Lạch Huyện, Hải Phòng , số cont CAAU5939840</v>
      </c>
      <c r="AE33" s="318"/>
    </row>
    <row r="34" spans="1:31" s="319" customFormat="1" ht="48.75" customHeight="1">
      <c r="A34" s="118">
        <f t="shared" si="0"/>
        <v>13</v>
      </c>
      <c r="B34" s="104" t="s">
        <v>109</v>
      </c>
      <c r="C34" s="320">
        <v>46056</v>
      </c>
      <c r="D34" s="491">
        <v>263415697</v>
      </c>
      <c r="E34" s="313">
        <v>308219941650</v>
      </c>
      <c r="F34" s="105" t="s">
        <v>22</v>
      </c>
      <c r="G34" s="267" t="s">
        <v>416</v>
      </c>
      <c r="H34" s="303" t="s">
        <v>406</v>
      </c>
      <c r="I34" s="303" t="s">
        <v>835</v>
      </c>
      <c r="J34" s="334" t="s">
        <v>942</v>
      </c>
      <c r="K34" s="322">
        <v>1194380</v>
      </c>
      <c r="L34" s="321">
        <v>4050000</v>
      </c>
      <c r="M34" s="321"/>
      <c r="N34" s="321"/>
      <c r="O34" s="321"/>
      <c r="P34" s="321">
        <v>100000</v>
      </c>
      <c r="Q34" s="321"/>
      <c r="R34" s="13">
        <f t="shared" si="5"/>
        <v>5344380</v>
      </c>
      <c r="S34" s="321"/>
      <c r="T34" s="317"/>
      <c r="U34" s="323"/>
      <c r="V34" s="326"/>
      <c r="W34" s="448"/>
      <c r="X34" s="314"/>
      <c r="Y34" s="314"/>
      <c r="Z34" s="314"/>
      <c r="AA34" s="390"/>
      <c r="AB34" s="314"/>
      <c r="AC34" s="314" t="str">
        <f t="shared" si="2"/>
        <v>Cước vận chuyển ICD Tri Phương- Canon Tiên Sơn- ICD Tri Phương , số cont GESU6907082</v>
      </c>
      <c r="AD34" s="314" t="str">
        <f t="shared" si="4"/>
        <v>Cước vận chuyển sà lan ICD Tri Phương - Lạch Huyện, Hải Phòng , số cont GESU6907082</v>
      </c>
      <c r="AE34" s="318"/>
    </row>
    <row r="35" spans="1:31" s="319" customFormat="1" ht="48.75" customHeight="1">
      <c r="A35" s="118">
        <f t="shared" si="0"/>
        <v>14</v>
      </c>
      <c r="B35" s="104" t="s">
        <v>109</v>
      </c>
      <c r="C35" s="320">
        <v>46056</v>
      </c>
      <c r="D35" s="491">
        <v>263415697</v>
      </c>
      <c r="E35" s="313">
        <v>308219961400</v>
      </c>
      <c r="F35" s="105" t="s">
        <v>22</v>
      </c>
      <c r="G35" s="267" t="s">
        <v>417</v>
      </c>
      <c r="H35" s="303" t="s">
        <v>407</v>
      </c>
      <c r="I35" s="303" t="s">
        <v>838</v>
      </c>
      <c r="J35" s="334" t="s">
        <v>942</v>
      </c>
      <c r="K35" s="322">
        <v>1194380</v>
      </c>
      <c r="L35" s="321">
        <v>4050000</v>
      </c>
      <c r="M35" s="321"/>
      <c r="N35" s="321"/>
      <c r="O35" s="321"/>
      <c r="P35" s="321">
        <v>100000</v>
      </c>
      <c r="Q35" s="321"/>
      <c r="R35" s="13">
        <f t="shared" si="5"/>
        <v>5344380</v>
      </c>
      <c r="S35" s="321"/>
      <c r="T35" s="317"/>
      <c r="U35" s="323"/>
      <c r="V35" s="326"/>
      <c r="W35" s="448"/>
      <c r="X35" s="314"/>
      <c r="Y35" s="314"/>
      <c r="Z35" s="314"/>
      <c r="AA35" s="390"/>
      <c r="AB35" s="314"/>
      <c r="AC35" s="314" t="str">
        <f t="shared" si="2"/>
        <v>Cước vận chuyển ICD Tri Phương- Canon Tiên Sơn- ICD Tri Phương , số cont HASU4600376</v>
      </c>
      <c r="AD35" s="314" t="str">
        <f t="shared" si="4"/>
        <v>Cước vận chuyển sà lan ICD Tri Phương - Lạch Huyện, Hải Phòng , số cont HASU4600376</v>
      </c>
      <c r="AE35" s="318"/>
    </row>
    <row r="36" spans="1:31" s="319" customFormat="1" ht="48.75" customHeight="1">
      <c r="A36" s="118">
        <f t="shared" si="0"/>
        <v>15</v>
      </c>
      <c r="B36" s="104" t="s">
        <v>109</v>
      </c>
      <c r="C36" s="320">
        <v>46056</v>
      </c>
      <c r="D36" s="491">
        <v>263415697</v>
      </c>
      <c r="E36" s="313">
        <v>308220063600</v>
      </c>
      <c r="F36" s="105" t="s">
        <v>22</v>
      </c>
      <c r="G36" s="267" t="s">
        <v>418</v>
      </c>
      <c r="H36" s="303" t="s">
        <v>408</v>
      </c>
      <c r="I36" s="303" t="s">
        <v>836</v>
      </c>
      <c r="J36" s="334" t="s">
        <v>939</v>
      </c>
      <c r="K36" s="322">
        <v>1194380</v>
      </c>
      <c r="L36" s="321">
        <v>4050000</v>
      </c>
      <c r="M36" s="321"/>
      <c r="N36" s="321"/>
      <c r="O36" s="321"/>
      <c r="P36" s="321">
        <v>100000</v>
      </c>
      <c r="Q36" s="321"/>
      <c r="R36" s="13">
        <f t="shared" si="5"/>
        <v>5344380</v>
      </c>
      <c r="S36" s="321"/>
      <c r="T36" s="317"/>
      <c r="U36" s="323"/>
      <c r="V36" s="326"/>
      <c r="W36" s="448"/>
      <c r="X36" s="314"/>
      <c r="Y36" s="314"/>
      <c r="Z36" s="314"/>
      <c r="AA36" s="390"/>
      <c r="AB36" s="314"/>
      <c r="AC36" s="314" t="str">
        <f t="shared" si="2"/>
        <v>Cước vận chuyển ICD Tri Phương- Canon Tiên Sơn- ICD Tri Phương , số cont CAAU6094536</v>
      </c>
      <c r="AD36" s="314" t="str">
        <f t="shared" si="4"/>
        <v>Cước vận chuyển sà lan ICD Tri Phương - Lạch Huyện, Hải Phòng , số cont CAAU6094536</v>
      </c>
      <c r="AE36" s="318"/>
    </row>
    <row r="37" spans="1:31" s="319" customFormat="1" ht="48.75" customHeight="1">
      <c r="A37" s="118">
        <f t="shared" si="0"/>
        <v>16</v>
      </c>
      <c r="B37" s="104" t="s">
        <v>109</v>
      </c>
      <c r="C37" s="320">
        <v>46058</v>
      </c>
      <c r="D37" s="491">
        <v>263587242</v>
      </c>
      <c r="E37" s="313">
        <v>308228536360</v>
      </c>
      <c r="F37" s="105" t="s">
        <v>22</v>
      </c>
      <c r="G37" s="267" t="s">
        <v>419</v>
      </c>
      <c r="H37" s="303" t="s">
        <v>409</v>
      </c>
      <c r="I37" s="303" t="s">
        <v>834</v>
      </c>
      <c r="J37" s="334" t="s">
        <v>939</v>
      </c>
      <c r="K37" s="322">
        <v>1194380</v>
      </c>
      <c r="L37" s="321">
        <v>4050000</v>
      </c>
      <c r="M37" s="321"/>
      <c r="N37" s="321"/>
      <c r="O37" s="321"/>
      <c r="P37" s="321">
        <v>100000</v>
      </c>
      <c r="Q37" s="321"/>
      <c r="R37" s="13">
        <f t="shared" si="5"/>
        <v>5344380</v>
      </c>
      <c r="S37" s="321"/>
      <c r="T37" s="317"/>
      <c r="U37" s="323"/>
      <c r="V37" s="326"/>
      <c r="W37" s="448"/>
      <c r="X37" s="314"/>
      <c r="Y37" s="314"/>
      <c r="Z37" s="314"/>
      <c r="AA37" s="390"/>
      <c r="AB37" s="314"/>
      <c r="AC37" s="314" t="str">
        <f t="shared" si="2"/>
        <v>Cước vận chuyển ICD Tri Phương- Canon Tiên Sơn- ICD Tri Phương , số cont TCNU7736508</v>
      </c>
      <c r="AD37" s="314" t="str">
        <f t="shared" si="4"/>
        <v>Cước vận chuyển sà lan ICD Tri Phương - Lạch Huyện, Hải Phòng , số cont TCNU7736508</v>
      </c>
      <c r="AE37" s="318"/>
    </row>
    <row r="38" spans="1:31" s="319" customFormat="1" ht="48.75" customHeight="1">
      <c r="A38" s="118">
        <f t="shared" si="0"/>
        <v>17</v>
      </c>
      <c r="B38" s="104" t="s">
        <v>109</v>
      </c>
      <c r="C38" s="320">
        <v>46059</v>
      </c>
      <c r="D38" s="491">
        <v>263587242</v>
      </c>
      <c r="E38" s="313">
        <v>308233036000</v>
      </c>
      <c r="F38" s="105" t="s">
        <v>22</v>
      </c>
      <c r="G38" s="267" t="s">
        <v>420</v>
      </c>
      <c r="H38" s="303" t="s">
        <v>410</v>
      </c>
      <c r="I38" s="303" t="s">
        <v>838</v>
      </c>
      <c r="J38" s="334" t="s">
        <v>939</v>
      </c>
      <c r="K38" s="322">
        <v>1194380</v>
      </c>
      <c r="L38" s="321">
        <v>4050000</v>
      </c>
      <c r="M38" s="321"/>
      <c r="N38" s="321"/>
      <c r="O38" s="321"/>
      <c r="P38" s="321">
        <v>100000</v>
      </c>
      <c r="Q38" s="321"/>
      <c r="R38" s="13">
        <f t="shared" si="5"/>
        <v>5344380</v>
      </c>
      <c r="S38" s="321"/>
      <c r="T38" s="317"/>
      <c r="U38" s="323"/>
      <c r="V38" s="326"/>
      <c r="W38" s="448"/>
      <c r="X38" s="314"/>
      <c r="Y38" s="314"/>
      <c r="Z38" s="314"/>
      <c r="AA38" s="390"/>
      <c r="AB38" s="314"/>
      <c r="AC38" s="314" t="str">
        <f t="shared" si="2"/>
        <v>Cước vận chuyển ICD Tri Phương- Canon Tiên Sơn- ICD Tri Phương , số cont MRSU3062764</v>
      </c>
      <c r="AD38" s="314" t="str">
        <f t="shared" si="4"/>
        <v>Cước vận chuyển sà lan ICD Tri Phương - Lạch Huyện, Hải Phòng , số cont MRSU3062764</v>
      </c>
      <c r="AE38" s="318"/>
    </row>
    <row r="39" spans="1:31" s="319" customFormat="1" ht="48.75" customHeight="1">
      <c r="A39" s="118">
        <f t="shared" si="0"/>
        <v>18</v>
      </c>
      <c r="B39" s="104" t="s">
        <v>109</v>
      </c>
      <c r="C39" s="320">
        <v>46059</v>
      </c>
      <c r="D39" s="491">
        <v>263415697</v>
      </c>
      <c r="E39" s="313">
        <v>308233196960</v>
      </c>
      <c r="F39" s="105" t="s">
        <v>22</v>
      </c>
      <c r="G39" s="267" t="s">
        <v>421</v>
      </c>
      <c r="H39" s="303" t="s">
        <v>411</v>
      </c>
      <c r="I39" s="303" t="s">
        <v>839</v>
      </c>
      <c r="J39" s="334" t="s">
        <v>942</v>
      </c>
      <c r="K39" s="322">
        <v>1194380</v>
      </c>
      <c r="L39" s="321">
        <v>4050000</v>
      </c>
      <c r="M39" s="321"/>
      <c r="N39" s="321"/>
      <c r="O39" s="321"/>
      <c r="P39" s="321">
        <v>100000</v>
      </c>
      <c r="Q39" s="321"/>
      <c r="R39" s="13">
        <f t="shared" si="5"/>
        <v>5344380</v>
      </c>
      <c r="S39" s="321"/>
      <c r="T39" s="317"/>
      <c r="U39" s="323"/>
      <c r="V39" s="326"/>
      <c r="W39" s="448"/>
      <c r="X39" s="314"/>
      <c r="Y39" s="314"/>
      <c r="Z39" s="314"/>
      <c r="AA39" s="390"/>
      <c r="AB39" s="314"/>
      <c r="AC39" s="314" t="str">
        <f t="shared" si="2"/>
        <v>Cước vận chuyển ICD Tri Phương- Canon Tiên Sơn- ICD Tri Phương , số cont MRKU4000830</v>
      </c>
      <c r="AD39" s="314" t="str">
        <f t="shared" si="4"/>
        <v>Cước vận chuyển sà lan ICD Tri Phương - Lạch Huyện, Hải Phòng , số cont MRKU4000830</v>
      </c>
      <c r="AE39" s="318"/>
    </row>
    <row r="40" spans="1:31" s="319" customFormat="1" ht="48.75" customHeight="1">
      <c r="A40" s="118">
        <f t="shared" si="0"/>
        <v>19</v>
      </c>
      <c r="B40" s="104" t="s">
        <v>109</v>
      </c>
      <c r="C40" s="320">
        <v>46061</v>
      </c>
      <c r="D40" s="490">
        <v>263587242</v>
      </c>
      <c r="E40" s="313">
        <v>308240537530</v>
      </c>
      <c r="F40" s="105" t="s">
        <v>22</v>
      </c>
      <c r="G40" s="267" t="s">
        <v>513</v>
      </c>
      <c r="H40" s="303" t="s">
        <v>512</v>
      </c>
      <c r="I40" s="303" t="s">
        <v>831</v>
      </c>
      <c r="J40" s="334" t="s">
        <v>940</v>
      </c>
      <c r="K40" s="322">
        <v>1194380</v>
      </c>
      <c r="L40" s="321">
        <v>4050000</v>
      </c>
      <c r="M40" s="321"/>
      <c r="N40" s="321"/>
      <c r="O40" s="321"/>
      <c r="P40" s="321">
        <v>100000</v>
      </c>
      <c r="Q40" s="321"/>
      <c r="R40" s="13">
        <f t="shared" ref="R40" si="6">SUM(K40:Q40)</f>
        <v>5344380</v>
      </c>
      <c r="S40" s="321"/>
      <c r="T40" s="317"/>
      <c r="U40" s="323"/>
      <c r="V40" s="326"/>
      <c r="W40" s="448"/>
      <c r="X40" s="314"/>
      <c r="Y40" s="314"/>
      <c r="Z40" s="314"/>
      <c r="AA40" s="390"/>
      <c r="AB40" s="314"/>
      <c r="AC40" s="314" t="str">
        <f t="shared" si="2"/>
        <v>Cước vận chuyển ICD Tri Phương- Canon Tiên Sơn- ICD Tri Phương , số cont GCXU5761577</v>
      </c>
      <c r="AD40" s="314" t="str">
        <f t="shared" si="4"/>
        <v>Cước vận chuyển sà lan ICD Tri Phương - Lạch Huyện, Hải Phòng , số cont GCXU5761577</v>
      </c>
      <c r="AE40" s="318"/>
    </row>
    <row r="41" spans="1:31" s="319" customFormat="1" ht="48.75" customHeight="1">
      <c r="A41" s="118">
        <f t="shared" si="0"/>
        <v>20</v>
      </c>
      <c r="B41" s="104" t="s">
        <v>109</v>
      </c>
      <c r="C41" s="320">
        <v>46063</v>
      </c>
      <c r="D41" s="490">
        <v>263587242</v>
      </c>
      <c r="E41" s="313">
        <v>308247130830</v>
      </c>
      <c r="F41" s="105" t="s">
        <v>22</v>
      </c>
      <c r="G41" s="267" t="s">
        <v>873</v>
      </c>
      <c r="H41" s="303" t="s">
        <v>872</v>
      </c>
      <c r="I41" s="303" t="s">
        <v>834</v>
      </c>
      <c r="J41" s="334" t="s">
        <v>941</v>
      </c>
      <c r="K41" s="322">
        <v>1194380</v>
      </c>
      <c r="L41" s="321">
        <v>4050000</v>
      </c>
      <c r="M41" s="321"/>
      <c r="N41" s="321"/>
      <c r="O41" s="321"/>
      <c r="P41" s="321">
        <v>100000</v>
      </c>
      <c r="Q41" s="321"/>
      <c r="R41" s="13">
        <f t="shared" ref="R41" si="7">SUM(K41:Q41)</f>
        <v>5344380</v>
      </c>
      <c r="S41" s="321"/>
      <c r="T41" s="317"/>
      <c r="U41" s="323"/>
      <c r="V41" s="326"/>
      <c r="W41" s="448"/>
      <c r="X41" s="314"/>
      <c r="Y41" s="314"/>
      <c r="Z41" s="314"/>
      <c r="AA41" s="390"/>
      <c r="AB41" s="314"/>
      <c r="AC41" s="314" t="str">
        <f t="shared" si="2"/>
        <v>Cước vận chuyển ICD Tri Phương- Canon Tiên Sơn- ICD Tri Phương , số cont MRSU6354970</v>
      </c>
      <c r="AD41" s="314" t="str">
        <f t="shared" si="4"/>
        <v>Cước vận chuyển sà lan ICD Tri Phương - Lạch Huyện, Hải Phòng , số cont MRSU6354970</v>
      </c>
      <c r="AE41" s="318"/>
    </row>
    <row r="42" spans="1:31" s="319" customFormat="1" ht="48.75" customHeight="1">
      <c r="A42" s="118">
        <f t="shared" si="0"/>
        <v>21</v>
      </c>
      <c r="B42" s="104" t="s">
        <v>109</v>
      </c>
      <c r="C42" s="320">
        <v>46064</v>
      </c>
      <c r="D42" s="490">
        <v>263587242</v>
      </c>
      <c r="E42" s="313">
        <v>308252746230</v>
      </c>
      <c r="F42" s="105" t="s">
        <v>22</v>
      </c>
      <c r="G42" s="267" t="s">
        <v>923</v>
      </c>
      <c r="H42" s="303" t="s">
        <v>924</v>
      </c>
      <c r="I42" s="303" t="s">
        <v>834</v>
      </c>
      <c r="J42" s="334" t="s">
        <v>941</v>
      </c>
      <c r="K42" s="322">
        <v>1194380</v>
      </c>
      <c r="L42" s="321">
        <v>4050000</v>
      </c>
      <c r="M42" s="321"/>
      <c r="N42" s="321"/>
      <c r="O42" s="321"/>
      <c r="P42" s="321">
        <v>100000</v>
      </c>
      <c r="Q42" s="321"/>
      <c r="R42" s="13">
        <f t="shared" ref="R42:R43" si="8">SUM(K42:Q42)</f>
        <v>5344380</v>
      </c>
      <c r="S42" s="321"/>
      <c r="T42" s="317"/>
      <c r="U42" s="323"/>
      <c r="V42" s="326"/>
      <c r="W42" s="448"/>
      <c r="X42" s="314"/>
      <c r="Y42" s="314"/>
      <c r="Z42" s="314"/>
      <c r="AA42" s="390"/>
      <c r="AB42" s="314"/>
      <c r="AC42" s="314" t="str">
        <f t="shared" si="2"/>
        <v>Cước vận chuyển ICD Tri Phương- Canon Tiên Sơn- ICD Tri Phương , số cont MRKU4366054</v>
      </c>
      <c r="AD42" s="314" t="str">
        <f t="shared" si="4"/>
        <v>Cước vận chuyển sà lan ICD Tri Phương - Lạch Huyện, Hải Phòng , số cont MRKU4366054</v>
      </c>
      <c r="AE42" s="318"/>
    </row>
    <row r="43" spans="1:31" s="319" customFormat="1" ht="48.75" customHeight="1">
      <c r="A43" s="118">
        <f t="shared" si="0"/>
        <v>22</v>
      </c>
      <c r="B43" s="104" t="s">
        <v>936</v>
      </c>
      <c r="C43" s="504">
        <v>46046</v>
      </c>
      <c r="D43" s="490">
        <v>262863213</v>
      </c>
      <c r="E43" s="313">
        <v>308184475600</v>
      </c>
      <c r="F43" s="491" t="s">
        <v>22</v>
      </c>
      <c r="G43" s="313" t="s">
        <v>938</v>
      </c>
      <c r="H43" s="302" t="s">
        <v>937</v>
      </c>
      <c r="I43" s="302" t="s">
        <v>835</v>
      </c>
      <c r="J43" s="505"/>
      <c r="K43" s="506">
        <v>3901010</v>
      </c>
      <c r="L43" s="321"/>
      <c r="M43" s="321"/>
      <c r="N43" s="321"/>
      <c r="O43" s="321"/>
      <c r="P43" s="321">
        <v>100000</v>
      </c>
      <c r="Q43" s="321"/>
      <c r="R43" s="13">
        <f t="shared" si="8"/>
        <v>4001010</v>
      </c>
      <c r="S43" s="321"/>
      <c r="T43" s="317"/>
      <c r="U43" s="323"/>
      <c r="V43" s="326"/>
      <c r="W43" s="448"/>
      <c r="X43" s="314"/>
      <c r="Y43" s="314"/>
      <c r="Z43" s="314"/>
      <c r="AA43" s="390"/>
      <c r="AB43" s="314"/>
      <c r="AC43" s="314" t="s">
        <v>945</v>
      </c>
      <c r="AD43" s="314"/>
      <c r="AE43" s="318"/>
    </row>
    <row r="44" spans="1:31" s="301" customFormat="1" ht="51" customHeight="1">
      <c r="A44" s="536" t="s">
        <v>15</v>
      </c>
      <c r="B44" s="536"/>
      <c r="C44" s="536"/>
      <c r="D44" s="536"/>
      <c r="E44" s="536"/>
      <c r="F44" s="536"/>
      <c r="G44" s="536"/>
      <c r="H44" s="536"/>
      <c r="I44" s="265"/>
      <c r="J44" s="265"/>
      <c r="K44" s="60">
        <f>SUM(K22:K43)</f>
        <v>29158670</v>
      </c>
      <c r="L44" s="60">
        <f>SUM(L22:L43)</f>
        <v>81000000</v>
      </c>
      <c r="M44" s="60">
        <f>SUM(M22:M43)</f>
        <v>0</v>
      </c>
      <c r="N44" s="60">
        <f t="shared" ref="N44:Q44" si="9">SUM(N22:N41)</f>
        <v>0</v>
      </c>
      <c r="O44" s="60">
        <f t="shared" si="9"/>
        <v>0</v>
      </c>
      <c r="P44" s="60">
        <f>SUM(P22:P43)</f>
        <v>2100000</v>
      </c>
      <c r="Q44" s="60">
        <f t="shared" si="9"/>
        <v>0</v>
      </c>
      <c r="R44" s="60">
        <f>SUM(R22:R43)</f>
        <v>112258670</v>
      </c>
      <c r="S44" s="60"/>
      <c r="T44" s="327"/>
      <c r="U44" s="297"/>
      <c r="V44" s="326"/>
      <c r="W44" s="448"/>
      <c r="X44" s="328"/>
      <c r="Y44" s="297"/>
      <c r="Z44" s="297"/>
      <c r="AA44" s="390"/>
      <c r="AB44" s="297"/>
      <c r="AC44" s="297"/>
      <c r="AD44" s="297"/>
      <c r="AE44" s="300"/>
    </row>
    <row r="45" spans="1:31" ht="15" customHeight="1">
      <c r="A45" s="264"/>
      <c r="B45" s="22"/>
      <c r="C45" s="2"/>
      <c r="D45" s="91"/>
      <c r="E45" s="52"/>
      <c r="F45" s="2"/>
      <c r="G45" s="264"/>
      <c r="H45" s="2"/>
      <c r="I45" s="2"/>
      <c r="J45" s="2"/>
      <c r="K45" s="5"/>
      <c r="L45" s="5"/>
      <c r="M45" s="5"/>
      <c r="N45" s="5"/>
      <c r="O45" s="5"/>
      <c r="P45" s="4"/>
      <c r="Q45" s="4"/>
      <c r="R45" s="4"/>
      <c r="S45" s="5"/>
      <c r="V45" s="326"/>
      <c r="W45" s="448"/>
      <c r="AA45" s="390"/>
    </row>
    <row r="46" spans="1:31" ht="17.25" customHeight="1">
      <c r="A46" s="2"/>
      <c r="B46" s="2"/>
      <c r="C46" s="2"/>
      <c r="D46" s="91"/>
      <c r="E46" s="52"/>
      <c r="F46" s="2"/>
      <c r="G46" s="264"/>
      <c r="H46" s="2"/>
      <c r="I46" s="2"/>
      <c r="J46" s="2"/>
      <c r="K46" s="530" t="str">
        <f>'COVER DN ICDTP'!D40</f>
        <v xml:space="preserve">         Ngày  23  tháng 02  năm 2026</v>
      </c>
      <c r="L46" s="530"/>
      <c r="M46" s="530"/>
      <c r="N46" s="530"/>
      <c r="O46" s="530"/>
      <c r="P46" s="530"/>
      <c r="Q46" s="530"/>
      <c r="R46" s="530"/>
      <c r="S46" s="530"/>
      <c r="T46" s="310"/>
      <c r="V46" s="325"/>
      <c r="W46" s="448"/>
      <c r="AA46" s="391"/>
    </row>
    <row r="47" spans="1:31" ht="2.25" customHeight="1">
      <c r="A47" s="2"/>
      <c r="B47" s="2"/>
      <c r="C47" s="2"/>
      <c r="D47" s="91"/>
      <c r="E47" s="52"/>
      <c r="F47" s="2"/>
      <c r="G47" s="264"/>
      <c r="H47" s="2"/>
      <c r="I47" s="2"/>
      <c r="J47" s="2"/>
      <c r="K47" s="5"/>
      <c r="L47" s="2"/>
      <c r="M47" s="2"/>
      <c r="N47" s="2"/>
      <c r="O47" s="2"/>
      <c r="P47" s="4"/>
      <c r="Q47" s="4"/>
      <c r="R47" s="4"/>
      <c r="S47" s="5"/>
      <c r="V47" s="324"/>
      <c r="W47" s="448"/>
      <c r="AA47" s="390"/>
    </row>
    <row r="48" spans="1:31" ht="18.75" customHeight="1">
      <c r="A48" s="533"/>
      <c r="B48" s="534"/>
      <c r="C48" s="534"/>
      <c r="D48" s="91"/>
      <c r="E48" s="52"/>
      <c r="F48" s="2"/>
      <c r="G48" s="264"/>
      <c r="H48" s="2"/>
      <c r="I48" s="2"/>
      <c r="J48" s="2"/>
      <c r="K48" s="531" t="s">
        <v>44</v>
      </c>
      <c r="L48" s="531"/>
      <c r="M48" s="531"/>
      <c r="N48" s="531"/>
      <c r="O48" s="531"/>
      <c r="P48" s="531"/>
      <c r="Q48" s="531"/>
      <c r="R48" s="531"/>
      <c r="S48" s="531"/>
      <c r="T48" s="282"/>
      <c r="V48" s="324"/>
      <c r="W48" s="448"/>
      <c r="AA48" s="389"/>
    </row>
    <row r="49" spans="2:27" ht="15.75">
      <c r="B49" s="270"/>
      <c r="V49" s="324"/>
      <c r="W49" s="448"/>
      <c r="AA49" s="389"/>
    </row>
    <row r="50" spans="2:27" ht="15.75">
      <c r="B50" s="270"/>
      <c r="V50" s="324"/>
      <c r="W50" s="448"/>
      <c r="AA50" s="389"/>
    </row>
    <row r="51" spans="2:27" ht="15.75">
      <c r="B51" s="270"/>
      <c r="V51" s="324"/>
      <c r="W51" s="448"/>
      <c r="AA51" s="389"/>
    </row>
    <row r="52" spans="2:27">
      <c r="W52" s="448"/>
      <c r="AA52" s="389"/>
    </row>
    <row r="53" spans="2:27">
      <c r="W53" s="448"/>
      <c r="AA53" s="389"/>
    </row>
    <row r="54" spans="2:27">
      <c r="W54" s="448"/>
      <c r="AA54" s="389"/>
    </row>
    <row r="55" spans="2:27">
      <c r="W55" s="448"/>
      <c r="AA55" s="389"/>
    </row>
    <row r="56" spans="2:27">
      <c r="W56" s="448"/>
      <c r="AA56" s="389"/>
    </row>
    <row r="57" spans="2:27">
      <c r="W57" s="448"/>
    </row>
    <row r="58" spans="2:27">
      <c r="W58" s="448"/>
    </row>
    <row r="59" spans="2:27">
      <c r="W59" s="448"/>
    </row>
    <row r="60" spans="2:27">
      <c r="W60" s="448"/>
    </row>
    <row r="61" spans="2:27">
      <c r="H61" s="502"/>
      <c r="W61" s="448"/>
    </row>
    <row r="62" spans="2:27">
      <c r="H62" s="502"/>
      <c r="W62" s="448"/>
    </row>
    <row r="63" spans="2:27">
      <c r="H63" s="502"/>
    </row>
    <row r="64" spans="2:27">
      <c r="H64" s="502"/>
    </row>
    <row r="65" spans="8:8">
      <c r="H65" s="502"/>
    </row>
    <row r="66" spans="8:8">
      <c r="H66" s="502"/>
    </row>
    <row r="67" spans="8:8">
      <c r="H67" s="502"/>
    </row>
    <row r="68" spans="8:8">
      <c r="H68" s="502"/>
    </row>
    <row r="69" spans="8:8">
      <c r="H69" s="502"/>
    </row>
    <row r="70" spans="8:8">
      <c r="H70" s="502"/>
    </row>
    <row r="71" spans="8:8">
      <c r="H71" s="502"/>
    </row>
    <row r="72" spans="8:8">
      <c r="H72" s="502"/>
    </row>
    <row r="73" spans="8:8">
      <c r="H73" s="502"/>
    </row>
  </sheetData>
  <autoFilter ref="A21:AF44"/>
  <mergeCells count="7">
    <mergeCell ref="A48:C48"/>
    <mergeCell ref="K48:S48"/>
    <mergeCell ref="A1:S1"/>
    <mergeCell ref="A2:S2"/>
    <mergeCell ref="A4:S4"/>
    <mergeCell ref="A44:H44"/>
    <mergeCell ref="K46:S46"/>
  </mergeCells>
  <conditionalFormatting sqref="H44:H51">
    <cfRule type="duplicateValues" dxfId="715" priority="585"/>
    <cfRule type="duplicateValues" dxfId="714" priority="586"/>
  </conditionalFormatting>
  <conditionalFormatting sqref="V14:V15">
    <cfRule type="duplicateValues" dxfId="713" priority="584"/>
  </conditionalFormatting>
  <conditionalFormatting sqref="V47:V50">
    <cfRule type="duplicateValues" dxfId="712" priority="583"/>
  </conditionalFormatting>
  <conditionalFormatting sqref="V47:V50">
    <cfRule type="duplicateValues" dxfId="711" priority="582"/>
  </conditionalFormatting>
  <conditionalFormatting sqref="V47:V50">
    <cfRule type="duplicateValues" dxfId="710" priority="587"/>
  </conditionalFormatting>
  <conditionalFormatting sqref="U3">
    <cfRule type="duplicateValues" dxfId="709" priority="527"/>
    <cfRule type="duplicateValues" dxfId="708" priority="528"/>
  </conditionalFormatting>
  <conditionalFormatting sqref="U3">
    <cfRule type="duplicateValues" dxfId="707" priority="529"/>
    <cfRule type="duplicateValues" dxfId="706" priority="530"/>
    <cfRule type="duplicateValues" dxfId="705" priority="531"/>
    <cfRule type="duplicateValues" dxfId="704" priority="532"/>
    <cfRule type="duplicateValues" dxfId="703" priority="533"/>
    <cfRule type="duplicateValues" dxfId="702" priority="534"/>
    <cfRule type="duplicateValues" dxfId="701" priority="535"/>
    <cfRule type="duplicateValues" dxfId="700" priority="536"/>
    <cfRule type="duplicateValues" dxfId="699" priority="537"/>
    <cfRule type="duplicateValues" dxfId="698" priority="538"/>
    <cfRule type="duplicateValues" dxfId="697" priority="539"/>
    <cfRule type="duplicateValues" dxfId="696" priority="540"/>
  </conditionalFormatting>
  <conditionalFormatting sqref="U3">
    <cfRule type="duplicateValues" dxfId="695" priority="541"/>
  </conditionalFormatting>
  <conditionalFormatting sqref="U3">
    <cfRule type="duplicateValues" dxfId="694" priority="525"/>
    <cfRule type="duplicateValues" dxfId="693" priority="526"/>
  </conditionalFormatting>
  <conditionalFormatting sqref="U6">
    <cfRule type="duplicateValues" dxfId="692" priority="510"/>
    <cfRule type="duplicateValues" dxfId="691" priority="511"/>
  </conditionalFormatting>
  <conditionalFormatting sqref="U6">
    <cfRule type="duplicateValues" dxfId="690" priority="512"/>
    <cfRule type="duplicateValues" dxfId="689" priority="513"/>
    <cfRule type="duplicateValues" dxfId="688" priority="514"/>
    <cfRule type="duplicateValues" dxfId="687" priority="515"/>
    <cfRule type="duplicateValues" dxfId="686" priority="516"/>
    <cfRule type="duplicateValues" dxfId="685" priority="517"/>
    <cfRule type="duplicateValues" dxfId="684" priority="518"/>
    <cfRule type="duplicateValues" dxfId="683" priority="519"/>
    <cfRule type="duplicateValues" dxfId="682" priority="520"/>
    <cfRule type="duplicateValues" dxfId="681" priority="521"/>
    <cfRule type="duplicateValues" dxfId="680" priority="522"/>
    <cfRule type="duplicateValues" dxfId="679" priority="523"/>
  </conditionalFormatting>
  <conditionalFormatting sqref="U6">
    <cfRule type="duplicateValues" dxfId="678" priority="524"/>
  </conditionalFormatting>
  <conditionalFormatting sqref="U6">
    <cfRule type="duplicateValues" dxfId="677" priority="508"/>
    <cfRule type="duplicateValues" dxfId="676" priority="509"/>
  </conditionalFormatting>
  <conditionalFormatting sqref="U7">
    <cfRule type="duplicateValues" dxfId="675" priority="493"/>
    <cfRule type="duplicateValues" dxfId="674" priority="494"/>
  </conditionalFormatting>
  <conditionalFormatting sqref="U7">
    <cfRule type="duplicateValues" dxfId="673" priority="495"/>
    <cfRule type="duplicateValues" dxfId="672" priority="496"/>
    <cfRule type="duplicateValues" dxfId="671" priority="497"/>
    <cfRule type="duplicateValues" dxfId="670" priority="498"/>
    <cfRule type="duplicateValues" dxfId="669" priority="499"/>
    <cfRule type="duplicateValues" dxfId="668" priority="500"/>
    <cfRule type="duplicateValues" dxfId="667" priority="501"/>
    <cfRule type="duplicateValues" dxfId="666" priority="502"/>
    <cfRule type="duplicateValues" dxfId="665" priority="503"/>
    <cfRule type="duplicateValues" dxfId="664" priority="504"/>
    <cfRule type="duplicateValues" dxfId="663" priority="505"/>
    <cfRule type="duplicateValues" dxfId="662" priority="506"/>
  </conditionalFormatting>
  <conditionalFormatting sqref="U7">
    <cfRule type="duplicateValues" dxfId="661" priority="507"/>
  </conditionalFormatting>
  <conditionalFormatting sqref="U7">
    <cfRule type="duplicateValues" dxfId="660" priority="491"/>
    <cfRule type="duplicateValues" dxfId="659" priority="492"/>
  </conditionalFormatting>
  <conditionalFormatting sqref="X21">
    <cfRule type="duplicateValues" dxfId="658" priority="416"/>
  </conditionalFormatting>
  <conditionalFormatting sqref="AA18:AB18">
    <cfRule type="duplicateValues" dxfId="657" priority="415"/>
  </conditionalFormatting>
  <conditionalFormatting sqref="AA18:AB18">
    <cfRule type="duplicateValues" dxfId="656" priority="414"/>
  </conditionalFormatting>
  <conditionalFormatting sqref="AA18:AB18">
    <cfRule type="duplicateValues" dxfId="655" priority="411"/>
    <cfRule type="duplicateValues" dxfId="654" priority="412"/>
    <cfRule type="duplicateValues" dxfId="653" priority="413"/>
  </conditionalFormatting>
  <conditionalFormatting sqref="AA18">
    <cfRule type="duplicateValues" dxfId="652" priority="410"/>
  </conditionalFormatting>
  <conditionalFormatting sqref="W18:W19">
    <cfRule type="duplicateValues" dxfId="651" priority="401"/>
    <cfRule type="duplicateValues" dxfId="650" priority="402"/>
  </conditionalFormatting>
  <conditionalFormatting sqref="W18:W19">
    <cfRule type="duplicateValues" dxfId="649" priority="400"/>
  </conditionalFormatting>
  <conditionalFormatting sqref="W18:W19">
    <cfRule type="duplicateValues" dxfId="648" priority="403"/>
  </conditionalFormatting>
  <conditionalFormatting sqref="W18:W19">
    <cfRule type="duplicateValues" dxfId="647" priority="404"/>
  </conditionalFormatting>
  <conditionalFormatting sqref="W18:W19">
    <cfRule type="duplicateValues" dxfId="646" priority="405"/>
    <cfRule type="duplicateValues" dxfId="645" priority="406"/>
  </conditionalFormatting>
  <conditionalFormatting sqref="W18:W19">
    <cfRule type="duplicateValues" dxfId="644" priority="407"/>
    <cfRule type="duplicateValues" dxfId="643" priority="408"/>
    <cfRule type="duplicateValues" dxfId="642" priority="409"/>
  </conditionalFormatting>
  <conditionalFormatting sqref="V11">
    <cfRule type="duplicateValues" dxfId="641" priority="397"/>
    <cfRule type="duplicateValues" dxfId="640" priority="398"/>
    <cfRule type="duplicateValues" dxfId="639" priority="399"/>
  </conditionalFormatting>
  <conditionalFormatting sqref="V11">
    <cfRule type="duplicateValues" dxfId="638" priority="394"/>
    <cfRule type="duplicateValues" dxfId="637" priority="395"/>
    <cfRule type="duplicateValues" dxfId="636" priority="396"/>
  </conditionalFormatting>
  <conditionalFormatting sqref="V10">
    <cfRule type="duplicateValues" dxfId="635" priority="388"/>
    <cfRule type="duplicateValues" dxfId="634" priority="389"/>
    <cfRule type="duplicateValues" dxfId="633" priority="390"/>
  </conditionalFormatting>
  <conditionalFormatting sqref="V10">
    <cfRule type="duplicateValues" dxfId="632" priority="391"/>
    <cfRule type="duplicateValues" dxfId="631" priority="392"/>
    <cfRule type="duplicateValues" dxfId="630" priority="393"/>
  </conditionalFormatting>
  <conditionalFormatting sqref="X11">
    <cfRule type="duplicateValues" dxfId="629" priority="387"/>
  </conditionalFormatting>
  <conditionalFormatting sqref="X14">
    <cfRule type="duplicateValues" dxfId="628" priority="348"/>
  </conditionalFormatting>
  <conditionalFormatting sqref="V51">
    <cfRule type="duplicateValues" dxfId="627" priority="29277"/>
    <cfRule type="duplicateValues" dxfId="626" priority="29278"/>
  </conditionalFormatting>
  <conditionalFormatting sqref="V47:V51">
    <cfRule type="duplicateValues" dxfId="625" priority="29279"/>
  </conditionalFormatting>
  <conditionalFormatting sqref="G1:G1048576">
    <cfRule type="duplicateValues" dxfId="624" priority="234"/>
  </conditionalFormatting>
  <conditionalFormatting sqref="G44:G1048576 G1:G21 W1:W9 W20:W21 W11:W13 W15:W17 W63:W1048576">
    <cfRule type="duplicateValues" dxfId="623" priority="31262"/>
  </conditionalFormatting>
  <conditionalFormatting sqref="H1:H60 H74:H1048576">
    <cfRule type="duplicateValues" dxfId="622" priority="82"/>
  </conditionalFormatting>
  <conditionalFormatting sqref="H1:H60 H74:H1048576">
    <cfRule type="duplicateValues" dxfId="621" priority="34531"/>
    <cfRule type="duplicateValues" dxfId="620" priority="34532"/>
  </conditionalFormatting>
  <conditionalFormatting sqref="H44:H60 H1:H21 H74:H1048576">
    <cfRule type="duplicateValues" dxfId="619" priority="34540"/>
    <cfRule type="duplicateValues" dxfId="618" priority="34541"/>
  </conditionalFormatting>
  <conditionalFormatting sqref="H44:H60 H1:H21 H74:H1048576">
    <cfRule type="duplicateValues" dxfId="617" priority="34548"/>
  </conditionalFormatting>
  <conditionalFormatting sqref="H52:H60 H74:H1048576">
    <cfRule type="duplicateValues" dxfId="616" priority="34552"/>
  </conditionalFormatting>
  <conditionalFormatting sqref="H44:H60 H74:H1048576">
    <cfRule type="duplicateValues" dxfId="615" priority="34555"/>
  </conditionalFormatting>
  <conditionalFormatting sqref="V52:V1048576 H1:H21 V14:V17 V1:V9 V20:V21 V12 H44:H60 H74:H1048576">
    <cfRule type="duplicateValues" dxfId="614" priority="34558"/>
  </conditionalFormatting>
  <conditionalFormatting sqref="V47:V1048576 H1:H21 V1:V9 V14:V17 V20:V21 V12 H44:H60 H74:H1048576">
    <cfRule type="duplicateValues" dxfId="613" priority="34569"/>
  </conditionalFormatting>
  <conditionalFormatting sqref="H44:H60 H74:H1048576">
    <cfRule type="duplicateValues" dxfId="612" priority="34580"/>
    <cfRule type="duplicateValues" dxfId="611" priority="34581"/>
  </conditionalFormatting>
  <conditionalFormatting sqref="AA1:AA1048576 H1:H60 H74:H1048576">
    <cfRule type="duplicateValues" dxfId="610" priority="34586"/>
  </conditionalFormatting>
  <conditionalFormatting sqref="W50:W53">
    <cfRule type="duplicateValues" dxfId="609" priority="38"/>
    <cfRule type="duplicateValues" dxfId="608" priority="39"/>
    <cfRule type="duplicateValues" dxfId="607" priority="40"/>
    <cfRule type="duplicateValues" dxfId="606" priority="41"/>
    <cfRule type="duplicateValues" dxfId="605" priority="42"/>
    <cfRule type="duplicateValues" dxfId="604" priority="43"/>
    <cfRule type="duplicateValues" dxfId="603" priority="44"/>
    <cfRule type="duplicateValues" dxfId="602" priority="45"/>
    <cfRule type="duplicateValues" dxfId="601" priority="46"/>
  </conditionalFormatting>
  <conditionalFormatting sqref="W54:W62">
    <cfRule type="duplicateValues" dxfId="600" priority="29"/>
    <cfRule type="duplicateValues" dxfId="599" priority="30"/>
    <cfRule type="duplicateValues" dxfId="598" priority="31"/>
    <cfRule type="duplicateValues" dxfId="597" priority="32"/>
    <cfRule type="duplicateValues" dxfId="596" priority="33"/>
    <cfRule type="duplicateValues" dxfId="595" priority="34"/>
    <cfRule type="duplicateValues" dxfId="594" priority="35"/>
    <cfRule type="duplicateValues" dxfId="593" priority="36"/>
    <cfRule type="duplicateValues" dxfId="592" priority="37"/>
  </conditionalFormatting>
  <conditionalFormatting sqref="W1:W1048576 H1:H60 H74:H1048576">
    <cfRule type="duplicateValues" dxfId="591" priority="28"/>
  </conditionalFormatting>
  <conditionalFormatting sqref="W44:W49">
    <cfRule type="duplicateValues" dxfId="590" priority="35025"/>
    <cfRule type="duplicateValues" dxfId="589" priority="35026"/>
    <cfRule type="duplicateValues" dxfId="588" priority="35027"/>
    <cfRule type="duplicateValues" dxfId="587" priority="35028"/>
    <cfRule type="duplicateValues" dxfId="586" priority="35029"/>
    <cfRule type="duplicateValues" dxfId="585" priority="35030"/>
    <cfRule type="duplicateValues" dxfId="584" priority="35031"/>
  </conditionalFormatting>
  <conditionalFormatting sqref="W22:W49">
    <cfRule type="duplicateValues" dxfId="583" priority="38676"/>
    <cfRule type="duplicateValues" dxfId="582" priority="38677"/>
  </conditionalFormatting>
  <conditionalFormatting sqref="E22:E43">
    <cfRule type="duplicateValues" dxfId="581" priority="38680"/>
  </conditionalFormatting>
  <conditionalFormatting sqref="U22:U43">
    <cfRule type="duplicateValues" dxfId="580" priority="38681"/>
  </conditionalFormatting>
  <conditionalFormatting sqref="U22:U43">
    <cfRule type="duplicateValues" dxfId="579" priority="38682"/>
  </conditionalFormatting>
  <conditionalFormatting sqref="H22:H43">
    <cfRule type="duplicateValues" dxfId="578" priority="38683"/>
    <cfRule type="duplicateValues" dxfId="577" priority="38684"/>
    <cfRule type="duplicateValues" dxfId="576" priority="38685"/>
  </conditionalFormatting>
  <conditionalFormatting sqref="H22:H43">
    <cfRule type="duplicateValues" dxfId="575" priority="38686"/>
    <cfRule type="duplicateValues" dxfId="574" priority="38687"/>
    <cfRule type="duplicateValues" dxfId="573" priority="38688"/>
  </conditionalFormatting>
  <conditionalFormatting sqref="W22:W43">
    <cfRule type="duplicateValues" dxfId="572" priority="38689"/>
  </conditionalFormatting>
  <conditionalFormatting sqref="W22:W43">
    <cfRule type="duplicateValues" dxfId="571" priority="38690"/>
    <cfRule type="duplicateValues" dxfId="570" priority="38691"/>
    <cfRule type="duplicateValues" dxfId="569" priority="38692"/>
    <cfRule type="duplicateValues" dxfId="568" priority="38693"/>
  </conditionalFormatting>
  <conditionalFormatting sqref="W22:W43">
    <cfRule type="duplicateValues" dxfId="567" priority="38694"/>
    <cfRule type="duplicateValues" dxfId="566" priority="38695"/>
  </conditionalFormatting>
  <conditionalFormatting sqref="H61:H62 H65:H73">
    <cfRule type="duplicateValues" dxfId="565" priority="3"/>
  </conditionalFormatting>
  <conditionalFormatting sqref="H61:H73">
    <cfRule type="duplicateValues" dxfId="564" priority="2"/>
  </conditionalFormatting>
  <conditionalFormatting sqref="H1:H1048576">
    <cfRule type="duplicateValues" dxfId="563" priority="1"/>
  </conditionalFormatting>
  <pageMargins left="0.7" right="0.7" top="0.27" bottom="0.36" header="0.2" footer="0.3"/>
  <pageSetup paperSize="9" scale="44" orientation="landscape" r:id="rId1"/>
  <colBreaks count="2" manualBreakCount="2">
    <brk id="19" max="1048575" man="1"/>
    <brk id="28" max="9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P42"/>
  <sheetViews>
    <sheetView workbookViewId="0">
      <selection activeCell="P43" sqref="P43"/>
    </sheetView>
  </sheetViews>
  <sheetFormatPr defaultRowHeight="15"/>
  <cols>
    <col min="8" max="10" width="16.5703125" customWidth="1"/>
  </cols>
  <sheetData>
    <row r="5" spans="8:16" ht="120.75">
      <c r="H5" s="267"/>
      <c r="I5" s="303"/>
      <c r="O5" s="104" t="s">
        <v>150</v>
      </c>
      <c r="P5" s="331" t="s">
        <v>164</v>
      </c>
    </row>
    <row r="6" spans="8:16" ht="138">
      <c r="H6" s="267"/>
      <c r="I6" s="303"/>
      <c r="O6" s="388" t="s">
        <v>272</v>
      </c>
      <c r="P6" s="331" t="s">
        <v>270</v>
      </c>
    </row>
    <row r="7" spans="8:16" ht="138">
      <c r="O7" s="104" t="s">
        <v>267</v>
      </c>
      <c r="P7" s="331" t="s">
        <v>270</v>
      </c>
    </row>
    <row r="8" spans="8:16" ht="120.75">
      <c r="O8" s="104" t="s">
        <v>268</v>
      </c>
      <c r="P8" s="331" t="s">
        <v>88</v>
      </c>
    </row>
    <row r="9" spans="8:16" ht="120.75">
      <c r="O9" s="104" t="s">
        <v>268</v>
      </c>
      <c r="P9" s="331" t="s">
        <v>88</v>
      </c>
    </row>
    <row r="10" spans="8:16" ht="120.75">
      <c r="O10" s="104" t="s">
        <v>268</v>
      </c>
      <c r="P10" s="331" t="s">
        <v>88</v>
      </c>
    </row>
    <row r="11" spans="8:16" ht="120.75">
      <c r="O11" s="104" t="s">
        <v>268</v>
      </c>
      <c r="P11" s="331" t="s">
        <v>88</v>
      </c>
    </row>
    <row r="12" spans="8:16" ht="138">
      <c r="O12" s="104" t="s">
        <v>272</v>
      </c>
      <c r="P12" s="331" t="s">
        <v>270</v>
      </c>
    </row>
    <row r="13" spans="8:16" ht="138">
      <c r="O13" s="104" t="s">
        <v>272</v>
      </c>
      <c r="P13" s="331" t="s">
        <v>270</v>
      </c>
    </row>
    <row r="14" spans="8:16" ht="157.5">
      <c r="O14" s="104" t="s">
        <v>149</v>
      </c>
      <c r="P14" s="331" t="s">
        <v>164</v>
      </c>
    </row>
    <row r="15" spans="8:16" ht="138">
      <c r="O15" s="104" t="s">
        <v>272</v>
      </c>
      <c r="P15" s="331" t="s">
        <v>270</v>
      </c>
    </row>
    <row r="16" spans="8:16" ht="120.75">
      <c r="O16" s="104" t="s">
        <v>150</v>
      </c>
      <c r="P16" s="331" t="s">
        <v>164</v>
      </c>
    </row>
    <row r="17" spans="15:16" ht="155.25">
      <c r="O17" s="104" t="s">
        <v>269</v>
      </c>
      <c r="P17" s="331" t="s">
        <v>271</v>
      </c>
    </row>
    <row r="18" spans="15:16" ht="155.25">
      <c r="O18" s="104" t="s">
        <v>269</v>
      </c>
      <c r="P18" s="331" t="s">
        <v>271</v>
      </c>
    </row>
    <row r="19" spans="15:16" ht="155.25">
      <c r="O19" s="104" t="s">
        <v>269</v>
      </c>
      <c r="P19" s="331" t="s">
        <v>271</v>
      </c>
    </row>
    <row r="20" spans="15:16" ht="155.25">
      <c r="O20" s="104" t="s">
        <v>269</v>
      </c>
      <c r="P20" s="331" t="s">
        <v>271</v>
      </c>
    </row>
    <row r="21" spans="15:16" ht="120.75">
      <c r="O21" s="104" t="s">
        <v>268</v>
      </c>
      <c r="P21" s="331" t="s">
        <v>88</v>
      </c>
    </row>
    <row r="22" spans="15:16" ht="138">
      <c r="O22" s="104" t="s">
        <v>272</v>
      </c>
      <c r="P22" s="331" t="s">
        <v>270</v>
      </c>
    </row>
    <row r="23" spans="15:16" ht="172.5">
      <c r="O23" s="104" t="s">
        <v>273</v>
      </c>
      <c r="P23" s="331" t="s">
        <v>165</v>
      </c>
    </row>
    <row r="24" spans="15:16" ht="94.5">
      <c r="O24" s="104" t="s">
        <v>141</v>
      </c>
      <c r="P24" s="331" t="s">
        <v>166</v>
      </c>
    </row>
    <row r="25" spans="15:16" ht="120.75">
      <c r="O25" s="104" t="s">
        <v>150</v>
      </c>
      <c r="P25" s="331" t="s">
        <v>164</v>
      </c>
    </row>
    <row r="26" spans="15:16" ht="120.75">
      <c r="O26" s="104" t="s">
        <v>150</v>
      </c>
      <c r="P26" s="331" t="s">
        <v>164</v>
      </c>
    </row>
    <row r="27" spans="15:16" ht="138">
      <c r="O27" s="104" t="s">
        <v>276</v>
      </c>
      <c r="P27" s="331" t="s">
        <v>274</v>
      </c>
    </row>
    <row r="28" spans="15:16" ht="172.5">
      <c r="O28" s="104" t="s">
        <v>277</v>
      </c>
      <c r="P28" s="331" t="s">
        <v>275</v>
      </c>
    </row>
    <row r="29" spans="15:16" ht="138">
      <c r="O29" s="388" t="s">
        <v>272</v>
      </c>
      <c r="P29" s="331" t="s">
        <v>270</v>
      </c>
    </row>
    <row r="30" spans="15:16" ht="138">
      <c r="O30" s="104" t="s">
        <v>276</v>
      </c>
      <c r="P30" s="331" t="s">
        <v>274</v>
      </c>
    </row>
    <row r="31" spans="15:16" ht="138">
      <c r="O31" s="104" t="s">
        <v>272</v>
      </c>
      <c r="P31" s="331" t="s">
        <v>270</v>
      </c>
    </row>
    <row r="32" spans="15:16" ht="120.75">
      <c r="O32" s="104" t="s">
        <v>150</v>
      </c>
      <c r="P32" s="331" t="s">
        <v>164</v>
      </c>
    </row>
    <row r="33" spans="15:16" ht="172.5">
      <c r="O33" s="104" t="s">
        <v>277</v>
      </c>
      <c r="P33" s="331" t="s">
        <v>275</v>
      </c>
    </row>
    <row r="34" spans="15:16" ht="138">
      <c r="O34" s="104" t="s">
        <v>272</v>
      </c>
      <c r="P34" s="331" t="s">
        <v>270</v>
      </c>
    </row>
    <row r="35" spans="15:16" ht="138">
      <c r="O35" s="104" t="s">
        <v>267</v>
      </c>
      <c r="P35" s="331" t="s">
        <v>270</v>
      </c>
    </row>
    <row r="36" spans="15:16" ht="138">
      <c r="O36" s="104" t="s">
        <v>267</v>
      </c>
      <c r="P36" s="331" t="s">
        <v>270</v>
      </c>
    </row>
    <row r="37" spans="15:16" ht="138">
      <c r="O37" s="388" t="s">
        <v>279</v>
      </c>
      <c r="P37" s="332" t="s">
        <v>270</v>
      </c>
    </row>
    <row r="38" spans="15:16" ht="172.5">
      <c r="O38" s="388" t="s">
        <v>140</v>
      </c>
      <c r="P38" s="332" t="s">
        <v>280</v>
      </c>
    </row>
    <row r="39" spans="15:16" ht="172.5">
      <c r="O39" s="104" t="s">
        <v>281</v>
      </c>
      <c r="P39" s="331" t="s">
        <v>275</v>
      </c>
    </row>
    <row r="40" spans="15:16" ht="120.75">
      <c r="O40" s="388" t="s">
        <v>282</v>
      </c>
      <c r="P40" s="331" t="s">
        <v>283</v>
      </c>
    </row>
    <row r="41" spans="15:16" ht="202.5">
      <c r="O41" s="462" t="s">
        <v>510</v>
      </c>
      <c r="P41" s="332" t="s">
        <v>280</v>
      </c>
    </row>
    <row r="42" spans="15:16" ht="182.25">
      <c r="O42" s="492" t="s">
        <v>509</v>
      </c>
      <c r="P42" s="493" t="s">
        <v>511</v>
      </c>
    </row>
  </sheetData>
  <conditionalFormatting sqref="H5:H6">
    <cfRule type="duplicateValues" dxfId="562" priority="3"/>
  </conditionalFormatting>
  <conditionalFormatting sqref="I5:I6">
    <cfRule type="duplicateValues" dxfId="561" priority="4"/>
    <cfRule type="duplicateValues" dxfId="560" priority="5"/>
    <cfRule type="duplicateValues" dxfId="559" priority="6"/>
  </conditionalFormatting>
  <conditionalFormatting sqref="I5:I6">
    <cfRule type="duplicateValues" dxfId="558" priority="7"/>
    <cfRule type="duplicateValues" dxfId="557" priority="8"/>
    <cfRule type="duplicateValues" dxfId="556" priority="9"/>
  </conditionalFormatting>
  <conditionalFormatting sqref="I5:I6">
    <cfRule type="duplicateValues" dxfId="555" priority="1"/>
    <cfRule type="duplicateValues" dxfId="554" priority="2"/>
  </conditionalFormatting>
  <conditionalFormatting sqref="I5:I6">
    <cfRule type="duplicateValues" dxfId="553" priority="10"/>
  </conditionalFormatting>
  <conditionalFormatting sqref="I5:I6">
    <cfRule type="duplicateValues" dxfId="552" priority="11"/>
    <cfRule type="duplicateValues" dxfId="551" priority="12"/>
  </conditionalFormatting>
  <conditionalFormatting sqref="I5:I6">
    <cfRule type="duplicateValues" dxfId="550" priority="1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topLeftCell="A16" zoomScale="85" zoomScaleNormal="85" workbookViewId="0">
      <selection activeCell="D19" sqref="D19"/>
    </sheetView>
  </sheetViews>
  <sheetFormatPr defaultColWidth="9.140625" defaultRowHeight="15.75"/>
  <cols>
    <col min="1" max="1" width="5.28515625" style="2" customWidth="1"/>
    <col min="2" max="2" width="22.5703125" style="3" bestFit="1" customWidth="1"/>
    <col min="3" max="3" width="20.140625" style="2" bestFit="1" customWidth="1"/>
    <col min="4" max="4" width="9.5703125" style="2" customWidth="1"/>
    <col min="5" max="5" width="24.85546875" style="2" customWidth="1"/>
    <col min="6" max="6" width="6.7109375" style="2" customWidth="1"/>
    <col min="7" max="7" width="12.85546875" style="2" customWidth="1"/>
    <col min="8" max="8" width="17.140625" style="2" customWidth="1"/>
    <col min="9" max="9" width="13.42578125" style="5" customWidth="1"/>
    <col min="10" max="10" width="9.140625" style="2"/>
    <col min="11" max="11" width="11.5703125" style="2" customWidth="1"/>
    <col min="12" max="12" width="10.28515625" style="2" bestFit="1" customWidth="1"/>
    <col min="13" max="13" width="9.140625" style="2"/>
    <col min="14" max="14" width="12.85546875" style="2" bestFit="1" customWidth="1"/>
    <col min="15" max="16384" width="9.140625" style="2"/>
  </cols>
  <sheetData>
    <row r="1" spans="1:9" ht="16.5" customHeight="1">
      <c r="A1" s="525" t="s">
        <v>0</v>
      </c>
      <c r="B1" s="525"/>
      <c r="C1" s="525"/>
      <c r="D1" s="525"/>
      <c r="E1" s="525"/>
      <c r="F1" s="525"/>
      <c r="G1" s="525"/>
      <c r="H1" s="525"/>
      <c r="I1" s="1"/>
    </row>
    <row r="2" spans="1:9" ht="15.75" customHeight="1">
      <c r="A2" s="525" t="s">
        <v>1</v>
      </c>
      <c r="B2" s="525"/>
      <c r="C2" s="525"/>
      <c r="D2" s="525"/>
      <c r="E2" s="525"/>
      <c r="F2" s="525"/>
      <c r="G2" s="525"/>
      <c r="H2" s="525"/>
      <c r="I2" s="1"/>
    </row>
    <row r="3" spans="1:9" ht="5.25" customHeight="1"/>
    <row r="4" spans="1:9" ht="21.75" customHeight="1">
      <c r="A4" s="523" t="s">
        <v>31</v>
      </c>
      <c r="B4" s="523"/>
      <c r="C4" s="523"/>
      <c r="D4" s="523"/>
      <c r="E4" s="523"/>
      <c r="F4" s="523"/>
      <c r="G4" s="523"/>
      <c r="H4" s="523"/>
      <c r="I4" s="6"/>
    </row>
    <row r="5" spans="1:9" ht="1.5" customHeight="1"/>
    <row r="6" spans="1:9" ht="15.6" customHeight="1">
      <c r="A6" s="7" t="s">
        <v>2</v>
      </c>
    </row>
    <row r="7" spans="1:9" ht="13.5" customHeight="1">
      <c r="A7" s="2" t="s">
        <v>3</v>
      </c>
    </row>
    <row r="8" spans="1:9" ht="19.5" customHeight="1">
      <c r="A8" s="8" t="s">
        <v>27</v>
      </c>
      <c r="F8" s="9"/>
      <c r="G8" s="9"/>
      <c r="H8" s="9"/>
    </row>
    <row r="9" spans="1:9" ht="16.5" customHeight="1">
      <c r="A9" s="2" t="s">
        <v>82</v>
      </c>
      <c r="F9" s="9"/>
      <c r="G9" s="9"/>
      <c r="H9" s="10"/>
    </row>
    <row r="10" spans="1:9" ht="16.5" customHeight="1">
      <c r="A10" s="2" t="s">
        <v>28</v>
      </c>
      <c r="F10" s="9"/>
      <c r="G10" s="9"/>
      <c r="H10" s="9"/>
    </row>
    <row r="11" spans="1:9" ht="17.25" customHeight="1">
      <c r="A11" s="2" t="s">
        <v>4</v>
      </c>
      <c r="D11" s="2" t="s">
        <v>5</v>
      </c>
    </row>
    <row r="12" spans="1:9" ht="3" customHeight="1"/>
    <row r="13" spans="1:9" ht="16.5" customHeight="1">
      <c r="A13" s="8" t="s">
        <v>6</v>
      </c>
    </row>
    <row r="14" spans="1:9" ht="16.5" customHeight="1">
      <c r="A14" s="2" t="s">
        <v>81</v>
      </c>
    </row>
    <row r="15" spans="1:9" ht="13.5" customHeight="1">
      <c r="A15" s="2" t="s">
        <v>7</v>
      </c>
    </row>
    <row r="16" spans="1:9" ht="13.5" customHeight="1">
      <c r="A16" s="2" t="s">
        <v>4</v>
      </c>
      <c r="D16" s="2" t="s">
        <v>5</v>
      </c>
    </row>
    <row r="17" spans="1:14">
      <c r="A17" s="2" t="s">
        <v>8</v>
      </c>
    </row>
    <row r="18" spans="1:14" ht="27" customHeight="1">
      <c r="C18" s="49" t="s">
        <v>29</v>
      </c>
      <c r="D18" s="50" t="s">
        <v>424</v>
      </c>
      <c r="E18" s="47"/>
    </row>
    <row r="19" spans="1:14" ht="27" customHeight="1">
      <c r="C19" s="49" t="s">
        <v>30</v>
      </c>
      <c r="D19" s="51" t="str">
        <f>'COVER DN XUẤT'!D19</f>
        <v>23/02/2026</v>
      </c>
      <c r="E19" s="47"/>
      <c r="I19" s="173"/>
    </row>
    <row r="20" spans="1:14" ht="17.25" customHeight="1"/>
    <row r="21" spans="1:14" ht="17.25" customHeight="1"/>
    <row r="22" spans="1:14" s="15" customFormat="1" ht="31.5">
      <c r="A22" s="539" t="s">
        <v>32</v>
      </c>
      <c r="B22" s="539"/>
      <c r="C22" s="539"/>
      <c r="D22" s="539"/>
      <c r="E22" s="48" t="s">
        <v>33</v>
      </c>
      <c r="F22" s="539" t="s">
        <v>34</v>
      </c>
      <c r="G22" s="539"/>
      <c r="H22" s="539"/>
      <c r="I22" s="14"/>
      <c r="K22" s="16"/>
    </row>
    <row r="23" spans="1:14" s="18" customFormat="1" ht="24" customHeight="1">
      <c r="A23" s="27">
        <v>1</v>
      </c>
      <c r="B23" s="28" t="s">
        <v>41</v>
      </c>
      <c r="C23" s="29"/>
      <c r="D23" s="30"/>
      <c r="E23" s="31">
        <f>'CSHT XUẤT'!H89</f>
        <v>26750000</v>
      </c>
      <c r="F23" s="32"/>
      <c r="G23" s="32"/>
      <c r="H23" s="33"/>
      <c r="I23" s="17"/>
      <c r="K23" s="19"/>
      <c r="N23" s="20"/>
    </row>
    <row r="24" spans="1:14" s="18" customFormat="1" ht="24" customHeight="1">
      <c r="A24" s="34">
        <v>2</v>
      </c>
      <c r="B24" s="35" t="s">
        <v>45</v>
      </c>
      <c r="C24" s="35"/>
      <c r="D24" s="36"/>
      <c r="E24" s="37">
        <f>'CSHT XUẤT'!M89</f>
        <v>51446000</v>
      </c>
      <c r="F24" s="32"/>
      <c r="G24" s="32"/>
      <c r="H24" s="33"/>
      <c r="I24" s="17"/>
      <c r="K24" s="19"/>
      <c r="N24" s="20"/>
    </row>
    <row r="25" spans="1:14" s="18" customFormat="1" ht="24" customHeight="1">
      <c r="A25" s="34">
        <v>3</v>
      </c>
      <c r="B25" s="38" t="s">
        <v>46</v>
      </c>
      <c r="C25" s="39"/>
      <c r="D25" s="40"/>
      <c r="E25" s="37">
        <f>'CSHT XUẤT'!S89</f>
        <v>61472800</v>
      </c>
      <c r="F25" s="32"/>
      <c r="G25" s="32"/>
      <c r="H25" s="33"/>
      <c r="I25" s="17"/>
      <c r="K25" s="19"/>
      <c r="N25" s="20"/>
    </row>
    <row r="26" spans="1:14" s="18" customFormat="1" ht="24" customHeight="1">
      <c r="A26" s="34">
        <v>4</v>
      </c>
      <c r="B26" s="35" t="s">
        <v>53</v>
      </c>
      <c r="C26" s="39"/>
      <c r="D26" s="40"/>
      <c r="E26" s="37">
        <f>'CSHT XUẤT'!Y89</f>
        <v>20000</v>
      </c>
      <c r="F26" s="32"/>
      <c r="G26" s="32"/>
      <c r="H26" s="33"/>
      <c r="I26" s="17"/>
      <c r="K26" s="19"/>
      <c r="N26" s="20"/>
    </row>
    <row r="27" spans="1:14" s="18" customFormat="1" ht="24" customHeight="1">
      <c r="A27" s="34"/>
      <c r="B27" s="41"/>
      <c r="C27" s="39"/>
      <c r="D27" s="40"/>
      <c r="E27" s="37"/>
      <c r="F27" s="32"/>
      <c r="G27" s="32"/>
      <c r="H27" s="33"/>
      <c r="I27" s="17"/>
      <c r="K27" s="19"/>
      <c r="N27" s="20"/>
    </row>
    <row r="28" spans="1:14" s="18" customFormat="1" ht="24" customHeight="1">
      <c r="A28" s="34"/>
      <c r="B28" s="41"/>
      <c r="C28" s="39"/>
      <c r="D28" s="40"/>
      <c r="E28" s="37"/>
      <c r="F28" s="32"/>
      <c r="G28" s="32"/>
      <c r="H28" s="33"/>
      <c r="I28" s="17"/>
      <c r="K28" s="19"/>
      <c r="N28" s="20"/>
    </row>
    <row r="29" spans="1:14" s="18" customFormat="1" ht="24" customHeight="1">
      <c r="A29" s="34"/>
      <c r="B29" s="41"/>
      <c r="C29" s="39"/>
      <c r="D29" s="40"/>
      <c r="E29" s="37"/>
      <c r="F29" s="32"/>
      <c r="G29" s="32"/>
      <c r="H29" s="33"/>
      <c r="I29" s="17"/>
      <c r="K29" s="19"/>
      <c r="N29" s="20"/>
    </row>
    <row r="30" spans="1:14" s="18" customFormat="1" ht="24" customHeight="1">
      <c r="A30" s="34"/>
      <c r="B30" s="41"/>
      <c r="C30" s="39"/>
      <c r="D30" s="40"/>
      <c r="E30" s="37"/>
      <c r="F30" s="32"/>
      <c r="G30" s="32"/>
      <c r="H30" s="33"/>
      <c r="I30" s="17"/>
      <c r="K30" s="19"/>
      <c r="N30" s="20"/>
    </row>
    <row r="31" spans="1:14" s="18" customFormat="1" ht="24" customHeight="1">
      <c r="A31" s="34"/>
      <c r="B31" s="41"/>
      <c r="C31" s="39"/>
      <c r="D31" s="40"/>
      <c r="E31" s="37"/>
      <c r="F31" s="32"/>
      <c r="G31" s="32"/>
      <c r="H31" s="33"/>
      <c r="I31" s="17"/>
      <c r="K31" s="19"/>
    </row>
    <row r="32" spans="1:14" ht="24" customHeight="1">
      <c r="A32" s="34"/>
      <c r="B32" s="41"/>
      <c r="C32" s="39"/>
      <c r="D32" s="40"/>
      <c r="E32" s="37"/>
      <c r="F32" s="98"/>
      <c r="G32" s="98"/>
      <c r="H32" s="99"/>
      <c r="I32" s="21"/>
    </row>
    <row r="33" spans="1:9" ht="24" customHeight="1">
      <c r="A33" s="34"/>
      <c r="B33" s="41"/>
      <c r="C33" s="39"/>
      <c r="D33" s="40"/>
      <c r="E33" s="37"/>
      <c r="F33" s="98"/>
      <c r="G33" s="98"/>
      <c r="H33" s="99"/>
    </row>
    <row r="34" spans="1:9" ht="24" customHeight="1">
      <c r="A34" s="34"/>
      <c r="B34" s="38"/>
      <c r="C34" s="39"/>
      <c r="D34" s="40"/>
      <c r="E34" s="37"/>
      <c r="F34" s="100"/>
      <c r="G34" s="100"/>
      <c r="H34" s="101"/>
    </row>
    <row r="35" spans="1:9" ht="24" customHeight="1">
      <c r="A35" s="529" t="s">
        <v>36</v>
      </c>
      <c r="B35" s="527"/>
      <c r="C35" s="527"/>
      <c r="D35" s="528"/>
      <c r="E35" s="58">
        <f>E23+E24+E25+E26</f>
        <v>139688800</v>
      </c>
      <c r="F35" s="42"/>
      <c r="G35" s="42"/>
      <c r="H35" s="43"/>
    </row>
    <row r="36" spans="1:9" ht="24" customHeight="1">
      <c r="A36" s="529" t="s">
        <v>37</v>
      </c>
      <c r="B36" s="527"/>
      <c r="C36" s="527"/>
      <c r="D36" s="528"/>
      <c r="E36" s="59"/>
      <c r="F36" s="45"/>
      <c r="G36" s="45"/>
      <c r="H36" s="46"/>
    </row>
    <row r="37" spans="1:9" ht="24" customHeight="1">
      <c r="A37" s="529" t="s">
        <v>38</v>
      </c>
      <c r="B37" s="527"/>
      <c r="C37" s="527"/>
      <c r="D37" s="528"/>
      <c r="E37" s="55">
        <f>SUM(E35:E36)</f>
        <v>139688800</v>
      </c>
      <c r="F37" s="45"/>
      <c r="G37" s="45"/>
      <c r="H37" s="46"/>
    </row>
    <row r="38" spans="1:9" ht="24" customHeight="1">
      <c r="A38" s="540"/>
      <c r="B38" s="541"/>
      <c r="C38" s="541"/>
      <c r="D38" s="541"/>
      <c r="E38" s="541"/>
      <c r="F38" s="541"/>
      <c r="G38" s="541"/>
      <c r="H38" s="542"/>
      <c r="I38" s="18"/>
    </row>
    <row r="39" spans="1:9" ht="24" customHeight="1">
      <c r="A39" s="39"/>
      <c r="B39" s="39"/>
      <c r="C39" s="39"/>
      <c r="D39" s="39"/>
      <c r="E39" s="39"/>
      <c r="F39" s="39"/>
      <c r="G39" s="39"/>
      <c r="H39" s="39"/>
    </row>
    <row r="40" spans="1:9">
      <c r="A40" s="39"/>
      <c r="B40" s="39"/>
      <c r="C40" s="39"/>
      <c r="D40" s="530" t="str">
        <f>'COVER DN XUẤT'!D41:H41</f>
        <v xml:space="preserve">         Ngày  23  tháng 02  năm 2026</v>
      </c>
      <c r="E40" s="530"/>
      <c r="F40" s="530"/>
      <c r="G40" s="530"/>
      <c r="H40" s="530"/>
    </row>
    <row r="41" spans="1:9">
      <c r="F41" s="4"/>
      <c r="G41" s="4"/>
      <c r="H41" s="5"/>
    </row>
    <row r="42" spans="1:9">
      <c r="D42" s="531" t="s">
        <v>43</v>
      </c>
      <c r="E42" s="531"/>
      <c r="F42" s="531"/>
      <c r="G42" s="531"/>
      <c r="H42" s="531"/>
    </row>
  </sheetData>
  <mergeCells count="11">
    <mergeCell ref="D40:H40"/>
    <mergeCell ref="D42:H42"/>
    <mergeCell ref="A35:D35"/>
    <mergeCell ref="A36:D36"/>
    <mergeCell ref="A37:D37"/>
    <mergeCell ref="A38:H38"/>
    <mergeCell ref="A1:H1"/>
    <mergeCell ref="A2:H2"/>
    <mergeCell ref="A4:H4"/>
    <mergeCell ref="A22:D22"/>
    <mergeCell ref="F22:H22"/>
  </mergeCells>
  <pageMargins left="0.53" right="0.3" top="0.4" bottom="0.75" header="0.2" footer="0.3"/>
  <pageSetup paperSize="9" scale="7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106"/>
  <sheetViews>
    <sheetView view="pageBreakPreview" zoomScale="55" zoomScaleNormal="70" zoomScaleSheetLayoutView="55" workbookViewId="0">
      <pane ySplit="21" topLeftCell="A70" activePane="bottomLeft" state="frozen"/>
      <selection activeCell="I33" sqref="I33"/>
      <selection pane="bottomLeft" activeCell="H70" sqref="H70"/>
    </sheetView>
  </sheetViews>
  <sheetFormatPr defaultColWidth="9.140625" defaultRowHeight="23.25"/>
  <cols>
    <col min="1" max="1" width="7.140625" style="2" customWidth="1"/>
    <col min="2" max="2" width="22.28515625" style="3" customWidth="1"/>
    <col min="3" max="3" width="26.28515625" style="2" customWidth="1"/>
    <col min="4" max="4" width="27.85546875" style="2" customWidth="1"/>
    <col min="5" max="5" width="10.85546875" style="2" customWidth="1"/>
    <col min="6" max="6" width="21.28515625" style="2" customWidth="1"/>
    <col min="7" max="7" width="26.28515625" style="2" customWidth="1"/>
    <col min="8" max="8" width="20.42578125" style="117" customWidth="1"/>
    <col min="9" max="9" width="17.85546875" style="4" customWidth="1"/>
    <col min="10" max="10" width="18.7109375" style="52" customWidth="1"/>
    <col min="11" max="11" width="23.7109375" style="411" customWidth="1"/>
    <col min="12" max="12" width="17.42578125" style="4" customWidth="1"/>
    <col min="13" max="13" width="22.42578125" style="4" customWidth="1"/>
    <col min="14" max="14" width="15.5703125" style="130" customWidth="1"/>
    <col min="15" max="15" width="21.85546875" style="2" customWidth="1"/>
    <col min="16" max="16" width="28.7109375" style="108" customWidth="1"/>
    <col min="17" max="17" width="23.5703125" style="411" customWidth="1"/>
    <col min="18" max="18" width="18.28515625" style="2" customWidth="1"/>
    <col min="19" max="19" width="24.140625" style="2" customWidth="1"/>
    <col min="20" max="20" width="17.7109375" style="52" customWidth="1"/>
    <col min="21" max="21" width="20.85546875" style="2" customWidth="1"/>
    <col min="22" max="22" width="42" style="2" customWidth="1"/>
    <col min="23" max="23" width="17.42578125" style="5" customWidth="1"/>
    <col min="24" max="24" width="15.85546875" style="2" customWidth="1"/>
    <col min="25" max="25" width="17.140625" style="2" customWidth="1"/>
    <col min="26" max="26" width="17.85546875" style="197" customWidth="1"/>
    <col min="27" max="27" width="23.28515625" style="2" customWidth="1"/>
    <col min="28" max="28" width="25.7109375" style="2" customWidth="1"/>
    <col min="29" max="29" width="28.5703125" style="2" customWidth="1"/>
    <col min="30" max="30" width="13.42578125" style="25" customWidth="1"/>
    <col min="31" max="31" width="36.85546875" style="128" customWidth="1"/>
    <col min="32" max="32" width="34.7109375" style="466" customWidth="1"/>
    <col min="33" max="33" width="23.140625" style="467" customWidth="1"/>
    <col min="34" max="34" width="40.140625" style="25" customWidth="1"/>
    <col min="35" max="35" width="19.5703125" style="25" customWidth="1"/>
    <col min="36" max="36" width="21.7109375" style="128" customWidth="1"/>
    <col min="37" max="37" width="20.5703125" style="84" customWidth="1"/>
    <col min="38" max="38" width="17.42578125" style="25" customWidth="1"/>
    <col min="39" max="39" width="14.5703125" style="91" customWidth="1"/>
    <col min="40" max="40" width="18.7109375" style="156" customWidth="1"/>
    <col min="41" max="41" width="11.140625" style="156" bestFit="1" customWidth="1"/>
    <col min="42" max="42" width="12.85546875" style="25" customWidth="1"/>
    <col min="43" max="43" width="17.85546875" style="25" bestFit="1" customWidth="1"/>
    <col min="44" max="44" width="15" style="157" bestFit="1" customWidth="1"/>
    <col min="45" max="45" width="17.85546875" style="2" bestFit="1" customWidth="1"/>
    <col min="46" max="16384" width="9.140625" style="2"/>
  </cols>
  <sheetData>
    <row r="1" spans="1:44" s="121" customFormat="1" ht="31.5" customHeight="1">
      <c r="A1" s="547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8"/>
      <c r="L1" s="547"/>
      <c r="M1" s="547"/>
      <c r="N1" s="547"/>
      <c r="O1" s="547"/>
      <c r="P1" s="547"/>
      <c r="Q1" s="549"/>
      <c r="R1" s="547"/>
      <c r="S1" s="547"/>
      <c r="T1" s="547"/>
      <c r="U1" s="547"/>
      <c r="V1" s="547"/>
      <c r="W1" s="550"/>
      <c r="X1" s="547"/>
      <c r="Y1" s="547"/>
      <c r="Z1" s="551"/>
      <c r="AA1" s="547"/>
      <c r="AB1" s="547"/>
      <c r="AC1" s="547"/>
      <c r="AD1" s="119"/>
      <c r="AE1" s="126"/>
      <c r="AF1" s="349"/>
      <c r="AG1" s="347"/>
      <c r="AH1" s="360"/>
      <c r="AI1" s="410" t="s">
        <v>87</v>
      </c>
      <c r="AJ1" s="126"/>
      <c r="AK1" s="123"/>
      <c r="AL1" s="122"/>
      <c r="AM1" s="196"/>
      <c r="AN1" s="152"/>
      <c r="AO1" s="152"/>
      <c r="AP1" s="122"/>
      <c r="AQ1" s="122"/>
      <c r="AR1" s="153"/>
    </row>
    <row r="2" spans="1:44" s="62" customFormat="1" ht="31.5" customHeight="1">
      <c r="A2" s="552" t="s">
        <v>1</v>
      </c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4"/>
      <c r="R2" s="552"/>
      <c r="S2" s="552"/>
      <c r="T2" s="552"/>
      <c r="U2" s="552"/>
      <c r="V2" s="552"/>
      <c r="W2" s="555"/>
      <c r="X2" s="552"/>
      <c r="Y2" s="552"/>
      <c r="Z2" s="552"/>
      <c r="AA2" s="552"/>
      <c r="AB2" s="552"/>
      <c r="AC2" s="552"/>
      <c r="AD2" s="83"/>
      <c r="AE2" s="127"/>
      <c r="AF2" s="349"/>
      <c r="AG2" s="347"/>
      <c r="AH2" s="111"/>
      <c r="AI2" s="122"/>
      <c r="AJ2" s="127"/>
      <c r="AK2" s="86"/>
      <c r="AL2" s="111"/>
      <c r="AM2" s="111"/>
      <c r="AN2" s="154"/>
      <c r="AO2" s="154"/>
      <c r="AP2" s="111"/>
      <c r="AQ2" s="111"/>
      <c r="AR2" s="155"/>
    </row>
    <row r="3" spans="1:44" ht="9" customHeight="1">
      <c r="K3" s="5"/>
      <c r="Q3" s="5"/>
      <c r="Z3" s="2"/>
      <c r="AI3" s="122"/>
      <c r="AM3" s="25"/>
    </row>
    <row r="4" spans="1:44" s="120" customFormat="1" ht="33" customHeight="1">
      <c r="A4" s="556" t="s">
        <v>39</v>
      </c>
      <c r="B4" s="556"/>
      <c r="C4" s="556"/>
      <c r="D4" s="556"/>
      <c r="E4" s="556"/>
      <c r="F4" s="556"/>
      <c r="G4" s="556"/>
      <c r="H4" s="556"/>
      <c r="I4" s="556"/>
      <c r="J4" s="556"/>
      <c r="K4" s="557"/>
      <c r="L4" s="556"/>
      <c r="M4" s="556"/>
      <c r="N4" s="556"/>
      <c r="O4" s="556"/>
      <c r="P4" s="556"/>
      <c r="Q4" s="558"/>
      <c r="R4" s="556"/>
      <c r="S4" s="556"/>
      <c r="T4" s="556"/>
      <c r="U4" s="556"/>
      <c r="V4" s="556"/>
      <c r="W4" s="559"/>
      <c r="X4" s="556"/>
      <c r="Y4" s="556"/>
      <c r="Z4" s="556"/>
      <c r="AA4" s="556"/>
      <c r="AB4" s="556"/>
      <c r="AC4" s="556"/>
      <c r="AD4" s="119"/>
      <c r="AE4" s="129"/>
      <c r="AF4" s="466"/>
      <c r="AG4" s="467"/>
      <c r="AH4" s="124"/>
      <c r="AI4" s="122"/>
      <c r="AJ4" s="129"/>
      <c r="AK4" s="125"/>
      <c r="AL4" s="124"/>
      <c r="AM4" s="124"/>
      <c r="AN4" s="158"/>
      <c r="AO4" s="158"/>
      <c r="AP4" s="124"/>
      <c r="AQ4" s="124"/>
      <c r="AR4" s="159"/>
    </row>
    <row r="5" spans="1:44" ht="14.25" customHeight="1">
      <c r="K5" s="5"/>
      <c r="Q5" s="5"/>
      <c r="Z5" s="2"/>
      <c r="AI5" s="122"/>
      <c r="AM5" s="25"/>
    </row>
    <row r="6" spans="1:44" s="121" customFormat="1" ht="28.5" customHeight="1">
      <c r="A6" s="171" t="s">
        <v>2</v>
      </c>
      <c r="B6" s="164"/>
      <c r="H6" s="170"/>
      <c r="I6" s="165"/>
      <c r="J6" s="166"/>
      <c r="K6" s="167"/>
      <c r="L6" s="165"/>
      <c r="M6" s="165"/>
      <c r="N6" s="168"/>
      <c r="P6" s="169"/>
      <c r="Q6" s="167"/>
      <c r="T6" s="166"/>
      <c r="W6" s="167"/>
      <c r="AD6" s="122"/>
      <c r="AE6" s="126"/>
      <c r="AF6" s="349"/>
      <c r="AG6" s="347"/>
      <c r="AH6" s="122"/>
      <c r="AI6" s="122"/>
      <c r="AJ6" s="126"/>
      <c r="AK6" s="123"/>
      <c r="AL6" s="122"/>
      <c r="AM6" s="122"/>
      <c r="AN6" s="152"/>
      <c r="AO6" s="152"/>
      <c r="AP6" s="122"/>
      <c r="AQ6" s="122"/>
      <c r="AR6" s="153"/>
    </row>
    <row r="7" spans="1:44" s="121" customFormat="1" ht="28.5" customHeight="1">
      <c r="A7" s="121" t="s">
        <v>3</v>
      </c>
      <c r="B7" s="164"/>
      <c r="H7" s="170"/>
      <c r="I7" s="165"/>
      <c r="J7" s="166"/>
      <c r="K7" s="167"/>
      <c r="L7" s="165"/>
      <c r="M7" s="165"/>
      <c r="N7" s="168"/>
      <c r="P7" s="169"/>
      <c r="Q7" s="167"/>
      <c r="T7" s="166"/>
      <c r="W7" s="167"/>
      <c r="AD7" s="122"/>
      <c r="AE7" s="126"/>
      <c r="AF7" s="349"/>
      <c r="AG7" s="347"/>
      <c r="AH7" s="122"/>
      <c r="AI7" s="122"/>
      <c r="AJ7" s="126"/>
      <c r="AK7" s="123"/>
      <c r="AL7" s="122"/>
      <c r="AM7" s="122"/>
      <c r="AN7" s="152"/>
      <c r="AO7" s="152"/>
      <c r="AP7" s="122"/>
      <c r="AQ7" s="122"/>
      <c r="AR7" s="153"/>
    </row>
    <row r="8" spans="1:44" s="339" customFormat="1" ht="42" customHeight="1">
      <c r="A8" s="337" t="s">
        <v>27</v>
      </c>
      <c r="B8" s="338"/>
      <c r="F8" s="340"/>
      <c r="G8" s="340"/>
      <c r="H8" s="341"/>
      <c r="I8" s="342"/>
      <c r="J8" s="343"/>
      <c r="K8" s="344"/>
      <c r="L8" s="342"/>
      <c r="M8" s="342"/>
      <c r="N8" s="345"/>
      <c r="P8" s="346"/>
      <c r="Q8" s="344"/>
      <c r="T8" s="343"/>
      <c r="W8" s="344"/>
      <c r="AD8" s="347"/>
      <c r="AE8" s="348"/>
      <c r="AF8" s="349"/>
      <c r="AG8" s="347"/>
      <c r="AH8" s="347"/>
      <c r="AI8" s="122"/>
      <c r="AJ8" s="348"/>
      <c r="AK8" s="349"/>
      <c r="AL8" s="347"/>
      <c r="AM8" s="347"/>
      <c r="AN8" s="350"/>
      <c r="AO8" s="350"/>
      <c r="AP8" s="347"/>
      <c r="AQ8" s="347"/>
      <c r="AR8" s="351"/>
    </row>
    <row r="9" spans="1:44" s="339" customFormat="1" ht="42" customHeight="1">
      <c r="A9" s="339" t="s">
        <v>83</v>
      </c>
      <c r="B9" s="338"/>
      <c r="F9" s="340"/>
      <c r="G9" s="340"/>
      <c r="H9" s="352"/>
      <c r="I9" s="342"/>
      <c r="J9" s="343"/>
      <c r="K9" s="344"/>
      <c r="L9" s="342"/>
      <c r="M9" s="342"/>
      <c r="N9" s="345"/>
      <c r="P9" s="346"/>
      <c r="Q9" s="344"/>
      <c r="T9" s="343"/>
      <c r="W9" s="344"/>
      <c r="AD9" s="347"/>
      <c r="AE9" s="345"/>
      <c r="AF9" s="353"/>
      <c r="AG9" s="354"/>
      <c r="AH9" s="347"/>
      <c r="AI9" s="122"/>
      <c r="AJ9" s="348"/>
      <c r="AK9" s="349"/>
      <c r="AL9" s="347"/>
      <c r="AM9" s="347"/>
      <c r="AN9" s="350"/>
      <c r="AO9" s="350"/>
      <c r="AP9" s="347"/>
      <c r="AQ9" s="347"/>
      <c r="AR9" s="351"/>
    </row>
    <row r="10" spans="1:44" s="339" customFormat="1" ht="42" customHeight="1">
      <c r="A10" s="339" t="s">
        <v>28</v>
      </c>
      <c r="B10" s="338"/>
      <c r="F10" s="340"/>
      <c r="G10" s="340"/>
      <c r="H10" s="341"/>
      <c r="I10" s="342"/>
      <c r="J10" s="343"/>
      <c r="K10" s="344"/>
      <c r="L10" s="342"/>
      <c r="M10" s="342"/>
      <c r="N10" s="345"/>
      <c r="P10" s="346"/>
      <c r="Q10" s="344"/>
      <c r="T10" s="343"/>
      <c r="W10" s="344"/>
      <c r="AD10" s="347"/>
      <c r="AE10" s="345"/>
      <c r="AF10" s="356"/>
      <c r="AG10" s="357"/>
      <c r="AH10" s="347"/>
      <c r="AI10" s="122"/>
      <c r="AJ10" s="348"/>
      <c r="AK10" s="349"/>
      <c r="AL10" s="347"/>
      <c r="AM10" s="347"/>
      <c r="AN10" s="350"/>
      <c r="AO10" s="350"/>
      <c r="AP10" s="347"/>
      <c r="AQ10" s="347"/>
      <c r="AR10" s="351"/>
    </row>
    <row r="11" spans="1:44" s="339" customFormat="1" ht="32.25" customHeight="1">
      <c r="A11" s="339" t="s">
        <v>4</v>
      </c>
      <c r="B11" s="338"/>
      <c r="D11" s="339" t="s">
        <v>5</v>
      </c>
      <c r="H11" s="358"/>
      <c r="I11" s="342"/>
      <c r="J11" s="343"/>
      <c r="K11" s="344"/>
      <c r="L11" s="342"/>
      <c r="M11" s="342"/>
      <c r="N11" s="345"/>
      <c r="P11" s="346"/>
      <c r="Q11" s="344"/>
      <c r="T11" s="343"/>
      <c r="W11" s="344"/>
      <c r="AD11" s="347"/>
      <c r="AE11" s="475"/>
      <c r="AF11" s="356"/>
      <c r="AG11" s="357"/>
      <c r="AH11" s="347"/>
      <c r="AI11" s="122"/>
      <c r="AJ11" s="348"/>
      <c r="AK11" s="349"/>
      <c r="AL11" s="347"/>
      <c r="AM11" s="347"/>
      <c r="AN11" s="350"/>
      <c r="AO11" s="350"/>
      <c r="AP11" s="347"/>
      <c r="AQ11" s="347"/>
      <c r="AR11" s="351"/>
    </row>
    <row r="12" spans="1:44" s="121" customFormat="1" ht="6.75" customHeight="1">
      <c r="B12" s="164"/>
      <c r="H12" s="170"/>
      <c r="I12" s="165"/>
      <c r="J12" s="166"/>
      <c r="K12" s="167"/>
      <c r="L12" s="165"/>
      <c r="M12" s="165"/>
      <c r="N12" s="168"/>
      <c r="P12" s="169"/>
      <c r="Q12" s="167"/>
      <c r="T12" s="166"/>
      <c r="W12" s="167"/>
      <c r="AD12" s="122"/>
      <c r="AE12" s="126"/>
      <c r="AF12" s="349"/>
      <c r="AG12" s="347"/>
      <c r="AH12" s="122"/>
      <c r="AI12" s="122"/>
      <c r="AJ12" s="126"/>
      <c r="AK12" s="123"/>
      <c r="AL12" s="122"/>
      <c r="AM12" s="122"/>
      <c r="AN12" s="152"/>
      <c r="AO12" s="152"/>
      <c r="AP12" s="122"/>
      <c r="AQ12" s="122"/>
      <c r="AR12" s="153"/>
    </row>
    <row r="13" spans="1:44" s="339" customFormat="1" ht="38.25" customHeight="1">
      <c r="A13" s="337" t="s">
        <v>6</v>
      </c>
      <c r="B13" s="338"/>
      <c r="H13" s="358"/>
      <c r="I13" s="342"/>
      <c r="J13" s="343"/>
      <c r="K13" s="344"/>
      <c r="L13" s="342"/>
      <c r="M13" s="342"/>
      <c r="N13" s="345"/>
      <c r="P13" s="346"/>
      <c r="Q13" s="344"/>
      <c r="T13" s="343"/>
      <c r="W13" s="344"/>
      <c r="AD13" s="347"/>
      <c r="AE13" s="477"/>
      <c r="AF13" s="349"/>
      <c r="AG13" s="347"/>
      <c r="AH13" s="347"/>
      <c r="AI13" s="122"/>
      <c r="AJ13" s="348"/>
      <c r="AK13" s="349"/>
      <c r="AL13" s="347"/>
      <c r="AM13" s="347"/>
      <c r="AN13" s="350"/>
      <c r="AO13" s="350"/>
      <c r="AP13" s="347"/>
      <c r="AQ13" s="347"/>
      <c r="AR13" s="351"/>
    </row>
    <row r="14" spans="1:44" s="339" customFormat="1" ht="38.25" customHeight="1">
      <c r="A14" s="339" t="s">
        <v>81</v>
      </c>
      <c r="B14" s="338"/>
      <c r="H14" s="358"/>
      <c r="I14" s="342"/>
      <c r="J14" s="343"/>
      <c r="K14" s="344"/>
      <c r="L14" s="342"/>
      <c r="M14" s="342"/>
      <c r="P14" s="346"/>
      <c r="Q14" s="344"/>
      <c r="T14" s="343"/>
      <c r="W14" s="344"/>
      <c r="AD14" s="347"/>
      <c r="AE14" s="348"/>
      <c r="AF14" s="349"/>
      <c r="AG14" s="347"/>
      <c r="AH14" s="347"/>
      <c r="AI14" s="122"/>
      <c r="AJ14" s="348"/>
      <c r="AK14" s="349"/>
      <c r="AL14" s="347"/>
      <c r="AM14" s="347"/>
      <c r="AN14" s="350"/>
      <c r="AO14" s="350"/>
      <c r="AP14" s="347"/>
      <c r="AQ14" s="347"/>
      <c r="AR14" s="351"/>
    </row>
    <row r="15" spans="1:44" s="339" customFormat="1" ht="38.25" customHeight="1">
      <c r="A15" s="339" t="s">
        <v>7</v>
      </c>
      <c r="B15" s="338"/>
      <c r="H15" s="358"/>
      <c r="I15" s="342"/>
      <c r="J15" s="343"/>
      <c r="K15" s="344"/>
      <c r="L15" s="342"/>
      <c r="M15" s="342"/>
      <c r="P15" s="346"/>
      <c r="Q15" s="344"/>
      <c r="T15" s="343"/>
      <c r="W15" s="344"/>
      <c r="AD15" s="347"/>
      <c r="AE15" s="348"/>
      <c r="AF15" s="349"/>
      <c r="AG15" s="347"/>
      <c r="AH15" s="347"/>
      <c r="AI15" s="122"/>
      <c r="AJ15" s="348"/>
      <c r="AK15" s="349"/>
      <c r="AL15" s="347"/>
      <c r="AM15" s="347"/>
      <c r="AN15" s="350"/>
      <c r="AO15" s="350"/>
      <c r="AP15" s="347"/>
      <c r="AQ15" s="347"/>
      <c r="AR15" s="351"/>
    </row>
    <row r="16" spans="1:44" s="339" customFormat="1" ht="32.25" customHeight="1">
      <c r="A16" s="339" t="s">
        <v>4</v>
      </c>
      <c r="B16" s="338"/>
      <c r="D16" s="339" t="s">
        <v>5</v>
      </c>
      <c r="H16" s="358"/>
      <c r="I16" s="342"/>
      <c r="J16" s="343"/>
      <c r="K16" s="344"/>
      <c r="L16" s="342"/>
      <c r="M16" s="342"/>
      <c r="N16" s="345"/>
      <c r="P16" s="346"/>
      <c r="Q16" s="344"/>
      <c r="T16" s="343"/>
      <c r="W16" s="344"/>
      <c r="AD16" s="347"/>
      <c r="AE16" s="348"/>
      <c r="AF16" s="349"/>
      <c r="AG16" s="347"/>
      <c r="AH16" s="359"/>
      <c r="AI16" s="122"/>
      <c r="AJ16" s="348"/>
      <c r="AK16" s="349"/>
      <c r="AL16" s="347"/>
      <c r="AM16" s="347"/>
      <c r="AN16" s="350"/>
      <c r="AO16" s="350"/>
      <c r="AP16" s="347"/>
      <c r="AQ16" s="347"/>
      <c r="AR16" s="351"/>
    </row>
    <row r="17" spans="1:44" s="339" customFormat="1" ht="32.25" customHeight="1">
      <c r="A17" s="339" t="s">
        <v>8</v>
      </c>
      <c r="B17" s="338"/>
      <c r="H17" s="358"/>
      <c r="I17" s="342"/>
      <c r="J17" s="343"/>
      <c r="K17" s="344"/>
      <c r="L17" s="342"/>
      <c r="M17" s="342"/>
      <c r="N17" s="345"/>
      <c r="P17" s="346"/>
      <c r="Q17" s="344"/>
      <c r="T17" s="343"/>
      <c r="W17" s="344"/>
      <c r="AD17" s="347"/>
      <c r="AE17" s="348"/>
      <c r="AF17" s="349"/>
      <c r="AG17" s="347"/>
      <c r="AH17" s="347"/>
      <c r="AI17" s="122"/>
      <c r="AJ17" s="348"/>
      <c r="AK17" s="349"/>
      <c r="AL17" s="347"/>
      <c r="AM17" s="347"/>
      <c r="AN17" s="350"/>
      <c r="AO17" s="350"/>
      <c r="AP17" s="347"/>
      <c r="AQ17" s="347"/>
      <c r="AR17" s="351"/>
    </row>
    <row r="18" spans="1:44" ht="12" customHeight="1">
      <c r="J18" s="112"/>
      <c r="K18" s="447"/>
      <c r="L18" s="11"/>
      <c r="M18" s="11"/>
      <c r="Q18" s="560"/>
      <c r="R18" s="561"/>
      <c r="S18" s="113"/>
      <c r="T18" s="90"/>
      <c r="V18" s="172"/>
      <c r="W18" s="543"/>
      <c r="X18" s="544"/>
      <c r="Y18" s="135"/>
      <c r="Z18" s="62"/>
      <c r="AA18" s="62"/>
      <c r="AI18" s="122"/>
      <c r="AM18" s="25"/>
    </row>
    <row r="19" spans="1:44" ht="39.75" customHeight="1">
      <c r="J19" s="114"/>
      <c r="K19" s="447"/>
      <c r="L19" s="11"/>
      <c r="M19" s="11"/>
      <c r="O19" s="115" t="s">
        <v>50</v>
      </c>
      <c r="P19" s="116"/>
      <c r="Q19" s="261" t="str">
        <f>'COVER BTB XUẤT'!C18</f>
        <v>Debit No.:</v>
      </c>
      <c r="R19" s="260" t="str">
        <f>'COVER BTB XUẤT'!D18</f>
        <v>MBF-CTS11022026-3</v>
      </c>
      <c r="S19" s="258"/>
      <c r="T19" s="258"/>
      <c r="V19" s="172"/>
      <c r="W19" s="545"/>
      <c r="X19" s="546"/>
      <c r="Y19" s="135"/>
      <c r="Z19" s="62"/>
      <c r="AA19" s="62"/>
      <c r="AI19" s="122"/>
      <c r="AM19" s="25"/>
    </row>
    <row r="20" spans="1:44" ht="39.75" customHeight="1">
      <c r="K20" s="5"/>
      <c r="Q20" s="262" t="str">
        <f>'COVER BTB XUẤT'!C19</f>
        <v>Date</v>
      </c>
      <c r="R20" s="259" t="str">
        <f>'COVER BTB XUẤT'!D19</f>
        <v>23/02/2026</v>
      </c>
      <c r="AI20" s="122"/>
    </row>
    <row r="21" spans="1:44" s="141" customFormat="1" ht="69.75" customHeight="1">
      <c r="A21" s="223" t="s">
        <v>9</v>
      </c>
      <c r="B21" s="223" t="s">
        <v>11</v>
      </c>
      <c r="C21" s="223" t="s">
        <v>12</v>
      </c>
      <c r="D21" s="223" t="s">
        <v>17</v>
      </c>
      <c r="E21" s="223" t="s">
        <v>21</v>
      </c>
      <c r="F21" s="224" t="s">
        <v>25</v>
      </c>
      <c r="G21" s="224" t="s">
        <v>13</v>
      </c>
      <c r="H21" s="225" t="s">
        <v>18</v>
      </c>
      <c r="I21" s="226" t="s">
        <v>26</v>
      </c>
      <c r="J21" s="225" t="s">
        <v>24</v>
      </c>
      <c r="K21" s="474" t="s">
        <v>48</v>
      </c>
      <c r="L21" s="227" t="s">
        <v>49</v>
      </c>
      <c r="M21" s="227" t="s">
        <v>45</v>
      </c>
      <c r="N21" s="228" t="s">
        <v>26</v>
      </c>
      <c r="O21" s="227" t="s">
        <v>24</v>
      </c>
      <c r="P21" s="229" t="s">
        <v>58</v>
      </c>
      <c r="Q21" s="412" t="s">
        <v>48</v>
      </c>
      <c r="R21" s="230" t="s">
        <v>49</v>
      </c>
      <c r="S21" s="230" t="s">
        <v>46</v>
      </c>
      <c r="T21" s="231" t="s">
        <v>26</v>
      </c>
      <c r="U21" s="232" t="s">
        <v>24</v>
      </c>
      <c r="V21" s="230" t="s">
        <v>58</v>
      </c>
      <c r="W21" s="225" t="s">
        <v>48</v>
      </c>
      <c r="X21" s="225" t="s">
        <v>49</v>
      </c>
      <c r="Y21" s="233" t="s">
        <v>53</v>
      </c>
      <c r="Z21" s="234" t="s">
        <v>26</v>
      </c>
      <c r="AA21" s="233" t="s">
        <v>24</v>
      </c>
      <c r="AB21" s="225" t="s">
        <v>58</v>
      </c>
      <c r="AC21" s="224" t="s">
        <v>51</v>
      </c>
      <c r="AD21" s="137" t="s">
        <v>59</v>
      </c>
      <c r="AE21" s="138"/>
      <c r="AF21" s="468"/>
      <c r="AG21" s="376"/>
      <c r="AH21" s="140"/>
      <c r="AI21" s="122"/>
      <c r="AJ21" s="138"/>
      <c r="AK21" s="139"/>
      <c r="AL21" s="140"/>
      <c r="AM21" s="214" t="s">
        <v>87</v>
      </c>
      <c r="AN21" s="215"/>
      <c r="AO21" s="160"/>
      <c r="AP21" s="140"/>
      <c r="AQ21" s="140"/>
      <c r="AR21" s="161"/>
    </row>
    <row r="22" spans="1:44" s="378" customFormat="1" ht="96.75" customHeight="1" thickBot="1">
      <c r="A22" s="368">
        <f t="shared" ref="A22:A88" si="0">ROW()-21</f>
        <v>1</v>
      </c>
      <c r="B22" s="507">
        <v>46038</v>
      </c>
      <c r="C22" s="508" t="s">
        <v>285</v>
      </c>
      <c r="D22" s="509">
        <f>VLOOKUP(G22,[1]Sheet1!$I$1:$Q$180000,9,0)</f>
        <v>308158278210</v>
      </c>
      <c r="E22" s="510" t="s">
        <v>22</v>
      </c>
      <c r="F22" s="511" t="s">
        <v>333</v>
      </c>
      <c r="G22" s="510" t="s">
        <v>291</v>
      </c>
      <c r="H22" s="415">
        <v>500000</v>
      </c>
      <c r="I22" s="416" t="str">
        <f>$AI$1&amp;AI22</f>
        <v>0614521</v>
      </c>
      <c r="J22" s="417">
        <f>VLOOKUP(D22,'web CSHT'!$J$4:$Q$110000,6,0)</f>
        <v>46039</v>
      </c>
      <c r="K22" s="415">
        <f>M22/1.08</f>
        <v>1450000</v>
      </c>
      <c r="L22" s="415">
        <f>M22-K22</f>
        <v>116000</v>
      </c>
      <c r="M22" s="415">
        <v>1566000</v>
      </c>
      <c r="N22" s="418" t="s">
        <v>432</v>
      </c>
      <c r="O22" s="500">
        <v>46038</v>
      </c>
      <c r="P22" s="501" t="s">
        <v>926</v>
      </c>
      <c r="Q22" s="415">
        <f>S22/1.08</f>
        <v>1500000</v>
      </c>
      <c r="R22" s="415">
        <f>S22-Q22</f>
        <v>120000</v>
      </c>
      <c r="S22" s="415">
        <v>1620000</v>
      </c>
      <c r="T22" s="418" t="s">
        <v>433</v>
      </c>
      <c r="U22" s="500" t="s">
        <v>434</v>
      </c>
      <c r="V22" s="501" t="s">
        <v>926</v>
      </c>
      <c r="W22" s="238"/>
      <c r="X22" s="239"/>
      <c r="Y22" s="239"/>
      <c r="Z22" s="235"/>
      <c r="AA22" s="385"/>
      <c r="AB22" s="369"/>
      <c r="AC22" s="420">
        <f>H22+M22+S22+Y22</f>
        <v>3686000</v>
      </c>
      <c r="AD22" s="368"/>
      <c r="AE22" s="462" t="s">
        <v>279</v>
      </c>
      <c r="AF22" s="151" t="s">
        <v>266</v>
      </c>
      <c r="AG22" s="151" t="s">
        <v>266</v>
      </c>
      <c r="AH22" s="462"/>
      <c r="AI22" s="382">
        <f>VLOOKUP(D22,'web CSHT'!$J$4:$Q$170000,5,0)</f>
        <v>614521</v>
      </c>
      <c r="AJ22" s="371">
        <f>VLOOKUP(D22,'web CSHT'!$J$4:$Q$170000,8,0)</f>
        <v>500</v>
      </c>
      <c r="AK22" s="458" t="s">
        <v>291</v>
      </c>
      <c r="AL22" s="373" t="b">
        <f>EXACT(G22,AK22)</f>
        <v>1</v>
      </c>
      <c r="AM22" s="374"/>
      <c r="AN22" s="367"/>
      <c r="AO22" s="375"/>
      <c r="AP22" s="376"/>
      <c r="AQ22" s="376"/>
      <c r="AR22" s="377"/>
    </row>
    <row r="23" spans="1:44" s="378" customFormat="1" ht="96.75" customHeight="1" thickBot="1">
      <c r="A23" s="368">
        <f t="shared" si="0"/>
        <v>2</v>
      </c>
      <c r="B23" s="507">
        <v>46038</v>
      </c>
      <c r="C23" s="508" t="s">
        <v>317</v>
      </c>
      <c r="D23" s="509">
        <f>VLOOKUP(G23,[1]Sheet1!$I$1:$Q$180000,9,0)</f>
        <v>308158323820</v>
      </c>
      <c r="E23" s="510" t="s">
        <v>22</v>
      </c>
      <c r="F23" s="511" t="s">
        <v>334</v>
      </c>
      <c r="G23" s="510" t="s">
        <v>292</v>
      </c>
      <c r="H23" s="415">
        <v>500000</v>
      </c>
      <c r="I23" s="416" t="str">
        <f t="shared" ref="I23:I86" si="1">$AI$1&amp;AI23</f>
        <v>0615587</v>
      </c>
      <c r="J23" s="417">
        <f>VLOOKUP(D23,'web CSHT'!$J$4:$Q$110000,6,0)</f>
        <v>46041</v>
      </c>
      <c r="K23" s="415">
        <f t="shared" ref="K23:K25" si="2">M23/1.08</f>
        <v>1450000</v>
      </c>
      <c r="L23" s="415">
        <f t="shared" ref="L23:L25" si="3">M23-K23</f>
        <v>116000</v>
      </c>
      <c r="M23" s="415">
        <v>1566000</v>
      </c>
      <c r="N23" s="418" t="s">
        <v>435</v>
      </c>
      <c r="O23" s="500" t="s">
        <v>434</v>
      </c>
      <c r="P23" s="501" t="s">
        <v>926</v>
      </c>
      <c r="Q23" s="415">
        <f t="shared" ref="Q23:Q25" si="4">S23/1.08</f>
        <v>1640000</v>
      </c>
      <c r="R23" s="415">
        <f t="shared" ref="R23:R25" si="5">S23-Q23</f>
        <v>131200</v>
      </c>
      <c r="S23" s="415">
        <v>1771200</v>
      </c>
      <c r="T23" s="418" t="s">
        <v>436</v>
      </c>
      <c r="U23" s="500" t="s">
        <v>437</v>
      </c>
      <c r="V23" s="501" t="s">
        <v>927</v>
      </c>
      <c r="W23" s="238"/>
      <c r="X23" s="239"/>
      <c r="Y23" s="239"/>
      <c r="Z23" s="235"/>
      <c r="AA23" s="385"/>
      <c r="AB23" s="369"/>
      <c r="AC23" s="420">
        <f t="shared" ref="AC23:AC86" si="6">H23+M23+S23+Y23</f>
        <v>3837200</v>
      </c>
      <c r="AD23" s="368"/>
      <c r="AE23" s="462" t="s">
        <v>267</v>
      </c>
      <c r="AF23" s="151" t="s">
        <v>266</v>
      </c>
      <c r="AG23" s="151" t="s">
        <v>330</v>
      </c>
      <c r="AH23" s="462"/>
      <c r="AI23" s="382">
        <f>VLOOKUP(D23,'web CSHT'!$J$4:$Q$170000,5,0)</f>
        <v>615587</v>
      </c>
      <c r="AJ23" s="371">
        <f>VLOOKUP(D23,'web CSHT'!$J$4:$Q$170000,8,0)</f>
        <v>500</v>
      </c>
      <c r="AK23" s="458" t="s">
        <v>292</v>
      </c>
      <c r="AL23" s="373" t="b">
        <f t="shared" ref="AL23:AL62" si="7">EXACT(G23,AK23)</f>
        <v>1</v>
      </c>
      <c r="AM23" s="374"/>
      <c r="AN23" s="367"/>
      <c r="AO23" s="375"/>
      <c r="AP23" s="376"/>
      <c r="AQ23" s="376"/>
      <c r="AR23" s="377"/>
    </row>
    <row r="24" spans="1:44" s="378" customFormat="1" ht="96.75" customHeight="1" thickBot="1">
      <c r="A24" s="368">
        <f t="shared" si="0"/>
        <v>3</v>
      </c>
      <c r="B24" s="507">
        <v>46038</v>
      </c>
      <c r="C24" s="508" t="s">
        <v>285</v>
      </c>
      <c r="D24" s="509">
        <f>VLOOKUP(G24,[1]Sheet1!$I$1:$Q$180000,9,0)</f>
        <v>308158430550</v>
      </c>
      <c r="E24" s="510" t="s">
        <v>22</v>
      </c>
      <c r="F24" s="511" t="s">
        <v>335</v>
      </c>
      <c r="G24" s="510" t="s">
        <v>293</v>
      </c>
      <c r="H24" s="415">
        <v>500000</v>
      </c>
      <c r="I24" s="416" t="str">
        <f t="shared" si="1"/>
        <v>0614527</v>
      </c>
      <c r="J24" s="417">
        <f>VLOOKUP(D24,'web CSHT'!$J$4:$Q$110000,6,0)</f>
        <v>46039</v>
      </c>
      <c r="K24" s="415">
        <f t="shared" si="2"/>
        <v>1450000</v>
      </c>
      <c r="L24" s="415">
        <f t="shared" si="3"/>
        <v>116000</v>
      </c>
      <c r="M24" s="415">
        <v>1566000</v>
      </c>
      <c r="N24" s="418" t="s">
        <v>438</v>
      </c>
      <c r="O24" s="500" t="s">
        <v>434</v>
      </c>
      <c r="P24" s="501" t="s">
        <v>926</v>
      </c>
      <c r="Q24" s="415">
        <f t="shared" si="4"/>
        <v>1500000</v>
      </c>
      <c r="R24" s="415">
        <f t="shared" si="5"/>
        <v>120000</v>
      </c>
      <c r="S24" s="415">
        <v>1620000</v>
      </c>
      <c r="T24" s="418" t="s">
        <v>439</v>
      </c>
      <c r="U24" s="500" t="s">
        <v>437</v>
      </c>
      <c r="V24" s="501" t="s">
        <v>926</v>
      </c>
      <c r="W24" s="238"/>
      <c r="X24" s="239"/>
      <c r="Y24" s="239"/>
      <c r="Z24" s="235"/>
      <c r="AA24" s="385"/>
      <c r="AB24" s="369"/>
      <c r="AC24" s="420">
        <f t="shared" si="6"/>
        <v>3686000</v>
      </c>
      <c r="AD24" s="368"/>
      <c r="AE24" s="462" t="s">
        <v>279</v>
      </c>
      <c r="AF24" s="151" t="s">
        <v>266</v>
      </c>
      <c r="AG24" s="151" t="s">
        <v>266</v>
      </c>
      <c r="AH24" s="462"/>
      <c r="AI24" s="382">
        <f>VLOOKUP(D24,'web CSHT'!$J$4:$Q$170000,5,0)</f>
        <v>614527</v>
      </c>
      <c r="AJ24" s="371">
        <f>VLOOKUP(D24,'web CSHT'!$J$4:$Q$170000,8,0)</f>
        <v>500</v>
      </c>
      <c r="AK24" s="458" t="s">
        <v>293</v>
      </c>
      <c r="AL24" s="373" t="b">
        <f t="shared" si="7"/>
        <v>1</v>
      </c>
      <c r="AM24" s="374"/>
      <c r="AN24" s="367"/>
      <c r="AO24" s="375"/>
      <c r="AP24" s="376"/>
      <c r="AQ24" s="376"/>
      <c r="AR24" s="377"/>
    </row>
    <row r="25" spans="1:44" s="378" customFormat="1" ht="96.75" customHeight="1" thickBot="1">
      <c r="A25" s="368">
        <f t="shared" si="0"/>
        <v>4</v>
      </c>
      <c r="B25" s="507">
        <v>46038</v>
      </c>
      <c r="C25" s="508" t="s">
        <v>285</v>
      </c>
      <c r="D25" s="509">
        <f>VLOOKUP(G25,[1]Sheet1!$I$1:$Q$180000,9,0)</f>
        <v>308158509650</v>
      </c>
      <c r="E25" s="510" t="s">
        <v>22</v>
      </c>
      <c r="F25" s="511" t="s">
        <v>336</v>
      </c>
      <c r="G25" s="510" t="s">
        <v>294</v>
      </c>
      <c r="H25" s="415">
        <v>500000</v>
      </c>
      <c r="I25" s="416" t="str">
        <f t="shared" si="1"/>
        <v>0614522</v>
      </c>
      <c r="J25" s="417">
        <f>VLOOKUP(D25,'web CSHT'!$J$4:$Q$110000,6,0)</f>
        <v>46039</v>
      </c>
      <c r="K25" s="415">
        <f t="shared" si="2"/>
        <v>1450000</v>
      </c>
      <c r="L25" s="415">
        <f t="shared" si="3"/>
        <v>116000</v>
      </c>
      <c r="M25" s="415">
        <v>1566000</v>
      </c>
      <c r="N25" s="418" t="s">
        <v>440</v>
      </c>
      <c r="O25" s="500" t="s">
        <v>434</v>
      </c>
      <c r="P25" s="501" t="s">
        <v>926</v>
      </c>
      <c r="Q25" s="415">
        <f t="shared" si="4"/>
        <v>1500000</v>
      </c>
      <c r="R25" s="415">
        <f t="shared" si="5"/>
        <v>120000</v>
      </c>
      <c r="S25" s="415">
        <v>1620000</v>
      </c>
      <c r="T25" s="418" t="s">
        <v>441</v>
      </c>
      <c r="U25" s="500" t="s">
        <v>437</v>
      </c>
      <c r="V25" s="501" t="s">
        <v>926</v>
      </c>
      <c r="W25" s="238"/>
      <c r="X25" s="239"/>
      <c r="Y25" s="239"/>
      <c r="Z25" s="235"/>
      <c r="AA25" s="385"/>
      <c r="AB25" s="369"/>
      <c r="AC25" s="420">
        <f t="shared" si="6"/>
        <v>3686000</v>
      </c>
      <c r="AD25" s="368"/>
      <c r="AE25" s="462" t="s">
        <v>267</v>
      </c>
      <c r="AF25" s="151" t="s">
        <v>266</v>
      </c>
      <c r="AG25" s="151" t="s">
        <v>266</v>
      </c>
      <c r="AH25" s="462"/>
      <c r="AI25" s="382">
        <f>VLOOKUP(D25,'web CSHT'!$J$4:$Q$170000,5,0)</f>
        <v>614522</v>
      </c>
      <c r="AJ25" s="371">
        <f>VLOOKUP(D25,'web CSHT'!$J$4:$Q$170000,8,0)</f>
        <v>500</v>
      </c>
      <c r="AK25" s="458" t="s">
        <v>294</v>
      </c>
      <c r="AL25" s="373" t="b">
        <f t="shared" si="7"/>
        <v>1</v>
      </c>
      <c r="AM25" s="374"/>
      <c r="AN25" s="367"/>
      <c r="AO25" s="375"/>
      <c r="AP25" s="376"/>
      <c r="AQ25" s="376"/>
      <c r="AR25" s="377"/>
    </row>
    <row r="26" spans="1:44" s="378" customFormat="1" ht="96.75" customHeight="1" thickBot="1">
      <c r="A26" s="368">
        <f t="shared" si="0"/>
        <v>5</v>
      </c>
      <c r="B26" s="507">
        <v>46038</v>
      </c>
      <c r="C26" s="508" t="s">
        <v>318</v>
      </c>
      <c r="D26" s="509">
        <f>VLOOKUP(G26,[1]Sheet1!$I$1:$Q$180000,9,0)</f>
        <v>308158360000</v>
      </c>
      <c r="E26" s="510" t="s">
        <v>22</v>
      </c>
      <c r="F26" s="511" t="s">
        <v>337</v>
      </c>
      <c r="G26" s="510" t="s">
        <v>295</v>
      </c>
      <c r="H26" s="415">
        <v>500000</v>
      </c>
      <c r="I26" s="416" t="str">
        <f t="shared" si="1"/>
        <v>0615579</v>
      </c>
      <c r="J26" s="417">
        <f>VLOOKUP(D26,'web CSHT'!$J$4:$Q$110000,6,0)</f>
        <v>46041</v>
      </c>
      <c r="K26" s="415"/>
      <c r="L26" s="415"/>
      <c r="M26" s="415"/>
      <c r="N26" s="418"/>
      <c r="O26" s="500"/>
      <c r="P26" s="501" t="s">
        <v>223</v>
      </c>
      <c r="Q26" s="415"/>
      <c r="R26" s="415"/>
      <c r="S26" s="415"/>
      <c r="T26" s="418"/>
      <c r="U26" s="500"/>
      <c r="V26" s="501" t="s">
        <v>223</v>
      </c>
      <c r="W26" s="238"/>
      <c r="X26" s="239"/>
      <c r="Y26" s="239"/>
      <c r="Z26" s="235"/>
      <c r="AA26" s="385"/>
      <c r="AB26" s="369"/>
      <c r="AC26" s="420">
        <f t="shared" si="6"/>
        <v>500000</v>
      </c>
      <c r="AD26" s="368"/>
      <c r="AE26" s="462" t="s">
        <v>268</v>
      </c>
      <c r="AF26" s="151" t="s">
        <v>110</v>
      </c>
      <c r="AG26" s="151" t="s">
        <v>62</v>
      </c>
      <c r="AH26" s="462"/>
      <c r="AI26" s="382">
        <f>VLOOKUP(D26,'web CSHT'!$J$4:$Q$170000,5,0)</f>
        <v>615579</v>
      </c>
      <c r="AJ26" s="371">
        <f>VLOOKUP(D26,'web CSHT'!$J$4:$Q$170000,8,0)</f>
        <v>500</v>
      </c>
      <c r="AK26" s="458" t="s">
        <v>295</v>
      </c>
      <c r="AL26" s="373" t="b">
        <f t="shared" si="7"/>
        <v>1</v>
      </c>
      <c r="AM26" s="374"/>
      <c r="AN26" s="367"/>
      <c r="AO26" s="375"/>
      <c r="AP26" s="376"/>
      <c r="AQ26" s="376"/>
      <c r="AR26" s="377"/>
    </row>
    <row r="27" spans="1:44" s="378" customFormat="1" ht="96.75" customHeight="1" thickBot="1">
      <c r="A27" s="368">
        <f t="shared" si="0"/>
        <v>6</v>
      </c>
      <c r="B27" s="507">
        <v>46038</v>
      </c>
      <c r="C27" s="508" t="s">
        <v>319</v>
      </c>
      <c r="D27" s="509">
        <f>VLOOKUP(G27,[1]Sheet1!$I$1:$Q$180000,9,0)</f>
        <v>308158391130</v>
      </c>
      <c r="E27" s="510" t="s">
        <v>22</v>
      </c>
      <c r="F27" s="511" t="s">
        <v>338</v>
      </c>
      <c r="G27" s="510" t="s">
        <v>296</v>
      </c>
      <c r="H27" s="415">
        <v>500000</v>
      </c>
      <c r="I27" s="416" t="str">
        <f t="shared" si="1"/>
        <v>0615554</v>
      </c>
      <c r="J27" s="417">
        <f>VLOOKUP(D27,'web CSHT'!$J$4:$Q$110000,6,0)</f>
        <v>46041</v>
      </c>
      <c r="K27" s="415"/>
      <c r="L27" s="415"/>
      <c r="M27" s="415"/>
      <c r="N27" s="418"/>
      <c r="O27" s="500"/>
      <c r="P27" s="501" t="s">
        <v>223</v>
      </c>
      <c r="Q27" s="415"/>
      <c r="R27" s="415"/>
      <c r="S27" s="415"/>
      <c r="T27" s="418"/>
      <c r="U27" s="500"/>
      <c r="V27" s="501" t="s">
        <v>223</v>
      </c>
      <c r="W27" s="238"/>
      <c r="X27" s="239"/>
      <c r="Y27" s="239"/>
      <c r="Z27" s="235"/>
      <c r="AA27" s="385"/>
      <c r="AB27" s="369"/>
      <c r="AC27" s="420">
        <f t="shared" si="6"/>
        <v>500000</v>
      </c>
      <c r="AD27" s="368"/>
      <c r="AE27" s="462" t="s">
        <v>268</v>
      </c>
      <c r="AF27" s="151" t="s">
        <v>110</v>
      </c>
      <c r="AG27" s="151" t="s">
        <v>62</v>
      </c>
      <c r="AH27" s="462"/>
      <c r="AI27" s="382">
        <f>VLOOKUP(D27,'web CSHT'!$J$4:$Q$170000,5,0)</f>
        <v>615554</v>
      </c>
      <c r="AJ27" s="371">
        <f>VLOOKUP(D27,'web CSHT'!$J$4:$Q$170000,8,0)</f>
        <v>500</v>
      </c>
      <c r="AK27" s="458" t="s">
        <v>296</v>
      </c>
      <c r="AL27" s="373" t="b">
        <f t="shared" si="7"/>
        <v>1</v>
      </c>
      <c r="AM27" s="374"/>
      <c r="AN27" s="367"/>
      <c r="AO27" s="375"/>
      <c r="AP27" s="376"/>
      <c r="AQ27" s="376"/>
      <c r="AR27" s="377"/>
    </row>
    <row r="28" spans="1:44" s="378" customFormat="1" ht="96.75" customHeight="1" thickBot="1">
      <c r="A28" s="368">
        <f t="shared" si="0"/>
        <v>7</v>
      </c>
      <c r="B28" s="507">
        <v>46041</v>
      </c>
      <c r="C28" s="508" t="s">
        <v>320</v>
      </c>
      <c r="D28" s="509">
        <f>VLOOKUP(G28,[1]Sheet1!$I$1:$Q$180000,9,0)</f>
        <v>308163768160</v>
      </c>
      <c r="E28" s="510" t="s">
        <v>22</v>
      </c>
      <c r="F28" s="511" t="s">
        <v>339</v>
      </c>
      <c r="G28" s="510" t="s">
        <v>297</v>
      </c>
      <c r="H28" s="415">
        <v>500000</v>
      </c>
      <c r="I28" s="416" t="str">
        <f t="shared" si="1"/>
        <v>0617703</v>
      </c>
      <c r="J28" s="417">
        <f>VLOOKUP(D28,'web CSHT'!$J$4:$Q$110000,6,0)</f>
        <v>46042</v>
      </c>
      <c r="K28" s="415">
        <f>M28/1.08</f>
        <v>1500000</v>
      </c>
      <c r="L28" s="415">
        <f>M28-K28</f>
        <v>120000</v>
      </c>
      <c r="M28" s="415">
        <v>1620000</v>
      </c>
      <c r="N28" s="418" t="s">
        <v>442</v>
      </c>
      <c r="O28" s="500" t="s">
        <v>443</v>
      </c>
      <c r="P28" s="501" t="s">
        <v>928</v>
      </c>
      <c r="Q28" s="415">
        <f>S28/1.08</f>
        <v>1640000</v>
      </c>
      <c r="R28" s="415">
        <f>S28-Q28</f>
        <v>131200</v>
      </c>
      <c r="S28" s="415">
        <v>1771200</v>
      </c>
      <c r="T28" s="418" t="s">
        <v>444</v>
      </c>
      <c r="U28" s="500" t="s">
        <v>445</v>
      </c>
      <c r="V28" s="501" t="s">
        <v>928</v>
      </c>
      <c r="W28" s="238"/>
      <c r="X28" s="239"/>
      <c r="Y28" s="239"/>
      <c r="Z28" s="235"/>
      <c r="AA28" s="385"/>
      <c r="AB28" s="369"/>
      <c r="AC28" s="420">
        <f t="shared" si="6"/>
        <v>3891200</v>
      </c>
      <c r="AD28" s="368"/>
      <c r="AE28" s="462" t="s">
        <v>267</v>
      </c>
      <c r="AF28" s="151" t="s">
        <v>331</v>
      </c>
      <c r="AG28" s="151" t="s">
        <v>331</v>
      </c>
      <c r="AH28" s="462"/>
      <c r="AI28" s="382">
        <f>VLOOKUP(D28,'web CSHT'!$J$4:$Q$170000,5,0)</f>
        <v>617703</v>
      </c>
      <c r="AJ28" s="371">
        <f>VLOOKUP(D28,'web CSHT'!$J$4:$Q$170000,8,0)</f>
        <v>500</v>
      </c>
      <c r="AK28" s="458" t="s">
        <v>297</v>
      </c>
      <c r="AL28" s="373" t="b">
        <f t="shared" si="7"/>
        <v>1</v>
      </c>
      <c r="AM28" s="374"/>
      <c r="AN28" s="367"/>
      <c r="AO28" s="375"/>
      <c r="AP28" s="376"/>
      <c r="AQ28" s="376"/>
      <c r="AR28" s="377"/>
    </row>
    <row r="29" spans="1:44" s="378" customFormat="1" ht="96.75" customHeight="1" thickBot="1">
      <c r="A29" s="368">
        <f t="shared" si="0"/>
        <v>8</v>
      </c>
      <c r="B29" s="507">
        <v>46041</v>
      </c>
      <c r="C29" s="508">
        <v>6438798511</v>
      </c>
      <c r="D29" s="509">
        <f>VLOOKUP(G29,[1]Sheet1!$I$1:$Q$180000,9,0)</f>
        <v>308163870250</v>
      </c>
      <c r="E29" s="510" t="s">
        <v>22</v>
      </c>
      <c r="F29" s="511" t="s">
        <v>340</v>
      </c>
      <c r="G29" s="510" t="s">
        <v>298</v>
      </c>
      <c r="H29" s="415">
        <v>500000</v>
      </c>
      <c r="I29" s="416" t="str">
        <f t="shared" si="1"/>
        <v>0617710</v>
      </c>
      <c r="J29" s="417">
        <f>VLOOKUP(D29,'web CSHT'!$J$4:$Q$110000,6,0)</f>
        <v>46042</v>
      </c>
      <c r="K29" s="415"/>
      <c r="L29" s="415"/>
      <c r="M29" s="415"/>
      <c r="N29" s="418"/>
      <c r="O29" s="500"/>
      <c r="P29" s="501" t="s">
        <v>223</v>
      </c>
      <c r="Q29" s="415"/>
      <c r="R29" s="415"/>
      <c r="S29" s="415"/>
      <c r="T29" s="418"/>
      <c r="U29" s="500"/>
      <c r="V29" s="501" t="s">
        <v>223</v>
      </c>
      <c r="W29" s="238"/>
      <c r="X29" s="239"/>
      <c r="Y29" s="239"/>
      <c r="Z29" s="235"/>
      <c r="AA29" s="385"/>
      <c r="AB29" s="369"/>
      <c r="AC29" s="420">
        <f t="shared" si="6"/>
        <v>500000</v>
      </c>
      <c r="AD29" s="368"/>
      <c r="AE29" s="465" t="s">
        <v>141</v>
      </c>
      <c r="AF29" s="151" t="s">
        <v>144</v>
      </c>
      <c r="AG29" s="151" t="s">
        <v>62</v>
      </c>
      <c r="AH29" s="465"/>
      <c r="AI29" s="382">
        <f>VLOOKUP(D29,'web CSHT'!$J$4:$Q$170000,5,0)</f>
        <v>617710</v>
      </c>
      <c r="AJ29" s="371">
        <f>VLOOKUP(D29,'web CSHT'!$J$4:$Q$170000,8,0)</f>
        <v>500</v>
      </c>
      <c r="AK29" s="458" t="s">
        <v>298</v>
      </c>
      <c r="AL29" s="373" t="b">
        <f t="shared" si="7"/>
        <v>1</v>
      </c>
      <c r="AM29" s="374"/>
      <c r="AN29" s="367"/>
      <c r="AO29" s="375"/>
      <c r="AP29" s="376"/>
      <c r="AQ29" s="376"/>
      <c r="AR29" s="377"/>
    </row>
    <row r="30" spans="1:44" s="378" customFormat="1" ht="96.75" customHeight="1" thickBot="1">
      <c r="A30" s="368">
        <f t="shared" si="0"/>
        <v>9</v>
      </c>
      <c r="B30" s="507">
        <v>46042</v>
      </c>
      <c r="C30" s="508">
        <v>6438798511</v>
      </c>
      <c r="D30" s="509">
        <f>VLOOKUP(G30,[1]Sheet1!$I$1:$Q$180000,9,0)</f>
        <v>308169652730</v>
      </c>
      <c r="E30" s="510" t="s">
        <v>22</v>
      </c>
      <c r="F30" s="511" t="s">
        <v>341</v>
      </c>
      <c r="G30" s="512" t="s">
        <v>299</v>
      </c>
      <c r="H30" s="415">
        <v>500000</v>
      </c>
      <c r="I30" s="416" t="str">
        <f t="shared" si="1"/>
        <v>0622642</v>
      </c>
      <c r="J30" s="417">
        <f>VLOOKUP(D30,'web CSHT'!$J$4:$Q$110000,6,0)</f>
        <v>46045</v>
      </c>
      <c r="K30" s="415"/>
      <c r="L30" s="415"/>
      <c r="M30" s="415"/>
      <c r="N30" s="418"/>
      <c r="O30" s="500"/>
      <c r="P30" s="501" t="s">
        <v>223</v>
      </c>
      <c r="Q30" s="415"/>
      <c r="R30" s="415"/>
      <c r="S30" s="415"/>
      <c r="T30" s="418"/>
      <c r="U30" s="500"/>
      <c r="V30" s="501" t="s">
        <v>223</v>
      </c>
      <c r="W30" s="238"/>
      <c r="X30" s="239"/>
      <c r="Y30" s="239"/>
      <c r="Z30" s="235"/>
      <c r="AA30" s="385"/>
      <c r="AB30" s="369"/>
      <c r="AC30" s="420">
        <f t="shared" si="6"/>
        <v>500000</v>
      </c>
      <c r="AD30" s="368"/>
      <c r="AE30" s="462" t="s">
        <v>268</v>
      </c>
      <c r="AF30" s="151" t="s">
        <v>110</v>
      </c>
      <c r="AG30" s="151" t="s">
        <v>62</v>
      </c>
      <c r="AH30" s="462"/>
      <c r="AI30" s="382">
        <f>VLOOKUP(D30,'web CSHT'!$J$4:$Q$170000,5,0)</f>
        <v>622642</v>
      </c>
      <c r="AJ30" s="371">
        <f>VLOOKUP(D30,'web CSHT'!$J$4:$Q$170000,8,0)</f>
        <v>500</v>
      </c>
      <c r="AK30" s="460" t="s">
        <v>299</v>
      </c>
      <c r="AL30" s="373" t="b">
        <f t="shared" si="7"/>
        <v>1</v>
      </c>
      <c r="AM30" s="374"/>
      <c r="AN30" s="367"/>
      <c r="AO30" s="375"/>
      <c r="AP30" s="376"/>
      <c r="AQ30" s="376"/>
      <c r="AR30" s="377"/>
    </row>
    <row r="31" spans="1:44" s="378" customFormat="1" ht="128.25" customHeight="1" thickBot="1">
      <c r="A31" s="368">
        <f t="shared" si="0"/>
        <v>10</v>
      </c>
      <c r="B31" s="507">
        <v>46043</v>
      </c>
      <c r="C31" s="508" t="s">
        <v>321</v>
      </c>
      <c r="D31" s="509">
        <v>308173905600</v>
      </c>
      <c r="E31" s="510" t="s">
        <v>52</v>
      </c>
      <c r="F31" s="511" t="s">
        <v>342</v>
      </c>
      <c r="G31" s="510" t="s">
        <v>300</v>
      </c>
      <c r="H31" s="415">
        <v>250000</v>
      </c>
      <c r="I31" s="416" t="str">
        <f t="shared" si="1"/>
        <v>0634457</v>
      </c>
      <c r="J31" s="417">
        <f>VLOOKUP(D31,'web CSHT'!$J$4:$Q$110000,6,0)</f>
        <v>46052</v>
      </c>
      <c r="K31" s="415">
        <f t="shared" ref="K31:K43" si="8">M31/1.08</f>
        <v>999999.99999999988</v>
      </c>
      <c r="L31" s="415">
        <f t="shared" ref="L31:L43" si="9">M31-K31</f>
        <v>80000.000000000116</v>
      </c>
      <c r="M31" s="415">
        <v>1080000</v>
      </c>
      <c r="N31" s="235">
        <v>8036</v>
      </c>
      <c r="O31" s="500">
        <v>46042</v>
      </c>
      <c r="P31" s="501" t="s">
        <v>224</v>
      </c>
      <c r="Q31" s="415">
        <f t="shared" ref="Q31:Q43" si="10">S31/1.08</f>
        <v>1150000</v>
      </c>
      <c r="R31" s="415">
        <f t="shared" ref="R31:R43" si="11">S31-Q31</f>
        <v>92000</v>
      </c>
      <c r="S31" s="415">
        <v>1242000</v>
      </c>
      <c r="T31" s="418" t="s">
        <v>446</v>
      </c>
      <c r="U31" s="503">
        <v>46043</v>
      </c>
      <c r="V31" s="501" t="s">
        <v>926</v>
      </c>
      <c r="W31" s="238">
        <v>18519</v>
      </c>
      <c r="X31" s="239">
        <f>Y31-W31</f>
        <v>1481</v>
      </c>
      <c r="Y31" s="239">
        <v>20000</v>
      </c>
      <c r="Z31" s="418">
        <v>25395</v>
      </c>
      <c r="AA31" s="500">
        <v>46042</v>
      </c>
      <c r="AB31" s="369" t="s">
        <v>229</v>
      </c>
      <c r="AC31" s="420">
        <f t="shared" si="6"/>
        <v>2592000</v>
      </c>
      <c r="AD31" s="368"/>
      <c r="AE31" s="462" t="s">
        <v>279</v>
      </c>
      <c r="AF31" s="151" t="s">
        <v>142</v>
      </c>
      <c r="AG31" s="151" t="s">
        <v>266</v>
      </c>
      <c r="AH31" s="462"/>
      <c r="AI31" s="382">
        <f>VLOOKUP(D31,'web CSHT'!$J$4:$Q$170000,5,0)</f>
        <v>634457</v>
      </c>
      <c r="AJ31" s="371">
        <f>VLOOKUP(D31,'web CSHT'!$J$4:$Q$170000,8,0)</f>
        <v>250</v>
      </c>
      <c r="AK31" s="458" t="s">
        <v>300</v>
      </c>
      <c r="AL31" s="373" t="b">
        <f t="shared" si="7"/>
        <v>1</v>
      </c>
      <c r="AM31" s="374"/>
      <c r="AN31" s="367"/>
      <c r="AO31" s="375"/>
      <c r="AP31" s="376"/>
      <c r="AQ31" s="376"/>
      <c r="AR31" s="377"/>
    </row>
    <row r="32" spans="1:44" s="378" customFormat="1" ht="102" customHeight="1" thickBot="1">
      <c r="A32" s="368">
        <f t="shared" si="0"/>
        <v>11</v>
      </c>
      <c r="B32" s="507">
        <v>46045</v>
      </c>
      <c r="C32" s="508" t="s">
        <v>322</v>
      </c>
      <c r="D32" s="509">
        <f>VLOOKUP(G32,[1]Sheet1!$I$1:$Q$180000,9,0)</f>
        <v>308182232540</v>
      </c>
      <c r="E32" s="510" t="s">
        <v>22</v>
      </c>
      <c r="F32" s="511" t="s">
        <v>343</v>
      </c>
      <c r="G32" s="510" t="s">
        <v>301</v>
      </c>
      <c r="H32" s="415">
        <v>500000</v>
      </c>
      <c r="I32" s="416" t="str">
        <f t="shared" si="1"/>
        <v>0629727</v>
      </c>
      <c r="J32" s="417">
        <f>VLOOKUP(D32,'web CSHT'!$J$4:$Q$110000,6,0)</f>
        <v>46050</v>
      </c>
      <c r="K32" s="415">
        <f t="shared" si="8"/>
        <v>1450000</v>
      </c>
      <c r="L32" s="415">
        <f t="shared" si="9"/>
        <v>116000</v>
      </c>
      <c r="M32" s="415">
        <v>1566000</v>
      </c>
      <c r="N32" s="418" t="s">
        <v>447</v>
      </c>
      <c r="O32" s="500" t="s">
        <v>448</v>
      </c>
      <c r="P32" s="501" t="s">
        <v>926</v>
      </c>
      <c r="Q32" s="415">
        <f t="shared" si="10"/>
        <v>1500000</v>
      </c>
      <c r="R32" s="415">
        <f t="shared" si="11"/>
        <v>120000</v>
      </c>
      <c r="S32" s="415">
        <v>1620000</v>
      </c>
      <c r="T32" s="418" t="s">
        <v>449</v>
      </c>
      <c r="U32" s="500" t="s">
        <v>450</v>
      </c>
      <c r="V32" s="501" t="s">
        <v>926</v>
      </c>
      <c r="W32" s="238"/>
      <c r="X32" s="239"/>
      <c r="Y32" s="239"/>
      <c r="Z32" s="235"/>
      <c r="AA32" s="385"/>
      <c r="AB32" s="369"/>
      <c r="AC32" s="420">
        <f t="shared" si="6"/>
        <v>3686000</v>
      </c>
      <c r="AD32" s="368"/>
      <c r="AE32" s="462" t="s">
        <v>279</v>
      </c>
      <c r="AF32" s="151" t="s">
        <v>266</v>
      </c>
      <c r="AG32" s="151" t="s">
        <v>266</v>
      </c>
      <c r="AH32" s="462"/>
      <c r="AI32" s="382">
        <f>VLOOKUP(D32,'web CSHT'!$J$4:$Q$170000,5,0)</f>
        <v>629727</v>
      </c>
      <c r="AJ32" s="371">
        <f>VLOOKUP(D32,'web CSHT'!$J$4:$Q$170000,8,0)</f>
        <v>500</v>
      </c>
      <c r="AK32" s="458" t="s">
        <v>301</v>
      </c>
      <c r="AL32" s="373" t="b">
        <f t="shared" si="7"/>
        <v>1</v>
      </c>
      <c r="AM32" s="374"/>
      <c r="AN32" s="367"/>
      <c r="AO32" s="375"/>
      <c r="AP32" s="376"/>
      <c r="AQ32" s="376"/>
      <c r="AR32" s="377"/>
    </row>
    <row r="33" spans="1:44" s="378" customFormat="1" ht="102" customHeight="1" thickBot="1">
      <c r="A33" s="368">
        <f t="shared" si="0"/>
        <v>12</v>
      </c>
      <c r="B33" s="507">
        <v>46045</v>
      </c>
      <c r="C33" s="508" t="s">
        <v>323</v>
      </c>
      <c r="D33" s="509">
        <f>VLOOKUP(G33,[1]Sheet1!$I$1:$Q$180000,9,0)</f>
        <v>308181125140</v>
      </c>
      <c r="E33" s="510" t="s">
        <v>22</v>
      </c>
      <c r="F33" s="511" t="s">
        <v>344</v>
      </c>
      <c r="G33" s="510" t="s">
        <v>302</v>
      </c>
      <c r="H33" s="415">
        <v>500000</v>
      </c>
      <c r="I33" s="416" t="str">
        <f t="shared" si="1"/>
        <v>0626254</v>
      </c>
      <c r="J33" s="417">
        <f>VLOOKUP(D33,'web CSHT'!$J$4:$Q$110000,6,0)</f>
        <v>46048</v>
      </c>
      <c r="K33" s="415">
        <f t="shared" si="8"/>
        <v>1500000</v>
      </c>
      <c r="L33" s="415">
        <f t="shared" si="9"/>
        <v>120000</v>
      </c>
      <c r="M33" s="415">
        <v>1620000</v>
      </c>
      <c r="N33" s="418" t="s">
        <v>451</v>
      </c>
      <c r="O33" s="500" t="s">
        <v>452</v>
      </c>
      <c r="P33" s="501" t="s">
        <v>929</v>
      </c>
      <c r="Q33" s="415">
        <f t="shared" si="10"/>
        <v>1500000</v>
      </c>
      <c r="R33" s="415">
        <f t="shared" si="11"/>
        <v>120000</v>
      </c>
      <c r="S33" s="415">
        <v>1620000</v>
      </c>
      <c r="T33" s="418" t="s">
        <v>453</v>
      </c>
      <c r="U33" s="500" t="s">
        <v>454</v>
      </c>
      <c r="V33" s="501" t="s">
        <v>926</v>
      </c>
      <c r="W33" s="238"/>
      <c r="X33" s="239"/>
      <c r="Y33" s="239"/>
      <c r="Z33" s="235"/>
      <c r="AA33" s="385"/>
      <c r="AB33" s="369"/>
      <c r="AC33" s="420">
        <f t="shared" si="6"/>
        <v>3740000</v>
      </c>
      <c r="AD33" s="368"/>
      <c r="AE33" s="462" t="s">
        <v>267</v>
      </c>
      <c r="AF33" s="151" t="s">
        <v>284</v>
      </c>
      <c r="AG33" s="151" t="s">
        <v>266</v>
      </c>
      <c r="AH33" s="462"/>
      <c r="AI33" s="382">
        <f>VLOOKUP(D33,'web CSHT'!$J$4:$Q$170000,5,0)</f>
        <v>626254</v>
      </c>
      <c r="AJ33" s="371">
        <f>VLOOKUP(D33,'web CSHT'!$J$4:$Q$170000,8,0)</f>
        <v>500</v>
      </c>
      <c r="AK33" s="458" t="s">
        <v>302</v>
      </c>
      <c r="AL33" s="373" t="b">
        <f t="shared" si="7"/>
        <v>1</v>
      </c>
      <c r="AM33" s="374"/>
      <c r="AN33" s="367"/>
      <c r="AO33" s="375"/>
      <c r="AP33" s="376"/>
      <c r="AQ33" s="376"/>
      <c r="AR33" s="377"/>
    </row>
    <row r="34" spans="1:44" s="378" customFormat="1" ht="102" customHeight="1" thickBot="1">
      <c r="A34" s="368">
        <f t="shared" si="0"/>
        <v>13</v>
      </c>
      <c r="B34" s="507">
        <v>46045</v>
      </c>
      <c r="C34" s="508" t="s">
        <v>324</v>
      </c>
      <c r="D34" s="509">
        <f>VLOOKUP(G34,[1]Sheet1!$I$1:$Q$180000,9,0)</f>
        <v>308182479050</v>
      </c>
      <c r="E34" s="510" t="s">
        <v>22</v>
      </c>
      <c r="F34" s="511" t="s">
        <v>345</v>
      </c>
      <c r="G34" s="510" t="s">
        <v>303</v>
      </c>
      <c r="H34" s="415">
        <v>500000</v>
      </c>
      <c r="I34" s="416" t="str">
        <f t="shared" si="1"/>
        <v>0626251</v>
      </c>
      <c r="J34" s="417">
        <f>VLOOKUP(D34,'web CSHT'!$J$4:$Q$110000,6,0)</f>
        <v>46048</v>
      </c>
      <c r="K34" s="415">
        <f t="shared" si="8"/>
        <v>1500000</v>
      </c>
      <c r="L34" s="415">
        <f t="shared" si="9"/>
        <v>120000</v>
      </c>
      <c r="M34" s="415">
        <v>1620000</v>
      </c>
      <c r="N34" s="418" t="s">
        <v>455</v>
      </c>
      <c r="O34" s="500" t="s">
        <v>452</v>
      </c>
      <c r="P34" s="501" t="s">
        <v>929</v>
      </c>
      <c r="Q34" s="415">
        <f t="shared" si="10"/>
        <v>1500000</v>
      </c>
      <c r="R34" s="415">
        <f t="shared" si="11"/>
        <v>120000</v>
      </c>
      <c r="S34" s="415">
        <v>1620000</v>
      </c>
      <c r="T34" s="418" t="s">
        <v>456</v>
      </c>
      <c r="U34" s="500" t="s">
        <v>454</v>
      </c>
      <c r="V34" s="501" t="s">
        <v>926</v>
      </c>
      <c r="W34" s="238"/>
      <c r="X34" s="239"/>
      <c r="Y34" s="239"/>
      <c r="Z34" s="235"/>
      <c r="AA34" s="385"/>
      <c r="AB34" s="369"/>
      <c r="AC34" s="420">
        <f t="shared" si="6"/>
        <v>3740000</v>
      </c>
      <c r="AD34" s="368"/>
      <c r="AE34" s="462" t="s">
        <v>279</v>
      </c>
      <c r="AF34" s="151" t="s">
        <v>284</v>
      </c>
      <c r="AG34" s="151" t="s">
        <v>266</v>
      </c>
      <c r="AH34" s="462"/>
      <c r="AI34" s="382">
        <f>VLOOKUP(D34,'web CSHT'!$J$4:$Q$170000,5,0)</f>
        <v>626251</v>
      </c>
      <c r="AJ34" s="371">
        <f>VLOOKUP(D34,'web CSHT'!$J$4:$Q$170000,8,0)</f>
        <v>500</v>
      </c>
      <c r="AK34" s="458" t="s">
        <v>303</v>
      </c>
      <c r="AL34" s="373" t="b">
        <f t="shared" si="7"/>
        <v>1</v>
      </c>
      <c r="AM34" s="374"/>
      <c r="AN34" s="367"/>
      <c r="AO34" s="375"/>
      <c r="AP34" s="376"/>
      <c r="AQ34" s="376"/>
      <c r="AR34" s="377"/>
    </row>
    <row r="35" spans="1:44" s="378" customFormat="1" ht="102" customHeight="1" thickBot="1">
      <c r="A35" s="368">
        <f t="shared" si="0"/>
        <v>14</v>
      </c>
      <c r="B35" s="507">
        <v>46046</v>
      </c>
      <c r="C35" s="508" t="s">
        <v>324</v>
      </c>
      <c r="D35" s="509">
        <f>VLOOKUP(G35,[1]Sheet1!$I$1:$Q$180000,9,0)</f>
        <v>308184601230</v>
      </c>
      <c r="E35" s="510" t="s">
        <v>22</v>
      </c>
      <c r="F35" s="511" t="s">
        <v>346</v>
      </c>
      <c r="G35" s="510" t="s">
        <v>304</v>
      </c>
      <c r="H35" s="415">
        <v>500000</v>
      </c>
      <c r="I35" s="416" t="str">
        <f t="shared" si="1"/>
        <v>0626274</v>
      </c>
      <c r="J35" s="417">
        <f>VLOOKUP(D35,'web CSHT'!$J$4:$Q$110000,6,0)</f>
        <v>46048</v>
      </c>
      <c r="K35" s="415">
        <f t="shared" si="8"/>
        <v>1500000</v>
      </c>
      <c r="L35" s="415">
        <f t="shared" si="9"/>
        <v>120000</v>
      </c>
      <c r="M35" s="415">
        <v>1620000</v>
      </c>
      <c r="N35" s="418" t="s">
        <v>457</v>
      </c>
      <c r="O35" s="500" t="s">
        <v>452</v>
      </c>
      <c r="P35" s="501" t="s">
        <v>929</v>
      </c>
      <c r="Q35" s="415">
        <f t="shared" si="10"/>
        <v>1500000</v>
      </c>
      <c r="R35" s="415">
        <f t="shared" si="11"/>
        <v>120000</v>
      </c>
      <c r="S35" s="415">
        <v>1620000</v>
      </c>
      <c r="T35" s="418" t="s">
        <v>458</v>
      </c>
      <c r="U35" s="500">
        <v>46048</v>
      </c>
      <c r="V35" s="501" t="s">
        <v>926</v>
      </c>
      <c r="W35" s="238"/>
      <c r="X35" s="239"/>
      <c r="Y35" s="239"/>
      <c r="Z35" s="235"/>
      <c r="AA35" s="385"/>
      <c r="AB35" s="369"/>
      <c r="AC35" s="420">
        <f t="shared" si="6"/>
        <v>3740000</v>
      </c>
      <c r="AD35" s="368"/>
      <c r="AE35" s="462" t="s">
        <v>279</v>
      </c>
      <c r="AF35" s="151" t="s">
        <v>284</v>
      </c>
      <c r="AG35" s="151" t="s">
        <v>266</v>
      </c>
      <c r="AH35" s="462"/>
      <c r="AI35" s="382">
        <f>VLOOKUP(D35,'web CSHT'!$J$4:$Q$170000,5,0)</f>
        <v>626274</v>
      </c>
      <c r="AJ35" s="371">
        <f>VLOOKUP(D35,'web CSHT'!$J$4:$Q$170000,8,0)</f>
        <v>500</v>
      </c>
      <c r="AK35" s="458" t="s">
        <v>304</v>
      </c>
      <c r="AL35" s="373" t="b">
        <f t="shared" si="7"/>
        <v>1</v>
      </c>
      <c r="AM35" s="374"/>
      <c r="AN35" s="367"/>
      <c r="AO35" s="375"/>
      <c r="AP35" s="376"/>
      <c r="AQ35" s="376"/>
      <c r="AR35" s="377"/>
    </row>
    <row r="36" spans="1:44" s="378" customFormat="1" ht="102" customHeight="1" thickBot="1">
      <c r="A36" s="368">
        <f t="shared" si="0"/>
        <v>15</v>
      </c>
      <c r="B36" s="507">
        <v>46046</v>
      </c>
      <c r="C36" s="508" t="s">
        <v>323</v>
      </c>
      <c r="D36" s="509">
        <f>VLOOKUP(G36,[1]Sheet1!$I$1:$Q$180000,9,0)</f>
        <v>308184642050</v>
      </c>
      <c r="E36" s="510" t="s">
        <v>22</v>
      </c>
      <c r="F36" s="511" t="s">
        <v>347</v>
      </c>
      <c r="G36" s="510" t="s">
        <v>305</v>
      </c>
      <c r="H36" s="415">
        <v>500000</v>
      </c>
      <c r="I36" s="416" t="str">
        <f t="shared" si="1"/>
        <v>0626268</v>
      </c>
      <c r="J36" s="417">
        <f>VLOOKUP(D36,'web CSHT'!$J$4:$Q$110000,6,0)</f>
        <v>46048</v>
      </c>
      <c r="K36" s="415">
        <f t="shared" si="8"/>
        <v>1500000</v>
      </c>
      <c r="L36" s="415">
        <f t="shared" si="9"/>
        <v>120000</v>
      </c>
      <c r="M36" s="415">
        <v>1620000</v>
      </c>
      <c r="N36" s="418" t="s">
        <v>459</v>
      </c>
      <c r="O36" s="500" t="s">
        <v>452</v>
      </c>
      <c r="P36" s="501" t="s">
        <v>929</v>
      </c>
      <c r="Q36" s="415">
        <f t="shared" si="10"/>
        <v>1500000</v>
      </c>
      <c r="R36" s="415">
        <f t="shared" si="11"/>
        <v>120000</v>
      </c>
      <c r="S36" s="415">
        <v>1620000</v>
      </c>
      <c r="T36" s="418" t="s">
        <v>460</v>
      </c>
      <c r="U36" s="500" t="s">
        <v>454</v>
      </c>
      <c r="V36" s="501" t="s">
        <v>926</v>
      </c>
      <c r="W36" s="238"/>
      <c r="X36" s="239"/>
      <c r="Y36" s="239"/>
      <c r="Z36" s="235"/>
      <c r="AA36" s="385"/>
      <c r="AB36" s="369"/>
      <c r="AC36" s="420">
        <f t="shared" si="6"/>
        <v>3740000</v>
      </c>
      <c r="AD36" s="368"/>
      <c r="AE36" s="462" t="s">
        <v>279</v>
      </c>
      <c r="AF36" s="151" t="s">
        <v>284</v>
      </c>
      <c r="AG36" s="151" t="s">
        <v>266</v>
      </c>
      <c r="AH36" s="462"/>
      <c r="AI36" s="382">
        <f>VLOOKUP(D36,'web CSHT'!$J$4:$Q$170000,5,0)</f>
        <v>626268</v>
      </c>
      <c r="AJ36" s="371">
        <f>VLOOKUP(D36,'web CSHT'!$J$4:$Q$170000,8,0)</f>
        <v>500</v>
      </c>
      <c r="AK36" s="458" t="s">
        <v>305</v>
      </c>
      <c r="AL36" s="373" t="b">
        <f t="shared" si="7"/>
        <v>1</v>
      </c>
      <c r="AM36" s="374"/>
      <c r="AN36" s="367"/>
      <c r="AO36" s="375"/>
      <c r="AP36" s="376"/>
      <c r="AQ36" s="376"/>
      <c r="AR36" s="377"/>
    </row>
    <row r="37" spans="1:44" s="378" customFormat="1" ht="102" customHeight="1" thickBot="1">
      <c r="A37" s="368">
        <f t="shared" si="0"/>
        <v>16</v>
      </c>
      <c r="B37" s="507">
        <v>46046</v>
      </c>
      <c r="C37" s="508" t="s">
        <v>322</v>
      </c>
      <c r="D37" s="509">
        <f>VLOOKUP(G37,[1]Sheet1!$I$1:$Q$180000,9,0)</f>
        <v>308184728520</v>
      </c>
      <c r="E37" s="510" t="s">
        <v>22</v>
      </c>
      <c r="F37" s="511" t="s">
        <v>348</v>
      </c>
      <c r="G37" s="510" t="s">
        <v>306</v>
      </c>
      <c r="H37" s="415">
        <v>500000</v>
      </c>
      <c r="I37" s="416" t="str">
        <f t="shared" si="1"/>
        <v>0626275</v>
      </c>
      <c r="J37" s="417">
        <f>VLOOKUP(D37,'web CSHT'!$J$4:$Q$110000,6,0)</f>
        <v>46048</v>
      </c>
      <c r="K37" s="415">
        <f t="shared" si="8"/>
        <v>1450000</v>
      </c>
      <c r="L37" s="415">
        <f t="shared" si="9"/>
        <v>116000</v>
      </c>
      <c r="M37" s="415">
        <v>1566000</v>
      </c>
      <c r="N37" s="418" t="s">
        <v>461</v>
      </c>
      <c r="O37" s="500" t="s">
        <v>454</v>
      </c>
      <c r="P37" s="501" t="s">
        <v>926</v>
      </c>
      <c r="Q37" s="415">
        <f t="shared" si="10"/>
        <v>1500000</v>
      </c>
      <c r="R37" s="415">
        <f t="shared" si="11"/>
        <v>120000</v>
      </c>
      <c r="S37" s="415">
        <v>1620000</v>
      </c>
      <c r="T37" s="418" t="s">
        <v>462</v>
      </c>
      <c r="U37" s="500" t="s">
        <v>463</v>
      </c>
      <c r="V37" s="501" t="s">
        <v>926</v>
      </c>
      <c r="W37" s="238"/>
      <c r="X37" s="239"/>
      <c r="Y37" s="239"/>
      <c r="Z37" s="235"/>
      <c r="AA37" s="385"/>
      <c r="AB37" s="369"/>
      <c r="AC37" s="420">
        <f t="shared" si="6"/>
        <v>3686000</v>
      </c>
      <c r="AD37" s="368"/>
      <c r="AE37" s="462" t="s">
        <v>267</v>
      </c>
      <c r="AF37" s="151" t="s">
        <v>266</v>
      </c>
      <c r="AG37" s="151" t="s">
        <v>266</v>
      </c>
      <c r="AH37" s="462"/>
      <c r="AI37" s="382">
        <f>VLOOKUP(D37,'web CSHT'!$J$4:$Q$170000,5,0)</f>
        <v>626275</v>
      </c>
      <c r="AJ37" s="371">
        <f>VLOOKUP(D37,'web CSHT'!$J$4:$Q$170000,8,0)</f>
        <v>500</v>
      </c>
      <c r="AK37" s="458" t="s">
        <v>306</v>
      </c>
      <c r="AL37" s="373" t="b">
        <f t="shared" si="7"/>
        <v>1</v>
      </c>
      <c r="AM37" s="374"/>
      <c r="AN37" s="367"/>
      <c r="AO37" s="375"/>
      <c r="AP37" s="376"/>
      <c r="AQ37" s="376"/>
      <c r="AR37" s="377"/>
    </row>
    <row r="38" spans="1:44" s="378" customFormat="1" ht="102" customHeight="1" thickBot="1">
      <c r="A38" s="368">
        <f t="shared" si="0"/>
        <v>17</v>
      </c>
      <c r="B38" s="507">
        <v>46046</v>
      </c>
      <c r="C38" s="508" t="s">
        <v>322</v>
      </c>
      <c r="D38" s="509">
        <f>VLOOKUP(G38,[1]Sheet1!$I$1:$Q$180000,9,0)</f>
        <v>308184527510</v>
      </c>
      <c r="E38" s="510" t="s">
        <v>22</v>
      </c>
      <c r="F38" s="511" t="s">
        <v>349</v>
      </c>
      <c r="G38" s="510" t="s">
        <v>307</v>
      </c>
      <c r="H38" s="415">
        <v>500000</v>
      </c>
      <c r="I38" s="416" t="str">
        <f t="shared" si="1"/>
        <v>0626264</v>
      </c>
      <c r="J38" s="417">
        <f>VLOOKUP(D38,'web CSHT'!$J$4:$Q$110000,6,0)</f>
        <v>46048</v>
      </c>
      <c r="K38" s="415">
        <f t="shared" si="8"/>
        <v>1450000</v>
      </c>
      <c r="L38" s="415">
        <f t="shared" si="9"/>
        <v>116000</v>
      </c>
      <c r="M38" s="415">
        <v>1566000</v>
      </c>
      <c r="N38" s="418" t="s">
        <v>464</v>
      </c>
      <c r="O38" s="500" t="s">
        <v>454</v>
      </c>
      <c r="P38" s="501" t="s">
        <v>926</v>
      </c>
      <c r="Q38" s="415">
        <f t="shared" si="10"/>
        <v>1500000</v>
      </c>
      <c r="R38" s="415">
        <f t="shared" si="11"/>
        <v>120000</v>
      </c>
      <c r="S38" s="415">
        <v>1620000</v>
      </c>
      <c r="T38" s="418" t="s">
        <v>465</v>
      </c>
      <c r="U38" s="500" t="s">
        <v>452</v>
      </c>
      <c r="V38" s="501" t="s">
        <v>926</v>
      </c>
      <c r="W38" s="238"/>
      <c r="X38" s="239"/>
      <c r="Y38" s="239"/>
      <c r="Z38" s="235"/>
      <c r="AA38" s="385"/>
      <c r="AB38" s="369"/>
      <c r="AC38" s="420">
        <f t="shared" si="6"/>
        <v>3686000</v>
      </c>
      <c r="AD38" s="368"/>
      <c r="AE38" s="462" t="s">
        <v>267</v>
      </c>
      <c r="AF38" s="151" t="s">
        <v>266</v>
      </c>
      <c r="AG38" s="151" t="s">
        <v>266</v>
      </c>
      <c r="AH38" s="462"/>
      <c r="AI38" s="382">
        <f>VLOOKUP(D38,'web CSHT'!$J$4:$Q$170000,5,0)</f>
        <v>626264</v>
      </c>
      <c r="AJ38" s="371">
        <f>VLOOKUP(D38,'web CSHT'!$J$4:$Q$170000,8,0)</f>
        <v>500</v>
      </c>
      <c r="AK38" s="458" t="s">
        <v>307</v>
      </c>
      <c r="AL38" s="373" t="b">
        <f t="shared" si="7"/>
        <v>1</v>
      </c>
      <c r="AM38" s="374"/>
      <c r="AN38" s="367"/>
      <c r="AO38" s="375"/>
      <c r="AP38" s="376"/>
      <c r="AQ38" s="376"/>
      <c r="AR38" s="377"/>
    </row>
    <row r="39" spans="1:44" s="378" customFormat="1" ht="102" customHeight="1" thickBot="1">
      <c r="A39" s="368">
        <f t="shared" si="0"/>
        <v>18</v>
      </c>
      <c r="B39" s="507">
        <v>46048</v>
      </c>
      <c r="C39" s="508" t="s">
        <v>323</v>
      </c>
      <c r="D39" s="509">
        <f>VLOOKUP(G39,[1]Sheet1!$I$1:$Q$180000,9,0)</f>
        <v>308188076360</v>
      </c>
      <c r="E39" s="510" t="s">
        <v>22</v>
      </c>
      <c r="F39" s="511" t="s">
        <v>350</v>
      </c>
      <c r="G39" s="510" t="s">
        <v>308</v>
      </c>
      <c r="H39" s="415">
        <v>500000</v>
      </c>
      <c r="I39" s="416" t="str">
        <f t="shared" si="1"/>
        <v>0629721</v>
      </c>
      <c r="J39" s="417">
        <f>VLOOKUP(D39,'web CSHT'!$J$4:$Q$110000,6,0)</f>
        <v>46050</v>
      </c>
      <c r="K39" s="415">
        <f t="shared" si="8"/>
        <v>1500000</v>
      </c>
      <c r="L39" s="415">
        <f t="shared" si="9"/>
        <v>120000</v>
      </c>
      <c r="M39" s="415">
        <v>1620000</v>
      </c>
      <c r="N39" s="418" t="s">
        <v>466</v>
      </c>
      <c r="O39" s="500" t="s">
        <v>467</v>
      </c>
      <c r="P39" s="501" t="s">
        <v>929</v>
      </c>
      <c r="Q39" s="415">
        <f t="shared" si="10"/>
        <v>1500000</v>
      </c>
      <c r="R39" s="415">
        <f t="shared" si="11"/>
        <v>120000</v>
      </c>
      <c r="S39" s="415">
        <v>1620000</v>
      </c>
      <c r="T39" s="418" t="s">
        <v>468</v>
      </c>
      <c r="U39" s="500" t="s">
        <v>467</v>
      </c>
      <c r="V39" s="501" t="s">
        <v>926</v>
      </c>
      <c r="W39" s="238"/>
      <c r="X39" s="239"/>
      <c r="Y39" s="239"/>
      <c r="Z39" s="235"/>
      <c r="AA39" s="385"/>
      <c r="AB39" s="369"/>
      <c r="AC39" s="420">
        <f t="shared" si="6"/>
        <v>3740000</v>
      </c>
      <c r="AD39" s="368"/>
      <c r="AE39" s="462" t="s">
        <v>279</v>
      </c>
      <c r="AF39" s="151" t="s">
        <v>284</v>
      </c>
      <c r="AG39" s="151" t="s">
        <v>266</v>
      </c>
      <c r="AH39" s="462"/>
      <c r="AI39" s="382">
        <f>VLOOKUP(D39,'web CSHT'!$J$4:$Q$170000,5,0)</f>
        <v>629721</v>
      </c>
      <c r="AJ39" s="371">
        <f>VLOOKUP(D39,'web CSHT'!$J$4:$Q$170000,8,0)</f>
        <v>500</v>
      </c>
      <c r="AK39" s="458" t="s">
        <v>308</v>
      </c>
      <c r="AL39" s="373" t="b">
        <f t="shared" si="7"/>
        <v>1</v>
      </c>
      <c r="AM39" s="374"/>
      <c r="AN39" s="367"/>
      <c r="AO39" s="375"/>
      <c r="AP39" s="376"/>
      <c r="AQ39" s="376"/>
      <c r="AR39" s="377"/>
    </row>
    <row r="40" spans="1:44" s="378" customFormat="1" ht="96.75" customHeight="1" thickBot="1">
      <c r="A40" s="368">
        <f t="shared" si="0"/>
        <v>19</v>
      </c>
      <c r="B40" s="507">
        <v>46048</v>
      </c>
      <c r="C40" s="508" t="s">
        <v>325</v>
      </c>
      <c r="D40" s="509">
        <f>VLOOKUP(G40,[1]Sheet1!$I$1:$Q$180000,9,0)</f>
        <v>308188091320</v>
      </c>
      <c r="E40" s="510" t="s">
        <v>22</v>
      </c>
      <c r="F40" s="511" t="s">
        <v>351</v>
      </c>
      <c r="G40" s="510" t="s">
        <v>309</v>
      </c>
      <c r="H40" s="415">
        <v>500000</v>
      </c>
      <c r="I40" s="416" t="str">
        <f t="shared" si="1"/>
        <v>0632025</v>
      </c>
      <c r="J40" s="417">
        <f>VLOOKUP(D40,'web CSHT'!$J$4:$Q$110000,6,0)</f>
        <v>46051</v>
      </c>
      <c r="K40" s="415">
        <f t="shared" si="8"/>
        <v>1500000</v>
      </c>
      <c r="L40" s="415">
        <f t="shared" si="9"/>
        <v>120000</v>
      </c>
      <c r="M40" s="415">
        <v>1620000</v>
      </c>
      <c r="N40" s="418" t="s">
        <v>469</v>
      </c>
      <c r="O40" s="500" t="s">
        <v>452</v>
      </c>
      <c r="P40" s="501" t="s">
        <v>930</v>
      </c>
      <c r="Q40" s="415">
        <v>1435185</v>
      </c>
      <c r="R40" s="415">
        <f t="shared" si="11"/>
        <v>114815</v>
      </c>
      <c r="S40" s="415">
        <v>1550000</v>
      </c>
      <c r="T40" s="418" t="s">
        <v>470</v>
      </c>
      <c r="U40" s="500" t="s">
        <v>450</v>
      </c>
      <c r="V40" s="501" t="s">
        <v>931</v>
      </c>
      <c r="W40" s="238"/>
      <c r="X40" s="239"/>
      <c r="Y40" s="239"/>
      <c r="Z40" s="235"/>
      <c r="AA40" s="385"/>
      <c r="AB40" s="369"/>
      <c r="AC40" s="420">
        <f t="shared" si="6"/>
        <v>3670000</v>
      </c>
      <c r="AD40" s="368"/>
      <c r="AE40" s="462" t="s">
        <v>279</v>
      </c>
      <c r="AF40" s="151" t="s">
        <v>332</v>
      </c>
      <c r="AG40" s="151" t="s">
        <v>287</v>
      </c>
      <c r="AH40" s="462"/>
      <c r="AI40" s="382">
        <f>VLOOKUP(D40,'web CSHT'!$J$4:$Q$170000,5,0)</f>
        <v>632025</v>
      </c>
      <c r="AJ40" s="371">
        <f>VLOOKUP(D40,'web CSHT'!$J$4:$Q$170000,8,0)</f>
        <v>500</v>
      </c>
      <c r="AK40" s="458" t="s">
        <v>309</v>
      </c>
      <c r="AL40" s="373" t="b">
        <f t="shared" si="7"/>
        <v>1</v>
      </c>
      <c r="AM40" s="374"/>
      <c r="AN40" s="367"/>
      <c r="AO40" s="375"/>
      <c r="AP40" s="376"/>
      <c r="AQ40" s="376"/>
      <c r="AR40" s="377"/>
    </row>
    <row r="41" spans="1:44" s="378" customFormat="1" ht="96.75" customHeight="1" thickBot="1">
      <c r="A41" s="368">
        <f t="shared" si="0"/>
        <v>20</v>
      </c>
      <c r="B41" s="507">
        <v>46049</v>
      </c>
      <c r="C41" s="508" t="s">
        <v>322</v>
      </c>
      <c r="D41" s="509">
        <f>VLOOKUP(G41,[1]Sheet1!$I$1:$Q$180000,9,0)</f>
        <v>308193111610</v>
      </c>
      <c r="E41" s="510" t="s">
        <v>22</v>
      </c>
      <c r="F41" s="511" t="s">
        <v>352</v>
      </c>
      <c r="G41" s="510" t="s">
        <v>310</v>
      </c>
      <c r="H41" s="415">
        <v>500000</v>
      </c>
      <c r="I41" s="416" t="str">
        <f t="shared" si="1"/>
        <v>0629728</v>
      </c>
      <c r="J41" s="417">
        <f>VLOOKUP(D41,'web CSHT'!$J$4:$Q$110000,6,0)</f>
        <v>46050</v>
      </c>
      <c r="K41" s="415">
        <f t="shared" si="8"/>
        <v>1450000</v>
      </c>
      <c r="L41" s="415">
        <f t="shared" si="9"/>
        <v>116000</v>
      </c>
      <c r="M41" s="415">
        <v>1566000</v>
      </c>
      <c r="N41" s="418" t="s">
        <v>471</v>
      </c>
      <c r="O41" s="500" t="s">
        <v>467</v>
      </c>
      <c r="P41" s="501" t="s">
        <v>926</v>
      </c>
      <c r="Q41" s="415">
        <f t="shared" si="10"/>
        <v>1500000</v>
      </c>
      <c r="R41" s="415">
        <f t="shared" si="11"/>
        <v>120000</v>
      </c>
      <c r="S41" s="415">
        <v>1620000</v>
      </c>
      <c r="T41" s="418" t="s">
        <v>472</v>
      </c>
      <c r="U41" s="500" t="s">
        <v>450</v>
      </c>
      <c r="V41" s="501" t="s">
        <v>926</v>
      </c>
      <c r="W41" s="238"/>
      <c r="X41" s="239"/>
      <c r="Y41" s="239"/>
      <c r="Z41" s="235"/>
      <c r="AA41" s="385"/>
      <c r="AB41" s="369"/>
      <c r="AC41" s="420">
        <f t="shared" si="6"/>
        <v>3686000</v>
      </c>
      <c r="AD41" s="368"/>
      <c r="AE41" s="462" t="s">
        <v>279</v>
      </c>
      <c r="AF41" s="151" t="s">
        <v>266</v>
      </c>
      <c r="AG41" s="151" t="s">
        <v>266</v>
      </c>
      <c r="AH41" s="462"/>
      <c r="AI41" s="382">
        <f>VLOOKUP(D41,'web CSHT'!$J$4:$Q$170000,5,0)</f>
        <v>629728</v>
      </c>
      <c r="AJ41" s="371">
        <f>VLOOKUP(D41,'web CSHT'!$J$4:$Q$170000,8,0)</f>
        <v>500</v>
      </c>
      <c r="AK41" s="458" t="s">
        <v>310</v>
      </c>
      <c r="AL41" s="373" t="b">
        <f t="shared" si="7"/>
        <v>1</v>
      </c>
      <c r="AM41" s="374"/>
      <c r="AN41" s="367"/>
      <c r="AO41" s="375"/>
      <c r="AP41" s="376"/>
      <c r="AQ41" s="376"/>
      <c r="AR41" s="377"/>
    </row>
    <row r="42" spans="1:44" s="378" customFormat="1" ht="96.75" customHeight="1" thickBot="1">
      <c r="A42" s="368">
        <f t="shared" si="0"/>
        <v>21</v>
      </c>
      <c r="B42" s="507">
        <v>46051</v>
      </c>
      <c r="C42" s="508" t="s">
        <v>326</v>
      </c>
      <c r="D42" s="509">
        <f>VLOOKUP(G42,[1]Sheet1!$I$1:$Q$180000,9,0)</f>
        <v>308202099500</v>
      </c>
      <c r="E42" s="510" t="s">
        <v>22</v>
      </c>
      <c r="F42" s="511" t="s">
        <v>353</v>
      </c>
      <c r="G42" s="510" t="s">
        <v>311</v>
      </c>
      <c r="H42" s="415">
        <v>500000</v>
      </c>
      <c r="I42" s="416" t="str">
        <f t="shared" si="1"/>
        <v>0634467</v>
      </c>
      <c r="J42" s="417">
        <f>VLOOKUP(D42,'web CSHT'!$J$4:$Q$110000,6,0)</f>
        <v>46052</v>
      </c>
      <c r="K42" s="415">
        <v>1388889</v>
      </c>
      <c r="L42" s="415">
        <f t="shared" si="9"/>
        <v>111111</v>
      </c>
      <c r="M42" s="415">
        <v>1500000</v>
      </c>
      <c r="N42" s="418" t="s">
        <v>473</v>
      </c>
      <c r="O42" s="500" t="s">
        <v>474</v>
      </c>
      <c r="P42" s="501" t="s">
        <v>932</v>
      </c>
      <c r="Q42" s="415">
        <f t="shared" si="10"/>
        <v>1500000</v>
      </c>
      <c r="R42" s="415">
        <f t="shared" si="11"/>
        <v>120000</v>
      </c>
      <c r="S42" s="415">
        <v>1620000</v>
      </c>
      <c r="T42" s="418" t="s">
        <v>475</v>
      </c>
      <c r="U42" s="500" t="s">
        <v>476</v>
      </c>
      <c r="V42" s="501" t="s">
        <v>926</v>
      </c>
      <c r="W42" s="238"/>
      <c r="X42" s="239"/>
      <c r="Y42" s="239"/>
      <c r="Z42" s="235"/>
      <c r="AA42" s="385"/>
      <c r="AB42" s="369"/>
      <c r="AC42" s="420">
        <f t="shared" si="6"/>
        <v>3620000</v>
      </c>
      <c r="AD42" s="368"/>
      <c r="AE42" s="462" t="s">
        <v>267</v>
      </c>
      <c r="AF42" s="151" t="s">
        <v>265</v>
      </c>
      <c r="AG42" s="151" t="s">
        <v>266</v>
      </c>
      <c r="AH42" s="462"/>
      <c r="AI42" s="382">
        <f>VLOOKUP(D42,'web CSHT'!$J$4:$Q$170000,5,0)</f>
        <v>634467</v>
      </c>
      <c r="AJ42" s="371">
        <f>VLOOKUP(D42,'web CSHT'!$J$4:$Q$170000,8,0)</f>
        <v>500</v>
      </c>
      <c r="AK42" s="458" t="s">
        <v>311</v>
      </c>
      <c r="AL42" s="373" t="b">
        <f t="shared" si="7"/>
        <v>1</v>
      </c>
      <c r="AM42" s="374"/>
      <c r="AN42" s="367"/>
      <c r="AO42" s="375"/>
      <c r="AP42" s="376"/>
      <c r="AQ42" s="376"/>
      <c r="AR42" s="377"/>
    </row>
    <row r="43" spans="1:44" s="378" customFormat="1" ht="102" customHeight="1" thickBot="1">
      <c r="A43" s="368">
        <f t="shared" si="0"/>
        <v>22</v>
      </c>
      <c r="B43" s="507">
        <v>46051</v>
      </c>
      <c r="C43" s="508" t="s">
        <v>327</v>
      </c>
      <c r="D43" s="509">
        <f>VLOOKUP(G43,[1]Sheet1!$I$1:$Q$180000,9,0)</f>
        <v>308202123520</v>
      </c>
      <c r="E43" s="510" t="s">
        <v>22</v>
      </c>
      <c r="F43" s="511" t="s">
        <v>354</v>
      </c>
      <c r="G43" s="510" t="s">
        <v>312</v>
      </c>
      <c r="H43" s="415">
        <v>500000</v>
      </c>
      <c r="I43" s="416" t="str">
        <f t="shared" si="1"/>
        <v>0634473</v>
      </c>
      <c r="J43" s="417">
        <f>VLOOKUP(D43,'web CSHT'!$J$4:$Q$110000,6,0)</f>
        <v>46052</v>
      </c>
      <c r="K43" s="415">
        <f t="shared" si="8"/>
        <v>1500000</v>
      </c>
      <c r="L43" s="415">
        <f t="shared" si="9"/>
        <v>120000</v>
      </c>
      <c r="M43" s="415">
        <v>1620000</v>
      </c>
      <c r="N43" s="418" t="s">
        <v>477</v>
      </c>
      <c r="O43" s="500" t="s">
        <v>478</v>
      </c>
      <c r="P43" s="501" t="s">
        <v>929</v>
      </c>
      <c r="Q43" s="415">
        <f t="shared" si="10"/>
        <v>1500000</v>
      </c>
      <c r="R43" s="415">
        <f t="shared" si="11"/>
        <v>120000</v>
      </c>
      <c r="S43" s="415">
        <v>1620000</v>
      </c>
      <c r="T43" s="418" t="s">
        <v>479</v>
      </c>
      <c r="U43" s="500" t="s">
        <v>476</v>
      </c>
      <c r="V43" s="501" t="s">
        <v>926</v>
      </c>
      <c r="W43" s="238"/>
      <c r="X43" s="239"/>
      <c r="Y43" s="239"/>
      <c r="Z43" s="235"/>
      <c r="AA43" s="385"/>
      <c r="AB43" s="369"/>
      <c r="AC43" s="420">
        <f t="shared" si="6"/>
        <v>3740000</v>
      </c>
      <c r="AD43" s="368"/>
      <c r="AE43" s="462" t="s">
        <v>267</v>
      </c>
      <c r="AF43" s="151" t="s">
        <v>284</v>
      </c>
      <c r="AG43" s="151" t="s">
        <v>266</v>
      </c>
      <c r="AH43" s="462"/>
      <c r="AI43" s="382">
        <f>VLOOKUP(D43,'web CSHT'!$J$4:$Q$170000,5,0)</f>
        <v>634473</v>
      </c>
      <c r="AJ43" s="371">
        <f>VLOOKUP(D43,'web CSHT'!$J$4:$Q$170000,8,0)</f>
        <v>500</v>
      </c>
      <c r="AK43" s="458" t="s">
        <v>312</v>
      </c>
      <c r="AL43" s="373" t="b">
        <f t="shared" si="7"/>
        <v>1</v>
      </c>
      <c r="AM43" s="374"/>
      <c r="AN43" s="367"/>
      <c r="AO43" s="375"/>
      <c r="AP43" s="376"/>
      <c r="AQ43" s="376"/>
      <c r="AR43" s="377"/>
    </row>
    <row r="44" spans="1:44" s="378" customFormat="1" ht="96.75" customHeight="1" thickBot="1">
      <c r="A44" s="368">
        <f t="shared" si="0"/>
        <v>23</v>
      </c>
      <c r="B44" s="507">
        <v>46051</v>
      </c>
      <c r="C44" s="508" t="s">
        <v>328</v>
      </c>
      <c r="D44" s="509">
        <v>308202052820</v>
      </c>
      <c r="E44" s="510" t="s">
        <v>22</v>
      </c>
      <c r="F44" s="511" t="s">
        <v>355</v>
      </c>
      <c r="G44" s="510" t="s">
        <v>313</v>
      </c>
      <c r="H44" s="415">
        <v>500000</v>
      </c>
      <c r="I44" s="416" t="str">
        <f t="shared" si="1"/>
        <v>0634466</v>
      </c>
      <c r="J44" s="417">
        <f>VLOOKUP(D44,'web CSHT'!$J$4:$Q$110000,6,0)</f>
        <v>46052</v>
      </c>
      <c r="K44" s="415"/>
      <c r="L44" s="415"/>
      <c r="M44" s="415"/>
      <c r="N44" s="418"/>
      <c r="O44" s="500"/>
      <c r="P44" s="501" t="s">
        <v>223</v>
      </c>
      <c r="Q44" s="415"/>
      <c r="R44" s="415"/>
      <c r="S44" s="415"/>
      <c r="T44" s="418"/>
      <c r="U44" s="500"/>
      <c r="V44" s="501" t="s">
        <v>223</v>
      </c>
      <c r="W44" s="238"/>
      <c r="X44" s="239"/>
      <c r="Y44" s="239"/>
      <c r="Z44" s="235"/>
      <c r="AA44" s="385"/>
      <c r="AB44" s="369"/>
      <c r="AC44" s="420">
        <f t="shared" si="6"/>
        <v>500000</v>
      </c>
      <c r="AD44" s="368"/>
      <c r="AE44" s="462" t="s">
        <v>268</v>
      </c>
      <c r="AF44" s="151" t="s">
        <v>110</v>
      </c>
      <c r="AG44" s="151" t="s">
        <v>62</v>
      </c>
      <c r="AH44" s="462"/>
      <c r="AI44" s="382">
        <f>VLOOKUP(D44,'web CSHT'!$J$4:$Q$170000,5,0)</f>
        <v>634466</v>
      </c>
      <c r="AJ44" s="371">
        <f>VLOOKUP(D44,'web CSHT'!$J$4:$Q$170000,8,0)</f>
        <v>500</v>
      </c>
      <c r="AK44" s="458" t="s">
        <v>313</v>
      </c>
      <c r="AL44" s="373" t="b">
        <f t="shared" si="7"/>
        <v>1</v>
      </c>
      <c r="AM44" s="374"/>
      <c r="AN44" s="367"/>
      <c r="AO44" s="375"/>
      <c r="AP44" s="376"/>
      <c r="AQ44" s="376"/>
      <c r="AR44" s="377"/>
    </row>
    <row r="45" spans="1:44" s="378" customFormat="1" ht="96.75" customHeight="1" thickBot="1">
      <c r="A45" s="368">
        <f t="shared" si="0"/>
        <v>24</v>
      </c>
      <c r="B45" s="507">
        <v>46052</v>
      </c>
      <c r="C45" s="508" t="s">
        <v>329</v>
      </c>
      <c r="D45" s="509">
        <f>VLOOKUP(G45,[1]Sheet1!$I$1:$Q$180000,9,0)</f>
        <v>308206863110</v>
      </c>
      <c r="E45" s="510" t="s">
        <v>22</v>
      </c>
      <c r="F45" s="511" t="s">
        <v>356</v>
      </c>
      <c r="G45" s="510" t="s">
        <v>314</v>
      </c>
      <c r="H45" s="415">
        <v>500000</v>
      </c>
      <c r="I45" s="416" t="str">
        <f t="shared" si="1"/>
        <v>0635720</v>
      </c>
      <c r="J45" s="417">
        <f>VLOOKUP(D45,'web CSHT'!$J$4:$Q$110000,6,0)</f>
        <v>46053</v>
      </c>
      <c r="K45" s="415">
        <v>1388889</v>
      </c>
      <c r="L45" s="415">
        <f t="shared" ref="L45:L46" si="12">M45-K45</f>
        <v>111111</v>
      </c>
      <c r="M45" s="415">
        <v>1500000</v>
      </c>
      <c r="N45" s="418" t="s">
        <v>480</v>
      </c>
      <c r="O45" s="500">
        <v>46055</v>
      </c>
      <c r="P45" s="501" t="s">
        <v>932</v>
      </c>
      <c r="Q45" s="415">
        <f t="shared" ref="Q45:Q46" si="13">S45/1.08</f>
        <v>1500000</v>
      </c>
      <c r="R45" s="415">
        <f t="shared" ref="R45:R46" si="14">S45-Q45</f>
        <v>120000</v>
      </c>
      <c r="S45" s="415">
        <v>1620000</v>
      </c>
      <c r="T45" s="418" t="s">
        <v>481</v>
      </c>
      <c r="U45" s="500" t="s">
        <v>476</v>
      </c>
      <c r="V45" s="501" t="s">
        <v>926</v>
      </c>
      <c r="W45" s="238"/>
      <c r="X45" s="239"/>
      <c r="Y45" s="239"/>
      <c r="Z45" s="235"/>
      <c r="AA45" s="385"/>
      <c r="AB45" s="369"/>
      <c r="AC45" s="420">
        <f t="shared" si="6"/>
        <v>3620000</v>
      </c>
      <c r="AD45" s="368"/>
      <c r="AE45" s="462" t="s">
        <v>267</v>
      </c>
      <c r="AF45" s="151" t="s">
        <v>265</v>
      </c>
      <c r="AG45" s="151" t="s">
        <v>266</v>
      </c>
      <c r="AH45" s="462"/>
      <c r="AI45" s="382">
        <f>VLOOKUP(D45,'web CSHT'!$J$4:$Q$170000,5,0)</f>
        <v>635720</v>
      </c>
      <c r="AJ45" s="371">
        <f>VLOOKUP(D45,'web CSHT'!$J$4:$Q$170000,8,0)</f>
        <v>500</v>
      </c>
      <c r="AK45" s="458" t="s">
        <v>314</v>
      </c>
      <c r="AL45" s="373" t="b">
        <f t="shared" si="7"/>
        <v>1</v>
      </c>
      <c r="AM45" s="374"/>
      <c r="AN45" s="367"/>
      <c r="AO45" s="375"/>
      <c r="AP45" s="376"/>
      <c r="AQ45" s="376"/>
      <c r="AR45" s="377"/>
    </row>
    <row r="46" spans="1:44" s="378" customFormat="1" ht="96.75" customHeight="1" thickBot="1">
      <c r="A46" s="368">
        <f t="shared" si="0"/>
        <v>25</v>
      </c>
      <c r="B46" s="507">
        <v>46052</v>
      </c>
      <c r="C46" s="508" t="s">
        <v>329</v>
      </c>
      <c r="D46" s="509">
        <f>VLOOKUP(G46,[1]Sheet1!$I$1:$Q$180000,9,0)</f>
        <v>308206869740</v>
      </c>
      <c r="E46" s="510" t="s">
        <v>22</v>
      </c>
      <c r="F46" s="511" t="s">
        <v>357</v>
      </c>
      <c r="G46" s="510" t="s">
        <v>315</v>
      </c>
      <c r="H46" s="415">
        <v>500000</v>
      </c>
      <c r="I46" s="416" t="str">
        <f t="shared" si="1"/>
        <v>0635737</v>
      </c>
      <c r="J46" s="417">
        <f>VLOOKUP(D46,'web CSHT'!$J$4:$Q$110000,6,0)</f>
        <v>46053</v>
      </c>
      <c r="K46" s="415">
        <v>1388889</v>
      </c>
      <c r="L46" s="415">
        <f t="shared" si="12"/>
        <v>111111</v>
      </c>
      <c r="M46" s="415">
        <v>1500000</v>
      </c>
      <c r="N46" s="418" t="s">
        <v>482</v>
      </c>
      <c r="O46" s="500">
        <v>46055</v>
      </c>
      <c r="P46" s="501" t="s">
        <v>932</v>
      </c>
      <c r="Q46" s="415">
        <f t="shared" si="13"/>
        <v>1500000</v>
      </c>
      <c r="R46" s="415">
        <f t="shared" si="14"/>
        <v>120000</v>
      </c>
      <c r="S46" s="415">
        <v>1620000</v>
      </c>
      <c r="T46" s="418" t="s">
        <v>483</v>
      </c>
      <c r="U46" s="500" t="s">
        <v>478</v>
      </c>
      <c r="V46" s="501" t="s">
        <v>926</v>
      </c>
      <c r="W46" s="238"/>
      <c r="X46" s="239"/>
      <c r="Y46" s="239"/>
      <c r="Z46" s="235"/>
      <c r="AA46" s="385"/>
      <c r="AB46" s="369"/>
      <c r="AC46" s="420">
        <f t="shared" si="6"/>
        <v>3620000</v>
      </c>
      <c r="AD46" s="368"/>
      <c r="AE46" s="462" t="s">
        <v>267</v>
      </c>
      <c r="AF46" s="151" t="s">
        <v>265</v>
      </c>
      <c r="AG46" s="151" t="s">
        <v>266</v>
      </c>
      <c r="AH46" s="462"/>
      <c r="AI46" s="382">
        <f>VLOOKUP(D46,'web CSHT'!$J$4:$Q$170000,5,0)</f>
        <v>635737</v>
      </c>
      <c r="AJ46" s="371">
        <f>VLOOKUP(D46,'web CSHT'!$J$4:$Q$170000,8,0)</f>
        <v>500</v>
      </c>
      <c r="AK46" s="458" t="s">
        <v>315</v>
      </c>
      <c r="AL46" s="373" t="b">
        <f t="shared" si="7"/>
        <v>1</v>
      </c>
      <c r="AM46" s="374"/>
      <c r="AN46" s="367"/>
      <c r="AO46" s="375"/>
      <c r="AP46" s="376"/>
      <c r="AQ46" s="376"/>
      <c r="AR46" s="377"/>
    </row>
    <row r="47" spans="1:44" s="378" customFormat="1" ht="96.75" customHeight="1" thickBot="1">
      <c r="A47" s="368">
        <f t="shared" si="0"/>
        <v>26</v>
      </c>
      <c r="B47" s="507">
        <v>46052</v>
      </c>
      <c r="C47" s="508">
        <v>6441249510</v>
      </c>
      <c r="D47" s="509">
        <f>VLOOKUP(G47,[1]Sheet1!$I$1:$Q$180000,9,0)</f>
        <v>308208412320</v>
      </c>
      <c r="E47" s="510" t="s">
        <v>22</v>
      </c>
      <c r="F47" s="511" t="s">
        <v>358</v>
      </c>
      <c r="G47" s="510" t="s">
        <v>316</v>
      </c>
      <c r="H47" s="415">
        <v>500000</v>
      </c>
      <c r="I47" s="416" t="str">
        <f t="shared" si="1"/>
        <v>0636896</v>
      </c>
      <c r="J47" s="417">
        <f>VLOOKUP(D47,'web CSHT'!$J$4:$Q$110000,6,0)</f>
        <v>46055</v>
      </c>
      <c r="K47" s="415"/>
      <c r="L47" s="415"/>
      <c r="M47" s="415"/>
      <c r="N47" s="418"/>
      <c r="O47" s="500"/>
      <c r="P47" s="501" t="s">
        <v>223</v>
      </c>
      <c r="Q47" s="415"/>
      <c r="R47" s="415"/>
      <c r="S47" s="415"/>
      <c r="T47" s="418"/>
      <c r="U47" s="500"/>
      <c r="V47" s="501" t="s">
        <v>223</v>
      </c>
      <c r="W47" s="238"/>
      <c r="X47" s="239"/>
      <c r="Y47" s="239"/>
      <c r="Z47" s="235"/>
      <c r="AA47" s="385"/>
      <c r="AB47" s="369"/>
      <c r="AC47" s="420">
        <f t="shared" si="6"/>
        <v>500000</v>
      </c>
      <c r="AD47" s="368"/>
      <c r="AE47" s="462" t="s">
        <v>268</v>
      </c>
      <c r="AF47" s="151" t="s">
        <v>110</v>
      </c>
      <c r="AG47" s="151" t="s">
        <v>62</v>
      </c>
      <c r="AH47" s="462"/>
      <c r="AI47" s="382">
        <f>VLOOKUP(D47,'web CSHT'!$J$4:$Q$170000,5,0)</f>
        <v>636896</v>
      </c>
      <c r="AJ47" s="371">
        <f>VLOOKUP(D47,'web CSHT'!$J$4:$Q$170000,8,0)</f>
        <v>500</v>
      </c>
      <c r="AK47" s="458" t="s">
        <v>316</v>
      </c>
      <c r="AL47" s="373" t="b">
        <f t="shared" si="7"/>
        <v>1</v>
      </c>
      <c r="AM47" s="374"/>
      <c r="AN47" s="367"/>
      <c r="AO47" s="375"/>
      <c r="AP47" s="376"/>
      <c r="AQ47" s="376"/>
      <c r="AR47" s="377"/>
    </row>
    <row r="48" spans="1:44" s="378" customFormat="1" ht="96.75" customHeight="1" thickBot="1">
      <c r="A48" s="368">
        <f t="shared" si="0"/>
        <v>27</v>
      </c>
      <c r="B48" s="507">
        <v>46055</v>
      </c>
      <c r="C48" s="508">
        <v>7266235620</v>
      </c>
      <c r="D48" s="509">
        <f>VLOOKUP(G48,[1]Sheet1!$I$1:$Q$180000,9,0)</f>
        <v>308214663320</v>
      </c>
      <c r="E48" s="510" t="s">
        <v>22</v>
      </c>
      <c r="F48" s="511" t="s">
        <v>366</v>
      </c>
      <c r="G48" s="510" t="s">
        <v>376</v>
      </c>
      <c r="H48" s="415">
        <v>500000</v>
      </c>
      <c r="I48" s="416" t="str">
        <f t="shared" si="1"/>
        <v>0642047</v>
      </c>
      <c r="J48" s="417">
        <f>VLOOKUP(D48,'web CSHT'!$J$4:$Q$110000,6,0)</f>
        <v>46058</v>
      </c>
      <c r="K48" s="415"/>
      <c r="L48" s="415"/>
      <c r="M48" s="415"/>
      <c r="N48" s="418"/>
      <c r="O48" s="500"/>
      <c r="P48" s="501" t="s">
        <v>223</v>
      </c>
      <c r="Q48" s="415">
        <v>1555556</v>
      </c>
      <c r="R48" s="415">
        <f>S48-Q48</f>
        <v>124444</v>
      </c>
      <c r="S48" s="415">
        <v>1680000</v>
      </c>
      <c r="T48" s="418" t="s">
        <v>484</v>
      </c>
      <c r="U48" s="500" t="s">
        <v>485</v>
      </c>
      <c r="V48" s="501" t="s">
        <v>929</v>
      </c>
      <c r="W48" s="238"/>
      <c r="X48" s="239"/>
      <c r="Y48" s="239"/>
      <c r="Z48" s="235"/>
      <c r="AA48" s="385"/>
      <c r="AB48" s="369"/>
      <c r="AC48" s="420">
        <f t="shared" si="6"/>
        <v>2180000</v>
      </c>
      <c r="AD48" s="368"/>
      <c r="AE48" s="462" t="s">
        <v>268</v>
      </c>
      <c r="AF48" s="488" t="s">
        <v>110</v>
      </c>
      <c r="AG48" s="488" t="s">
        <v>288</v>
      </c>
      <c r="AH48" s="462"/>
      <c r="AI48" s="382">
        <f>VLOOKUP(D48,'web CSHT'!$J$4:$Q$170000,5,0)</f>
        <v>642047</v>
      </c>
      <c r="AJ48" s="371">
        <f>VLOOKUP(D48,'web CSHT'!$J$4:$Q$170000,8,0)</f>
        <v>500</v>
      </c>
      <c r="AK48" s="495" t="s">
        <v>376</v>
      </c>
      <c r="AL48" s="373" t="b">
        <f t="shared" si="7"/>
        <v>1</v>
      </c>
      <c r="AM48" s="374"/>
      <c r="AN48" s="367"/>
      <c r="AO48" s="375"/>
      <c r="AP48" s="376"/>
      <c r="AQ48" s="376"/>
      <c r="AR48" s="377"/>
    </row>
    <row r="49" spans="1:44" s="378" customFormat="1" ht="96.75" customHeight="1" thickBot="1">
      <c r="A49" s="368">
        <f t="shared" si="0"/>
        <v>28</v>
      </c>
      <c r="B49" s="507">
        <v>46055</v>
      </c>
      <c r="C49" s="508">
        <v>6441249510</v>
      </c>
      <c r="D49" s="509">
        <f>VLOOKUP(G49,[1]Sheet1!$I$1:$Q$180000,9,0)</f>
        <v>308214660520</v>
      </c>
      <c r="E49" s="510" t="s">
        <v>22</v>
      </c>
      <c r="F49" s="511" t="s">
        <v>367</v>
      </c>
      <c r="G49" s="510" t="s">
        <v>377</v>
      </c>
      <c r="H49" s="415">
        <v>500000</v>
      </c>
      <c r="I49" s="416" t="str">
        <f t="shared" si="1"/>
        <v>0642056</v>
      </c>
      <c r="J49" s="417">
        <f>VLOOKUP(D49,'web CSHT'!$J$4:$Q$110000,6,0)</f>
        <v>46058</v>
      </c>
      <c r="K49" s="415"/>
      <c r="L49" s="415"/>
      <c r="M49" s="415"/>
      <c r="N49" s="418"/>
      <c r="O49" s="500"/>
      <c r="P49" s="501" t="s">
        <v>223</v>
      </c>
      <c r="Q49" s="415"/>
      <c r="R49" s="415"/>
      <c r="S49" s="415"/>
      <c r="T49" s="418"/>
      <c r="U49" s="500"/>
      <c r="V49" s="501" t="s">
        <v>223</v>
      </c>
      <c r="W49" s="238"/>
      <c r="X49" s="239"/>
      <c r="Y49" s="239"/>
      <c r="Z49" s="235"/>
      <c r="AA49" s="385"/>
      <c r="AB49" s="369"/>
      <c r="AC49" s="420">
        <f t="shared" si="6"/>
        <v>500000</v>
      </c>
      <c r="AD49" s="368"/>
      <c r="AE49" s="462" t="s">
        <v>268</v>
      </c>
      <c r="AF49" s="488" t="s">
        <v>110</v>
      </c>
      <c r="AG49" s="488" t="s">
        <v>62</v>
      </c>
      <c r="AH49" s="462"/>
      <c r="AI49" s="382">
        <f>VLOOKUP(D49,'web CSHT'!$J$4:$Q$170000,5,0)</f>
        <v>642056</v>
      </c>
      <c r="AJ49" s="371">
        <f>VLOOKUP(D49,'web CSHT'!$J$4:$Q$170000,8,0)</f>
        <v>500</v>
      </c>
      <c r="AK49" s="496" t="s">
        <v>377</v>
      </c>
      <c r="AL49" s="373" t="b">
        <f t="shared" si="7"/>
        <v>1</v>
      </c>
      <c r="AM49" s="374"/>
      <c r="AN49" s="367"/>
      <c r="AO49" s="375"/>
      <c r="AP49" s="376"/>
      <c r="AQ49" s="376"/>
      <c r="AR49" s="377"/>
    </row>
    <row r="50" spans="1:44" s="378" customFormat="1" ht="96.75" customHeight="1" thickBot="1">
      <c r="A50" s="368">
        <f t="shared" si="0"/>
        <v>29</v>
      </c>
      <c r="B50" s="507">
        <v>46056</v>
      </c>
      <c r="C50" s="508">
        <v>6443474480</v>
      </c>
      <c r="D50" s="509">
        <f>VLOOKUP(G50,[1]Sheet1!$I$1:$Q$180000,9,0)</f>
        <v>308219883920</v>
      </c>
      <c r="E50" s="510" t="s">
        <v>22</v>
      </c>
      <c r="F50" s="511" t="s">
        <v>368</v>
      </c>
      <c r="G50" s="510" t="s">
        <v>378</v>
      </c>
      <c r="H50" s="415">
        <v>500000</v>
      </c>
      <c r="I50" s="416" t="str">
        <f t="shared" si="1"/>
        <v>0642045</v>
      </c>
      <c r="J50" s="417">
        <f>VLOOKUP(D50,'web CSHT'!$J$4:$Q$110000,6,0)</f>
        <v>46058</v>
      </c>
      <c r="K50" s="415"/>
      <c r="L50" s="415"/>
      <c r="M50" s="415"/>
      <c r="N50" s="418"/>
      <c r="O50" s="500"/>
      <c r="P50" s="501" t="s">
        <v>223</v>
      </c>
      <c r="Q50" s="415">
        <v>1555556</v>
      </c>
      <c r="R50" s="415">
        <f t="shared" ref="R50:R67" si="15">S50-Q50</f>
        <v>124444</v>
      </c>
      <c r="S50" s="415">
        <v>1680000</v>
      </c>
      <c r="T50" s="418" t="s">
        <v>486</v>
      </c>
      <c r="U50" s="500">
        <v>46058</v>
      </c>
      <c r="V50" s="501" t="s">
        <v>929</v>
      </c>
      <c r="W50" s="238"/>
      <c r="X50" s="239"/>
      <c r="Y50" s="239"/>
      <c r="Z50" s="235"/>
      <c r="AA50" s="385"/>
      <c r="AB50" s="369"/>
      <c r="AC50" s="420">
        <f t="shared" si="6"/>
        <v>2180000</v>
      </c>
      <c r="AD50" s="368"/>
      <c r="AE50" s="462" t="s">
        <v>268</v>
      </c>
      <c r="AF50" s="488" t="s">
        <v>110</v>
      </c>
      <c r="AG50" s="488" t="s">
        <v>288</v>
      </c>
      <c r="AH50" s="462"/>
      <c r="AI50" s="382">
        <f>VLOOKUP(D50,'web CSHT'!$J$4:$Q$170000,5,0)</f>
        <v>642045</v>
      </c>
      <c r="AJ50" s="371">
        <f>VLOOKUP(D50,'web CSHT'!$J$4:$Q$170000,8,0)</f>
        <v>500</v>
      </c>
      <c r="AK50" s="495" t="s">
        <v>378</v>
      </c>
      <c r="AL50" s="373" t="b">
        <f t="shared" si="7"/>
        <v>1</v>
      </c>
      <c r="AM50" s="374"/>
      <c r="AN50" s="367"/>
      <c r="AO50" s="375"/>
      <c r="AP50" s="376"/>
      <c r="AQ50" s="376"/>
      <c r="AR50" s="377"/>
    </row>
    <row r="51" spans="1:44" s="378" customFormat="1" ht="96.75" customHeight="1" thickBot="1">
      <c r="A51" s="368">
        <f t="shared" si="0"/>
        <v>30</v>
      </c>
      <c r="B51" s="507">
        <v>46056</v>
      </c>
      <c r="C51" s="508">
        <v>6443474480</v>
      </c>
      <c r="D51" s="509">
        <f>VLOOKUP(G51,[1]Sheet1!$I$1:$Q$180000,9,0)</f>
        <v>308219852530</v>
      </c>
      <c r="E51" s="510" t="s">
        <v>22</v>
      </c>
      <c r="F51" s="511" t="s">
        <v>369</v>
      </c>
      <c r="G51" s="510" t="s">
        <v>379</v>
      </c>
      <c r="H51" s="415">
        <v>500000</v>
      </c>
      <c r="I51" s="416" t="str">
        <f t="shared" si="1"/>
        <v>0642053</v>
      </c>
      <c r="J51" s="417">
        <f>VLOOKUP(D51,'web CSHT'!$J$4:$Q$110000,6,0)</f>
        <v>46058</v>
      </c>
      <c r="K51" s="415"/>
      <c r="L51" s="415"/>
      <c r="M51" s="415"/>
      <c r="N51" s="418"/>
      <c r="O51" s="500"/>
      <c r="P51" s="501" t="s">
        <v>223</v>
      </c>
      <c r="Q51" s="415">
        <v>1555556</v>
      </c>
      <c r="R51" s="415">
        <f t="shared" si="15"/>
        <v>124444</v>
      </c>
      <c r="S51" s="415">
        <v>1680000</v>
      </c>
      <c r="T51" s="418" t="s">
        <v>487</v>
      </c>
      <c r="U51" s="500" t="s">
        <v>488</v>
      </c>
      <c r="V51" s="501" t="s">
        <v>929</v>
      </c>
      <c r="W51" s="238"/>
      <c r="X51" s="239"/>
      <c r="Y51" s="239"/>
      <c r="Z51" s="235"/>
      <c r="AA51" s="385"/>
      <c r="AB51" s="369"/>
      <c r="AC51" s="420">
        <f t="shared" si="6"/>
        <v>2180000</v>
      </c>
      <c r="AD51" s="368"/>
      <c r="AE51" s="462" t="s">
        <v>268</v>
      </c>
      <c r="AF51" s="488" t="s">
        <v>110</v>
      </c>
      <c r="AG51" s="488" t="s">
        <v>288</v>
      </c>
      <c r="AH51" s="462"/>
      <c r="AI51" s="382">
        <f>VLOOKUP(D51,'web CSHT'!$J$4:$Q$170000,5,0)</f>
        <v>642053</v>
      </c>
      <c r="AJ51" s="371">
        <f>VLOOKUP(D51,'web CSHT'!$J$4:$Q$170000,8,0)</f>
        <v>500</v>
      </c>
      <c r="AK51" s="495" t="s">
        <v>379</v>
      </c>
      <c r="AL51" s="373" t="b">
        <f t="shared" si="7"/>
        <v>1</v>
      </c>
      <c r="AM51" s="374"/>
      <c r="AN51" s="367"/>
      <c r="AO51" s="375"/>
      <c r="AP51" s="376"/>
      <c r="AQ51" s="376"/>
      <c r="AR51" s="377"/>
    </row>
    <row r="52" spans="1:44" s="378" customFormat="1" ht="96.75" customHeight="1" thickBot="1">
      <c r="A52" s="368">
        <f t="shared" si="0"/>
        <v>31</v>
      </c>
      <c r="B52" s="507">
        <v>46056</v>
      </c>
      <c r="C52" s="508" t="s">
        <v>359</v>
      </c>
      <c r="D52" s="509">
        <f>VLOOKUP(G52,[1]Sheet1!$I$1:$Q$180000,9,0)</f>
        <v>308219818820</v>
      </c>
      <c r="E52" s="510" t="s">
        <v>52</v>
      </c>
      <c r="F52" s="511" t="s">
        <v>370</v>
      </c>
      <c r="G52" s="510" t="s">
        <v>380</v>
      </c>
      <c r="H52" s="415">
        <v>250000</v>
      </c>
      <c r="I52" s="416" t="str">
        <f t="shared" si="1"/>
        <v>0642048</v>
      </c>
      <c r="J52" s="417">
        <f>VLOOKUP(D52,'web CSHT'!$J$4:$Q$110000,6,0)</f>
        <v>46058</v>
      </c>
      <c r="K52" s="415">
        <v>925926</v>
      </c>
      <c r="L52" s="415">
        <f t="shared" ref="L52:L64" si="16">M52-K52</f>
        <v>74074</v>
      </c>
      <c r="M52" s="415">
        <v>1000000</v>
      </c>
      <c r="N52" s="418">
        <v>27229</v>
      </c>
      <c r="O52" s="500">
        <v>46064</v>
      </c>
      <c r="P52" s="501" t="s">
        <v>932</v>
      </c>
      <c r="Q52" s="415">
        <f t="shared" ref="Q52:Q67" si="17">S52/1.08</f>
        <v>1150000</v>
      </c>
      <c r="R52" s="415">
        <f t="shared" si="15"/>
        <v>92000</v>
      </c>
      <c r="S52" s="415">
        <v>1242000</v>
      </c>
      <c r="T52" s="418" t="s">
        <v>489</v>
      </c>
      <c r="U52" s="500" t="s">
        <v>490</v>
      </c>
      <c r="V52" s="501" t="s">
        <v>933</v>
      </c>
      <c r="W52" s="238"/>
      <c r="X52" s="239"/>
      <c r="Y52" s="239"/>
      <c r="Z52" s="235"/>
      <c r="AA52" s="385"/>
      <c r="AB52" s="369"/>
      <c r="AC52" s="420">
        <f t="shared" si="6"/>
        <v>2492000</v>
      </c>
      <c r="AD52" s="368"/>
      <c r="AE52" s="462" t="s">
        <v>140</v>
      </c>
      <c r="AF52" s="488" t="s">
        <v>265</v>
      </c>
      <c r="AG52" s="488" t="s">
        <v>143</v>
      </c>
      <c r="AH52" s="462"/>
      <c r="AI52" s="382">
        <f>VLOOKUP(D52,'web CSHT'!$J$4:$Q$170000,5,0)</f>
        <v>642048</v>
      </c>
      <c r="AJ52" s="371">
        <f>VLOOKUP(D52,'web CSHT'!$J$4:$Q$170000,8,0)</f>
        <v>250</v>
      </c>
      <c r="AK52" s="495" t="s">
        <v>380</v>
      </c>
      <c r="AL52" s="373" t="b">
        <f t="shared" si="7"/>
        <v>1</v>
      </c>
      <c r="AM52" s="374"/>
      <c r="AN52" s="367"/>
      <c r="AO52" s="375"/>
      <c r="AP52" s="376"/>
      <c r="AQ52" s="376"/>
      <c r="AR52" s="377"/>
    </row>
    <row r="53" spans="1:44" s="378" customFormat="1" ht="96.75" customHeight="1" thickBot="1">
      <c r="A53" s="368">
        <f t="shared" si="0"/>
        <v>32</v>
      </c>
      <c r="B53" s="507">
        <v>46057</v>
      </c>
      <c r="C53" s="508" t="s">
        <v>360</v>
      </c>
      <c r="D53" s="509">
        <f>VLOOKUP(G53,[1]Sheet1!$I$1:$Q$180000,9,0)</f>
        <v>308225764620</v>
      </c>
      <c r="E53" s="510" t="s">
        <v>22</v>
      </c>
      <c r="F53" s="511" t="s">
        <v>371</v>
      </c>
      <c r="G53" s="510" t="s">
        <v>381</v>
      </c>
      <c r="H53" s="415">
        <v>500000</v>
      </c>
      <c r="I53" s="416" t="str">
        <f t="shared" si="1"/>
        <v>0643115</v>
      </c>
      <c r="J53" s="417">
        <f>VLOOKUP(D53,'web CSHT'!$J$4:$Q$110000,6,0)</f>
        <v>46058</v>
      </c>
      <c r="K53" s="415">
        <f t="shared" ref="K53:K63" si="18">M53/1.08</f>
        <v>1500000</v>
      </c>
      <c r="L53" s="415">
        <f t="shared" si="16"/>
        <v>120000</v>
      </c>
      <c r="M53" s="415">
        <v>1620000</v>
      </c>
      <c r="N53" s="418" t="s">
        <v>491</v>
      </c>
      <c r="O53" s="500" t="s">
        <v>485</v>
      </c>
      <c r="P53" s="501" t="s">
        <v>934</v>
      </c>
      <c r="Q53" s="415">
        <f t="shared" si="17"/>
        <v>1500000</v>
      </c>
      <c r="R53" s="415">
        <f t="shared" si="15"/>
        <v>120000</v>
      </c>
      <c r="S53" s="415">
        <v>1620000</v>
      </c>
      <c r="T53" s="418" t="s">
        <v>492</v>
      </c>
      <c r="U53" s="500" t="s">
        <v>485</v>
      </c>
      <c r="V53" s="501" t="s">
        <v>926</v>
      </c>
      <c r="W53" s="238"/>
      <c r="X53" s="239"/>
      <c r="Y53" s="239"/>
      <c r="Z53" s="235"/>
      <c r="AA53" s="385"/>
      <c r="AB53" s="369"/>
      <c r="AC53" s="420">
        <f t="shared" si="6"/>
        <v>3740000</v>
      </c>
      <c r="AD53" s="368"/>
      <c r="AE53" s="462" t="s">
        <v>267</v>
      </c>
      <c r="AF53" s="488" t="s">
        <v>286</v>
      </c>
      <c r="AG53" s="488" t="s">
        <v>266</v>
      </c>
      <c r="AH53" s="462"/>
      <c r="AI53" s="382">
        <f>VLOOKUP(D53,'web CSHT'!$J$4:$Q$170000,5,0)</f>
        <v>643115</v>
      </c>
      <c r="AJ53" s="371">
        <f>VLOOKUP(D53,'web CSHT'!$J$4:$Q$170000,8,0)</f>
        <v>500</v>
      </c>
      <c r="AK53" s="495" t="s">
        <v>381</v>
      </c>
      <c r="AL53" s="373" t="b">
        <f t="shared" si="7"/>
        <v>1</v>
      </c>
      <c r="AM53" s="374"/>
      <c r="AN53" s="367"/>
      <c r="AO53" s="375"/>
      <c r="AP53" s="376"/>
      <c r="AQ53" s="376"/>
      <c r="AR53" s="377"/>
    </row>
    <row r="54" spans="1:44" s="378" customFormat="1" ht="102" customHeight="1" thickBot="1">
      <c r="A54" s="368">
        <f t="shared" si="0"/>
        <v>33</v>
      </c>
      <c r="B54" s="507">
        <v>46058</v>
      </c>
      <c r="C54" s="508" t="s">
        <v>361</v>
      </c>
      <c r="D54" s="509">
        <f>VLOOKUP(G54,[1]Sheet1!$I$1:$Q$180000,9,0)</f>
        <v>308227339360</v>
      </c>
      <c r="E54" s="510" t="s">
        <v>22</v>
      </c>
      <c r="F54" s="511" t="s">
        <v>372</v>
      </c>
      <c r="G54" s="510" t="s">
        <v>382</v>
      </c>
      <c r="H54" s="415">
        <v>500000</v>
      </c>
      <c r="I54" s="416" t="str">
        <f t="shared" si="1"/>
        <v>0647559</v>
      </c>
      <c r="J54" s="417">
        <f>VLOOKUP(D54,'web CSHT'!$J$4:$Q$110000,6,0)</f>
        <v>46062</v>
      </c>
      <c r="K54" s="415">
        <f t="shared" si="18"/>
        <v>1450000</v>
      </c>
      <c r="L54" s="415">
        <f t="shared" si="16"/>
        <v>116000</v>
      </c>
      <c r="M54" s="415">
        <v>1566000</v>
      </c>
      <c r="N54" s="418" t="s">
        <v>493</v>
      </c>
      <c r="O54" s="500" t="s">
        <v>485</v>
      </c>
      <c r="P54" s="501" t="s">
        <v>935</v>
      </c>
      <c r="Q54" s="415">
        <f t="shared" si="17"/>
        <v>1600000</v>
      </c>
      <c r="R54" s="415">
        <f t="shared" si="15"/>
        <v>128000</v>
      </c>
      <c r="S54" s="415">
        <v>1728000</v>
      </c>
      <c r="T54" s="418" t="s">
        <v>494</v>
      </c>
      <c r="U54" s="500" t="s">
        <v>485</v>
      </c>
      <c r="V54" s="501" t="s">
        <v>933</v>
      </c>
      <c r="W54" s="238"/>
      <c r="X54" s="239"/>
      <c r="Y54" s="239"/>
      <c r="Z54" s="235"/>
      <c r="AA54" s="385"/>
      <c r="AB54" s="369"/>
      <c r="AC54" s="420">
        <f t="shared" si="6"/>
        <v>3794000</v>
      </c>
      <c r="AD54" s="368"/>
      <c r="AE54" s="462" t="s">
        <v>279</v>
      </c>
      <c r="AF54" s="488" t="s">
        <v>365</v>
      </c>
      <c r="AG54" s="488" t="s">
        <v>143</v>
      </c>
      <c r="AH54" s="462"/>
      <c r="AI54" s="382">
        <f>VLOOKUP(D54,'web CSHT'!$J$4:$Q$170000,5,0)</f>
        <v>647559</v>
      </c>
      <c r="AJ54" s="371">
        <f>VLOOKUP(D54,'web CSHT'!$J$4:$Q$170000,8,0)</f>
        <v>500</v>
      </c>
      <c r="AK54" s="495" t="s">
        <v>382</v>
      </c>
      <c r="AL54" s="373" t="b">
        <f t="shared" si="7"/>
        <v>1</v>
      </c>
      <c r="AM54" s="374"/>
      <c r="AN54" s="367"/>
      <c r="AO54" s="375"/>
      <c r="AP54" s="376"/>
      <c r="AQ54" s="376"/>
      <c r="AR54" s="377"/>
    </row>
    <row r="55" spans="1:44" s="378" customFormat="1" ht="102" customHeight="1" thickBot="1">
      <c r="A55" s="368">
        <f t="shared" si="0"/>
        <v>34</v>
      </c>
      <c r="B55" s="507">
        <v>46058</v>
      </c>
      <c r="C55" s="508" t="s">
        <v>362</v>
      </c>
      <c r="D55" s="509">
        <f>VLOOKUP(G55,[1]Sheet1!$I$1:$Q$180000,9,0)</f>
        <v>308227361210</v>
      </c>
      <c r="E55" s="510" t="s">
        <v>22</v>
      </c>
      <c r="F55" s="511" t="s">
        <v>373</v>
      </c>
      <c r="G55" s="510" t="s">
        <v>383</v>
      </c>
      <c r="H55" s="415">
        <v>500000</v>
      </c>
      <c r="I55" s="416" t="str">
        <f t="shared" si="1"/>
        <v>0647568</v>
      </c>
      <c r="J55" s="417">
        <f>VLOOKUP(D55,'web CSHT'!$J$4:$Q$110000,6,0)</f>
        <v>46062</v>
      </c>
      <c r="K55" s="415">
        <v>1388889</v>
      </c>
      <c r="L55" s="415">
        <f t="shared" si="16"/>
        <v>111111</v>
      </c>
      <c r="M55" s="415">
        <v>1500000</v>
      </c>
      <c r="N55" s="418">
        <v>27225</v>
      </c>
      <c r="O55" s="500">
        <v>46064</v>
      </c>
      <c r="P55" s="501" t="s">
        <v>932</v>
      </c>
      <c r="Q55" s="415">
        <f t="shared" si="17"/>
        <v>1500000</v>
      </c>
      <c r="R55" s="415">
        <f t="shared" si="15"/>
        <v>120000</v>
      </c>
      <c r="S55" s="415">
        <v>1620000</v>
      </c>
      <c r="T55" s="418" t="s">
        <v>495</v>
      </c>
      <c r="U55" s="500" t="s">
        <v>485</v>
      </c>
      <c r="V55" s="501" t="s">
        <v>926</v>
      </c>
      <c r="W55" s="238"/>
      <c r="X55" s="239"/>
      <c r="Y55" s="239"/>
      <c r="Z55" s="235"/>
      <c r="AA55" s="385"/>
      <c r="AB55" s="369"/>
      <c r="AC55" s="420">
        <f t="shared" si="6"/>
        <v>3620000</v>
      </c>
      <c r="AD55" s="368"/>
      <c r="AE55" s="462" t="s">
        <v>267</v>
      </c>
      <c r="AF55" s="488" t="s">
        <v>265</v>
      </c>
      <c r="AG55" s="488" t="s">
        <v>266</v>
      </c>
      <c r="AH55" s="462"/>
      <c r="AI55" s="382">
        <f>VLOOKUP(D55,'web CSHT'!$J$4:$Q$170000,5,0)</f>
        <v>647568</v>
      </c>
      <c r="AJ55" s="371">
        <f>VLOOKUP(D55,'web CSHT'!$J$4:$Q$170000,8,0)</f>
        <v>500</v>
      </c>
      <c r="AK55" s="495" t="s">
        <v>383</v>
      </c>
      <c r="AL55" s="373" t="b">
        <f t="shared" si="7"/>
        <v>1</v>
      </c>
      <c r="AM55" s="374"/>
      <c r="AN55" s="367"/>
      <c r="AO55" s="375"/>
      <c r="AP55" s="376"/>
      <c r="AQ55" s="376"/>
      <c r="AR55" s="377"/>
    </row>
    <row r="56" spans="1:44" s="378" customFormat="1" ht="102" customHeight="1" thickBot="1">
      <c r="A56" s="368">
        <f t="shared" si="0"/>
        <v>35</v>
      </c>
      <c r="B56" s="507">
        <v>46059</v>
      </c>
      <c r="C56" s="508" t="s">
        <v>363</v>
      </c>
      <c r="D56" s="509">
        <f>VLOOKUP(G56,[1]Sheet1!$I$1:$Q$180000,9,0)</f>
        <v>308233006820</v>
      </c>
      <c r="E56" s="510" t="s">
        <v>22</v>
      </c>
      <c r="F56" s="511" t="s">
        <v>374</v>
      </c>
      <c r="G56" s="510" t="s">
        <v>384</v>
      </c>
      <c r="H56" s="415">
        <v>500000</v>
      </c>
      <c r="I56" s="416" t="str">
        <f t="shared" si="1"/>
        <v>0647578</v>
      </c>
      <c r="J56" s="417">
        <f>VLOOKUP(D56,'web CSHT'!$J$4:$Q$110000,6,0)</f>
        <v>46062</v>
      </c>
      <c r="K56" s="415">
        <v>1388889</v>
      </c>
      <c r="L56" s="415">
        <f t="shared" si="16"/>
        <v>111111</v>
      </c>
      <c r="M56" s="415">
        <v>1500000</v>
      </c>
      <c r="N56" s="418" t="s">
        <v>496</v>
      </c>
      <c r="O56" s="500" t="s">
        <v>497</v>
      </c>
      <c r="P56" s="501" t="s">
        <v>932</v>
      </c>
      <c r="Q56" s="415">
        <f t="shared" si="17"/>
        <v>1500000</v>
      </c>
      <c r="R56" s="415">
        <f t="shared" si="15"/>
        <v>120000</v>
      </c>
      <c r="S56" s="415">
        <v>1620000</v>
      </c>
      <c r="T56" s="418" t="s">
        <v>498</v>
      </c>
      <c r="U56" s="500" t="s">
        <v>488</v>
      </c>
      <c r="V56" s="501" t="s">
        <v>926</v>
      </c>
      <c r="W56" s="238"/>
      <c r="X56" s="239"/>
      <c r="Y56" s="239"/>
      <c r="Z56" s="235"/>
      <c r="AA56" s="385"/>
      <c r="AB56" s="369"/>
      <c r="AC56" s="420">
        <f t="shared" si="6"/>
        <v>3620000</v>
      </c>
      <c r="AD56" s="368"/>
      <c r="AE56" s="462" t="s">
        <v>267</v>
      </c>
      <c r="AF56" s="488" t="s">
        <v>265</v>
      </c>
      <c r="AG56" s="488" t="s">
        <v>266</v>
      </c>
      <c r="AH56" s="462"/>
      <c r="AI56" s="382">
        <f>VLOOKUP(D56,'web CSHT'!$J$4:$Q$170000,5,0)</f>
        <v>647578</v>
      </c>
      <c r="AJ56" s="371">
        <f>VLOOKUP(D56,'web CSHT'!$J$4:$Q$170000,8,0)</f>
        <v>500</v>
      </c>
      <c r="AK56" s="495" t="s">
        <v>384</v>
      </c>
      <c r="AL56" s="373" t="b">
        <f t="shared" si="7"/>
        <v>1</v>
      </c>
      <c r="AM56" s="374"/>
      <c r="AN56" s="367"/>
      <c r="AO56" s="375"/>
      <c r="AP56" s="376"/>
      <c r="AQ56" s="376"/>
      <c r="AR56" s="377"/>
    </row>
    <row r="57" spans="1:44" s="378" customFormat="1" ht="102" customHeight="1" thickBot="1">
      <c r="A57" s="368">
        <f t="shared" si="0"/>
        <v>36</v>
      </c>
      <c r="B57" s="507">
        <v>46059</v>
      </c>
      <c r="C57" s="508" t="s">
        <v>364</v>
      </c>
      <c r="D57" s="509">
        <f>VLOOKUP(G57,[1]Sheet1!$I$1:$Q$180000,9,0)</f>
        <v>308233069120</v>
      </c>
      <c r="E57" s="510" t="s">
        <v>22</v>
      </c>
      <c r="F57" s="511" t="s">
        <v>375</v>
      </c>
      <c r="G57" s="510" t="s">
        <v>385</v>
      </c>
      <c r="H57" s="415">
        <v>500000</v>
      </c>
      <c r="I57" s="416" t="str">
        <f t="shared" si="1"/>
        <v>0647611</v>
      </c>
      <c r="J57" s="417">
        <f>VLOOKUP(D57,'web CSHT'!$J$4:$Q$110000,6,0)</f>
        <v>46062</v>
      </c>
      <c r="K57" s="415">
        <v>1388889</v>
      </c>
      <c r="L57" s="415">
        <f t="shared" si="16"/>
        <v>111111</v>
      </c>
      <c r="M57" s="415">
        <v>1500000</v>
      </c>
      <c r="N57" s="418" t="s">
        <v>499</v>
      </c>
      <c r="O57" s="500" t="s">
        <v>497</v>
      </c>
      <c r="P57" s="501" t="s">
        <v>932</v>
      </c>
      <c r="Q57" s="415">
        <f t="shared" si="17"/>
        <v>1500000</v>
      </c>
      <c r="R57" s="415">
        <f t="shared" si="15"/>
        <v>120000</v>
      </c>
      <c r="S57" s="415">
        <v>1620000</v>
      </c>
      <c r="T57" s="418" t="s">
        <v>500</v>
      </c>
      <c r="U57" s="500" t="s">
        <v>497</v>
      </c>
      <c r="V57" s="501" t="s">
        <v>926</v>
      </c>
      <c r="W57" s="238"/>
      <c r="X57" s="239"/>
      <c r="Y57" s="239"/>
      <c r="Z57" s="235"/>
      <c r="AA57" s="385"/>
      <c r="AB57" s="369"/>
      <c r="AC57" s="420">
        <f t="shared" si="6"/>
        <v>3620000</v>
      </c>
      <c r="AD57" s="368"/>
      <c r="AE57" s="462" t="s">
        <v>267</v>
      </c>
      <c r="AF57" s="488" t="s">
        <v>265</v>
      </c>
      <c r="AG57" s="488" t="s">
        <v>266</v>
      </c>
      <c r="AH57" s="462"/>
      <c r="AI57" s="382">
        <f>VLOOKUP(D57,'web CSHT'!$J$4:$Q$170000,5,0)</f>
        <v>647611</v>
      </c>
      <c r="AJ57" s="371">
        <f>VLOOKUP(D57,'web CSHT'!$J$4:$Q$170000,8,0)</f>
        <v>500</v>
      </c>
      <c r="AK57" s="495" t="s">
        <v>385</v>
      </c>
      <c r="AL57" s="373" t="b">
        <f t="shared" si="7"/>
        <v>1</v>
      </c>
      <c r="AM57" s="374"/>
      <c r="AN57" s="367"/>
      <c r="AO57" s="375"/>
      <c r="AP57" s="376"/>
      <c r="AQ57" s="376"/>
      <c r="AR57" s="377"/>
    </row>
    <row r="58" spans="1:44" s="378" customFormat="1" ht="102" customHeight="1" thickBot="1">
      <c r="A58" s="368">
        <f t="shared" si="0"/>
        <v>37</v>
      </c>
      <c r="B58" s="507">
        <v>46062</v>
      </c>
      <c r="C58" s="508" t="s">
        <v>428</v>
      </c>
      <c r="D58" s="509">
        <v>308240528100</v>
      </c>
      <c r="E58" s="510" t="s">
        <v>52</v>
      </c>
      <c r="F58" s="511" t="s">
        <v>430</v>
      </c>
      <c r="G58" s="513" t="s">
        <v>425</v>
      </c>
      <c r="H58" s="415">
        <v>250000</v>
      </c>
      <c r="I58" s="416" t="str">
        <f t="shared" si="1"/>
        <v>0650591</v>
      </c>
      <c r="J58" s="417">
        <f>VLOOKUP(D58,'web CSHT'!$J$4:$Q$110000,6,0)</f>
        <v>46063</v>
      </c>
      <c r="K58" s="415">
        <f t="shared" si="18"/>
        <v>999999.99999999988</v>
      </c>
      <c r="L58" s="415">
        <f t="shared" si="16"/>
        <v>80000.000000000116</v>
      </c>
      <c r="M58" s="415">
        <v>1080000</v>
      </c>
      <c r="N58" s="418" t="s">
        <v>514</v>
      </c>
      <c r="O58" s="500" t="s">
        <v>501</v>
      </c>
      <c r="P58" s="501" t="s">
        <v>934</v>
      </c>
      <c r="Q58" s="415">
        <f t="shared" si="17"/>
        <v>1150000</v>
      </c>
      <c r="R58" s="415">
        <f t="shared" si="15"/>
        <v>92000</v>
      </c>
      <c r="S58" s="415">
        <v>1242000</v>
      </c>
      <c r="T58" s="418" t="s">
        <v>515</v>
      </c>
      <c r="U58" s="500" t="s">
        <v>516</v>
      </c>
      <c r="V58" s="501" t="s">
        <v>225</v>
      </c>
      <c r="W58" s="238"/>
      <c r="X58" s="239"/>
      <c r="Y58" s="239"/>
      <c r="Z58" s="235"/>
      <c r="AA58" s="385"/>
      <c r="AB58" s="369"/>
      <c r="AC58" s="420">
        <f t="shared" si="6"/>
        <v>2572000</v>
      </c>
      <c r="AD58" s="368"/>
      <c r="AE58" s="462" t="s">
        <v>510</v>
      </c>
      <c r="AF58" s="151" t="s">
        <v>286</v>
      </c>
      <c r="AG58" s="151" t="s">
        <v>162</v>
      </c>
      <c r="AH58" s="462"/>
      <c r="AI58" s="382">
        <f>VLOOKUP(D58,'web CSHT'!$J$4:$Q$170000,5,0)</f>
        <v>650591</v>
      </c>
      <c r="AJ58" s="371">
        <f>VLOOKUP(D58,'web CSHT'!$J$4:$Q$170000,8,0)</f>
        <v>250</v>
      </c>
      <c r="AK58" s="105" t="s">
        <v>425</v>
      </c>
      <c r="AL58" s="373" t="b">
        <f t="shared" si="7"/>
        <v>1</v>
      </c>
      <c r="AM58" s="374"/>
      <c r="AN58" s="367"/>
      <c r="AO58" s="375"/>
      <c r="AP58" s="376"/>
      <c r="AQ58" s="376"/>
      <c r="AR58" s="377"/>
    </row>
    <row r="59" spans="1:44" s="378" customFormat="1" ht="102" customHeight="1" thickBot="1">
      <c r="A59" s="368">
        <f t="shared" si="0"/>
        <v>38</v>
      </c>
      <c r="B59" s="507">
        <v>46062</v>
      </c>
      <c r="C59" s="508" t="s">
        <v>429</v>
      </c>
      <c r="D59" s="509">
        <v>308240529460</v>
      </c>
      <c r="E59" s="510" t="s">
        <v>52</v>
      </c>
      <c r="F59" s="511" t="s">
        <v>431</v>
      </c>
      <c r="G59" s="510" t="s">
        <v>426</v>
      </c>
      <c r="H59" s="415">
        <v>250000</v>
      </c>
      <c r="I59" s="416" t="str">
        <f t="shared" si="1"/>
        <v>0650601</v>
      </c>
      <c r="J59" s="417">
        <f>VLOOKUP(D59,'web CSHT'!$J$4:$Q$110000,6,0)</f>
        <v>46063</v>
      </c>
      <c r="K59" s="415">
        <f t="shared" si="18"/>
        <v>999999.99999999988</v>
      </c>
      <c r="L59" s="415">
        <f t="shared" si="16"/>
        <v>80000.000000000116</v>
      </c>
      <c r="M59" s="415">
        <v>1080000</v>
      </c>
      <c r="N59" s="418" t="s">
        <v>517</v>
      </c>
      <c r="O59" s="500" t="s">
        <v>501</v>
      </c>
      <c r="P59" s="501" t="s">
        <v>934</v>
      </c>
      <c r="Q59" s="415">
        <f t="shared" si="17"/>
        <v>1150000</v>
      </c>
      <c r="R59" s="415">
        <f t="shared" si="15"/>
        <v>92000</v>
      </c>
      <c r="S59" s="415">
        <v>1242000</v>
      </c>
      <c r="T59" s="418" t="s">
        <v>518</v>
      </c>
      <c r="U59" s="500" t="s">
        <v>516</v>
      </c>
      <c r="V59" s="501" t="s">
        <v>225</v>
      </c>
      <c r="W59" s="238"/>
      <c r="X59" s="239"/>
      <c r="Y59" s="239"/>
      <c r="Z59" s="235"/>
      <c r="AA59" s="385"/>
      <c r="AB59" s="369"/>
      <c r="AC59" s="420">
        <f t="shared" si="6"/>
        <v>2572000</v>
      </c>
      <c r="AD59" s="368"/>
      <c r="AE59" s="462" t="s">
        <v>140</v>
      </c>
      <c r="AF59" s="494" t="s">
        <v>286</v>
      </c>
      <c r="AG59" s="151" t="s">
        <v>162</v>
      </c>
      <c r="AH59" s="462"/>
      <c r="AI59" s="382">
        <f>VLOOKUP(D59,'web CSHT'!$J$4:$Q$170000,5,0)</f>
        <v>650601</v>
      </c>
      <c r="AJ59" s="371">
        <f>VLOOKUP(D59,'web CSHT'!$J$4:$Q$170000,8,0)</f>
        <v>250</v>
      </c>
      <c r="AK59" s="105" t="s">
        <v>426</v>
      </c>
      <c r="AL59" s="373" t="b">
        <f t="shared" si="7"/>
        <v>1</v>
      </c>
      <c r="AM59" s="374"/>
      <c r="AN59" s="367"/>
      <c r="AO59" s="375"/>
      <c r="AP59" s="376"/>
      <c r="AQ59" s="376"/>
      <c r="AR59" s="377"/>
    </row>
    <row r="60" spans="1:44" s="378" customFormat="1" ht="102" customHeight="1" thickBot="1">
      <c r="A60" s="368">
        <f t="shared" si="0"/>
        <v>39</v>
      </c>
      <c r="B60" s="507">
        <v>46062</v>
      </c>
      <c r="C60" s="508" t="s">
        <v>360</v>
      </c>
      <c r="D60" s="509">
        <v>308240538230</v>
      </c>
      <c r="E60" s="510" t="s">
        <v>22</v>
      </c>
      <c r="F60" s="511" t="s">
        <v>505</v>
      </c>
      <c r="G60" s="510" t="s">
        <v>502</v>
      </c>
      <c r="H60" s="415">
        <v>500000</v>
      </c>
      <c r="I60" s="416" t="str">
        <f t="shared" si="1"/>
        <v>0650602</v>
      </c>
      <c r="J60" s="417">
        <f>VLOOKUP(D60,'web CSHT'!$J$4:$Q$110000,6,0)</f>
        <v>46063</v>
      </c>
      <c r="K60" s="415">
        <f t="shared" si="18"/>
        <v>1450000</v>
      </c>
      <c r="L60" s="415">
        <f t="shared" si="16"/>
        <v>116000</v>
      </c>
      <c r="M60" s="415">
        <v>1566000</v>
      </c>
      <c r="N60" s="418" t="s">
        <v>874</v>
      </c>
      <c r="O60" s="500">
        <v>46062</v>
      </c>
      <c r="P60" s="501" t="s">
        <v>926</v>
      </c>
      <c r="Q60" s="415">
        <f t="shared" si="17"/>
        <v>1500000</v>
      </c>
      <c r="R60" s="415">
        <f t="shared" si="15"/>
        <v>120000</v>
      </c>
      <c r="S60" s="415">
        <v>1620000</v>
      </c>
      <c r="T60" s="418" t="s">
        <v>875</v>
      </c>
      <c r="U60" s="500">
        <v>46063</v>
      </c>
      <c r="V60" s="501" t="s">
        <v>926</v>
      </c>
      <c r="W60" s="238"/>
      <c r="X60" s="239"/>
      <c r="Y60" s="239"/>
      <c r="Z60" s="235"/>
      <c r="AA60" s="385"/>
      <c r="AB60" s="369"/>
      <c r="AC60" s="420">
        <f t="shared" si="6"/>
        <v>3686000</v>
      </c>
      <c r="AD60" s="368"/>
      <c r="AE60" s="462" t="s">
        <v>267</v>
      </c>
      <c r="AF60" s="151" t="s">
        <v>286</v>
      </c>
      <c r="AG60" s="151" t="s">
        <v>266</v>
      </c>
      <c r="AH60" s="462"/>
      <c r="AI60" s="382">
        <f>VLOOKUP(D60,'web CSHT'!$J$4:$Q$170000,5,0)</f>
        <v>650602</v>
      </c>
      <c r="AJ60" s="371">
        <f>VLOOKUP(D60,'web CSHT'!$J$4:$Q$170000,8,0)</f>
        <v>500</v>
      </c>
      <c r="AK60" s="105" t="s">
        <v>502</v>
      </c>
      <c r="AL60" s="373" t="b">
        <f t="shared" si="7"/>
        <v>1</v>
      </c>
      <c r="AM60" s="374"/>
      <c r="AN60" s="367"/>
      <c r="AO60" s="375"/>
      <c r="AP60" s="376"/>
      <c r="AQ60" s="376"/>
      <c r="AR60" s="377"/>
    </row>
    <row r="61" spans="1:44" s="378" customFormat="1" ht="102" customHeight="1" thickBot="1">
      <c r="A61" s="368">
        <f t="shared" si="0"/>
        <v>40</v>
      </c>
      <c r="B61" s="507">
        <v>46063</v>
      </c>
      <c r="C61" s="508" t="s">
        <v>360</v>
      </c>
      <c r="D61" s="509">
        <v>308246968210</v>
      </c>
      <c r="E61" s="510" t="s">
        <v>52</v>
      </c>
      <c r="F61" s="511" t="s">
        <v>506</v>
      </c>
      <c r="G61" s="510" t="s">
        <v>503</v>
      </c>
      <c r="H61" s="415">
        <v>250000</v>
      </c>
      <c r="I61" s="416" t="str">
        <f t="shared" si="1"/>
        <v>0651477</v>
      </c>
      <c r="J61" s="417">
        <f>VLOOKUP(D61,'web CSHT'!$J$4:$Q$110000,6,0)</f>
        <v>46064</v>
      </c>
      <c r="K61" s="415">
        <f t="shared" si="18"/>
        <v>999999.99999999988</v>
      </c>
      <c r="L61" s="415">
        <f t="shared" si="16"/>
        <v>80000.000000000116</v>
      </c>
      <c r="M61" s="415">
        <v>1080000</v>
      </c>
      <c r="N61" s="418" t="s">
        <v>876</v>
      </c>
      <c r="O61" s="500" t="s">
        <v>516</v>
      </c>
      <c r="P61" s="501" t="s">
        <v>926</v>
      </c>
      <c r="Q61" s="415">
        <f t="shared" si="17"/>
        <v>1150000</v>
      </c>
      <c r="R61" s="415">
        <f t="shared" si="15"/>
        <v>92000</v>
      </c>
      <c r="S61" s="415">
        <v>1242000</v>
      </c>
      <c r="T61" s="418" t="s">
        <v>877</v>
      </c>
      <c r="U61" s="500" t="s">
        <v>501</v>
      </c>
      <c r="V61" s="501" t="s">
        <v>926</v>
      </c>
      <c r="W61" s="238"/>
      <c r="X61" s="239"/>
      <c r="Y61" s="239"/>
      <c r="Z61" s="235"/>
      <c r="AA61" s="385"/>
      <c r="AB61" s="369"/>
      <c r="AC61" s="420">
        <f t="shared" si="6"/>
        <v>2572000</v>
      </c>
      <c r="AD61" s="368"/>
      <c r="AE61" s="462" t="s">
        <v>267</v>
      </c>
      <c r="AF61" s="151" t="s">
        <v>266</v>
      </c>
      <c r="AG61" s="151" t="s">
        <v>266</v>
      </c>
      <c r="AH61" s="462"/>
      <c r="AI61" s="382">
        <f>VLOOKUP(D61,'web CSHT'!$J$4:$Q$170000,5,0)</f>
        <v>651477</v>
      </c>
      <c r="AJ61" s="371">
        <f>VLOOKUP(D61,'web CSHT'!$J$4:$Q$170000,8,0)</f>
        <v>250</v>
      </c>
      <c r="AK61" s="105" t="s">
        <v>503</v>
      </c>
      <c r="AL61" s="373" t="b">
        <f t="shared" si="7"/>
        <v>1</v>
      </c>
      <c r="AM61" s="374"/>
      <c r="AN61" s="367"/>
      <c r="AO61" s="375"/>
      <c r="AP61" s="376"/>
      <c r="AQ61" s="376"/>
      <c r="AR61" s="377"/>
    </row>
    <row r="62" spans="1:44" s="378" customFormat="1" ht="102" customHeight="1" thickBot="1">
      <c r="A62" s="368">
        <f t="shared" si="0"/>
        <v>41</v>
      </c>
      <c r="B62" s="507">
        <v>46063</v>
      </c>
      <c r="C62" s="508" t="s">
        <v>360</v>
      </c>
      <c r="D62" s="509">
        <v>308246996800</v>
      </c>
      <c r="E62" s="510" t="s">
        <v>22</v>
      </c>
      <c r="F62" s="511" t="s">
        <v>507</v>
      </c>
      <c r="G62" s="510" t="s">
        <v>504</v>
      </c>
      <c r="H62" s="415">
        <v>500000</v>
      </c>
      <c r="I62" s="416" t="str">
        <f t="shared" si="1"/>
        <v>0651475</v>
      </c>
      <c r="J62" s="417">
        <f>VLOOKUP(D62,'web CSHT'!$J$4:$Q$110000,6,0)</f>
        <v>46064</v>
      </c>
      <c r="K62" s="415">
        <f t="shared" si="18"/>
        <v>1450000</v>
      </c>
      <c r="L62" s="415">
        <f t="shared" si="16"/>
        <v>116000</v>
      </c>
      <c r="M62" s="415">
        <v>1566000</v>
      </c>
      <c r="N62" s="418" t="s">
        <v>878</v>
      </c>
      <c r="O62" s="500" t="s">
        <v>516</v>
      </c>
      <c r="P62" s="501" t="s">
        <v>926</v>
      </c>
      <c r="Q62" s="415">
        <f t="shared" si="17"/>
        <v>1500000</v>
      </c>
      <c r="R62" s="415">
        <f t="shared" si="15"/>
        <v>120000</v>
      </c>
      <c r="S62" s="415">
        <v>1620000</v>
      </c>
      <c r="T62" s="418" t="s">
        <v>519</v>
      </c>
      <c r="U62" s="500" t="s">
        <v>501</v>
      </c>
      <c r="V62" s="501" t="s">
        <v>926</v>
      </c>
      <c r="W62" s="238"/>
      <c r="X62" s="239"/>
      <c r="Y62" s="239"/>
      <c r="Z62" s="235"/>
      <c r="AA62" s="385"/>
      <c r="AB62" s="369"/>
      <c r="AC62" s="420">
        <f t="shared" si="6"/>
        <v>3686000</v>
      </c>
      <c r="AD62" s="368"/>
      <c r="AE62" s="462" t="s">
        <v>279</v>
      </c>
      <c r="AF62" s="151" t="s">
        <v>266</v>
      </c>
      <c r="AG62" s="151" t="s">
        <v>266</v>
      </c>
      <c r="AH62" s="462"/>
      <c r="AI62" s="382">
        <f>VLOOKUP(D62,'web CSHT'!$J$4:$Q$170000,5,0)</f>
        <v>651475</v>
      </c>
      <c r="AJ62" s="371">
        <f>VLOOKUP(D62,'web CSHT'!$J$4:$Q$170000,8,0)</f>
        <v>500</v>
      </c>
      <c r="AK62" s="105" t="s">
        <v>504</v>
      </c>
      <c r="AL62" s="373" t="b">
        <f t="shared" si="7"/>
        <v>1</v>
      </c>
      <c r="AM62" s="374"/>
      <c r="AN62" s="367"/>
      <c r="AO62" s="375"/>
      <c r="AP62" s="376"/>
      <c r="AQ62" s="376"/>
      <c r="AR62" s="377"/>
    </row>
    <row r="63" spans="1:44" s="378" customFormat="1" ht="102" customHeight="1" thickBot="1">
      <c r="A63" s="368">
        <f t="shared" si="0"/>
        <v>42</v>
      </c>
      <c r="B63" s="507">
        <v>46063</v>
      </c>
      <c r="C63" s="508" t="s">
        <v>865</v>
      </c>
      <c r="D63" s="509">
        <v>308247380730</v>
      </c>
      <c r="E63" s="510" t="s">
        <v>52</v>
      </c>
      <c r="F63" s="511" t="s">
        <v>860</v>
      </c>
      <c r="G63" s="510" t="s">
        <v>855</v>
      </c>
      <c r="H63" s="415">
        <v>250000</v>
      </c>
      <c r="I63" s="416" t="str">
        <f t="shared" si="1"/>
        <v>0652778</v>
      </c>
      <c r="J63" s="417">
        <f>VLOOKUP(D63,'web CSHT'!$J$4:$Q$110000,6,0)</f>
        <v>46064</v>
      </c>
      <c r="K63" s="415">
        <f t="shared" si="18"/>
        <v>999999.99999999988</v>
      </c>
      <c r="L63" s="415">
        <f t="shared" si="16"/>
        <v>80000.000000000116</v>
      </c>
      <c r="M63" s="415">
        <v>1080000</v>
      </c>
      <c r="N63" s="418">
        <v>7975</v>
      </c>
      <c r="O63" s="500">
        <v>46066</v>
      </c>
      <c r="P63" s="501" t="s">
        <v>931</v>
      </c>
      <c r="Q63" s="415">
        <v>1157407</v>
      </c>
      <c r="R63" s="415">
        <f t="shared" si="15"/>
        <v>92593</v>
      </c>
      <c r="S63" s="415">
        <v>1250000</v>
      </c>
      <c r="T63" s="418">
        <v>7976</v>
      </c>
      <c r="U63" s="500">
        <v>46066</v>
      </c>
      <c r="V63" s="501" t="s">
        <v>931</v>
      </c>
      <c r="W63" s="238"/>
      <c r="X63" s="239"/>
      <c r="Y63" s="239"/>
      <c r="Z63" s="235"/>
      <c r="AA63" s="385"/>
      <c r="AB63" s="369"/>
      <c r="AC63" s="420">
        <f t="shared" si="6"/>
        <v>2580000</v>
      </c>
      <c r="AD63" s="368"/>
      <c r="AE63" s="462" t="s">
        <v>267</v>
      </c>
      <c r="AF63" s="151" t="s">
        <v>508</v>
      </c>
      <c r="AG63" s="151" t="s">
        <v>287</v>
      </c>
      <c r="AH63" s="462"/>
      <c r="AI63" s="382">
        <f>VLOOKUP(D63,'web CSHT'!$J$4:$Q$170000,5,0)</f>
        <v>652778</v>
      </c>
      <c r="AJ63" s="371">
        <f>VLOOKUP(D63,'web CSHT'!$J$4:$Q$170000,8,0)</f>
        <v>250</v>
      </c>
      <c r="AK63" s="105" t="s">
        <v>855</v>
      </c>
      <c r="AL63" s="373"/>
      <c r="AM63" s="374"/>
      <c r="AN63" s="367"/>
      <c r="AO63" s="375"/>
      <c r="AP63" s="376"/>
      <c r="AQ63" s="376"/>
      <c r="AR63" s="377"/>
    </row>
    <row r="64" spans="1:44" s="378" customFormat="1" ht="102" customHeight="1" thickBot="1">
      <c r="A64" s="368">
        <f t="shared" si="0"/>
        <v>43</v>
      </c>
      <c r="B64" s="507">
        <v>46063</v>
      </c>
      <c r="C64" s="508" t="s">
        <v>427</v>
      </c>
      <c r="D64" s="509">
        <v>308247417020</v>
      </c>
      <c r="E64" s="510" t="s">
        <v>52</v>
      </c>
      <c r="F64" s="511" t="s">
        <v>861</v>
      </c>
      <c r="G64" s="510" t="s">
        <v>856</v>
      </c>
      <c r="H64" s="415">
        <v>250000</v>
      </c>
      <c r="I64" s="416" t="str">
        <f t="shared" si="1"/>
        <v>0652787</v>
      </c>
      <c r="J64" s="417">
        <f>VLOOKUP(D64,'web CSHT'!$J$4:$Q$110000,6,0)</f>
        <v>46064</v>
      </c>
      <c r="K64" s="415">
        <v>925926</v>
      </c>
      <c r="L64" s="415">
        <f t="shared" si="16"/>
        <v>74074</v>
      </c>
      <c r="M64" s="415">
        <v>1000000</v>
      </c>
      <c r="N64" s="418" t="s">
        <v>879</v>
      </c>
      <c r="O64" s="500" t="s">
        <v>880</v>
      </c>
      <c r="P64" s="501" t="s">
        <v>932</v>
      </c>
      <c r="Q64" s="415">
        <f t="shared" si="17"/>
        <v>1150000</v>
      </c>
      <c r="R64" s="415">
        <f t="shared" si="15"/>
        <v>92000</v>
      </c>
      <c r="S64" s="415">
        <v>1242000</v>
      </c>
      <c r="T64" s="418" t="s">
        <v>881</v>
      </c>
      <c r="U64" s="500" t="s">
        <v>882</v>
      </c>
      <c r="V64" s="501" t="s">
        <v>926</v>
      </c>
      <c r="W64" s="238"/>
      <c r="X64" s="239"/>
      <c r="Y64" s="239"/>
      <c r="Z64" s="235"/>
      <c r="AA64" s="385"/>
      <c r="AB64" s="369"/>
      <c r="AC64" s="420">
        <f t="shared" si="6"/>
        <v>2492000</v>
      </c>
      <c r="AD64" s="368"/>
      <c r="AE64" s="462" t="s">
        <v>279</v>
      </c>
      <c r="AF64" s="151" t="s">
        <v>265</v>
      </c>
      <c r="AG64" s="151" t="s">
        <v>266</v>
      </c>
      <c r="AH64" s="462"/>
      <c r="AI64" s="382">
        <f>VLOOKUP(D64,'web CSHT'!$J$4:$Q$170000,5,0)</f>
        <v>652787</v>
      </c>
      <c r="AJ64" s="371">
        <f>VLOOKUP(D64,'web CSHT'!$J$4:$Q$170000,8,0)</f>
        <v>250</v>
      </c>
      <c r="AK64" s="105" t="s">
        <v>856</v>
      </c>
      <c r="AL64" s="373"/>
      <c r="AM64" s="374"/>
      <c r="AN64" s="367"/>
      <c r="AO64" s="375"/>
      <c r="AP64" s="376"/>
      <c r="AQ64" s="376"/>
      <c r="AR64" s="377"/>
    </row>
    <row r="65" spans="1:44" s="378" customFormat="1" ht="102" customHeight="1" thickBot="1">
      <c r="A65" s="368">
        <f t="shared" si="0"/>
        <v>44</v>
      </c>
      <c r="B65" s="507">
        <v>46063</v>
      </c>
      <c r="C65" s="508" t="s">
        <v>866</v>
      </c>
      <c r="D65" s="509">
        <v>308240536830</v>
      </c>
      <c r="E65" s="510" t="s">
        <v>22</v>
      </c>
      <c r="F65" s="511" t="s">
        <v>862</v>
      </c>
      <c r="G65" s="510" t="s">
        <v>857</v>
      </c>
      <c r="H65" s="415">
        <v>500000</v>
      </c>
      <c r="I65" s="416" t="str">
        <f t="shared" si="1"/>
        <v>0652780</v>
      </c>
      <c r="J65" s="417">
        <f>VLOOKUP(D65,'web CSHT'!$J$4:$Q$110000,6,0)</f>
        <v>46064</v>
      </c>
      <c r="K65" s="415"/>
      <c r="L65" s="415"/>
      <c r="M65" s="415"/>
      <c r="N65" s="418"/>
      <c r="O65" s="500"/>
      <c r="P65" s="501" t="s">
        <v>223</v>
      </c>
      <c r="Q65" s="415">
        <f t="shared" si="17"/>
        <v>1640000</v>
      </c>
      <c r="R65" s="415">
        <f t="shared" si="15"/>
        <v>131200</v>
      </c>
      <c r="S65" s="415">
        <v>1771200</v>
      </c>
      <c r="T65" s="418" t="s">
        <v>883</v>
      </c>
      <c r="U65" s="500" t="s">
        <v>882</v>
      </c>
      <c r="V65" s="501" t="s">
        <v>228</v>
      </c>
      <c r="W65" s="238"/>
      <c r="X65" s="239"/>
      <c r="Y65" s="239"/>
      <c r="Z65" s="235"/>
      <c r="AA65" s="385"/>
      <c r="AB65" s="369"/>
      <c r="AC65" s="420">
        <f t="shared" si="6"/>
        <v>2271200</v>
      </c>
      <c r="AD65" s="368"/>
      <c r="AE65" s="462" t="s">
        <v>871</v>
      </c>
      <c r="AF65" s="151" t="s">
        <v>144</v>
      </c>
      <c r="AG65" s="151" t="s">
        <v>145</v>
      </c>
      <c r="AH65" s="462"/>
      <c r="AI65" s="382">
        <f>VLOOKUP(D65,'web CSHT'!$J$4:$Q$170000,5,0)</f>
        <v>652780</v>
      </c>
      <c r="AJ65" s="371">
        <f>VLOOKUP(D65,'web CSHT'!$J$4:$Q$170000,8,0)</f>
        <v>500</v>
      </c>
      <c r="AK65" s="105" t="s">
        <v>857</v>
      </c>
      <c r="AL65" s="373"/>
      <c r="AM65" s="374"/>
      <c r="AN65" s="367"/>
      <c r="AO65" s="375"/>
      <c r="AP65" s="376"/>
      <c r="AQ65" s="376"/>
      <c r="AR65" s="377"/>
    </row>
    <row r="66" spans="1:44" s="378" customFormat="1" ht="102" customHeight="1" thickBot="1">
      <c r="A66" s="368">
        <f t="shared" si="0"/>
        <v>45</v>
      </c>
      <c r="B66" s="507">
        <v>46064</v>
      </c>
      <c r="C66" s="508" t="s">
        <v>867</v>
      </c>
      <c r="D66" s="509">
        <v>308252039120</v>
      </c>
      <c r="E66" s="510" t="s">
        <v>22</v>
      </c>
      <c r="F66" s="511" t="s">
        <v>863</v>
      </c>
      <c r="G66" s="510" t="s">
        <v>858</v>
      </c>
      <c r="H66" s="415">
        <v>500000</v>
      </c>
      <c r="I66" s="416" t="str">
        <f t="shared" si="1"/>
        <v>0654058</v>
      </c>
      <c r="J66" s="417">
        <f>VLOOKUP(D66,'web CSHT'!$J$4:$Q$110000,6,0)</f>
        <v>46065</v>
      </c>
      <c r="K66" s="415">
        <f t="shared" ref="K66:K67" si="19">M66/1.08</f>
        <v>1500000</v>
      </c>
      <c r="L66" s="415">
        <f t="shared" ref="L66:L67" si="20">M66-K66</f>
        <v>120000</v>
      </c>
      <c r="M66" s="415">
        <v>1620000</v>
      </c>
      <c r="N66" s="418" t="s">
        <v>884</v>
      </c>
      <c r="O66" s="500" t="s">
        <v>880</v>
      </c>
      <c r="P66" s="501" t="s">
        <v>951</v>
      </c>
      <c r="Q66" s="415">
        <f t="shared" si="17"/>
        <v>1600000</v>
      </c>
      <c r="R66" s="415">
        <f t="shared" si="15"/>
        <v>128000</v>
      </c>
      <c r="S66" s="415">
        <v>1728000</v>
      </c>
      <c r="T66" s="418" t="s">
        <v>885</v>
      </c>
      <c r="U66" s="500" t="s">
        <v>882</v>
      </c>
      <c r="V66" s="501" t="s">
        <v>933</v>
      </c>
      <c r="W66" s="238"/>
      <c r="X66" s="239"/>
      <c r="Y66" s="239"/>
      <c r="Z66" s="235"/>
      <c r="AA66" s="385"/>
      <c r="AB66" s="369"/>
      <c r="AC66" s="420">
        <f t="shared" si="6"/>
        <v>3848000</v>
      </c>
      <c r="AD66" s="368"/>
      <c r="AE66" s="462" t="s">
        <v>140</v>
      </c>
      <c r="AF66" s="151" t="s">
        <v>284</v>
      </c>
      <c r="AG66" s="151" t="s">
        <v>143</v>
      </c>
      <c r="AH66" s="462"/>
      <c r="AI66" s="382">
        <f>VLOOKUP(D66,'web CSHT'!$J$4:$Q$170000,5,0)</f>
        <v>654058</v>
      </c>
      <c r="AJ66" s="371">
        <f>VLOOKUP(D66,'web CSHT'!$J$4:$Q$170000,8,0)</f>
        <v>500</v>
      </c>
      <c r="AK66" s="105" t="s">
        <v>858</v>
      </c>
      <c r="AL66" s="373"/>
      <c r="AM66" s="374"/>
      <c r="AN66" s="367"/>
      <c r="AO66" s="375"/>
      <c r="AP66" s="376"/>
      <c r="AQ66" s="376"/>
      <c r="AR66" s="377"/>
    </row>
    <row r="67" spans="1:44" s="378" customFormat="1" ht="102" customHeight="1" thickBot="1">
      <c r="A67" s="368">
        <f t="shared" si="0"/>
        <v>46</v>
      </c>
      <c r="B67" s="507">
        <v>46063</v>
      </c>
      <c r="C67" s="508" t="s">
        <v>868</v>
      </c>
      <c r="D67" s="509">
        <v>308249638450</v>
      </c>
      <c r="E67" s="510" t="s">
        <v>22</v>
      </c>
      <c r="F67" s="511" t="s">
        <v>864</v>
      </c>
      <c r="G67" s="510" t="s">
        <v>859</v>
      </c>
      <c r="H67" s="415">
        <v>500000</v>
      </c>
      <c r="I67" s="416" t="str">
        <f t="shared" si="1"/>
        <v>0654045</v>
      </c>
      <c r="J67" s="417">
        <f>VLOOKUP(D67,'web CSHT'!$J$4:$Q$110000,6,0)</f>
        <v>46065</v>
      </c>
      <c r="K67" s="415">
        <f t="shared" si="19"/>
        <v>1500000</v>
      </c>
      <c r="L67" s="415">
        <f t="shared" si="20"/>
        <v>120000</v>
      </c>
      <c r="M67" s="415">
        <v>1620000</v>
      </c>
      <c r="N67" s="418" t="s">
        <v>886</v>
      </c>
      <c r="O67" s="500" t="s">
        <v>880</v>
      </c>
      <c r="P67" s="501" t="s">
        <v>951</v>
      </c>
      <c r="Q67" s="415">
        <f t="shared" si="17"/>
        <v>1640000</v>
      </c>
      <c r="R67" s="415">
        <f t="shared" si="15"/>
        <v>131200</v>
      </c>
      <c r="S67" s="415">
        <v>1771200</v>
      </c>
      <c r="T67" s="418" t="s">
        <v>887</v>
      </c>
      <c r="U67" s="500" t="s">
        <v>882</v>
      </c>
      <c r="V67" s="501" t="s">
        <v>228</v>
      </c>
      <c r="W67" s="238"/>
      <c r="X67" s="239"/>
      <c r="Y67" s="239"/>
      <c r="Z67" s="235"/>
      <c r="AA67" s="385"/>
      <c r="AB67" s="369"/>
      <c r="AC67" s="420">
        <f t="shared" si="6"/>
        <v>3891200</v>
      </c>
      <c r="AD67" s="368"/>
      <c r="AE67" s="462" t="s">
        <v>279</v>
      </c>
      <c r="AF67" s="151" t="s">
        <v>284</v>
      </c>
      <c r="AG67" s="151" t="s">
        <v>145</v>
      </c>
      <c r="AH67" s="462"/>
      <c r="AI67" s="382">
        <f>VLOOKUP(D67,'web CSHT'!$J$4:$Q$170000,5,0)</f>
        <v>654045</v>
      </c>
      <c r="AJ67" s="371">
        <f>VLOOKUP(D67,'web CSHT'!$J$4:$Q$170000,8,0)</f>
        <v>500</v>
      </c>
      <c r="AK67" s="105" t="s">
        <v>859</v>
      </c>
      <c r="AL67" s="373"/>
      <c r="AM67" s="374"/>
      <c r="AN67" s="367"/>
      <c r="AO67" s="375"/>
      <c r="AP67" s="376"/>
      <c r="AQ67" s="376"/>
      <c r="AR67" s="377"/>
    </row>
    <row r="68" spans="1:44" s="378" customFormat="1" ht="90" customHeight="1" thickBot="1">
      <c r="A68" s="368">
        <f t="shared" si="0"/>
        <v>47</v>
      </c>
      <c r="B68" s="514">
        <v>46039</v>
      </c>
      <c r="C68" s="513">
        <v>262590698</v>
      </c>
      <c r="D68" s="515">
        <v>308161200230</v>
      </c>
      <c r="E68" s="510" t="s">
        <v>22</v>
      </c>
      <c r="F68" s="511" t="s">
        <v>395</v>
      </c>
      <c r="G68" s="516" t="s">
        <v>388</v>
      </c>
      <c r="H68" s="415">
        <v>250000</v>
      </c>
      <c r="I68" s="416" t="str">
        <f t="shared" si="1"/>
        <v>0615589</v>
      </c>
      <c r="J68" s="417">
        <f>VLOOKUP(D68,'web CSHT'!$J$4:$Q$110000,6,0)</f>
        <v>46041</v>
      </c>
      <c r="K68" s="415"/>
      <c r="L68" s="415"/>
      <c r="M68" s="415"/>
      <c r="N68" s="418"/>
      <c r="O68" s="419"/>
      <c r="P68" s="150"/>
      <c r="Q68" s="415"/>
      <c r="R68" s="415"/>
      <c r="S68" s="415"/>
      <c r="T68" s="418"/>
      <c r="U68" s="419"/>
      <c r="V68" s="150"/>
      <c r="W68" s="238"/>
      <c r="X68" s="239"/>
      <c r="Y68" s="239"/>
      <c r="Z68" s="235"/>
      <c r="AA68" s="385"/>
      <c r="AB68" s="369"/>
      <c r="AC68" s="420">
        <f t="shared" si="6"/>
        <v>250000</v>
      </c>
      <c r="AD68" s="368"/>
      <c r="AE68" s="465"/>
      <c r="AF68" s="371"/>
      <c r="AG68" s="371"/>
      <c r="AH68" s="151"/>
      <c r="AI68" s="382">
        <f>VLOOKUP(D68,'web CSHT'!$J$4:$Q$170000,5,0)</f>
        <v>615589</v>
      </c>
      <c r="AJ68" s="371">
        <f>VLOOKUP(D68,'web CSHT'!$J$4:$Q$170000,8,0)</f>
        <v>250</v>
      </c>
      <c r="AK68" s="247"/>
      <c r="AL68" s="373"/>
      <c r="AM68" s="374"/>
      <c r="AN68" s="367"/>
      <c r="AO68" s="375"/>
      <c r="AP68" s="376"/>
      <c r="AQ68" s="376"/>
      <c r="AR68" s="377"/>
    </row>
    <row r="69" spans="1:44" s="378" customFormat="1" ht="90" customHeight="1" thickBot="1">
      <c r="A69" s="368">
        <f t="shared" si="0"/>
        <v>48</v>
      </c>
      <c r="B69" s="514">
        <v>46039</v>
      </c>
      <c r="C69" s="513">
        <v>262590698</v>
      </c>
      <c r="D69" s="515">
        <v>308161249010</v>
      </c>
      <c r="E69" s="510" t="s">
        <v>22</v>
      </c>
      <c r="F69" s="511" t="s">
        <v>396</v>
      </c>
      <c r="G69" s="516" t="s">
        <v>389</v>
      </c>
      <c r="H69" s="415">
        <v>250000</v>
      </c>
      <c r="I69" s="416" t="str">
        <f t="shared" si="1"/>
        <v>0615573</v>
      </c>
      <c r="J69" s="417">
        <f>VLOOKUP(D69,'web CSHT'!$J$4:$Q$110000,6,0)</f>
        <v>46041</v>
      </c>
      <c r="K69" s="415"/>
      <c r="L69" s="415"/>
      <c r="M69" s="415"/>
      <c r="N69" s="418"/>
      <c r="O69" s="419"/>
      <c r="P69" s="150"/>
      <c r="Q69" s="415"/>
      <c r="R69" s="415"/>
      <c r="S69" s="415"/>
      <c r="T69" s="418"/>
      <c r="U69" s="419"/>
      <c r="V69" s="150"/>
      <c r="W69" s="238"/>
      <c r="X69" s="239"/>
      <c r="Y69" s="239"/>
      <c r="Z69" s="235"/>
      <c r="AA69" s="385"/>
      <c r="AB69" s="369"/>
      <c r="AC69" s="420">
        <f t="shared" si="6"/>
        <v>250000</v>
      </c>
      <c r="AD69" s="368"/>
      <c r="AE69" s="465"/>
      <c r="AF69" s="371"/>
      <c r="AG69" s="371"/>
      <c r="AH69" s="151"/>
      <c r="AI69" s="382">
        <f>VLOOKUP(D69,'web CSHT'!$J$4:$Q$170000,5,0)</f>
        <v>615573</v>
      </c>
      <c r="AJ69" s="371">
        <f>VLOOKUP(D69,'web CSHT'!$J$4:$Q$170000,8,0)</f>
        <v>250</v>
      </c>
      <c r="AK69" s="247"/>
      <c r="AL69" s="373"/>
      <c r="AM69" s="374"/>
      <c r="AN69" s="367"/>
      <c r="AO69" s="375"/>
      <c r="AP69" s="376"/>
      <c r="AQ69" s="376"/>
      <c r="AR69" s="377"/>
    </row>
    <row r="70" spans="1:44" s="378" customFormat="1" ht="90" customHeight="1" thickBot="1">
      <c r="A70" s="368">
        <f t="shared" si="0"/>
        <v>49</v>
      </c>
      <c r="B70" s="514">
        <v>46043</v>
      </c>
      <c r="C70" s="513">
        <v>262863213</v>
      </c>
      <c r="D70" s="515">
        <v>308174416450</v>
      </c>
      <c r="E70" s="510" t="s">
        <v>22</v>
      </c>
      <c r="F70" s="511" t="s">
        <v>397</v>
      </c>
      <c r="G70" s="516" t="s">
        <v>390</v>
      </c>
      <c r="H70" s="415">
        <v>250000</v>
      </c>
      <c r="I70" s="416" t="str">
        <f t="shared" si="1"/>
        <v>0626252</v>
      </c>
      <c r="J70" s="417">
        <f>VLOOKUP(D70,'web CSHT'!$J$4:$Q$110000,6,0)</f>
        <v>46048</v>
      </c>
      <c r="K70" s="415"/>
      <c r="L70" s="415"/>
      <c r="M70" s="415"/>
      <c r="N70" s="418"/>
      <c r="O70" s="419"/>
      <c r="P70" s="150"/>
      <c r="Q70" s="415"/>
      <c r="R70" s="415"/>
      <c r="S70" s="415"/>
      <c r="T70" s="418"/>
      <c r="U70" s="419"/>
      <c r="V70" s="150"/>
      <c r="W70" s="238"/>
      <c r="X70" s="239"/>
      <c r="Y70" s="239"/>
      <c r="Z70" s="235"/>
      <c r="AA70" s="385"/>
      <c r="AB70" s="369"/>
      <c r="AC70" s="420">
        <f t="shared" si="6"/>
        <v>250000</v>
      </c>
      <c r="AD70" s="368"/>
      <c r="AE70" s="465"/>
      <c r="AF70" s="371"/>
      <c r="AG70" s="371"/>
      <c r="AH70" s="151"/>
      <c r="AI70" s="382">
        <f>VLOOKUP(D70,'web CSHT'!$J$4:$Q$170000,5,0)</f>
        <v>626252</v>
      </c>
      <c r="AJ70" s="371">
        <f>VLOOKUP(D70,'web CSHT'!$J$4:$Q$170000,8,0)</f>
        <v>250</v>
      </c>
      <c r="AK70" s="247"/>
      <c r="AL70" s="373"/>
      <c r="AM70" s="374"/>
      <c r="AN70" s="367"/>
      <c r="AO70" s="375"/>
      <c r="AP70" s="376"/>
      <c r="AQ70" s="376"/>
      <c r="AR70" s="377"/>
    </row>
    <row r="71" spans="1:44" s="378" customFormat="1" ht="90" customHeight="1" thickBot="1">
      <c r="A71" s="368">
        <f t="shared" si="0"/>
        <v>50</v>
      </c>
      <c r="B71" s="514">
        <v>46045</v>
      </c>
      <c r="C71" s="513">
        <v>262863213</v>
      </c>
      <c r="D71" s="515">
        <v>308182398000</v>
      </c>
      <c r="E71" s="510" t="s">
        <v>22</v>
      </c>
      <c r="F71" s="511" t="s">
        <v>398</v>
      </c>
      <c r="G71" s="516" t="s">
        <v>391</v>
      </c>
      <c r="H71" s="415">
        <v>250000</v>
      </c>
      <c r="I71" s="416" t="str">
        <f t="shared" si="1"/>
        <v>0629683</v>
      </c>
      <c r="J71" s="417">
        <f>VLOOKUP(D71,'web CSHT'!$J$4:$Q$110000,6,0)</f>
        <v>46050</v>
      </c>
      <c r="K71" s="415"/>
      <c r="L71" s="415"/>
      <c r="M71" s="415"/>
      <c r="N71" s="418"/>
      <c r="O71" s="419"/>
      <c r="P71" s="150"/>
      <c r="Q71" s="415"/>
      <c r="R71" s="415"/>
      <c r="S71" s="415"/>
      <c r="T71" s="418"/>
      <c r="U71" s="419"/>
      <c r="V71" s="150"/>
      <c r="W71" s="238"/>
      <c r="X71" s="239"/>
      <c r="Y71" s="239"/>
      <c r="Z71" s="235"/>
      <c r="AA71" s="385"/>
      <c r="AB71" s="369"/>
      <c r="AC71" s="420">
        <f t="shared" si="6"/>
        <v>250000</v>
      </c>
      <c r="AD71" s="368"/>
      <c r="AE71" s="465"/>
      <c r="AF71" s="371"/>
      <c r="AG71" s="371"/>
      <c r="AH71" s="151"/>
      <c r="AI71" s="382">
        <f>VLOOKUP(D71,'web CSHT'!$J$4:$Q$170000,5,0)</f>
        <v>629683</v>
      </c>
      <c r="AJ71" s="371">
        <f>VLOOKUP(D71,'web CSHT'!$J$4:$Q$170000,8,0)</f>
        <v>250</v>
      </c>
      <c r="AK71" s="247"/>
      <c r="AL71" s="373"/>
      <c r="AM71" s="374"/>
      <c r="AN71" s="367"/>
      <c r="AO71" s="375"/>
      <c r="AP71" s="376"/>
      <c r="AQ71" s="376"/>
      <c r="AR71" s="377"/>
    </row>
    <row r="72" spans="1:44" s="378" customFormat="1" ht="90" customHeight="1" thickBot="1">
      <c r="A72" s="368">
        <f t="shared" si="0"/>
        <v>51</v>
      </c>
      <c r="B72" s="514">
        <v>46049</v>
      </c>
      <c r="C72" s="513">
        <v>263155880</v>
      </c>
      <c r="D72" s="515">
        <v>308196593520</v>
      </c>
      <c r="E72" s="510" t="s">
        <v>22</v>
      </c>
      <c r="F72" s="511" t="s">
        <v>399</v>
      </c>
      <c r="G72" s="516" t="s">
        <v>392</v>
      </c>
      <c r="H72" s="415">
        <v>250000</v>
      </c>
      <c r="I72" s="416" t="str">
        <f t="shared" si="1"/>
        <v>0636868</v>
      </c>
      <c r="J72" s="417">
        <f>VLOOKUP(D72,'web CSHT'!$J$4:$Q$110000,6,0)</f>
        <v>46055</v>
      </c>
      <c r="K72" s="415"/>
      <c r="L72" s="415"/>
      <c r="M72" s="415"/>
      <c r="N72" s="418"/>
      <c r="O72" s="419"/>
      <c r="P72" s="150"/>
      <c r="Q72" s="415"/>
      <c r="R72" s="415"/>
      <c r="S72" s="415"/>
      <c r="T72" s="418"/>
      <c r="U72" s="419"/>
      <c r="V72" s="150"/>
      <c r="W72" s="238"/>
      <c r="X72" s="239"/>
      <c r="Y72" s="239"/>
      <c r="Z72" s="235"/>
      <c r="AA72" s="385"/>
      <c r="AB72" s="369"/>
      <c r="AC72" s="420">
        <f t="shared" si="6"/>
        <v>250000</v>
      </c>
      <c r="AD72" s="368"/>
      <c r="AE72" s="465"/>
      <c r="AF72" s="371"/>
      <c r="AG72" s="371"/>
      <c r="AH72" s="151"/>
      <c r="AI72" s="382">
        <f>VLOOKUP(D72,'web CSHT'!$J$4:$Q$170000,5,0)</f>
        <v>636868</v>
      </c>
      <c r="AJ72" s="371">
        <f>VLOOKUP(D72,'web CSHT'!$J$4:$Q$170000,8,0)</f>
        <v>250</v>
      </c>
      <c r="AK72" s="247"/>
      <c r="AL72" s="373"/>
      <c r="AM72" s="374"/>
      <c r="AN72" s="367"/>
      <c r="AO72" s="375"/>
      <c r="AP72" s="376"/>
      <c r="AQ72" s="376"/>
      <c r="AR72" s="377"/>
    </row>
    <row r="73" spans="1:44" s="378" customFormat="1" ht="90" customHeight="1" thickBot="1">
      <c r="A73" s="368">
        <f t="shared" si="0"/>
        <v>52</v>
      </c>
      <c r="B73" s="514">
        <v>46050</v>
      </c>
      <c r="C73" s="513">
        <v>263155880</v>
      </c>
      <c r="D73" s="515">
        <v>308201614950</v>
      </c>
      <c r="E73" s="510" t="s">
        <v>22</v>
      </c>
      <c r="F73" s="511" t="s">
        <v>400</v>
      </c>
      <c r="G73" s="516" t="s">
        <v>393</v>
      </c>
      <c r="H73" s="415">
        <v>250000</v>
      </c>
      <c r="I73" s="416" t="str">
        <f t="shared" si="1"/>
        <v>0636889</v>
      </c>
      <c r="J73" s="417">
        <f>VLOOKUP(D73,'web CSHT'!$J$4:$Q$110000,6,0)</f>
        <v>46055</v>
      </c>
      <c r="K73" s="415"/>
      <c r="L73" s="415"/>
      <c r="M73" s="415"/>
      <c r="N73" s="418"/>
      <c r="O73" s="419"/>
      <c r="P73" s="150"/>
      <c r="Q73" s="415"/>
      <c r="R73" s="415"/>
      <c r="S73" s="415"/>
      <c r="T73" s="418"/>
      <c r="U73" s="419"/>
      <c r="V73" s="150"/>
      <c r="W73" s="238"/>
      <c r="X73" s="239"/>
      <c r="Y73" s="239"/>
      <c r="Z73" s="235"/>
      <c r="AA73" s="385"/>
      <c r="AB73" s="369"/>
      <c r="AC73" s="420">
        <f t="shared" si="6"/>
        <v>250000</v>
      </c>
      <c r="AD73" s="368"/>
      <c r="AE73" s="465"/>
      <c r="AF73" s="371"/>
      <c r="AG73" s="371"/>
      <c r="AH73" s="151"/>
      <c r="AI73" s="382">
        <f>VLOOKUP(D73,'web CSHT'!$J$4:$Q$170000,5,0)</f>
        <v>636889</v>
      </c>
      <c r="AJ73" s="371">
        <f>VLOOKUP(D73,'web CSHT'!$J$4:$Q$170000,8,0)</f>
        <v>250</v>
      </c>
      <c r="AK73" s="247"/>
      <c r="AL73" s="373"/>
      <c r="AM73" s="374"/>
      <c r="AN73" s="367"/>
      <c r="AO73" s="375"/>
      <c r="AP73" s="376"/>
      <c r="AQ73" s="376"/>
      <c r="AR73" s="377"/>
    </row>
    <row r="74" spans="1:44" s="378" customFormat="1" ht="90" customHeight="1" thickBot="1">
      <c r="A74" s="368">
        <f t="shared" si="0"/>
        <v>53</v>
      </c>
      <c r="B74" s="514">
        <v>46050</v>
      </c>
      <c r="C74" s="513">
        <v>263155880</v>
      </c>
      <c r="D74" s="515">
        <v>308202089550</v>
      </c>
      <c r="E74" s="510" t="s">
        <v>22</v>
      </c>
      <c r="F74" s="511" t="s">
        <v>401</v>
      </c>
      <c r="G74" s="516" t="s">
        <v>394</v>
      </c>
      <c r="H74" s="415">
        <v>250000</v>
      </c>
      <c r="I74" s="416" t="str">
        <f t="shared" si="1"/>
        <v>0636891</v>
      </c>
      <c r="J74" s="417">
        <f>VLOOKUP(D74,'web CSHT'!$J$4:$Q$110000,6,0)</f>
        <v>46055</v>
      </c>
      <c r="K74" s="415"/>
      <c r="L74" s="415"/>
      <c r="M74" s="415"/>
      <c r="N74" s="418"/>
      <c r="O74" s="419"/>
      <c r="P74" s="150"/>
      <c r="Q74" s="415"/>
      <c r="R74" s="415"/>
      <c r="S74" s="415"/>
      <c r="T74" s="418"/>
      <c r="U74" s="419"/>
      <c r="V74" s="150"/>
      <c r="W74" s="238"/>
      <c r="X74" s="239"/>
      <c r="Y74" s="239"/>
      <c r="Z74" s="235"/>
      <c r="AA74" s="385"/>
      <c r="AB74" s="369"/>
      <c r="AC74" s="420">
        <f t="shared" si="6"/>
        <v>250000</v>
      </c>
      <c r="AD74" s="368"/>
      <c r="AE74" s="465"/>
      <c r="AF74" s="371"/>
      <c r="AG74" s="371"/>
      <c r="AH74" s="151"/>
      <c r="AI74" s="382">
        <f>VLOOKUP(D74,'web CSHT'!$J$4:$Q$170000,5,0)</f>
        <v>636891</v>
      </c>
      <c r="AJ74" s="371">
        <f>VLOOKUP(D74,'web CSHT'!$J$4:$Q$170000,8,0)</f>
        <v>250</v>
      </c>
      <c r="AK74" s="247"/>
      <c r="AL74" s="373"/>
      <c r="AM74" s="374"/>
      <c r="AN74" s="367"/>
      <c r="AO74" s="375"/>
      <c r="AP74" s="376"/>
      <c r="AQ74" s="376"/>
      <c r="AR74" s="377"/>
    </row>
    <row r="75" spans="1:44" s="378" customFormat="1" ht="90" customHeight="1" thickBot="1">
      <c r="A75" s="368">
        <f t="shared" si="0"/>
        <v>54</v>
      </c>
      <c r="B75" s="514">
        <v>46052</v>
      </c>
      <c r="C75" s="513">
        <v>263415697</v>
      </c>
      <c r="D75" s="515">
        <v>308214657940</v>
      </c>
      <c r="E75" s="510" t="s">
        <v>22</v>
      </c>
      <c r="F75" s="511" t="s">
        <v>412</v>
      </c>
      <c r="G75" s="516" t="s">
        <v>402</v>
      </c>
      <c r="H75" s="415">
        <v>250000</v>
      </c>
      <c r="I75" s="416" t="str">
        <f t="shared" si="1"/>
        <v>0643123</v>
      </c>
      <c r="J75" s="417">
        <f>VLOOKUP(D75,'web CSHT'!$J$4:$Q$110000,6,0)</f>
        <v>46058</v>
      </c>
      <c r="K75" s="415"/>
      <c r="L75" s="415"/>
      <c r="M75" s="415"/>
      <c r="N75" s="418"/>
      <c r="O75" s="419"/>
      <c r="P75" s="150"/>
      <c r="Q75" s="415"/>
      <c r="R75" s="415"/>
      <c r="S75" s="415"/>
      <c r="T75" s="418"/>
      <c r="U75" s="419"/>
      <c r="V75" s="150"/>
      <c r="W75" s="238"/>
      <c r="X75" s="239"/>
      <c r="Y75" s="239"/>
      <c r="Z75" s="235"/>
      <c r="AA75" s="385"/>
      <c r="AB75" s="369"/>
      <c r="AC75" s="420">
        <f t="shared" si="6"/>
        <v>250000</v>
      </c>
      <c r="AD75" s="368"/>
      <c r="AE75" s="465"/>
      <c r="AF75" s="371"/>
      <c r="AG75" s="371"/>
      <c r="AH75" s="151"/>
      <c r="AI75" s="382">
        <f>VLOOKUP(D75,'web CSHT'!$J$4:$Q$170000,5,0)</f>
        <v>643123</v>
      </c>
      <c r="AJ75" s="371">
        <f>VLOOKUP(D75,'web CSHT'!$J$4:$Q$170000,8,0)</f>
        <v>250</v>
      </c>
      <c r="AK75" s="247"/>
      <c r="AL75" s="373"/>
      <c r="AM75" s="374"/>
      <c r="AN75" s="367"/>
      <c r="AO75" s="375"/>
      <c r="AP75" s="376"/>
      <c r="AQ75" s="376"/>
      <c r="AR75" s="377"/>
    </row>
    <row r="76" spans="1:44" s="378" customFormat="1" ht="90" customHeight="1" thickBot="1">
      <c r="A76" s="368">
        <f t="shared" si="0"/>
        <v>55</v>
      </c>
      <c r="B76" s="514">
        <v>46055</v>
      </c>
      <c r="C76" s="513">
        <v>263415697</v>
      </c>
      <c r="D76" s="515">
        <v>308214658640</v>
      </c>
      <c r="E76" s="510" t="s">
        <v>22</v>
      </c>
      <c r="F76" s="511" t="s">
        <v>413</v>
      </c>
      <c r="G76" s="516" t="s">
        <v>403</v>
      </c>
      <c r="H76" s="415">
        <v>250000</v>
      </c>
      <c r="I76" s="416" t="str">
        <f t="shared" si="1"/>
        <v>0643106</v>
      </c>
      <c r="J76" s="417">
        <f>VLOOKUP(D76,'web CSHT'!$J$4:$Q$110000,6,0)</f>
        <v>46058</v>
      </c>
      <c r="K76" s="415"/>
      <c r="L76" s="415"/>
      <c r="M76" s="415"/>
      <c r="N76" s="418"/>
      <c r="O76" s="419"/>
      <c r="P76" s="150"/>
      <c r="Q76" s="415"/>
      <c r="R76" s="415"/>
      <c r="S76" s="415"/>
      <c r="T76" s="418"/>
      <c r="U76" s="419"/>
      <c r="V76" s="150"/>
      <c r="W76" s="238"/>
      <c r="X76" s="239"/>
      <c r="Y76" s="239"/>
      <c r="Z76" s="235"/>
      <c r="AA76" s="385"/>
      <c r="AB76" s="369"/>
      <c r="AC76" s="420">
        <f t="shared" si="6"/>
        <v>250000</v>
      </c>
      <c r="AD76" s="368"/>
      <c r="AE76" s="465"/>
      <c r="AF76" s="371"/>
      <c r="AG76" s="371"/>
      <c r="AH76" s="151"/>
      <c r="AI76" s="382">
        <f>VLOOKUP(D76,'web CSHT'!$J$4:$Q$170000,5,0)</f>
        <v>643106</v>
      </c>
      <c r="AJ76" s="371">
        <f>VLOOKUP(D76,'web CSHT'!$J$4:$Q$170000,8,0)</f>
        <v>250</v>
      </c>
      <c r="AK76" s="247"/>
      <c r="AL76" s="373"/>
      <c r="AM76" s="374"/>
      <c r="AN76" s="367"/>
      <c r="AO76" s="375"/>
      <c r="AP76" s="376"/>
      <c r="AQ76" s="376"/>
      <c r="AR76" s="377"/>
    </row>
    <row r="77" spans="1:44" s="378" customFormat="1" ht="90" customHeight="1" thickBot="1">
      <c r="A77" s="368">
        <f t="shared" si="0"/>
        <v>56</v>
      </c>
      <c r="B77" s="514">
        <v>46055</v>
      </c>
      <c r="C77" s="513">
        <v>263415697</v>
      </c>
      <c r="D77" s="515">
        <v>308214659120</v>
      </c>
      <c r="E77" s="510" t="s">
        <v>22</v>
      </c>
      <c r="F77" s="511" t="s">
        <v>414</v>
      </c>
      <c r="G77" s="516" t="s">
        <v>404</v>
      </c>
      <c r="H77" s="415">
        <v>250000</v>
      </c>
      <c r="I77" s="416" t="str">
        <f t="shared" si="1"/>
        <v>0643104</v>
      </c>
      <c r="J77" s="417">
        <f>VLOOKUP(D77,'web CSHT'!$J$4:$Q$110000,6,0)</f>
        <v>46058</v>
      </c>
      <c r="K77" s="415"/>
      <c r="L77" s="415"/>
      <c r="M77" s="415"/>
      <c r="N77" s="418"/>
      <c r="O77" s="419"/>
      <c r="P77" s="150"/>
      <c r="Q77" s="415"/>
      <c r="R77" s="415"/>
      <c r="S77" s="415"/>
      <c r="T77" s="418"/>
      <c r="U77" s="419"/>
      <c r="V77" s="150"/>
      <c r="W77" s="238"/>
      <c r="X77" s="239"/>
      <c r="Y77" s="239"/>
      <c r="Z77" s="235"/>
      <c r="AA77" s="385"/>
      <c r="AB77" s="369"/>
      <c r="AC77" s="420">
        <f t="shared" si="6"/>
        <v>250000</v>
      </c>
      <c r="AD77" s="368"/>
      <c r="AE77" s="465"/>
      <c r="AF77" s="371"/>
      <c r="AG77" s="371"/>
      <c r="AH77" s="151"/>
      <c r="AI77" s="382">
        <f>VLOOKUP(D77,'web CSHT'!$J$4:$Q$170000,5,0)</f>
        <v>643104</v>
      </c>
      <c r="AJ77" s="371">
        <f>VLOOKUP(D77,'web CSHT'!$J$4:$Q$170000,8,0)</f>
        <v>250</v>
      </c>
      <c r="AK77" s="247"/>
      <c r="AL77" s="373"/>
      <c r="AM77" s="374"/>
      <c r="AN77" s="367"/>
      <c r="AO77" s="375"/>
      <c r="AP77" s="376"/>
      <c r="AQ77" s="376"/>
      <c r="AR77" s="377"/>
    </row>
    <row r="78" spans="1:44" s="378" customFormat="1" ht="90" customHeight="1" thickBot="1">
      <c r="A78" s="368">
        <f t="shared" si="0"/>
        <v>57</v>
      </c>
      <c r="B78" s="514">
        <v>46055</v>
      </c>
      <c r="C78" s="513">
        <v>263415697</v>
      </c>
      <c r="D78" s="515">
        <v>308214659600</v>
      </c>
      <c r="E78" s="510" t="s">
        <v>22</v>
      </c>
      <c r="F78" s="511" t="s">
        <v>415</v>
      </c>
      <c r="G78" s="516" t="s">
        <v>405</v>
      </c>
      <c r="H78" s="415">
        <v>250000</v>
      </c>
      <c r="I78" s="416" t="str">
        <f t="shared" si="1"/>
        <v>0643125</v>
      </c>
      <c r="J78" s="417">
        <f>VLOOKUP(D78,'web CSHT'!$J$4:$Q$110000,6,0)</f>
        <v>46058</v>
      </c>
      <c r="K78" s="415"/>
      <c r="L78" s="415"/>
      <c r="M78" s="415"/>
      <c r="N78" s="418"/>
      <c r="O78" s="419"/>
      <c r="P78" s="150"/>
      <c r="Q78" s="415"/>
      <c r="R78" s="415"/>
      <c r="S78" s="415"/>
      <c r="T78" s="418"/>
      <c r="U78" s="419"/>
      <c r="V78" s="150"/>
      <c r="W78" s="238"/>
      <c r="X78" s="239"/>
      <c r="Y78" s="239"/>
      <c r="Z78" s="235"/>
      <c r="AA78" s="385"/>
      <c r="AB78" s="369"/>
      <c r="AC78" s="420">
        <f t="shared" si="6"/>
        <v>250000</v>
      </c>
      <c r="AD78" s="368"/>
      <c r="AE78" s="465"/>
      <c r="AF78" s="371"/>
      <c r="AG78" s="371"/>
      <c r="AH78" s="151"/>
      <c r="AI78" s="382">
        <f>VLOOKUP(D78,'web CSHT'!$J$4:$Q$170000,5,0)</f>
        <v>643125</v>
      </c>
      <c r="AJ78" s="371">
        <f>VLOOKUP(D78,'web CSHT'!$J$4:$Q$170000,8,0)</f>
        <v>250</v>
      </c>
      <c r="AK78" s="247"/>
      <c r="AL78" s="373"/>
      <c r="AM78" s="374"/>
      <c r="AN78" s="367"/>
      <c r="AO78" s="375"/>
      <c r="AP78" s="376"/>
      <c r="AQ78" s="376"/>
      <c r="AR78" s="377"/>
    </row>
    <row r="79" spans="1:44" s="378" customFormat="1" ht="90" customHeight="1" thickBot="1">
      <c r="A79" s="368">
        <f t="shared" si="0"/>
        <v>58</v>
      </c>
      <c r="B79" s="514">
        <v>46056</v>
      </c>
      <c r="C79" s="513">
        <v>263415697</v>
      </c>
      <c r="D79" s="515">
        <v>308219941650</v>
      </c>
      <c r="E79" s="510" t="s">
        <v>22</v>
      </c>
      <c r="F79" s="511" t="s">
        <v>416</v>
      </c>
      <c r="G79" s="516" t="s">
        <v>406</v>
      </c>
      <c r="H79" s="415">
        <v>250000</v>
      </c>
      <c r="I79" s="416" t="str">
        <f t="shared" si="1"/>
        <v>0643132</v>
      </c>
      <c r="J79" s="417">
        <f>VLOOKUP(D79,'web CSHT'!$J$4:$Q$110000,6,0)</f>
        <v>46058</v>
      </c>
      <c r="K79" s="415"/>
      <c r="L79" s="415"/>
      <c r="M79" s="415"/>
      <c r="N79" s="418"/>
      <c r="O79" s="419"/>
      <c r="P79" s="150"/>
      <c r="Q79" s="415"/>
      <c r="R79" s="415"/>
      <c r="S79" s="415"/>
      <c r="T79" s="418"/>
      <c r="U79" s="419"/>
      <c r="V79" s="150"/>
      <c r="W79" s="238"/>
      <c r="X79" s="239"/>
      <c r="Y79" s="239"/>
      <c r="Z79" s="235"/>
      <c r="AA79" s="385"/>
      <c r="AB79" s="369"/>
      <c r="AC79" s="420">
        <f t="shared" si="6"/>
        <v>250000</v>
      </c>
      <c r="AD79" s="368"/>
      <c r="AE79" s="465"/>
      <c r="AF79" s="371"/>
      <c r="AG79" s="371"/>
      <c r="AH79" s="151"/>
      <c r="AI79" s="382">
        <f>VLOOKUP(D79,'web CSHT'!$J$4:$Q$170000,5,0)</f>
        <v>643132</v>
      </c>
      <c r="AJ79" s="371">
        <f>VLOOKUP(D79,'web CSHT'!$J$4:$Q$170000,8,0)</f>
        <v>250</v>
      </c>
      <c r="AK79" s="247"/>
      <c r="AL79" s="373"/>
      <c r="AM79" s="374"/>
      <c r="AN79" s="367"/>
      <c r="AO79" s="375"/>
      <c r="AP79" s="376"/>
      <c r="AQ79" s="376"/>
      <c r="AR79" s="377"/>
    </row>
    <row r="80" spans="1:44" s="378" customFormat="1" ht="90" customHeight="1" thickBot="1">
      <c r="A80" s="368">
        <f t="shared" si="0"/>
        <v>59</v>
      </c>
      <c r="B80" s="514">
        <v>46056</v>
      </c>
      <c r="C80" s="513">
        <v>263415697</v>
      </c>
      <c r="D80" s="515">
        <v>308219961400</v>
      </c>
      <c r="E80" s="510" t="s">
        <v>22</v>
      </c>
      <c r="F80" s="511" t="s">
        <v>417</v>
      </c>
      <c r="G80" s="516" t="s">
        <v>407</v>
      </c>
      <c r="H80" s="415">
        <v>250000</v>
      </c>
      <c r="I80" s="416" t="str">
        <f t="shared" si="1"/>
        <v>0643113</v>
      </c>
      <c r="J80" s="417">
        <f>VLOOKUP(D80,'web CSHT'!$J$4:$Q$110000,6,0)</f>
        <v>46058</v>
      </c>
      <c r="K80" s="415"/>
      <c r="L80" s="415"/>
      <c r="M80" s="415"/>
      <c r="N80" s="418"/>
      <c r="O80" s="419"/>
      <c r="P80" s="150"/>
      <c r="Q80" s="415"/>
      <c r="R80" s="415"/>
      <c r="S80" s="415"/>
      <c r="T80" s="418"/>
      <c r="U80" s="419"/>
      <c r="V80" s="150"/>
      <c r="W80" s="238"/>
      <c r="X80" s="239"/>
      <c r="Y80" s="239"/>
      <c r="Z80" s="235"/>
      <c r="AA80" s="385"/>
      <c r="AB80" s="369"/>
      <c r="AC80" s="420">
        <f t="shared" si="6"/>
        <v>250000</v>
      </c>
      <c r="AD80" s="368"/>
      <c r="AE80" s="465"/>
      <c r="AF80" s="371"/>
      <c r="AG80" s="371"/>
      <c r="AH80" s="151"/>
      <c r="AI80" s="382">
        <f>VLOOKUP(D80,'web CSHT'!$J$4:$Q$170000,5,0)</f>
        <v>643113</v>
      </c>
      <c r="AJ80" s="371">
        <f>VLOOKUP(D80,'web CSHT'!$J$4:$Q$170000,8,0)</f>
        <v>250</v>
      </c>
      <c r="AK80" s="247"/>
      <c r="AL80" s="373"/>
      <c r="AM80" s="374"/>
      <c r="AN80" s="367"/>
      <c r="AO80" s="375"/>
      <c r="AP80" s="376"/>
      <c r="AQ80" s="376"/>
      <c r="AR80" s="377"/>
    </row>
    <row r="81" spans="1:44" s="378" customFormat="1" ht="90" customHeight="1" thickBot="1">
      <c r="A81" s="368">
        <f t="shared" si="0"/>
        <v>60</v>
      </c>
      <c r="B81" s="514">
        <v>46056</v>
      </c>
      <c r="C81" s="513">
        <v>263415697</v>
      </c>
      <c r="D81" s="515">
        <v>308220063600</v>
      </c>
      <c r="E81" s="510" t="s">
        <v>22</v>
      </c>
      <c r="F81" s="511" t="s">
        <v>418</v>
      </c>
      <c r="G81" s="516" t="s">
        <v>408</v>
      </c>
      <c r="H81" s="415">
        <v>250000</v>
      </c>
      <c r="I81" s="416" t="str">
        <f t="shared" si="1"/>
        <v>0647557</v>
      </c>
      <c r="J81" s="417">
        <f>VLOOKUP(D81,'web CSHT'!$J$4:$Q$110000,6,0)</f>
        <v>46062</v>
      </c>
      <c r="K81" s="415"/>
      <c r="L81" s="415"/>
      <c r="M81" s="415"/>
      <c r="N81" s="418"/>
      <c r="O81" s="419"/>
      <c r="P81" s="150"/>
      <c r="Q81" s="415"/>
      <c r="R81" s="415"/>
      <c r="S81" s="415"/>
      <c r="T81" s="418"/>
      <c r="U81" s="419"/>
      <c r="V81" s="150"/>
      <c r="W81" s="238"/>
      <c r="X81" s="239"/>
      <c r="Y81" s="239"/>
      <c r="Z81" s="235"/>
      <c r="AA81" s="385"/>
      <c r="AB81" s="369"/>
      <c r="AC81" s="420">
        <f t="shared" si="6"/>
        <v>250000</v>
      </c>
      <c r="AD81" s="368"/>
      <c r="AE81" s="465"/>
      <c r="AF81" s="371"/>
      <c r="AG81" s="371"/>
      <c r="AH81" s="151"/>
      <c r="AI81" s="382">
        <f>VLOOKUP(D81,'web CSHT'!$J$4:$Q$170000,5,0)</f>
        <v>647557</v>
      </c>
      <c r="AJ81" s="371">
        <f>VLOOKUP(D81,'web CSHT'!$J$4:$Q$170000,8,0)</f>
        <v>250</v>
      </c>
      <c r="AK81" s="247"/>
      <c r="AL81" s="373"/>
      <c r="AM81" s="374"/>
      <c r="AN81" s="367"/>
      <c r="AO81" s="375"/>
      <c r="AP81" s="376"/>
      <c r="AQ81" s="376"/>
      <c r="AR81" s="377"/>
    </row>
    <row r="82" spans="1:44" s="378" customFormat="1" ht="90" customHeight="1" thickBot="1">
      <c r="A82" s="368">
        <f t="shared" si="0"/>
        <v>61</v>
      </c>
      <c r="B82" s="514">
        <v>46058</v>
      </c>
      <c r="C82" s="513">
        <v>263587242</v>
      </c>
      <c r="D82" s="515">
        <v>308228536360</v>
      </c>
      <c r="E82" s="510" t="s">
        <v>22</v>
      </c>
      <c r="F82" s="511" t="s">
        <v>419</v>
      </c>
      <c r="G82" s="516" t="s">
        <v>409</v>
      </c>
      <c r="H82" s="415">
        <v>250000</v>
      </c>
      <c r="I82" s="416" t="str">
        <f t="shared" si="1"/>
        <v>0650595</v>
      </c>
      <c r="J82" s="417">
        <f>VLOOKUP(D82,'web CSHT'!$J$4:$Q$110000,6,0)</f>
        <v>46063</v>
      </c>
      <c r="K82" s="415"/>
      <c r="L82" s="415"/>
      <c r="M82" s="415"/>
      <c r="N82" s="418"/>
      <c r="O82" s="419"/>
      <c r="P82" s="150"/>
      <c r="Q82" s="415"/>
      <c r="R82" s="415"/>
      <c r="S82" s="415"/>
      <c r="T82" s="418"/>
      <c r="U82" s="419"/>
      <c r="V82" s="150"/>
      <c r="W82" s="238"/>
      <c r="X82" s="239"/>
      <c r="Y82" s="239"/>
      <c r="Z82" s="235"/>
      <c r="AA82" s="385"/>
      <c r="AB82" s="369"/>
      <c r="AC82" s="420">
        <f t="shared" si="6"/>
        <v>250000</v>
      </c>
      <c r="AD82" s="368"/>
      <c r="AE82" s="465"/>
      <c r="AF82" s="371"/>
      <c r="AG82" s="371"/>
      <c r="AH82" s="151"/>
      <c r="AI82" s="382">
        <f>VLOOKUP(D82,'web CSHT'!$J$4:$Q$170000,5,0)</f>
        <v>650595</v>
      </c>
      <c r="AJ82" s="371">
        <f>VLOOKUP(D82,'web CSHT'!$J$4:$Q$170000,8,0)</f>
        <v>250</v>
      </c>
      <c r="AK82" s="247"/>
      <c r="AL82" s="373"/>
      <c r="AM82" s="374"/>
      <c r="AN82" s="367"/>
      <c r="AO82" s="375"/>
      <c r="AP82" s="376"/>
      <c r="AQ82" s="376"/>
      <c r="AR82" s="377"/>
    </row>
    <row r="83" spans="1:44" s="378" customFormat="1" ht="90" customHeight="1" thickBot="1">
      <c r="A83" s="368">
        <f t="shared" si="0"/>
        <v>62</v>
      </c>
      <c r="B83" s="514">
        <v>46059</v>
      </c>
      <c r="C83" s="513">
        <v>263587242</v>
      </c>
      <c r="D83" s="515">
        <v>308233036000</v>
      </c>
      <c r="E83" s="510" t="s">
        <v>22</v>
      </c>
      <c r="F83" s="511" t="s">
        <v>420</v>
      </c>
      <c r="G83" s="516" t="s">
        <v>410</v>
      </c>
      <c r="H83" s="415">
        <v>250000</v>
      </c>
      <c r="I83" s="416" t="str">
        <f t="shared" si="1"/>
        <v>0650607</v>
      </c>
      <c r="J83" s="417">
        <f>VLOOKUP(D83,'web CSHT'!$J$4:$Q$110000,6,0)</f>
        <v>46063</v>
      </c>
      <c r="K83" s="415"/>
      <c r="L83" s="415"/>
      <c r="M83" s="415"/>
      <c r="N83" s="418"/>
      <c r="O83" s="419"/>
      <c r="P83" s="150"/>
      <c r="Q83" s="415"/>
      <c r="R83" s="415"/>
      <c r="S83" s="415"/>
      <c r="T83" s="418"/>
      <c r="U83" s="419"/>
      <c r="V83" s="150"/>
      <c r="W83" s="238"/>
      <c r="X83" s="239"/>
      <c r="Y83" s="239"/>
      <c r="Z83" s="235"/>
      <c r="AA83" s="385"/>
      <c r="AB83" s="369"/>
      <c r="AC83" s="420">
        <f t="shared" si="6"/>
        <v>250000</v>
      </c>
      <c r="AD83" s="368"/>
      <c r="AE83" s="465"/>
      <c r="AF83" s="371"/>
      <c r="AG83" s="371"/>
      <c r="AH83" s="151"/>
      <c r="AI83" s="382">
        <f>VLOOKUP(D83,'web CSHT'!$J$4:$Q$170000,5,0)</f>
        <v>650607</v>
      </c>
      <c r="AJ83" s="371">
        <f>VLOOKUP(D83,'web CSHT'!$J$4:$Q$170000,8,0)</f>
        <v>250</v>
      </c>
      <c r="AK83" s="247"/>
      <c r="AL83" s="373"/>
      <c r="AM83" s="374"/>
      <c r="AN83" s="367"/>
      <c r="AO83" s="375"/>
      <c r="AP83" s="376"/>
      <c r="AQ83" s="376"/>
      <c r="AR83" s="377"/>
    </row>
    <row r="84" spans="1:44" s="378" customFormat="1" ht="90" customHeight="1" thickBot="1">
      <c r="A84" s="368">
        <f t="shared" si="0"/>
        <v>63</v>
      </c>
      <c r="B84" s="514">
        <v>46059</v>
      </c>
      <c r="C84" s="513">
        <v>263415697</v>
      </c>
      <c r="D84" s="515">
        <v>308233196960</v>
      </c>
      <c r="E84" s="510" t="s">
        <v>22</v>
      </c>
      <c r="F84" s="511" t="s">
        <v>421</v>
      </c>
      <c r="G84" s="516" t="s">
        <v>411</v>
      </c>
      <c r="H84" s="415">
        <v>250000</v>
      </c>
      <c r="I84" s="416" t="str">
        <f t="shared" si="1"/>
        <v>0647617</v>
      </c>
      <c r="J84" s="417">
        <f>VLOOKUP(D84,'web CSHT'!$J$4:$Q$110000,6,0)</f>
        <v>46062</v>
      </c>
      <c r="K84" s="415"/>
      <c r="L84" s="415"/>
      <c r="M84" s="415"/>
      <c r="N84" s="418"/>
      <c r="O84" s="419"/>
      <c r="P84" s="150"/>
      <c r="Q84" s="415"/>
      <c r="R84" s="415"/>
      <c r="S84" s="415"/>
      <c r="T84" s="418"/>
      <c r="U84" s="419"/>
      <c r="V84" s="150"/>
      <c r="W84" s="238"/>
      <c r="X84" s="239"/>
      <c r="Y84" s="239"/>
      <c r="Z84" s="235"/>
      <c r="AA84" s="385"/>
      <c r="AB84" s="369"/>
      <c r="AC84" s="420">
        <f t="shared" si="6"/>
        <v>250000</v>
      </c>
      <c r="AD84" s="368"/>
      <c r="AE84" s="462"/>
      <c r="AF84" s="371"/>
      <c r="AG84" s="371"/>
      <c r="AH84" s="151"/>
      <c r="AI84" s="382">
        <f>VLOOKUP(D84,'web CSHT'!$J$4:$Q$170000,5,0)</f>
        <v>647617</v>
      </c>
      <c r="AJ84" s="371">
        <f>VLOOKUP(D84,'web CSHT'!$J$4:$Q$170000,8,0)</f>
        <v>250</v>
      </c>
      <c r="AK84" s="247"/>
      <c r="AL84" s="373"/>
      <c r="AM84" s="374"/>
      <c r="AN84" s="367"/>
      <c r="AO84" s="375"/>
      <c r="AP84" s="376"/>
      <c r="AQ84" s="376"/>
      <c r="AR84" s="377"/>
    </row>
    <row r="85" spans="1:44" s="378" customFormat="1" ht="90" customHeight="1" thickBot="1">
      <c r="A85" s="368">
        <f t="shared" si="0"/>
        <v>64</v>
      </c>
      <c r="B85" s="514">
        <v>46061</v>
      </c>
      <c r="C85" s="517">
        <v>263587242</v>
      </c>
      <c r="D85" s="515">
        <v>308240537530</v>
      </c>
      <c r="E85" s="510" t="s">
        <v>22</v>
      </c>
      <c r="F85" s="511" t="s">
        <v>513</v>
      </c>
      <c r="G85" s="516" t="s">
        <v>512</v>
      </c>
      <c r="H85" s="415">
        <v>250000</v>
      </c>
      <c r="I85" s="416" t="str">
        <f t="shared" si="1"/>
        <v>0654052</v>
      </c>
      <c r="J85" s="417">
        <f>VLOOKUP(D85,'web CSHT'!$J$4:$Q$110000,6,0)</f>
        <v>46065</v>
      </c>
      <c r="K85" s="415"/>
      <c r="L85" s="415"/>
      <c r="M85" s="415"/>
      <c r="N85" s="418"/>
      <c r="O85" s="419"/>
      <c r="P85" s="150"/>
      <c r="Q85" s="415"/>
      <c r="R85" s="415"/>
      <c r="S85" s="415"/>
      <c r="T85" s="418"/>
      <c r="U85" s="419"/>
      <c r="V85" s="150"/>
      <c r="W85" s="238"/>
      <c r="X85" s="239"/>
      <c r="Y85" s="239"/>
      <c r="Z85" s="235"/>
      <c r="AA85" s="385"/>
      <c r="AB85" s="369"/>
      <c r="AC85" s="420">
        <f t="shared" si="6"/>
        <v>250000</v>
      </c>
      <c r="AD85" s="368"/>
      <c r="AE85" s="465"/>
      <c r="AF85" s="371"/>
      <c r="AG85" s="371"/>
      <c r="AH85" s="151"/>
      <c r="AI85" s="382">
        <f>VLOOKUP(D85,'web CSHT'!$J$4:$Q$170000,5,0)</f>
        <v>654052</v>
      </c>
      <c r="AJ85" s="371">
        <f>VLOOKUP(D85,'web CSHT'!$J$4:$Q$170000,8,0)</f>
        <v>250</v>
      </c>
      <c r="AK85" s="247"/>
      <c r="AL85" s="373"/>
      <c r="AM85" s="374"/>
      <c r="AN85" s="367"/>
      <c r="AO85" s="375"/>
      <c r="AP85" s="376"/>
      <c r="AQ85" s="376"/>
      <c r="AR85" s="377"/>
    </row>
    <row r="86" spans="1:44" s="378" customFormat="1" ht="90" customHeight="1" thickBot="1">
      <c r="A86" s="368">
        <f t="shared" si="0"/>
        <v>65</v>
      </c>
      <c r="B86" s="514">
        <v>46063</v>
      </c>
      <c r="C86" s="517">
        <v>263587242</v>
      </c>
      <c r="D86" s="515">
        <v>308247130830</v>
      </c>
      <c r="E86" s="510" t="s">
        <v>22</v>
      </c>
      <c r="F86" s="511" t="s">
        <v>873</v>
      </c>
      <c r="G86" s="516" t="s">
        <v>872</v>
      </c>
      <c r="H86" s="415">
        <v>250000</v>
      </c>
      <c r="I86" s="416" t="str">
        <f t="shared" si="1"/>
        <v>0657167</v>
      </c>
      <c r="J86" s="417">
        <f>VLOOKUP(D86,'web CSHT'!$J$4:$Q$110000,6,0)</f>
        <v>46076</v>
      </c>
      <c r="K86" s="415"/>
      <c r="L86" s="415"/>
      <c r="M86" s="415"/>
      <c r="N86" s="418"/>
      <c r="O86" s="419"/>
      <c r="P86" s="150"/>
      <c r="Q86" s="415"/>
      <c r="R86" s="415"/>
      <c r="S86" s="415"/>
      <c r="T86" s="418"/>
      <c r="U86" s="419"/>
      <c r="V86" s="150"/>
      <c r="W86" s="238"/>
      <c r="X86" s="239"/>
      <c r="Y86" s="239"/>
      <c r="Z86" s="235"/>
      <c r="AA86" s="385"/>
      <c r="AB86" s="369"/>
      <c r="AC86" s="420">
        <f t="shared" si="6"/>
        <v>250000</v>
      </c>
      <c r="AD86" s="368"/>
      <c r="AE86" s="465"/>
      <c r="AF86" s="371"/>
      <c r="AG86" s="371"/>
      <c r="AH86" s="151"/>
      <c r="AI86" s="382">
        <f>VLOOKUP(D86,'web CSHT'!$J$4:$Q$170000,5,0)</f>
        <v>657167</v>
      </c>
      <c r="AJ86" s="371">
        <f>VLOOKUP(D86,'web CSHT'!$J$4:$Q$170000,8,0)</f>
        <v>250</v>
      </c>
      <c r="AK86" s="247"/>
      <c r="AL86" s="373"/>
      <c r="AM86" s="374"/>
      <c r="AN86" s="367"/>
      <c r="AO86" s="375"/>
      <c r="AP86" s="376"/>
      <c r="AQ86" s="376"/>
      <c r="AR86" s="377"/>
    </row>
    <row r="87" spans="1:44" s="378" customFormat="1" ht="90" customHeight="1" thickBot="1">
      <c r="A87" s="368">
        <f t="shared" si="0"/>
        <v>66</v>
      </c>
      <c r="B87" s="514">
        <v>46064</v>
      </c>
      <c r="C87" s="517">
        <v>263587242</v>
      </c>
      <c r="D87" s="515">
        <v>308252746230</v>
      </c>
      <c r="E87" s="510" t="s">
        <v>22</v>
      </c>
      <c r="F87" s="511" t="s">
        <v>923</v>
      </c>
      <c r="G87" s="516" t="s">
        <v>924</v>
      </c>
      <c r="H87" s="415">
        <v>250000</v>
      </c>
      <c r="I87" s="416" t="str">
        <f t="shared" ref="I87:I88" si="21">$AI$1&amp;AI87</f>
        <v>0657168</v>
      </c>
      <c r="J87" s="417">
        <f>VLOOKUP(D87,'web CSHT'!$J$4:$Q$110000,6,0)</f>
        <v>46076</v>
      </c>
      <c r="K87" s="415"/>
      <c r="L87" s="415"/>
      <c r="M87" s="415"/>
      <c r="N87" s="418"/>
      <c r="O87" s="419"/>
      <c r="P87" s="150"/>
      <c r="Q87" s="415"/>
      <c r="R87" s="415"/>
      <c r="S87" s="415"/>
      <c r="T87" s="418"/>
      <c r="U87" s="419"/>
      <c r="V87" s="150"/>
      <c r="W87" s="238"/>
      <c r="X87" s="239"/>
      <c r="Y87" s="239"/>
      <c r="Z87" s="235"/>
      <c r="AA87" s="385"/>
      <c r="AB87" s="369"/>
      <c r="AC87" s="420">
        <f t="shared" ref="AC87:AC88" si="22">H87+M87+S87+Y87</f>
        <v>250000</v>
      </c>
      <c r="AD87" s="368"/>
      <c r="AE87" s="465"/>
      <c r="AF87" s="371"/>
      <c r="AG87" s="371"/>
      <c r="AH87" s="151"/>
      <c r="AI87" s="382">
        <f>VLOOKUP(D87,'web CSHT'!$J$4:$Q$170000,5,0)</f>
        <v>657168</v>
      </c>
      <c r="AJ87" s="371">
        <f>VLOOKUP(D87,'web CSHT'!$J$4:$Q$170000,8,0)</f>
        <v>250</v>
      </c>
      <c r="AK87" s="247"/>
      <c r="AL87" s="373"/>
      <c r="AM87" s="374"/>
      <c r="AN87" s="367"/>
      <c r="AO87" s="375"/>
      <c r="AP87" s="376"/>
      <c r="AQ87" s="376"/>
      <c r="AR87" s="377"/>
    </row>
    <row r="88" spans="1:44" s="378" customFormat="1" ht="90" customHeight="1" thickBot="1">
      <c r="A88" s="368">
        <f t="shared" si="0"/>
        <v>67</v>
      </c>
      <c r="B88" s="518">
        <v>46046</v>
      </c>
      <c r="C88" s="508">
        <v>262863213</v>
      </c>
      <c r="D88" s="509">
        <v>308184475600</v>
      </c>
      <c r="E88" s="510" t="s">
        <v>22</v>
      </c>
      <c r="F88" s="511" t="s">
        <v>938</v>
      </c>
      <c r="G88" s="510" t="s">
        <v>937</v>
      </c>
      <c r="H88" s="415">
        <v>500000</v>
      </c>
      <c r="I88" s="416" t="str">
        <f t="shared" si="21"/>
        <v>0629702</v>
      </c>
      <c r="J88" s="417">
        <f>VLOOKUP(D88,'web CSHT'!$J$4:$Q$110000,6,0)</f>
        <v>46050</v>
      </c>
      <c r="K88" s="415"/>
      <c r="L88" s="415"/>
      <c r="M88" s="415"/>
      <c r="N88" s="418"/>
      <c r="O88" s="419"/>
      <c r="P88" s="150"/>
      <c r="Q88" s="415"/>
      <c r="R88" s="415"/>
      <c r="S88" s="415"/>
      <c r="T88" s="418"/>
      <c r="U88" s="419"/>
      <c r="V88" s="150"/>
      <c r="W88" s="238"/>
      <c r="X88" s="239"/>
      <c r="Y88" s="239"/>
      <c r="Z88" s="235"/>
      <c r="AA88" s="385"/>
      <c r="AB88" s="369"/>
      <c r="AC88" s="420">
        <f t="shared" si="22"/>
        <v>500000</v>
      </c>
      <c r="AD88" s="368"/>
      <c r="AE88" s="465"/>
      <c r="AF88" s="371"/>
      <c r="AG88" s="371"/>
      <c r="AH88" s="151"/>
      <c r="AI88" s="382">
        <f>VLOOKUP(D88,'web CSHT'!$J$4:$Q$170000,5,0)</f>
        <v>629702</v>
      </c>
      <c r="AJ88" s="371">
        <f>VLOOKUP(D88,'web CSHT'!$J$4:$Q$170000,8,0)</f>
        <v>500</v>
      </c>
      <c r="AK88" s="247"/>
      <c r="AL88" s="373"/>
      <c r="AM88" s="374"/>
      <c r="AN88" s="367"/>
      <c r="AO88" s="375"/>
      <c r="AP88" s="376"/>
      <c r="AQ88" s="376"/>
      <c r="AR88" s="377"/>
    </row>
    <row r="89" spans="1:44" s="136" customFormat="1" ht="58.5" customHeight="1" thickBot="1">
      <c r="A89" s="563" t="s">
        <v>15</v>
      </c>
      <c r="B89" s="563"/>
      <c r="C89" s="563"/>
      <c r="D89" s="563"/>
      <c r="E89" s="563"/>
      <c r="F89" s="563"/>
      <c r="G89" s="563"/>
      <c r="H89" s="242">
        <f>SUM(H22:H88)</f>
        <v>26750000</v>
      </c>
      <c r="I89" s="243"/>
      <c r="J89" s="243"/>
      <c r="K89" s="242">
        <f>SUM(K22:K88)</f>
        <v>47635186</v>
      </c>
      <c r="L89" s="242">
        <f>SUM(L22:L88)</f>
        <v>3810814</v>
      </c>
      <c r="M89" s="242">
        <f>SUM(M22:M88)</f>
        <v>51446000</v>
      </c>
      <c r="N89" s="244"/>
      <c r="O89" s="243"/>
      <c r="P89" s="245"/>
      <c r="Q89" s="242">
        <f>SUM(Q22:Q88)</f>
        <v>56919260</v>
      </c>
      <c r="R89" s="242">
        <f>SUM(R22:R88)</f>
        <v>4553540</v>
      </c>
      <c r="S89" s="242">
        <f>SUM(S22:S88)</f>
        <v>61472800</v>
      </c>
      <c r="T89" s="246"/>
      <c r="U89" s="247"/>
      <c r="V89" s="247"/>
      <c r="W89" s="242">
        <f>SUM(W22:W88)</f>
        <v>18519</v>
      </c>
      <c r="X89" s="242">
        <f>SUM(X22:X88)</f>
        <v>1481</v>
      </c>
      <c r="Y89" s="242">
        <f>SUM(Y22:Y88)</f>
        <v>20000</v>
      </c>
      <c r="Z89" s="175"/>
      <c r="AA89" s="176"/>
      <c r="AB89" s="176"/>
      <c r="AC89" s="242">
        <f>SUM(AC22:AC88)</f>
        <v>139688800</v>
      </c>
      <c r="AD89" s="143"/>
      <c r="AE89" s="144"/>
      <c r="AF89" s="469"/>
      <c r="AG89" s="470"/>
      <c r="AH89" s="146"/>
      <c r="AI89" s="149"/>
      <c r="AJ89" s="147"/>
      <c r="AK89" s="145"/>
      <c r="AL89" s="146"/>
      <c r="AM89" s="216"/>
      <c r="AN89" s="252"/>
      <c r="AO89" s="162"/>
      <c r="AP89" s="146"/>
      <c r="AQ89" s="146"/>
      <c r="AR89" s="163"/>
    </row>
    <row r="90" spans="1:44" ht="7.5" customHeight="1" thickBot="1">
      <c r="A90" s="107"/>
      <c r="B90" s="22"/>
      <c r="H90" s="366"/>
      <c r="Z90" s="2"/>
      <c r="AI90" s="56"/>
      <c r="AM90" s="216"/>
      <c r="AN90" s="252"/>
    </row>
    <row r="91" spans="1:44" ht="12.75" customHeight="1" thickBot="1">
      <c r="B91" s="2"/>
      <c r="I91" s="530"/>
      <c r="J91" s="530"/>
      <c r="K91" s="562"/>
      <c r="L91" s="106"/>
      <c r="M91" s="106"/>
      <c r="N91" s="131"/>
      <c r="AI91" s="56"/>
      <c r="AM91" s="216"/>
      <c r="AN91" s="252"/>
    </row>
    <row r="92" spans="1:44" ht="2.25" customHeight="1">
      <c r="B92" s="2"/>
      <c r="AI92" s="56"/>
      <c r="AN92" s="252"/>
    </row>
    <row r="93" spans="1:44" ht="30" customHeight="1">
      <c r="A93" s="533"/>
      <c r="B93" s="534"/>
      <c r="C93" s="534"/>
      <c r="O93" s="62"/>
      <c r="P93" s="110"/>
      <c r="Q93" s="413"/>
      <c r="R93" s="62"/>
      <c r="S93" s="564" t="str">
        <f>'COVER DN XUẤT'!D41</f>
        <v xml:space="preserve">         Ngày  23  tháng 02  năm 2026</v>
      </c>
      <c r="T93" s="564"/>
      <c r="U93" s="564"/>
      <c r="V93" s="564"/>
      <c r="W93" s="564"/>
      <c r="X93" s="564"/>
      <c r="Y93" s="564"/>
      <c r="Z93" s="565"/>
      <c r="AA93" s="564"/>
      <c r="AB93" s="564"/>
      <c r="AC93" s="564"/>
      <c r="AD93" s="83"/>
      <c r="AI93" s="56"/>
      <c r="AJ93" s="2"/>
      <c r="AK93" s="5"/>
      <c r="AM93" s="52"/>
      <c r="AN93" s="252"/>
      <c r="AO93" s="2"/>
      <c r="AP93" s="2"/>
      <c r="AQ93" s="2"/>
      <c r="AR93" s="2"/>
    </row>
    <row r="94" spans="1:44" ht="12" customHeight="1">
      <c r="B94" s="2"/>
      <c r="R94" s="52"/>
      <c r="S94" s="217"/>
      <c r="T94" s="218"/>
      <c r="U94" s="219"/>
      <c r="V94" s="220"/>
      <c r="W94" s="217"/>
      <c r="X94" s="219"/>
      <c r="Y94" s="219"/>
      <c r="Z94" s="221"/>
      <c r="AA94" s="219"/>
      <c r="AB94" s="219"/>
      <c r="AC94" s="217"/>
      <c r="AD94" s="84"/>
      <c r="AI94" s="56"/>
      <c r="AJ94" s="2"/>
      <c r="AK94" s="5"/>
      <c r="AM94" s="52"/>
      <c r="AN94" s="252"/>
      <c r="AO94" s="2"/>
      <c r="AP94" s="2"/>
      <c r="AQ94" s="2"/>
      <c r="AR94" s="2"/>
    </row>
    <row r="95" spans="1:44" ht="29.25" customHeight="1">
      <c r="B95" s="2"/>
      <c r="O95" s="88"/>
      <c r="P95" s="109"/>
      <c r="Q95" s="414"/>
      <c r="R95" s="88"/>
      <c r="S95" s="222"/>
      <c r="T95" s="566" t="s">
        <v>16</v>
      </c>
      <c r="U95" s="566"/>
      <c r="V95" s="566"/>
      <c r="W95" s="566"/>
      <c r="X95" s="566"/>
      <c r="Y95" s="566"/>
      <c r="Z95" s="567"/>
      <c r="AA95" s="566"/>
      <c r="AB95" s="566"/>
      <c r="AC95" s="222"/>
      <c r="AD95" s="85"/>
      <c r="AI95" s="56"/>
      <c r="AJ95" s="2"/>
      <c r="AK95" s="5"/>
      <c r="AM95" s="52"/>
      <c r="AN95" s="252"/>
      <c r="AO95" s="2"/>
      <c r="AP95" s="2"/>
      <c r="AQ95" s="2"/>
      <c r="AR95" s="2"/>
    </row>
    <row r="96" spans="1:44">
      <c r="B96" s="2"/>
      <c r="AJ96" s="2"/>
      <c r="AK96" s="5"/>
      <c r="AM96" s="52"/>
      <c r="AN96" s="252"/>
      <c r="AO96" s="2"/>
      <c r="AP96" s="2"/>
      <c r="AQ96" s="2"/>
      <c r="AR96" s="2"/>
    </row>
    <row r="97" spans="11:44">
      <c r="AN97" s="252"/>
    </row>
    <row r="98" spans="11:44">
      <c r="AN98" s="252"/>
    </row>
    <row r="99" spans="11:44">
      <c r="K99" s="411" t="s">
        <v>64</v>
      </c>
      <c r="AN99" s="252"/>
    </row>
    <row r="100" spans="11:44">
      <c r="AN100" s="252"/>
    </row>
    <row r="101" spans="11:44">
      <c r="AN101" s="252"/>
    </row>
    <row r="102" spans="11:44">
      <c r="AN102" s="252"/>
    </row>
    <row r="103" spans="11:44">
      <c r="AN103" s="252"/>
    </row>
    <row r="104" spans="11:44">
      <c r="AN104" s="253"/>
    </row>
    <row r="105" spans="11:44">
      <c r="AN105" s="253"/>
    </row>
    <row r="106" spans="11:44">
      <c r="S106" s="5"/>
      <c r="AJ106" s="2"/>
      <c r="AK106" s="5"/>
      <c r="AM106" s="52"/>
      <c r="AN106" s="248"/>
      <c r="AO106" s="2"/>
      <c r="AP106" s="2"/>
      <c r="AQ106" s="2"/>
      <c r="AR106" s="2"/>
    </row>
  </sheetData>
  <autoFilter ref="A21:AR89"/>
  <mergeCells count="11">
    <mergeCell ref="A93:C93"/>
    <mergeCell ref="I91:K91"/>
    <mergeCell ref="A89:G89"/>
    <mergeCell ref="S93:AC93"/>
    <mergeCell ref="T95:AB95"/>
    <mergeCell ref="W18:X18"/>
    <mergeCell ref="W19:X19"/>
    <mergeCell ref="A1:AC1"/>
    <mergeCell ref="A2:AC2"/>
    <mergeCell ref="A4:AC4"/>
    <mergeCell ref="Q18:R18"/>
  </mergeCells>
  <conditionalFormatting sqref="Z21">
    <cfRule type="duplicateValues" dxfId="549" priority="3991"/>
  </conditionalFormatting>
  <conditionalFormatting sqref="G89:G1048576 AH2:AH15 G1:G21 AH89:AH1048576 AH17:AH21">
    <cfRule type="duplicateValues" dxfId="548" priority="3984"/>
  </conditionalFormatting>
  <conditionalFormatting sqref="N89:N1048576 N1:N13 N16:N21 AE9:AE10">
    <cfRule type="duplicateValues" dxfId="547" priority="3879"/>
  </conditionalFormatting>
  <conditionalFormatting sqref="T89:T92 T1:T18 T96:T1048576 T94 T20:T21">
    <cfRule type="duplicateValues" dxfId="546" priority="3877"/>
  </conditionalFormatting>
  <conditionalFormatting sqref="T89:T92 T1:T18 T96:T1048576 T94 T20:T21">
    <cfRule type="duplicateValues" dxfId="545" priority="5023"/>
    <cfRule type="duplicateValues" dxfId="544" priority="5024"/>
    <cfRule type="duplicateValues" dxfId="543" priority="5025"/>
  </conditionalFormatting>
  <conditionalFormatting sqref="N89:N1048576 N1:N13 N16:N21 AE9:AE10">
    <cfRule type="duplicateValues" dxfId="542" priority="5032"/>
    <cfRule type="duplicateValues" dxfId="541" priority="5033"/>
    <cfRule type="duplicateValues" dxfId="540" priority="5034"/>
    <cfRule type="duplicateValues" dxfId="539" priority="5035"/>
    <cfRule type="duplicateValues" dxfId="538" priority="5036"/>
  </conditionalFormatting>
  <conditionalFormatting sqref="D89:D1048576 D1:D9 D18:D21">
    <cfRule type="duplicateValues" dxfId="537" priority="5050"/>
  </conditionalFormatting>
  <conditionalFormatting sqref="G89:G1048576 G1:G21 AD1:AD21 AD89:AD1048576">
    <cfRule type="duplicateValues" dxfId="536" priority="3767"/>
  </conditionalFormatting>
  <conditionalFormatting sqref="T96:T1048576 T1:T18 T89:T92 T94 T20:T21">
    <cfRule type="duplicateValues" dxfId="535" priority="3720"/>
    <cfRule type="duplicateValues" dxfId="534" priority="3729"/>
  </conditionalFormatting>
  <conditionalFormatting sqref="G89:G1048576 G1:G21">
    <cfRule type="duplicateValues" dxfId="533" priority="3650"/>
  </conditionalFormatting>
  <conditionalFormatting sqref="G89:G1048576">
    <cfRule type="duplicateValues" dxfId="532" priority="3637"/>
  </conditionalFormatting>
  <conditionalFormatting sqref="AJ89">
    <cfRule type="duplicateValues" dxfId="531" priority="3601"/>
    <cfRule type="duplicateValues" dxfId="530" priority="3602"/>
  </conditionalFormatting>
  <conditionalFormatting sqref="AJ89">
    <cfRule type="duplicateValues" dxfId="529" priority="3600"/>
  </conditionalFormatting>
  <conditionalFormatting sqref="AJ89">
    <cfRule type="duplicateValues" dxfId="528" priority="3599"/>
  </conditionalFormatting>
  <conditionalFormatting sqref="AJ89">
    <cfRule type="duplicateValues" dxfId="527" priority="3603"/>
  </conditionalFormatting>
  <conditionalFormatting sqref="AJ89">
    <cfRule type="duplicateValues" dxfId="526" priority="3604"/>
  </conditionalFormatting>
  <conditionalFormatting sqref="AJ89">
    <cfRule type="duplicateValues" dxfId="525" priority="3597"/>
    <cfRule type="duplicateValues" dxfId="524" priority="3598"/>
  </conditionalFormatting>
  <conditionalFormatting sqref="AJ89">
    <cfRule type="duplicateValues" dxfId="523" priority="3596"/>
  </conditionalFormatting>
  <conditionalFormatting sqref="AJ89">
    <cfRule type="duplicateValues" dxfId="522" priority="3595"/>
  </conditionalFormatting>
  <conditionalFormatting sqref="F89:F1048576 F1:F21">
    <cfRule type="duplicateValues" dxfId="521" priority="3574"/>
  </conditionalFormatting>
  <conditionalFormatting sqref="T89:T92 T94:T1048576">
    <cfRule type="duplicateValues" dxfId="520" priority="3559"/>
  </conditionalFormatting>
  <conditionalFormatting sqref="N89:N1048576 N1:N13 N16:N21 AE9:AE10">
    <cfRule type="duplicateValues" dxfId="519" priority="14944"/>
    <cfRule type="duplicateValues" dxfId="518" priority="14945"/>
    <cfRule type="duplicateValues" dxfId="517" priority="14946"/>
  </conditionalFormatting>
  <conditionalFormatting sqref="N89:N1048576">
    <cfRule type="duplicateValues" dxfId="516" priority="14972"/>
  </conditionalFormatting>
  <conditionalFormatting sqref="T89:T92">
    <cfRule type="duplicateValues" dxfId="515" priority="14975"/>
  </conditionalFormatting>
  <conditionalFormatting sqref="F89:F1048576">
    <cfRule type="duplicateValues" dxfId="514" priority="2408"/>
  </conditionalFormatting>
  <conditionalFormatting sqref="T89:T92 T94:T1048576">
    <cfRule type="duplicateValues" dxfId="513" priority="18795"/>
    <cfRule type="duplicateValues" dxfId="512" priority="18796"/>
  </conditionalFormatting>
  <conditionalFormatting sqref="T94:T1048576 T1:T18 T89:T92 T20:T21">
    <cfRule type="duplicateValues" dxfId="511" priority="1369"/>
    <cfRule type="duplicateValues" dxfId="510" priority="1676"/>
    <cfRule type="duplicateValues" dxfId="509" priority="1932"/>
    <cfRule type="duplicateValues" dxfId="508" priority="1933"/>
  </conditionalFormatting>
  <conditionalFormatting sqref="Z94 Z1:Z21 Z96:Z1048576 Z89:Z92">
    <cfRule type="duplicateValues" dxfId="507" priority="1930"/>
  </conditionalFormatting>
  <conditionalFormatting sqref="T94:T1048576 T1:T18 T89:T92 T20:T21">
    <cfRule type="duplicateValues" dxfId="506" priority="20376"/>
  </conditionalFormatting>
  <conditionalFormatting sqref="T94:T1048576 T1:T18 T89:T92 T20:T21">
    <cfRule type="duplicateValues" dxfId="505" priority="1525"/>
    <cfRule type="duplicateValues" dxfId="504" priority="1528"/>
  </conditionalFormatting>
  <conditionalFormatting sqref="N89:N1048576">
    <cfRule type="duplicateValues" dxfId="503" priority="21227"/>
    <cfRule type="duplicateValues" dxfId="502" priority="21228"/>
    <cfRule type="duplicateValues" dxfId="501" priority="21229"/>
  </conditionalFormatting>
  <conditionalFormatting sqref="Z94">
    <cfRule type="duplicateValues" dxfId="500" priority="21268"/>
  </conditionalFormatting>
  <conditionalFormatting sqref="I89:I1048576 I1:I21">
    <cfRule type="duplicateValues" dxfId="499" priority="21848"/>
  </conditionalFormatting>
  <conditionalFormatting sqref="I89:I1048576">
    <cfRule type="duplicateValues" dxfId="498" priority="21851"/>
  </conditionalFormatting>
  <conditionalFormatting sqref="T89:T92 T1:T18 T94:T1048576 T20:T21">
    <cfRule type="duplicateValues" dxfId="497" priority="21862"/>
  </conditionalFormatting>
  <conditionalFormatting sqref="T89:T92 T1:T18 T94:T1048576 T20:T21">
    <cfRule type="duplicateValues" dxfId="496" priority="21871"/>
    <cfRule type="duplicateValues" dxfId="495" priority="21872"/>
  </conditionalFormatting>
  <conditionalFormatting sqref="T94:T1048576">
    <cfRule type="duplicateValues" dxfId="494" priority="1321"/>
  </conditionalFormatting>
  <conditionalFormatting sqref="D89:D1048576 D1:D9 D17:D21 AN1:AN21 AN107:AN1048576">
    <cfRule type="duplicateValues" dxfId="493" priority="1064"/>
  </conditionalFormatting>
  <conditionalFormatting sqref="AH16">
    <cfRule type="duplicateValues" dxfId="492" priority="796"/>
  </conditionalFormatting>
  <conditionalFormatting sqref="AH16">
    <cfRule type="duplicateValues" dxfId="491" priority="790"/>
    <cfRule type="duplicateValues" dxfId="490" priority="791"/>
    <cfRule type="duplicateValues" dxfId="489" priority="792"/>
    <cfRule type="duplicateValues" dxfId="488" priority="793"/>
    <cfRule type="duplicateValues" dxfId="487" priority="794"/>
    <cfRule type="duplicateValues" dxfId="486" priority="795"/>
  </conditionalFormatting>
  <conditionalFormatting sqref="AH16">
    <cfRule type="duplicateValues" dxfId="485" priority="789"/>
  </conditionalFormatting>
  <conditionalFormatting sqref="AH16">
    <cfRule type="duplicateValues" dxfId="484" priority="797"/>
  </conditionalFormatting>
  <conditionalFormatting sqref="AN106">
    <cfRule type="duplicateValues" dxfId="483" priority="667"/>
  </conditionalFormatting>
  <conditionalFormatting sqref="AN94:AN103">
    <cfRule type="duplicateValues" dxfId="482" priority="666"/>
  </conditionalFormatting>
  <conditionalFormatting sqref="AN104:AN105">
    <cfRule type="duplicateValues" dxfId="481" priority="656"/>
    <cfRule type="duplicateValues" dxfId="480" priority="657"/>
  </conditionalFormatting>
  <conditionalFormatting sqref="AN104:AN105">
    <cfRule type="duplicateValues" dxfId="479" priority="655"/>
  </conditionalFormatting>
  <conditionalFormatting sqref="AN104:AN105">
    <cfRule type="duplicateValues" dxfId="478" priority="658"/>
    <cfRule type="duplicateValues" dxfId="477" priority="659"/>
  </conditionalFormatting>
  <conditionalFormatting sqref="AN104:AN105">
    <cfRule type="duplicateValues" dxfId="476" priority="660"/>
  </conditionalFormatting>
  <conditionalFormatting sqref="AN104:AN105">
    <cfRule type="duplicateValues" dxfId="475" priority="661"/>
    <cfRule type="duplicateValues" dxfId="474" priority="662"/>
  </conditionalFormatting>
  <conditionalFormatting sqref="AN104:AN105">
    <cfRule type="duplicateValues" dxfId="473" priority="663"/>
    <cfRule type="duplicateValues" dxfId="472" priority="664"/>
    <cfRule type="duplicateValues" dxfId="471" priority="665"/>
  </conditionalFormatting>
  <conditionalFormatting sqref="AN94:AN103">
    <cfRule type="duplicateValues" dxfId="470" priority="668"/>
  </conditionalFormatting>
  <conditionalFormatting sqref="AN106">
    <cfRule type="duplicateValues" dxfId="469" priority="669"/>
    <cfRule type="duplicateValues" dxfId="468" priority="670"/>
  </conditionalFormatting>
  <conditionalFormatting sqref="AN106">
    <cfRule type="duplicateValues" dxfId="467" priority="671"/>
  </conditionalFormatting>
  <conditionalFormatting sqref="AN106">
    <cfRule type="duplicateValues" dxfId="466" priority="672"/>
    <cfRule type="duplicateValues" dxfId="465" priority="673"/>
  </conditionalFormatting>
  <conditionalFormatting sqref="AN106">
    <cfRule type="duplicateValues" dxfId="464" priority="674"/>
    <cfRule type="duplicateValues" dxfId="463" priority="675"/>
    <cfRule type="duplicateValues" dxfId="462" priority="676"/>
  </conditionalFormatting>
  <conditionalFormatting sqref="N89:N1048576 N1:N13 N16:N21 AE9:AE10">
    <cfRule type="duplicateValues" dxfId="461" priority="30945"/>
    <cfRule type="duplicateValues" dxfId="460" priority="30946"/>
    <cfRule type="duplicateValues" dxfId="459" priority="30947"/>
    <cfRule type="duplicateValues" dxfId="458" priority="30948"/>
  </conditionalFormatting>
  <conditionalFormatting sqref="T89:T1048576 T1:T18 T20:T21">
    <cfRule type="duplicateValues" dxfId="457" priority="31007"/>
    <cfRule type="duplicateValues" dxfId="456" priority="31008"/>
    <cfRule type="duplicateValues" dxfId="455" priority="31009"/>
  </conditionalFormatting>
  <conditionalFormatting sqref="T89:T1048576 T1:T18 T20:T21">
    <cfRule type="duplicateValues" dxfId="454" priority="31028"/>
  </conditionalFormatting>
  <conditionalFormatting sqref="AN89:AN93">
    <cfRule type="duplicateValues" dxfId="453" priority="31155"/>
  </conditionalFormatting>
  <conditionalFormatting sqref="I1:I1048576">
    <cfRule type="duplicateValues" dxfId="452" priority="473"/>
  </conditionalFormatting>
  <conditionalFormatting sqref="N1:N13 AE9:AE10 N16:N21 N68:N1048576">
    <cfRule type="duplicateValues" dxfId="451" priority="472"/>
  </conditionalFormatting>
  <conditionalFormatting sqref="T1:T21 T68:T1048576">
    <cfRule type="duplicateValues" dxfId="450" priority="118"/>
    <cfRule type="duplicateValues" dxfId="449" priority="130"/>
    <cfRule type="duplicateValues" dxfId="448" priority="260"/>
    <cfRule type="duplicateValues" dxfId="447" priority="471"/>
  </conditionalFormatting>
  <conditionalFormatting sqref="I89:I1048576 I1:I21">
    <cfRule type="duplicateValues" dxfId="446" priority="32151"/>
    <cfRule type="duplicateValues" dxfId="445" priority="32152"/>
    <cfRule type="duplicateValues" dxfId="444" priority="32153"/>
  </conditionalFormatting>
  <conditionalFormatting sqref="I89:I1048576 I1:I21 AM1:AM1048576">
    <cfRule type="duplicateValues" dxfId="443" priority="32160"/>
    <cfRule type="duplicateValues" dxfId="442" priority="32161"/>
  </conditionalFormatting>
  <conditionalFormatting sqref="I89:I1048576 I1:I21 AM1:AM1048576">
    <cfRule type="duplicateValues" dxfId="441" priority="32172"/>
  </conditionalFormatting>
  <conditionalFormatting sqref="I89:I1048576 I1:I21">
    <cfRule type="duplicateValues" dxfId="440" priority="32186"/>
    <cfRule type="duplicateValues" dxfId="439" priority="32187"/>
  </conditionalFormatting>
  <conditionalFormatting sqref="Z89:Z1048576 Z1:Z21">
    <cfRule type="duplicateValues" dxfId="438" priority="33122"/>
  </conditionalFormatting>
  <conditionalFormatting sqref="N1:N21 N68:N1048576">
    <cfRule type="duplicateValues" dxfId="437" priority="119"/>
    <cfRule type="duplicateValues" dxfId="436" priority="131"/>
    <cfRule type="duplicateValues" dxfId="435" priority="132"/>
    <cfRule type="duplicateValues" dxfId="434" priority="261"/>
  </conditionalFormatting>
  <conditionalFormatting sqref="AE11">
    <cfRule type="duplicateValues" dxfId="433" priority="167"/>
    <cfRule type="duplicateValues" dxfId="432" priority="168"/>
  </conditionalFormatting>
  <conditionalFormatting sqref="AE11">
    <cfRule type="duplicateValues" dxfId="431" priority="169"/>
  </conditionalFormatting>
  <conditionalFormatting sqref="AE13">
    <cfRule type="duplicateValues" dxfId="430" priority="153"/>
  </conditionalFormatting>
  <conditionalFormatting sqref="G81:G84">
    <cfRule type="duplicateValues" dxfId="429" priority="36878"/>
  </conditionalFormatting>
  <conditionalFormatting sqref="D81:D84">
    <cfRule type="duplicateValues" dxfId="428" priority="36879"/>
    <cfRule type="duplicateValues" dxfId="427" priority="36880"/>
  </conditionalFormatting>
  <conditionalFormatting sqref="Z1:Z30 Z32:Z1048576">
    <cfRule type="duplicateValues" dxfId="426" priority="129"/>
  </conditionalFormatting>
  <conditionalFormatting sqref="G48:G59">
    <cfRule type="duplicateValues" dxfId="425" priority="126"/>
  </conditionalFormatting>
  <conditionalFormatting sqref="D22:D59">
    <cfRule type="duplicateValues" dxfId="424" priority="127"/>
    <cfRule type="duplicateValues" dxfId="423" priority="128"/>
  </conditionalFormatting>
  <conditionalFormatting sqref="G22:G31">
    <cfRule type="duplicateValues" dxfId="422" priority="122"/>
    <cfRule type="duplicateValues" dxfId="421" priority="123"/>
    <cfRule type="duplicateValues" dxfId="420" priority="124"/>
  </conditionalFormatting>
  <conditionalFormatting sqref="G22:G38">
    <cfRule type="duplicateValues" dxfId="419" priority="121"/>
  </conditionalFormatting>
  <conditionalFormatting sqref="G22:G47">
    <cfRule type="duplicateValues" dxfId="418" priority="120"/>
  </conditionalFormatting>
  <conditionalFormatting sqref="G60:G62">
    <cfRule type="duplicateValues" dxfId="417" priority="38301"/>
  </conditionalFormatting>
  <conditionalFormatting sqref="D60:D62">
    <cfRule type="duplicateValues" dxfId="416" priority="38302"/>
    <cfRule type="duplicateValues" dxfId="415" priority="38303"/>
  </conditionalFormatting>
  <conditionalFormatting sqref="AK22:AK31">
    <cfRule type="duplicateValues" dxfId="414" priority="89"/>
    <cfRule type="duplicateValues" dxfId="413" priority="90"/>
    <cfRule type="duplicateValues" dxfId="412" priority="91"/>
  </conditionalFormatting>
  <conditionalFormatting sqref="AK22:AK38">
    <cfRule type="duplicateValues" dxfId="411" priority="88"/>
  </conditionalFormatting>
  <conditionalFormatting sqref="AK22:AK47">
    <cfRule type="duplicateValues" dxfId="410" priority="87"/>
  </conditionalFormatting>
  <conditionalFormatting sqref="G63:G67">
    <cfRule type="duplicateValues" dxfId="409" priority="83"/>
  </conditionalFormatting>
  <conditionalFormatting sqref="G63:G67">
    <cfRule type="duplicateValues" dxfId="408" priority="84"/>
  </conditionalFormatting>
  <conditionalFormatting sqref="D63:D67">
    <cfRule type="duplicateValues" dxfId="407" priority="85"/>
    <cfRule type="duplicateValues" dxfId="406" priority="86"/>
  </conditionalFormatting>
  <conditionalFormatting sqref="F68:F84">
    <cfRule type="duplicateValues" dxfId="405" priority="38586"/>
  </conditionalFormatting>
  <conditionalFormatting sqref="G68:G84">
    <cfRule type="duplicateValues" dxfId="404" priority="38587"/>
  </conditionalFormatting>
  <conditionalFormatting sqref="G68:G84">
    <cfRule type="duplicateValues" dxfId="403" priority="38588"/>
    <cfRule type="duplicateValues" dxfId="402" priority="38589"/>
  </conditionalFormatting>
  <conditionalFormatting sqref="D68:D84">
    <cfRule type="duplicateValues" dxfId="401" priority="38592"/>
  </conditionalFormatting>
  <conditionalFormatting sqref="G68:G84">
    <cfRule type="duplicateValues" dxfId="400" priority="38593"/>
    <cfRule type="duplicateValues" dxfId="399" priority="38594"/>
    <cfRule type="duplicateValues" dxfId="398" priority="38595"/>
  </conditionalFormatting>
  <conditionalFormatting sqref="G68:G84">
    <cfRule type="duplicateValues" dxfId="397" priority="38596"/>
    <cfRule type="duplicateValues" dxfId="396" priority="38597"/>
    <cfRule type="duplicateValues" dxfId="395" priority="38598"/>
  </conditionalFormatting>
  <conditionalFormatting sqref="F85:F86">
    <cfRule type="duplicateValues" dxfId="394" priority="72"/>
  </conditionalFormatting>
  <conditionalFormatting sqref="G85:G86">
    <cfRule type="duplicateValues" dxfId="393" priority="71"/>
  </conditionalFormatting>
  <conditionalFormatting sqref="G85:G86">
    <cfRule type="duplicateValues" dxfId="392" priority="73"/>
    <cfRule type="duplicateValues" dxfId="391" priority="74"/>
  </conditionalFormatting>
  <conditionalFormatting sqref="G85:G86">
    <cfRule type="duplicateValues" dxfId="390" priority="75"/>
  </conditionalFormatting>
  <conditionalFormatting sqref="G85:G86">
    <cfRule type="duplicateValues" dxfId="389" priority="70"/>
  </conditionalFormatting>
  <conditionalFormatting sqref="D85:D86">
    <cfRule type="duplicateValues" dxfId="388" priority="76"/>
  </conditionalFormatting>
  <conditionalFormatting sqref="G85:G86">
    <cfRule type="duplicateValues" dxfId="387" priority="77"/>
    <cfRule type="duplicateValues" dxfId="386" priority="78"/>
    <cfRule type="duplicateValues" dxfId="385" priority="79"/>
  </conditionalFormatting>
  <conditionalFormatting sqref="G85:G86">
    <cfRule type="duplicateValues" dxfId="384" priority="80"/>
    <cfRule type="duplicateValues" dxfId="383" priority="81"/>
    <cfRule type="duplicateValues" dxfId="382" priority="82"/>
  </conditionalFormatting>
  <conditionalFormatting sqref="F87">
    <cfRule type="duplicateValues" dxfId="381" priority="59"/>
  </conditionalFormatting>
  <conditionalFormatting sqref="G87">
    <cfRule type="duplicateValues" dxfId="380" priority="58"/>
  </conditionalFormatting>
  <conditionalFormatting sqref="G87">
    <cfRule type="duplicateValues" dxfId="379" priority="60"/>
    <cfRule type="duplicateValues" dxfId="378" priority="61"/>
  </conditionalFormatting>
  <conditionalFormatting sqref="G87">
    <cfRule type="duplicateValues" dxfId="377" priority="62"/>
  </conditionalFormatting>
  <conditionalFormatting sqref="G87">
    <cfRule type="duplicateValues" dxfId="376" priority="57"/>
  </conditionalFormatting>
  <conditionalFormatting sqref="G87">
    <cfRule type="duplicateValues" dxfId="375" priority="64"/>
    <cfRule type="duplicateValues" dxfId="374" priority="65"/>
    <cfRule type="duplicateValues" dxfId="373" priority="66"/>
  </conditionalFormatting>
  <conditionalFormatting sqref="G87">
    <cfRule type="duplicateValues" dxfId="372" priority="67"/>
    <cfRule type="duplicateValues" dxfId="371" priority="68"/>
    <cfRule type="duplicateValues" dxfId="370" priority="69"/>
  </conditionalFormatting>
  <conditionalFormatting sqref="N22:N30 N32:N67">
    <cfRule type="duplicateValues" dxfId="369" priority="38"/>
  </conditionalFormatting>
  <conditionalFormatting sqref="N22:N30 N32:N67">
    <cfRule type="duplicateValues" dxfId="368" priority="31"/>
    <cfRule type="duplicateValues" dxfId="367" priority="33"/>
    <cfRule type="duplicateValues" dxfId="366" priority="34"/>
    <cfRule type="duplicateValues" dxfId="365" priority="36"/>
  </conditionalFormatting>
  <conditionalFormatting sqref="N22:N30 N32:N67">
    <cfRule type="duplicateValues" dxfId="364" priority="43"/>
    <cfRule type="duplicateValues" dxfId="363" priority="44"/>
    <cfRule type="duplicateValues" dxfId="362" priority="45"/>
    <cfRule type="duplicateValues" dxfId="361" priority="46"/>
    <cfRule type="duplicateValues" dxfId="360" priority="47"/>
    <cfRule type="duplicateValues" dxfId="359" priority="54"/>
    <cfRule type="duplicateValues" dxfId="358" priority="55"/>
    <cfRule type="duplicateValues" dxfId="357" priority="56"/>
  </conditionalFormatting>
  <conditionalFormatting sqref="T22:T67">
    <cfRule type="duplicateValues" dxfId="356" priority="30"/>
    <cfRule type="duplicateValues" dxfId="355" priority="32"/>
    <cfRule type="duplicateValues" dxfId="354" priority="35"/>
    <cfRule type="duplicateValues" dxfId="353" priority="37"/>
  </conditionalFormatting>
  <conditionalFormatting sqref="T22:T67">
    <cfRule type="duplicateValues" dxfId="352" priority="39"/>
    <cfRule type="duplicateValues" dxfId="351" priority="40"/>
    <cfRule type="duplicateValues" dxfId="350" priority="41"/>
    <cfRule type="duplicateValues" dxfId="349" priority="42"/>
    <cfRule type="duplicateValues" dxfId="348" priority="48"/>
    <cfRule type="duplicateValues" dxfId="347" priority="49"/>
    <cfRule type="duplicateValues" dxfId="346" priority="50"/>
    <cfRule type="duplicateValues" dxfId="345" priority="51"/>
    <cfRule type="duplicateValues" dxfId="344" priority="52"/>
    <cfRule type="duplicateValues" dxfId="343" priority="53"/>
  </conditionalFormatting>
  <conditionalFormatting sqref="G88">
    <cfRule type="duplicateValues" dxfId="342" priority="38904"/>
  </conditionalFormatting>
  <conditionalFormatting sqref="D88">
    <cfRule type="duplicateValues" dxfId="341" priority="38905"/>
    <cfRule type="duplicateValues" dxfId="340" priority="38906"/>
  </conditionalFormatting>
  <conditionalFormatting sqref="AK68:AK88">
    <cfRule type="duplicateValues" dxfId="339" priority="38910"/>
  </conditionalFormatting>
  <conditionalFormatting sqref="AK68:AK88">
    <cfRule type="duplicateValues" dxfId="338" priority="38911"/>
    <cfRule type="duplicateValues" dxfId="337" priority="38912"/>
    <cfRule type="duplicateValues" dxfId="336" priority="38913"/>
    <cfRule type="duplicateValues" dxfId="335" priority="38914"/>
    <cfRule type="duplicateValues" dxfId="334" priority="38915"/>
    <cfRule type="duplicateValues" dxfId="333" priority="38916"/>
  </conditionalFormatting>
  <conditionalFormatting sqref="Z22:Z30 Z32:Z88">
    <cfRule type="duplicateValues" dxfId="332" priority="38917"/>
  </conditionalFormatting>
  <conditionalFormatting sqref="T68:T88">
    <cfRule type="duplicateValues" dxfId="331" priority="38918"/>
    <cfRule type="duplicateValues" dxfId="330" priority="38919"/>
    <cfRule type="duplicateValues" dxfId="329" priority="38920"/>
    <cfRule type="duplicateValues" dxfId="328" priority="38921"/>
  </conditionalFormatting>
  <conditionalFormatting sqref="N68:N88">
    <cfRule type="duplicateValues" dxfId="327" priority="38922"/>
    <cfRule type="duplicateValues" dxfId="326" priority="38923"/>
    <cfRule type="duplicateValues" dxfId="325" priority="38924"/>
    <cfRule type="duplicateValues" dxfId="324" priority="38925"/>
  </conditionalFormatting>
  <conditionalFormatting sqref="N68:N88">
    <cfRule type="duplicateValues" dxfId="323" priority="38926"/>
  </conditionalFormatting>
  <conditionalFormatting sqref="T68:T88">
    <cfRule type="duplicateValues" dxfId="322" priority="38927"/>
  </conditionalFormatting>
  <conditionalFormatting sqref="T68:T88">
    <cfRule type="duplicateValues" dxfId="321" priority="38928"/>
    <cfRule type="duplicateValues" dxfId="320" priority="38929"/>
  </conditionalFormatting>
  <conditionalFormatting sqref="T68:T88">
    <cfRule type="duplicateValues" dxfId="319" priority="38930"/>
    <cfRule type="duplicateValues" dxfId="318" priority="38931"/>
    <cfRule type="duplicateValues" dxfId="317" priority="38932"/>
  </conditionalFormatting>
  <conditionalFormatting sqref="N68:N88">
    <cfRule type="duplicateValues" dxfId="316" priority="38933"/>
    <cfRule type="duplicateValues" dxfId="315" priority="38934"/>
    <cfRule type="duplicateValues" dxfId="314" priority="38935"/>
  </conditionalFormatting>
  <conditionalFormatting sqref="AN22:AN93">
    <cfRule type="duplicateValues" dxfId="313" priority="38936"/>
  </conditionalFormatting>
  <conditionalFormatting sqref="AD22:AD88">
    <cfRule type="duplicateValues" dxfId="312" priority="38938"/>
  </conditionalFormatting>
  <conditionalFormatting sqref="AD22:AD88">
    <cfRule type="duplicateValues" dxfId="311" priority="38939"/>
    <cfRule type="duplicateValues" dxfId="310" priority="38940"/>
  </conditionalFormatting>
  <conditionalFormatting sqref="I22:I88">
    <cfRule type="duplicateValues" dxfId="309" priority="38941"/>
    <cfRule type="duplicateValues" dxfId="308" priority="38942"/>
    <cfRule type="duplicateValues" dxfId="307" priority="38943"/>
    <cfRule type="duplicateValues" dxfId="306" priority="38944"/>
  </conditionalFormatting>
  <conditionalFormatting sqref="I22:I88">
    <cfRule type="duplicateValues" dxfId="305" priority="38945"/>
    <cfRule type="duplicateValues" dxfId="304" priority="38946"/>
  </conditionalFormatting>
  <conditionalFormatting sqref="I22:I88">
    <cfRule type="duplicateValues" dxfId="303" priority="38947"/>
  </conditionalFormatting>
  <conditionalFormatting sqref="AN22:AN88">
    <cfRule type="duplicateValues" dxfId="302" priority="38948"/>
    <cfRule type="duplicateValues" dxfId="301" priority="38949"/>
  </conditionalFormatting>
  <conditionalFormatting sqref="AN22:AN88">
    <cfRule type="duplicateValues" dxfId="300" priority="38950"/>
  </conditionalFormatting>
  <conditionalFormatting sqref="AN22:AN88">
    <cfRule type="duplicateValues" dxfId="299" priority="38951"/>
    <cfRule type="duplicateValues" dxfId="298" priority="38952"/>
    <cfRule type="duplicateValues" dxfId="297" priority="38953"/>
    <cfRule type="duplicateValues" dxfId="296" priority="38954"/>
  </conditionalFormatting>
  <conditionalFormatting sqref="AN22:AN88">
    <cfRule type="duplicateValues" dxfId="295" priority="38955"/>
    <cfRule type="duplicateValues" dxfId="294" priority="38956"/>
    <cfRule type="duplicateValues" dxfId="293" priority="38957"/>
  </conditionalFormatting>
  <conditionalFormatting sqref="AL22:AL88">
    <cfRule type="duplicateValues" dxfId="292" priority="38958"/>
  </conditionalFormatting>
  <conditionalFormatting sqref="AL22:AL88">
    <cfRule type="duplicateValues" dxfId="291" priority="38959"/>
    <cfRule type="duplicateValues" dxfId="290" priority="38960"/>
    <cfRule type="duplicateValues" dxfId="289" priority="38961"/>
    <cfRule type="duplicateValues" dxfId="288" priority="38962"/>
    <cfRule type="duplicateValues" dxfId="287" priority="38963"/>
    <cfRule type="duplicateValues" dxfId="286" priority="38964"/>
  </conditionalFormatting>
  <conditionalFormatting sqref="AI22:AI88">
    <cfRule type="duplicateValues" dxfId="285" priority="38965"/>
  </conditionalFormatting>
  <conditionalFormatting sqref="AI22:AI88">
    <cfRule type="duplicateValues" dxfId="284" priority="38966"/>
    <cfRule type="duplicateValues" dxfId="283" priority="38967"/>
    <cfRule type="duplicateValues" dxfId="282" priority="38968"/>
    <cfRule type="duplicateValues" dxfId="281" priority="38969"/>
  </conditionalFormatting>
  <conditionalFormatting sqref="AI22:AI88">
    <cfRule type="duplicateValues" dxfId="280" priority="38970"/>
    <cfRule type="duplicateValues" dxfId="279" priority="38971"/>
  </conditionalFormatting>
  <conditionalFormatting sqref="D87">
    <cfRule type="duplicateValues" dxfId="278" priority="29"/>
  </conditionalFormatting>
  <conditionalFormatting sqref="N31">
    <cfRule type="duplicateValues" dxfId="277" priority="14"/>
  </conditionalFormatting>
  <conditionalFormatting sqref="N31">
    <cfRule type="duplicateValues" dxfId="276" priority="15"/>
  </conditionalFormatting>
  <conditionalFormatting sqref="Z31">
    <cfRule type="duplicateValues" dxfId="275" priority="5"/>
  </conditionalFormatting>
  <conditionalFormatting sqref="Z31">
    <cfRule type="duplicateValues" dxfId="274" priority="1"/>
    <cfRule type="duplicateValues" dxfId="273" priority="2"/>
    <cfRule type="duplicateValues" dxfId="272" priority="3"/>
    <cfRule type="duplicateValues" dxfId="271" priority="4"/>
  </conditionalFormatting>
  <conditionalFormatting sqref="Z31">
    <cfRule type="duplicateValues" dxfId="270" priority="6"/>
    <cfRule type="duplicateValues" dxfId="269" priority="7"/>
    <cfRule type="duplicateValues" dxfId="268" priority="8"/>
    <cfRule type="duplicateValues" dxfId="267" priority="9"/>
    <cfRule type="duplicateValues" dxfId="266" priority="10"/>
    <cfRule type="duplicateValues" dxfId="265" priority="11"/>
    <cfRule type="duplicateValues" dxfId="264" priority="12"/>
    <cfRule type="duplicateValues" dxfId="263" priority="13"/>
  </conditionalFormatting>
  <pageMargins left="0.35" right="0.2" top="0.23" bottom="0.24" header="0.2" footer="0.2"/>
  <pageSetup paperSize="9" scale="22" fitToHeight="0" orientation="landscape" r:id="rId1"/>
  <colBreaks count="1" manualBreakCount="1">
    <brk id="2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72"/>
  <sheetViews>
    <sheetView view="pageBreakPreview" zoomScale="55" zoomScaleNormal="70" zoomScaleSheetLayoutView="55" workbookViewId="0">
      <pane ySplit="21" topLeftCell="A22" activePane="bottomLeft" state="frozen"/>
      <selection activeCell="I33" sqref="I33"/>
      <selection pane="bottomLeft" activeCell="AB22" sqref="AB22"/>
    </sheetView>
  </sheetViews>
  <sheetFormatPr defaultColWidth="9.140625" defaultRowHeight="15.75"/>
  <cols>
    <col min="1" max="1" width="7.140625" style="2" customWidth="1"/>
    <col min="2" max="2" width="18.42578125" style="3" customWidth="1"/>
    <col min="3" max="3" width="26.28515625" style="2" customWidth="1"/>
    <col min="4" max="4" width="24.85546875" style="2" customWidth="1"/>
    <col min="5" max="5" width="10.85546875" style="2" customWidth="1"/>
    <col min="6" max="6" width="21.28515625" style="2" customWidth="1"/>
    <col min="7" max="7" width="26.28515625" style="2" customWidth="1"/>
    <col min="8" max="8" width="18.85546875" style="407" customWidth="1"/>
    <col min="9" max="9" width="17.85546875" style="4" customWidth="1"/>
    <col min="10" max="10" width="23.85546875" style="52" customWidth="1"/>
    <col min="11" max="11" width="22.42578125" style="361" customWidth="1"/>
    <col min="12" max="12" width="17.42578125" style="4" customWidth="1"/>
    <col min="13" max="13" width="21" style="4" customWidth="1"/>
    <col min="14" max="14" width="15.5703125" style="130" customWidth="1"/>
    <col min="15" max="15" width="21.85546875" style="2" customWidth="1"/>
    <col min="16" max="16" width="28.7109375" style="108" customWidth="1"/>
    <col min="17" max="17" width="23.42578125" style="5" customWidth="1"/>
    <col min="18" max="18" width="18.28515625" style="2" customWidth="1"/>
    <col min="19" max="19" width="22.140625" style="2" customWidth="1"/>
    <col min="20" max="20" width="17.7109375" style="52" customWidth="1"/>
    <col min="21" max="21" width="23.7109375" style="2" customWidth="1"/>
    <col min="22" max="22" width="42" style="2" customWidth="1"/>
    <col min="23" max="23" width="17.42578125" style="5" customWidth="1"/>
    <col min="24" max="24" width="15.85546875" style="2" customWidth="1"/>
    <col min="25" max="25" width="17.140625" style="2" customWidth="1"/>
    <col min="26" max="26" width="17.85546875" style="197" customWidth="1"/>
    <col min="27" max="27" width="23.28515625" style="2" customWidth="1"/>
    <col min="28" max="28" width="25.7109375" style="2" customWidth="1"/>
    <col min="29" max="29" width="28.5703125" style="2" customWidth="1"/>
    <col min="30" max="30" width="13.42578125" style="25" customWidth="1"/>
    <col min="31" max="31" width="21.5703125" style="128" customWidth="1"/>
    <col min="32" max="32" width="34.7109375" style="84" customWidth="1"/>
    <col min="33" max="33" width="23.140625" style="25" customWidth="1"/>
    <col min="34" max="34" width="40.140625" style="25" customWidth="1"/>
    <col min="35" max="35" width="19.5703125" style="25" customWidth="1"/>
    <col min="36" max="36" width="21.7109375" style="128" customWidth="1"/>
    <col min="37" max="37" width="11.28515625" style="84" customWidth="1"/>
    <col min="38" max="38" width="17.42578125" style="25" customWidth="1"/>
    <col min="39" max="39" width="14.5703125" style="91" customWidth="1"/>
    <col min="40" max="40" width="18.7109375" style="156" customWidth="1"/>
    <col min="41" max="41" width="11.140625" style="156" bestFit="1" customWidth="1"/>
    <col min="42" max="42" width="12.85546875" style="25" customWidth="1"/>
    <col min="43" max="43" width="17.85546875" style="25" bestFit="1" customWidth="1"/>
    <col min="44" max="44" width="15" style="157" bestFit="1" customWidth="1"/>
    <col min="45" max="45" width="17.85546875" style="2" bestFit="1" customWidth="1"/>
    <col min="46" max="16384" width="9.140625" style="2"/>
  </cols>
  <sheetData>
    <row r="1" spans="1:44" s="121" customFormat="1" ht="31.5" customHeight="1">
      <c r="A1" s="547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8"/>
      <c r="L1" s="547"/>
      <c r="M1" s="547"/>
      <c r="N1" s="547"/>
      <c r="O1" s="547"/>
      <c r="P1" s="547"/>
      <c r="Q1" s="549"/>
      <c r="R1" s="547"/>
      <c r="S1" s="547"/>
      <c r="T1" s="547"/>
      <c r="U1" s="547"/>
      <c r="V1" s="547"/>
      <c r="W1" s="550"/>
      <c r="X1" s="547"/>
      <c r="Y1" s="547"/>
      <c r="Z1" s="551"/>
      <c r="AA1" s="547"/>
      <c r="AB1" s="547"/>
      <c r="AC1" s="547"/>
      <c r="AD1" s="119"/>
      <c r="AE1" s="126"/>
      <c r="AF1" s="123"/>
      <c r="AG1" s="122"/>
      <c r="AH1" s="360"/>
      <c r="AI1" s="122"/>
      <c r="AJ1" s="126"/>
      <c r="AK1" s="123"/>
      <c r="AL1" s="122"/>
      <c r="AM1" s="196"/>
      <c r="AN1" s="152"/>
      <c r="AO1" s="152"/>
      <c r="AP1" s="122"/>
      <c r="AQ1" s="122"/>
      <c r="AR1" s="153"/>
    </row>
    <row r="2" spans="1:44" s="62" customFormat="1" ht="31.5" hidden="1" customHeight="1">
      <c r="A2" s="552" t="s">
        <v>1</v>
      </c>
      <c r="B2" s="552"/>
      <c r="C2" s="552"/>
      <c r="D2" s="552"/>
      <c r="E2" s="552"/>
      <c r="F2" s="552"/>
      <c r="G2" s="552"/>
      <c r="H2" s="552"/>
      <c r="I2" s="552"/>
      <c r="J2" s="552"/>
      <c r="K2" s="553"/>
      <c r="L2" s="552"/>
      <c r="M2" s="552"/>
      <c r="N2" s="552"/>
      <c r="O2" s="552"/>
      <c r="P2" s="552"/>
      <c r="Q2" s="554"/>
      <c r="R2" s="552"/>
      <c r="S2" s="552"/>
      <c r="T2" s="552"/>
      <c r="U2" s="552"/>
      <c r="V2" s="552"/>
      <c r="W2" s="555"/>
      <c r="X2" s="552"/>
      <c r="Y2" s="552"/>
      <c r="Z2" s="552"/>
      <c r="AA2" s="552"/>
      <c r="AB2" s="552"/>
      <c r="AC2" s="552"/>
      <c r="AD2" s="83"/>
      <c r="AE2" s="127"/>
      <c r="AF2" s="86"/>
      <c r="AG2" s="111"/>
      <c r="AH2" s="111"/>
      <c r="AI2" s="122"/>
      <c r="AJ2" s="127"/>
      <c r="AK2" s="86"/>
      <c r="AL2" s="111"/>
      <c r="AM2" s="111"/>
      <c r="AN2" s="154"/>
      <c r="AO2" s="154"/>
      <c r="AP2" s="111"/>
      <c r="AQ2" s="111"/>
      <c r="AR2" s="155"/>
    </row>
    <row r="3" spans="1:44" ht="9" hidden="1" customHeight="1">
      <c r="Z3" s="2"/>
      <c r="AI3" s="122"/>
      <c r="AM3" s="25"/>
    </row>
    <row r="4" spans="1:44" s="120" customFormat="1" ht="33" hidden="1" customHeight="1">
      <c r="A4" s="568" t="s">
        <v>39</v>
      </c>
      <c r="B4" s="568"/>
      <c r="C4" s="568"/>
      <c r="D4" s="568"/>
      <c r="E4" s="568"/>
      <c r="F4" s="568"/>
      <c r="G4" s="568"/>
      <c r="H4" s="568"/>
      <c r="I4" s="568"/>
      <c r="J4" s="568"/>
      <c r="K4" s="569"/>
      <c r="L4" s="568"/>
      <c r="M4" s="568"/>
      <c r="N4" s="568"/>
      <c r="O4" s="568"/>
      <c r="P4" s="568"/>
      <c r="Q4" s="570"/>
      <c r="R4" s="568"/>
      <c r="S4" s="568"/>
      <c r="T4" s="568"/>
      <c r="U4" s="568"/>
      <c r="V4" s="568"/>
      <c r="W4" s="571"/>
      <c r="X4" s="568"/>
      <c r="Y4" s="568"/>
      <c r="Z4" s="568"/>
      <c r="AA4" s="568"/>
      <c r="AB4" s="568"/>
      <c r="AC4" s="568"/>
      <c r="AD4" s="119"/>
      <c r="AE4" s="129"/>
      <c r="AF4" s="125"/>
      <c r="AG4" s="124"/>
      <c r="AH4" s="124"/>
      <c r="AI4" s="122"/>
      <c r="AJ4" s="129"/>
      <c r="AK4" s="125"/>
      <c r="AL4" s="124"/>
      <c r="AM4" s="124"/>
      <c r="AN4" s="158"/>
      <c r="AO4" s="158"/>
      <c r="AP4" s="124"/>
      <c r="AQ4" s="124"/>
      <c r="AR4" s="159"/>
    </row>
    <row r="5" spans="1:44" ht="14.25" hidden="1" customHeight="1">
      <c r="Z5" s="2"/>
      <c r="AI5" s="122"/>
      <c r="AM5" s="25"/>
    </row>
    <row r="6" spans="1:44" s="121" customFormat="1" ht="28.5" hidden="1" customHeight="1">
      <c r="A6" s="171" t="s">
        <v>2</v>
      </c>
      <c r="B6" s="164"/>
      <c r="H6" s="170"/>
      <c r="I6" s="165"/>
      <c r="J6" s="166"/>
      <c r="K6" s="362"/>
      <c r="L6" s="165"/>
      <c r="M6" s="165"/>
      <c r="N6" s="168"/>
      <c r="P6" s="169"/>
      <c r="Q6" s="167"/>
      <c r="T6" s="166"/>
      <c r="W6" s="167"/>
      <c r="AD6" s="122"/>
      <c r="AE6" s="126"/>
      <c r="AF6" s="123"/>
      <c r="AG6" s="122"/>
      <c r="AH6" s="122"/>
      <c r="AI6" s="122"/>
      <c r="AJ6" s="126"/>
      <c r="AK6" s="123"/>
      <c r="AL6" s="122"/>
      <c r="AM6" s="122"/>
      <c r="AN6" s="152"/>
      <c r="AO6" s="152"/>
      <c r="AP6" s="122"/>
      <c r="AQ6" s="122"/>
      <c r="AR6" s="153"/>
    </row>
    <row r="7" spans="1:44" s="121" customFormat="1" ht="28.5" hidden="1" customHeight="1">
      <c r="A7" s="121" t="s">
        <v>3</v>
      </c>
      <c r="B7" s="164"/>
      <c r="H7" s="170"/>
      <c r="I7" s="165"/>
      <c r="J7" s="166"/>
      <c r="K7" s="362"/>
      <c r="L7" s="165"/>
      <c r="M7" s="165"/>
      <c r="N7" s="168"/>
      <c r="P7" s="169"/>
      <c r="Q7" s="167"/>
      <c r="T7" s="166"/>
      <c r="W7" s="167"/>
      <c r="AD7" s="122"/>
      <c r="AE7" s="126"/>
      <c r="AF7" s="123"/>
      <c r="AG7" s="122"/>
      <c r="AH7" s="122"/>
      <c r="AI7" s="122"/>
      <c r="AJ7" s="126"/>
      <c r="AK7" s="123"/>
      <c r="AL7" s="122"/>
      <c r="AM7" s="122"/>
      <c r="AN7" s="152"/>
      <c r="AO7" s="152"/>
      <c r="AP7" s="122"/>
      <c r="AQ7" s="122"/>
      <c r="AR7" s="153"/>
    </row>
    <row r="8" spans="1:44" s="339" customFormat="1" ht="32.25" hidden="1" customHeight="1">
      <c r="A8" s="337" t="s">
        <v>27</v>
      </c>
      <c r="B8" s="338"/>
      <c r="F8" s="340"/>
      <c r="G8" s="340"/>
      <c r="H8" s="341"/>
      <c r="I8" s="342"/>
      <c r="J8" s="343"/>
      <c r="K8" s="363"/>
      <c r="L8" s="342"/>
      <c r="M8" s="342"/>
      <c r="N8" s="345"/>
      <c r="P8" s="346"/>
      <c r="Q8" s="344"/>
      <c r="T8" s="343"/>
      <c r="W8" s="344"/>
      <c r="AD8" s="347"/>
      <c r="AE8" s="348"/>
      <c r="AF8" s="349"/>
      <c r="AG8" s="347"/>
      <c r="AH8" s="347"/>
      <c r="AI8" s="122"/>
      <c r="AJ8" s="348"/>
      <c r="AK8" s="349"/>
      <c r="AL8" s="347"/>
      <c r="AM8" s="347"/>
      <c r="AN8" s="350"/>
      <c r="AO8" s="350"/>
      <c r="AP8" s="347"/>
      <c r="AQ8" s="347"/>
      <c r="AR8" s="351"/>
    </row>
    <row r="9" spans="1:44" s="339" customFormat="1" ht="32.25" hidden="1" customHeight="1">
      <c r="A9" s="339" t="s">
        <v>83</v>
      </c>
      <c r="B9" s="338"/>
      <c r="F9" s="340"/>
      <c r="G9" s="340"/>
      <c r="H9" s="352"/>
      <c r="I9" s="342"/>
      <c r="J9" s="343"/>
      <c r="K9" s="363"/>
      <c r="L9" s="342"/>
      <c r="M9" s="342"/>
      <c r="N9" s="345"/>
      <c r="P9" s="346"/>
      <c r="Q9" s="344"/>
      <c r="T9" s="343"/>
      <c r="W9" s="344"/>
      <c r="AD9" s="347"/>
      <c r="AE9" s="345" t="s">
        <v>259</v>
      </c>
      <c r="AF9" s="353"/>
      <c r="AG9" s="354"/>
      <c r="AH9" s="347"/>
      <c r="AI9" s="122"/>
      <c r="AJ9" s="348"/>
      <c r="AK9" s="349"/>
      <c r="AL9" s="347"/>
      <c r="AM9" s="347"/>
      <c r="AN9" s="350"/>
      <c r="AO9" s="350"/>
      <c r="AP9" s="347"/>
      <c r="AQ9" s="347"/>
      <c r="AR9" s="351"/>
    </row>
    <row r="10" spans="1:44" s="339" customFormat="1" ht="32.25" hidden="1" customHeight="1">
      <c r="A10" s="339" t="s">
        <v>28</v>
      </c>
      <c r="B10" s="338"/>
      <c r="F10" s="340"/>
      <c r="G10" s="340"/>
      <c r="H10" s="341"/>
      <c r="I10" s="342"/>
      <c r="J10" s="343"/>
      <c r="K10" s="363"/>
      <c r="L10" s="342"/>
      <c r="M10" s="342"/>
      <c r="N10" s="345"/>
      <c r="P10" s="346"/>
      <c r="Q10" s="344"/>
      <c r="T10" s="343"/>
      <c r="W10" s="344"/>
      <c r="AD10" s="347"/>
      <c r="AE10" s="345" t="s">
        <v>260</v>
      </c>
      <c r="AF10" s="356"/>
      <c r="AG10" s="357"/>
      <c r="AH10" s="347"/>
      <c r="AI10" s="122"/>
      <c r="AJ10" s="348"/>
      <c r="AK10" s="349"/>
      <c r="AL10" s="347"/>
      <c r="AM10" s="347"/>
      <c r="AN10" s="350"/>
      <c r="AO10" s="350"/>
      <c r="AP10" s="347"/>
      <c r="AQ10" s="347"/>
      <c r="AR10" s="351"/>
    </row>
    <row r="11" spans="1:44" s="339" customFormat="1" ht="32.25" hidden="1" customHeight="1">
      <c r="A11" s="339" t="s">
        <v>4</v>
      </c>
      <c r="B11" s="338"/>
      <c r="D11" s="339" t="s">
        <v>5</v>
      </c>
      <c r="H11" s="358"/>
      <c r="I11" s="342"/>
      <c r="J11" s="343"/>
      <c r="K11" s="363"/>
      <c r="L11" s="342"/>
      <c r="M11" s="342"/>
      <c r="N11" s="345"/>
      <c r="P11" s="346"/>
      <c r="Q11" s="344"/>
      <c r="T11" s="343"/>
      <c r="W11" s="344"/>
      <c r="AD11" s="347"/>
      <c r="AE11" s="355"/>
      <c r="AF11" s="356"/>
      <c r="AG11" s="357"/>
      <c r="AH11" s="347"/>
      <c r="AI11" s="122"/>
      <c r="AJ11" s="348"/>
      <c r="AK11" s="349"/>
      <c r="AL11" s="347"/>
      <c r="AM11" s="347"/>
      <c r="AN11" s="350"/>
      <c r="AO11" s="350"/>
      <c r="AP11" s="347"/>
      <c r="AQ11" s="347"/>
      <c r="AR11" s="351"/>
    </row>
    <row r="12" spans="1:44" s="121" customFormat="1" ht="6.75" hidden="1" customHeight="1">
      <c r="B12" s="164"/>
      <c r="H12" s="170"/>
      <c r="I12" s="165"/>
      <c r="J12" s="166"/>
      <c r="K12" s="362"/>
      <c r="L12" s="165"/>
      <c r="M12" s="165"/>
      <c r="N12" s="168"/>
      <c r="P12" s="169"/>
      <c r="Q12" s="167"/>
      <c r="T12" s="166"/>
      <c r="W12" s="167"/>
      <c r="AD12" s="122"/>
      <c r="AE12" s="126"/>
      <c r="AF12" s="123"/>
      <c r="AG12" s="122"/>
      <c r="AH12" s="122"/>
      <c r="AI12" s="122"/>
      <c r="AJ12" s="126"/>
      <c r="AK12" s="123"/>
      <c r="AL12" s="122"/>
      <c r="AM12" s="122"/>
      <c r="AN12" s="152"/>
      <c r="AO12" s="152"/>
      <c r="AP12" s="122"/>
      <c r="AQ12" s="122"/>
      <c r="AR12" s="153"/>
    </row>
    <row r="13" spans="1:44" s="339" customFormat="1" ht="32.25" hidden="1" customHeight="1">
      <c r="A13" s="337" t="s">
        <v>6</v>
      </c>
      <c r="B13" s="338"/>
      <c r="H13" s="358"/>
      <c r="I13" s="342"/>
      <c r="J13" s="343"/>
      <c r="K13" s="363"/>
      <c r="L13" s="342"/>
      <c r="M13" s="342"/>
      <c r="N13" s="345"/>
      <c r="P13" s="346"/>
      <c r="Q13" s="344"/>
      <c r="T13" s="343"/>
      <c r="W13" s="344"/>
      <c r="AD13" s="347"/>
      <c r="AE13" s="348"/>
      <c r="AF13" s="349"/>
      <c r="AG13" s="347"/>
      <c r="AH13" s="347"/>
      <c r="AI13" s="122"/>
      <c r="AJ13" s="348"/>
      <c r="AK13" s="349"/>
      <c r="AL13" s="347"/>
      <c r="AM13" s="347"/>
      <c r="AN13" s="350"/>
      <c r="AO13" s="350"/>
      <c r="AP13" s="347"/>
      <c r="AQ13" s="347"/>
      <c r="AR13" s="351"/>
    </row>
    <row r="14" spans="1:44" s="339" customFormat="1" ht="32.25" hidden="1" customHeight="1">
      <c r="A14" s="339" t="s">
        <v>81</v>
      </c>
      <c r="B14" s="338"/>
      <c r="H14" s="358"/>
      <c r="I14" s="342"/>
      <c r="J14" s="343"/>
      <c r="K14" s="363"/>
      <c r="L14" s="342"/>
      <c r="M14" s="342"/>
      <c r="P14" s="346"/>
      <c r="Q14" s="344"/>
      <c r="T14" s="343"/>
      <c r="W14" s="344"/>
      <c r="AD14" s="347"/>
      <c r="AE14" s="348"/>
      <c r="AF14" s="349"/>
      <c r="AG14" s="347"/>
      <c r="AH14" s="347"/>
      <c r="AI14" s="122"/>
      <c r="AJ14" s="348"/>
      <c r="AK14" s="349"/>
      <c r="AL14" s="347"/>
      <c r="AM14" s="347"/>
      <c r="AN14" s="350"/>
      <c r="AO14" s="350"/>
      <c r="AP14" s="347"/>
      <c r="AQ14" s="347"/>
      <c r="AR14" s="351"/>
    </row>
    <row r="15" spans="1:44" s="339" customFormat="1" ht="32.25" hidden="1" customHeight="1">
      <c r="A15" s="339" t="s">
        <v>7</v>
      </c>
      <c r="B15" s="338"/>
      <c r="H15" s="358"/>
      <c r="I15" s="342"/>
      <c r="J15" s="343"/>
      <c r="K15" s="363"/>
      <c r="L15" s="342"/>
      <c r="M15" s="342"/>
      <c r="P15" s="346"/>
      <c r="Q15" s="344"/>
      <c r="T15" s="343"/>
      <c r="W15" s="344"/>
      <c r="AD15" s="347"/>
      <c r="AE15" s="348"/>
      <c r="AF15" s="349"/>
      <c r="AG15" s="347"/>
      <c r="AH15" s="347"/>
      <c r="AI15" s="122"/>
      <c r="AJ15" s="348"/>
      <c r="AK15" s="349"/>
      <c r="AL15" s="347"/>
      <c r="AM15" s="347"/>
      <c r="AN15" s="350"/>
      <c r="AO15" s="350"/>
      <c r="AP15" s="347"/>
      <c r="AQ15" s="347"/>
      <c r="AR15" s="351"/>
    </row>
    <row r="16" spans="1:44" s="339" customFormat="1" ht="32.25" hidden="1" customHeight="1">
      <c r="A16" s="339" t="s">
        <v>4</v>
      </c>
      <c r="B16" s="338"/>
      <c r="D16" s="339" t="s">
        <v>5</v>
      </c>
      <c r="H16" s="358"/>
      <c r="I16" s="342"/>
      <c r="J16" s="343"/>
      <c r="K16" s="363"/>
      <c r="L16" s="342"/>
      <c r="M16" s="342"/>
      <c r="N16" s="345"/>
      <c r="P16" s="346"/>
      <c r="Q16" s="344"/>
      <c r="T16" s="343"/>
      <c r="W16" s="344"/>
      <c r="AD16" s="347"/>
      <c r="AE16" s="348"/>
      <c r="AF16" s="349"/>
      <c r="AG16" s="347"/>
      <c r="AH16" s="359"/>
      <c r="AI16" s="122"/>
      <c r="AJ16" s="348"/>
      <c r="AK16" s="349"/>
      <c r="AL16" s="347"/>
      <c r="AM16" s="347"/>
      <c r="AN16" s="350"/>
      <c r="AO16" s="350"/>
      <c r="AP16" s="347"/>
      <c r="AQ16" s="347"/>
      <c r="AR16" s="351"/>
    </row>
    <row r="17" spans="1:44" s="339" customFormat="1" ht="32.25" hidden="1" customHeight="1">
      <c r="A17" s="339" t="s">
        <v>8</v>
      </c>
      <c r="B17" s="338"/>
      <c r="H17" s="358"/>
      <c r="I17" s="342"/>
      <c r="J17" s="343"/>
      <c r="K17" s="363"/>
      <c r="L17" s="342"/>
      <c r="M17" s="342"/>
      <c r="N17" s="345"/>
      <c r="P17" s="346"/>
      <c r="Q17" s="344"/>
      <c r="T17" s="343"/>
      <c r="W17" s="344"/>
      <c r="AD17" s="347"/>
      <c r="AE17" s="348"/>
      <c r="AF17" s="349"/>
      <c r="AG17" s="347"/>
      <c r="AH17" s="347"/>
      <c r="AI17" s="122"/>
      <c r="AJ17" s="348"/>
      <c r="AK17" s="349"/>
      <c r="AL17" s="347"/>
      <c r="AM17" s="347"/>
      <c r="AN17" s="350"/>
      <c r="AO17" s="350"/>
      <c r="AP17" s="347"/>
      <c r="AQ17" s="347"/>
      <c r="AR17" s="351"/>
    </row>
    <row r="18" spans="1:44" ht="28.5" hidden="1" customHeight="1">
      <c r="J18" s="112"/>
      <c r="K18" s="364"/>
      <c r="L18" s="11"/>
      <c r="M18" s="11"/>
      <c r="Q18" s="560"/>
      <c r="R18" s="561"/>
      <c r="S18" s="113"/>
      <c r="T18" s="90"/>
      <c r="V18" s="172"/>
      <c r="W18" s="543"/>
      <c r="X18" s="544"/>
      <c r="Y18" s="135"/>
      <c r="Z18" s="62"/>
      <c r="AA18" s="62"/>
      <c r="AI18" s="122"/>
      <c r="AM18" s="25"/>
    </row>
    <row r="19" spans="1:44" ht="39.75" hidden="1" customHeight="1">
      <c r="J19" s="114"/>
      <c r="K19" s="364"/>
      <c r="L19" s="11"/>
      <c r="M19" s="11"/>
      <c r="O19" s="115" t="s">
        <v>50</v>
      </c>
      <c r="P19" s="116"/>
      <c r="Q19" s="261" t="str">
        <f>'COVER BTB XUẤT'!C18</f>
        <v>Debit No.:</v>
      </c>
      <c r="R19" s="260" t="str">
        <f>'COVER BTB XUẤT'!D18</f>
        <v>MBF-CTS11022026-3</v>
      </c>
      <c r="S19" s="258"/>
      <c r="T19" s="258"/>
      <c r="V19" s="172"/>
      <c r="W19" s="545"/>
      <c r="X19" s="546"/>
      <c r="Y19" s="135"/>
      <c r="Z19" s="62"/>
      <c r="AA19" s="62"/>
      <c r="AI19" s="122"/>
      <c r="AM19" s="25"/>
    </row>
    <row r="20" spans="1:44" ht="39.75" hidden="1" customHeight="1">
      <c r="Q20" s="262" t="str">
        <f>'COVER BTB XUẤT'!C19</f>
        <v>Date</v>
      </c>
      <c r="R20" s="259" t="str">
        <f>'COVER BTB XUẤT'!D19</f>
        <v>23/02/2026</v>
      </c>
      <c r="AI20" s="122"/>
    </row>
    <row r="21" spans="1:44" s="141" customFormat="1" ht="69.75" customHeight="1">
      <c r="A21" s="223" t="s">
        <v>9</v>
      </c>
      <c r="B21" s="223" t="s">
        <v>11</v>
      </c>
      <c r="C21" s="223" t="s">
        <v>12</v>
      </c>
      <c r="D21" s="223" t="s">
        <v>17</v>
      </c>
      <c r="E21" s="223" t="s">
        <v>21</v>
      </c>
      <c r="F21" s="224" t="s">
        <v>25</v>
      </c>
      <c r="G21" s="224" t="s">
        <v>13</v>
      </c>
      <c r="H21" s="225" t="s">
        <v>18</v>
      </c>
      <c r="I21" s="226" t="s">
        <v>26</v>
      </c>
      <c r="J21" s="225" t="s">
        <v>24</v>
      </c>
      <c r="K21" s="365" t="s">
        <v>48</v>
      </c>
      <c r="L21" s="227" t="s">
        <v>49</v>
      </c>
      <c r="M21" s="227" t="s">
        <v>45</v>
      </c>
      <c r="N21" s="228" t="s">
        <v>26</v>
      </c>
      <c r="O21" s="227" t="s">
        <v>24</v>
      </c>
      <c r="P21" s="229" t="s">
        <v>58</v>
      </c>
      <c r="Q21" s="230" t="s">
        <v>48</v>
      </c>
      <c r="R21" s="230" t="s">
        <v>49</v>
      </c>
      <c r="S21" s="230" t="s">
        <v>46</v>
      </c>
      <c r="T21" s="231" t="s">
        <v>26</v>
      </c>
      <c r="U21" s="232" t="s">
        <v>24</v>
      </c>
      <c r="V21" s="230" t="s">
        <v>58</v>
      </c>
      <c r="W21" s="225" t="s">
        <v>48</v>
      </c>
      <c r="X21" s="225" t="s">
        <v>49</v>
      </c>
      <c r="Y21" s="233" t="s">
        <v>53</v>
      </c>
      <c r="Z21" s="234" t="s">
        <v>26</v>
      </c>
      <c r="AA21" s="233" t="s">
        <v>24</v>
      </c>
      <c r="AB21" s="225" t="s">
        <v>58</v>
      </c>
      <c r="AC21" s="224" t="s">
        <v>51</v>
      </c>
      <c r="AD21" s="137" t="s">
        <v>59</v>
      </c>
      <c r="AE21" s="138"/>
      <c r="AF21" s="139"/>
      <c r="AG21" s="140"/>
      <c r="AH21" s="140" t="s">
        <v>112</v>
      </c>
      <c r="AI21" s="122" t="s">
        <v>114</v>
      </c>
      <c r="AJ21" s="138"/>
      <c r="AK21" s="139"/>
      <c r="AL21" s="140"/>
      <c r="AM21" s="214" t="s">
        <v>87</v>
      </c>
      <c r="AN21" s="215"/>
      <c r="AO21" s="160"/>
      <c r="AP21" s="140"/>
      <c r="AQ21" s="140"/>
      <c r="AR21" s="161"/>
    </row>
    <row r="22" spans="1:44" s="378" customFormat="1" ht="139.5" customHeight="1" thickBot="1">
      <c r="A22" s="368">
        <f t="shared" ref="A22:A54" si="0">ROW()-21</f>
        <v>1</v>
      </c>
      <c r="B22" s="392">
        <v>45930</v>
      </c>
      <c r="C22" s="393" t="s">
        <v>118</v>
      </c>
      <c r="D22" s="394">
        <v>307814412900</v>
      </c>
      <c r="E22" s="395" t="s">
        <v>52</v>
      </c>
      <c r="F22" s="396" t="s">
        <v>119</v>
      </c>
      <c r="G22" s="395" t="s">
        <v>115</v>
      </c>
      <c r="H22" s="381">
        <v>250000</v>
      </c>
      <c r="I22" s="382" t="s">
        <v>230</v>
      </c>
      <c r="J22" s="383">
        <v>45931</v>
      </c>
      <c r="K22" s="381">
        <v>925926</v>
      </c>
      <c r="L22" s="381">
        <f>M22-K22</f>
        <v>74074</v>
      </c>
      <c r="M22" s="381">
        <v>1000000</v>
      </c>
      <c r="N22" s="384">
        <v>110074</v>
      </c>
      <c r="O22" s="385" t="s">
        <v>216</v>
      </c>
      <c r="P22" s="150" t="s">
        <v>224</v>
      </c>
      <c r="Q22" s="381">
        <f>S22/1.08</f>
        <v>1044999.9999999999</v>
      </c>
      <c r="R22" s="381">
        <f>S22-Q22</f>
        <v>83600.000000000116</v>
      </c>
      <c r="S22" s="381">
        <v>1128600</v>
      </c>
      <c r="T22" s="384" t="s">
        <v>217</v>
      </c>
      <c r="U22" s="387" t="s">
        <v>216</v>
      </c>
      <c r="V22" s="150" t="s">
        <v>227</v>
      </c>
      <c r="W22" s="238">
        <v>18519</v>
      </c>
      <c r="X22" s="239">
        <f>Y22-W22</f>
        <v>1481</v>
      </c>
      <c r="Y22" s="239">
        <v>20000</v>
      </c>
      <c r="Z22" s="235">
        <v>326472</v>
      </c>
      <c r="AA22" s="385" t="s">
        <v>216</v>
      </c>
      <c r="AB22" s="369" t="s">
        <v>229</v>
      </c>
      <c r="AC22" s="241">
        <f t="shared" ref="AC22:AC54" si="1">H22+M22+S22+Y22</f>
        <v>2398600</v>
      </c>
      <c r="AD22" s="368"/>
      <c r="AE22" s="370"/>
      <c r="AF22" s="104" t="s">
        <v>140</v>
      </c>
      <c r="AG22" s="151" t="s">
        <v>142</v>
      </c>
      <c r="AH22" s="151" t="s">
        <v>143</v>
      </c>
      <c r="AI22" s="371"/>
      <c r="AJ22" s="371"/>
      <c r="AK22" s="247"/>
      <c r="AL22" s="373" t="e">
        <f>VLOOKUP(D22,'web CSHT'!$J$4:$Q$18000,8,0)</f>
        <v>#N/A</v>
      </c>
      <c r="AM22" s="374"/>
      <c r="AN22" s="367"/>
      <c r="AO22" s="375"/>
      <c r="AP22" s="376"/>
      <c r="AQ22" s="376"/>
      <c r="AR22" s="377"/>
    </row>
    <row r="23" spans="1:44" s="378" customFormat="1" ht="92.25" customHeight="1" thickBot="1">
      <c r="A23" s="368">
        <f t="shared" si="0"/>
        <v>2</v>
      </c>
      <c r="B23" s="392">
        <v>45930</v>
      </c>
      <c r="C23" s="393">
        <v>6426370150</v>
      </c>
      <c r="D23" s="394">
        <v>307814401810</v>
      </c>
      <c r="E23" s="395" t="s">
        <v>22</v>
      </c>
      <c r="F23" s="396" t="s">
        <v>120</v>
      </c>
      <c r="G23" s="395" t="s">
        <v>116</v>
      </c>
      <c r="H23" s="381">
        <v>500000</v>
      </c>
      <c r="I23" s="382" t="s">
        <v>231</v>
      </c>
      <c r="J23" s="383">
        <v>45932</v>
      </c>
      <c r="K23" s="381"/>
      <c r="L23" s="381"/>
      <c r="M23" s="381"/>
      <c r="N23" s="384"/>
      <c r="O23" s="385"/>
      <c r="P23" s="150"/>
      <c r="Q23" s="381">
        <f>S23/1.08</f>
        <v>1490000</v>
      </c>
      <c r="R23" s="381">
        <f>S23-Q23</f>
        <v>119200</v>
      </c>
      <c r="S23" s="381">
        <v>1609200</v>
      </c>
      <c r="T23" s="384" t="s">
        <v>207</v>
      </c>
      <c r="U23" s="387" t="s">
        <v>208</v>
      </c>
      <c r="V23" s="150" t="s">
        <v>228</v>
      </c>
      <c r="W23" s="238"/>
      <c r="X23" s="239"/>
      <c r="Y23" s="239"/>
      <c r="Z23" s="237"/>
      <c r="AA23" s="237"/>
      <c r="AB23" s="237"/>
      <c r="AC23" s="241">
        <f t="shared" si="1"/>
        <v>2109200</v>
      </c>
      <c r="AD23" s="368"/>
      <c r="AE23" s="370"/>
      <c r="AF23" s="104" t="s">
        <v>141</v>
      </c>
      <c r="AG23" s="151" t="s">
        <v>144</v>
      </c>
      <c r="AH23" s="151" t="s">
        <v>145</v>
      </c>
      <c r="AI23" s="371"/>
      <c r="AJ23" s="371"/>
      <c r="AK23" s="247"/>
      <c r="AL23" s="373" t="e">
        <f>VLOOKUP(D23,'web CSHT'!$J$4:$Q$18000,8,0)</f>
        <v>#N/A</v>
      </c>
      <c r="AM23" s="374"/>
      <c r="AN23" s="367"/>
      <c r="AO23" s="375"/>
      <c r="AP23" s="376"/>
      <c r="AQ23" s="376"/>
      <c r="AR23" s="377"/>
    </row>
    <row r="24" spans="1:44" s="378" customFormat="1" ht="92.25" customHeight="1" thickBot="1">
      <c r="A24" s="368">
        <f t="shared" si="0"/>
        <v>3</v>
      </c>
      <c r="B24" s="392">
        <v>45930</v>
      </c>
      <c r="C24" s="393">
        <v>6426006020</v>
      </c>
      <c r="D24" s="394">
        <v>307815923940</v>
      </c>
      <c r="E24" s="395" t="s">
        <v>22</v>
      </c>
      <c r="F24" s="396" t="s">
        <v>121</v>
      </c>
      <c r="G24" s="395" t="s">
        <v>117</v>
      </c>
      <c r="H24" s="381">
        <v>500000</v>
      </c>
      <c r="I24" s="382" t="s">
        <v>232</v>
      </c>
      <c r="J24" s="383">
        <v>45933</v>
      </c>
      <c r="K24" s="381"/>
      <c r="L24" s="381"/>
      <c r="M24" s="381"/>
      <c r="N24" s="384"/>
      <c r="O24" s="385"/>
      <c r="P24" s="150"/>
      <c r="Q24" s="381">
        <f>S24/1.08</f>
        <v>1490000</v>
      </c>
      <c r="R24" s="381">
        <f>S24-Q24</f>
        <v>119200</v>
      </c>
      <c r="S24" s="381">
        <v>1609200</v>
      </c>
      <c r="T24" s="384" t="s">
        <v>209</v>
      </c>
      <c r="U24" s="387" t="s">
        <v>208</v>
      </c>
      <c r="V24" s="150" t="s">
        <v>228</v>
      </c>
      <c r="W24" s="238"/>
      <c r="X24" s="239"/>
      <c r="Y24" s="239"/>
      <c r="Z24" s="237"/>
      <c r="AA24" s="237"/>
      <c r="AB24" s="237"/>
      <c r="AC24" s="241">
        <f t="shared" si="1"/>
        <v>2109200</v>
      </c>
      <c r="AD24" s="368"/>
      <c r="AE24" s="370"/>
      <c r="AF24" s="104" t="s">
        <v>141</v>
      </c>
      <c r="AG24" s="151" t="s">
        <v>144</v>
      </c>
      <c r="AH24" s="151" t="s">
        <v>145</v>
      </c>
      <c r="AI24" s="371"/>
      <c r="AJ24" s="371"/>
      <c r="AK24" s="247"/>
      <c r="AL24" s="373" t="e">
        <f>VLOOKUP(D24,'web CSHT'!$J$4:$Q$18000,8,0)</f>
        <v>#N/A</v>
      </c>
      <c r="AM24" s="374"/>
      <c r="AN24" s="367"/>
      <c r="AO24" s="375"/>
      <c r="AP24" s="376"/>
      <c r="AQ24" s="376"/>
      <c r="AR24" s="377"/>
    </row>
    <row r="25" spans="1:44" s="378" customFormat="1" ht="92.25" customHeight="1" thickBot="1">
      <c r="A25" s="368">
        <f t="shared" si="0"/>
        <v>4</v>
      </c>
      <c r="B25" s="392">
        <v>45931</v>
      </c>
      <c r="C25" s="394" t="s">
        <v>139</v>
      </c>
      <c r="D25" s="394">
        <v>307810809740</v>
      </c>
      <c r="E25" s="397" t="s">
        <v>22</v>
      </c>
      <c r="F25" s="396" t="s">
        <v>138</v>
      </c>
      <c r="G25" s="398" t="s">
        <v>122</v>
      </c>
      <c r="H25" s="381">
        <v>500000</v>
      </c>
      <c r="I25" s="382" t="s">
        <v>233</v>
      </c>
      <c r="J25" s="383">
        <v>45932</v>
      </c>
      <c r="K25" s="381"/>
      <c r="L25" s="381"/>
      <c r="M25" s="381"/>
      <c r="N25" s="384"/>
      <c r="O25" s="385"/>
      <c r="P25" s="150"/>
      <c r="Q25" s="381">
        <f>S25/1.08</f>
        <v>1430000</v>
      </c>
      <c r="R25" s="381">
        <f>S25-Q25</f>
        <v>114400</v>
      </c>
      <c r="S25" s="381">
        <v>1544400</v>
      </c>
      <c r="T25" s="384" t="s">
        <v>218</v>
      </c>
      <c r="U25" s="387" t="s">
        <v>219</v>
      </c>
      <c r="V25" s="150" t="s">
        <v>225</v>
      </c>
      <c r="W25" s="238"/>
      <c r="X25" s="239"/>
      <c r="Y25" s="239"/>
      <c r="Z25" s="235"/>
      <c r="AA25" s="237"/>
      <c r="AB25" s="336"/>
      <c r="AC25" s="241">
        <f t="shared" si="1"/>
        <v>2044400</v>
      </c>
      <c r="AD25" s="368"/>
      <c r="AE25" s="370"/>
      <c r="AF25" s="104" t="s">
        <v>146</v>
      </c>
      <c r="AG25" s="151" t="s">
        <v>161</v>
      </c>
      <c r="AH25" s="151" t="s">
        <v>162</v>
      </c>
      <c r="AI25" s="371"/>
      <c r="AJ25" s="371"/>
      <c r="AK25" s="247"/>
      <c r="AL25" s="373" t="e">
        <f>VLOOKUP(D25,'web CSHT'!$J$4:$Q$18000,8,0)</f>
        <v>#N/A</v>
      </c>
      <c r="AM25" s="374"/>
      <c r="AN25" s="367"/>
      <c r="AO25" s="375"/>
      <c r="AP25" s="376"/>
      <c r="AQ25" s="376"/>
      <c r="AR25" s="377"/>
    </row>
    <row r="26" spans="1:44" s="378" customFormat="1" ht="92.25" customHeight="1" thickBot="1">
      <c r="A26" s="368">
        <f t="shared" si="0"/>
        <v>5</v>
      </c>
      <c r="B26" s="392">
        <v>45933</v>
      </c>
      <c r="C26" s="394" t="s">
        <v>133</v>
      </c>
      <c r="D26" s="394">
        <v>307826690750</v>
      </c>
      <c r="E26" s="397" t="s">
        <v>22</v>
      </c>
      <c r="F26" s="396" t="s">
        <v>128</v>
      </c>
      <c r="G26" s="395" t="s">
        <v>123</v>
      </c>
      <c r="H26" s="381">
        <v>500000</v>
      </c>
      <c r="I26" s="382" t="s">
        <v>234</v>
      </c>
      <c r="J26" s="383">
        <v>45934</v>
      </c>
      <c r="K26" s="381"/>
      <c r="L26" s="381"/>
      <c r="M26" s="381"/>
      <c r="N26" s="384"/>
      <c r="O26" s="385"/>
      <c r="P26" s="150"/>
      <c r="Q26" s="381">
        <f>S26/1.08</f>
        <v>1430000</v>
      </c>
      <c r="R26" s="381">
        <f>S26-Q26</f>
        <v>114400</v>
      </c>
      <c r="S26" s="381">
        <v>1544400</v>
      </c>
      <c r="T26" s="384">
        <v>147162</v>
      </c>
      <c r="U26" s="387">
        <v>45952</v>
      </c>
      <c r="V26" s="150" t="s">
        <v>225</v>
      </c>
      <c r="W26" s="238"/>
      <c r="X26" s="239"/>
      <c r="Y26" s="239"/>
      <c r="Z26" s="237"/>
      <c r="AA26" s="237"/>
      <c r="AB26" s="237"/>
      <c r="AC26" s="241">
        <f t="shared" si="1"/>
        <v>2044400</v>
      </c>
      <c r="AD26" s="368"/>
      <c r="AE26" s="370" t="s">
        <v>226</v>
      </c>
      <c r="AF26" s="104" t="s">
        <v>147</v>
      </c>
      <c r="AG26" s="151" t="s">
        <v>110</v>
      </c>
      <c r="AH26" s="151" t="s">
        <v>162</v>
      </c>
      <c r="AI26" s="371"/>
      <c r="AJ26" s="371"/>
      <c r="AK26" s="247"/>
      <c r="AL26" s="373" t="e">
        <f>VLOOKUP(D26,'web CSHT'!$J$4:$Q$18000,8,0)</f>
        <v>#N/A</v>
      </c>
      <c r="AM26" s="374"/>
      <c r="AN26" s="367"/>
      <c r="AO26" s="375"/>
      <c r="AP26" s="376"/>
      <c r="AQ26" s="376"/>
      <c r="AR26" s="377"/>
    </row>
    <row r="27" spans="1:44" s="378" customFormat="1" ht="92.25" customHeight="1" thickBot="1">
      <c r="A27" s="368">
        <f t="shared" si="0"/>
        <v>6</v>
      </c>
      <c r="B27" s="392">
        <v>45939</v>
      </c>
      <c r="C27" s="394" t="s">
        <v>134</v>
      </c>
      <c r="D27" s="394">
        <v>307842246740</v>
      </c>
      <c r="E27" s="397" t="s">
        <v>22</v>
      </c>
      <c r="F27" s="396" t="s">
        <v>129</v>
      </c>
      <c r="G27" s="395" t="s">
        <v>124</v>
      </c>
      <c r="H27" s="381">
        <v>500000</v>
      </c>
      <c r="I27" s="382" t="s">
        <v>235</v>
      </c>
      <c r="J27" s="383">
        <v>45940</v>
      </c>
      <c r="K27" s="381"/>
      <c r="L27" s="381"/>
      <c r="M27" s="381"/>
      <c r="N27" s="384"/>
      <c r="O27" s="385"/>
      <c r="P27" s="150"/>
      <c r="Q27" s="381"/>
      <c r="R27" s="381"/>
      <c r="S27" s="381"/>
      <c r="T27" s="384"/>
      <c r="U27" s="387"/>
      <c r="V27" s="150" t="s">
        <v>223</v>
      </c>
      <c r="W27" s="238"/>
      <c r="X27" s="239"/>
      <c r="Y27" s="239"/>
      <c r="Z27" s="237"/>
      <c r="AA27" s="237"/>
      <c r="AB27" s="237"/>
      <c r="AC27" s="241">
        <f t="shared" si="1"/>
        <v>500000</v>
      </c>
      <c r="AD27" s="368"/>
      <c r="AE27" s="370"/>
      <c r="AF27" s="388" t="s">
        <v>148</v>
      </c>
      <c r="AG27" s="151" t="s">
        <v>110</v>
      </c>
      <c r="AH27" s="151" t="s">
        <v>62</v>
      </c>
      <c r="AI27" s="371"/>
      <c r="AJ27" s="371"/>
      <c r="AK27" s="247"/>
      <c r="AL27" s="373" t="e">
        <f>VLOOKUP(D27,'web CSHT'!$J$4:$Q$18000,8,0)</f>
        <v>#N/A</v>
      </c>
      <c r="AM27" s="374"/>
      <c r="AN27" s="367"/>
      <c r="AO27" s="375"/>
      <c r="AP27" s="376"/>
      <c r="AQ27" s="376"/>
      <c r="AR27" s="377"/>
    </row>
    <row r="28" spans="1:44" s="378" customFormat="1" ht="92.25" customHeight="1" thickBot="1">
      <c r="A28" s="368">
        <f t="shared" si="0"/>
        <v>7</v>
      </c>
      <c r="B28" s="392">
        <v>45943</v>
      </c>
      <c r="C28" s="394" t="s">
        <v>135</v>
      </c>
      <c r="D28" s="394">
        <v>307853234200</v>
      </c>
      <c r="E28" s="397" t="s">
        <v>22</v>
      </c>
      <c r="F28" s="396" t="s">
        <v>130</v>
      </c>
      <c r="G28" s="395" t="s">
        <v>125</v>
      </c>
      <c r="H28" s="381">
        <v>500000</v>
      </c>
      <c r="I28" s="382" t="s">
        <v>236</v>
      </c>
      <c r="J28" s="383" t="s">
        <v>214</v>
      </c>
      <c r="K28" s="381"/>
      <c r="L28" s="381"/>
      <c r="M28" s="381"/>
      <c r="N28" s="384"/>
      <c r="O28" s="385"/>
      <c r="P28" s="150"/>
      <c r="Q28" s="381">
        <f t="shared" ref="Q28:Q34" si="2">S28/1.08</f>
        <v>1430000</v>
      </c>
      <c r="R28" s="381">
        <f t="shared" ref="R28:R34" si="3">S28-Q28</f>
        <v>114400</v>
      </c>
      <c r="S28" s="381">
        <v>1544400</v>
      </c>
      <c r="T28" s="384" t="s">
        <v>210</v>
      </c>
      <c r="U28" s="387" t="s">
        <v>211</v>
      </c>
      <c r="V28" s="150" t="s">
        <v>225</v>
      </c>
      <c r="W28" s="238"/>
      <c r="X28" s="239"/>
      <c r="Y28" s="239"/>
      <c r="Z28" s="235"/>
      <c r="AA28" s="237"/>
      <c r="AB28" s="336"/>
      <c r="AC28" s="241">
        <f t="shared" si="1"/>
        <v>2044400</v>
      </c>
      <c r="AD28" s="368"/>
      <c r="AE28" s="370"/>
      <c r="AF28" s="104" t="s">
        <v>149</v>
      </c>
      <c r="AG28" s="151" t="s">
        <v>144</v>
      </c>
      <c r="AH28" s="151" t="s">
        <v>162</v>
      </c>
      <c r="AI28" s="371"/>
      <c r="AJ28" s="371"/>
      <c r="AK28" s="247"/>
      <c r="AL28" s="373" t="e">
        <f>VLOOKUP(D28,'web CSHT'!$J$4:$Q$18000,8,0)</f>
        <v>#N/A</v>
      </c>
      <c r="AM28" s="374"/>
      <c r="AN28" s="367"/>
      <c r="AO28" s="375"/>
      <c r="AP28" s="376"/>
      <c r="AQ28" s="376"/>
      <c r="AR28" s="377"/>
    </row>
    <row r="29" spans="1:44" s="378" customFormat="1" ht="92.25" customHeight="1" thickBot="1">
      <c r="A29" s="368">
        <f t="shared" si="0"/>
        <v>8</v>
      </c>
      <c r="B29" s="392">
        <v>45943</v>
      </c>
      <c r="C29" s="394" t="s">
        <v>136</v>
      </c>
      <c r="D29" s="394">
        <v>307852473960</v>
      </c>
      <c r="E29" s="397" t="s">
        <v>22</v>
      </c>
      <c r="F29" s="396" t="s">
        <v>131</v>
      </c>
      <c r="G29" s="395" t="s">
        <v>126</v>
      </c>
      <c r="H29" s="381">
        <v>500000</v>
      </c>
      <c r="I29" s="382" t="s">
        <v>237</v>
      </c>
      <c r="J29" s="383" t="s">
        <v>215</v>
      </c>
      <c r="K29" s="381"/>
      <c r="L29" s="381"/>
      <c r="M29" s="381"/>
      <c r="N29" s="384"/>
      <c r="O29" s="385"/>
      <c r="P29" s="150"/>
      <c r="Q29" s="381">
        <f t="shared" si="2"/>
        <v>1430000</v>
      </c>
      <c r="R29" s="381">
        <f t="shared" si="3"/>
        <v>114400</v>
      </c>
      <c r="S29" s="381">
        <v>1544400</v>
      </c>
      <c r="T29" s="384" t="s">
        <v>212</v>
      </c>
      <c r="U29" s="387" t="s">
        <v>211</v>
      </c>
      <c r="V29" s="150" t="s">
        <v>227</v>
      </c>
      <c r="W29" s="238"/>
      <c r="X29" s="239"/>
      <c r="Y29" s="239"/>
      <c r="Z29" s="237"/>
      <c r="AA29" s="237"/>
      <c r="AB29" s="237"/>
      <c r="AC29" s="241">
        <f t="shared" si="1"/>
        <v>2044400</v>
      </c>
      <c r="AD29" s="368"/>
      <c r="AE29" s="370"/>
      <c r="AF29" s="104" t="s">
        <v>150</v>
      </c>
      <c r="AG29" s="151" t="s">
        <v>144</v>
      </c>
      <c r="AH29" s="151" t="s">
        <v>143</v>
      </c>
      <c r="AI29" s="371"/>
      <c r="AJ29" s="371"/>
      <c r="AK29" s="247"/>
      <c r="AL29" s="373" t="e">
        <f>VLOOKUP(D29,'web CSHT'!$J$4:$Q$18000,8,0)</f>
        <v>#N/A</v>
      </c>
      <c r="AM29" s="374"/>
      <c r="AN29" s="367"/>
      <c r="AO29" s="375"/>
      <c r="AP29" s="376"/>
      <c r="AQ29" s="376"/>
      <c r="AR29" s="377"/>
    </row>
    <row r="30" spans="1:44" s="378" customFormat="1" ht="92.25" customHeight="1" thickBot="1">
      <c r="A30" s="368">
        <f t="shared" si="0"/>
        <v>9</v>
      </c>
      <c r="B30" s="392">
        <v>45943</v>
      </c>
      <c r="C30" s="394" t="s">
        <v>137</v>
      </c>
      <c r="D30" s="394">
        <v>307852474810</v>
      </c>
      <c r="E30" s="397" t="s">
        <v>22</v>
      </c>
      <c r="F30" s="396" t="s">
        <v>132</v>
      </c>
      <c r="G30" s="395" t="s">
        <v>127</v>
      </c>
      <c r="H30" s="381">
        <v>500000</v>
      </c>
      <c r="I30" s="382" t="s">
        <v>238</v>
      </c>
      <c r="J30" s="383" t="s">
        <v>215</v>
      </c>
      <c r="K30" s="381"/>
      <c r="L30" s="381"/>
      <c r="M30" s="381"/>
      <c r="N30" s="384"/>
      <c r="O30" s="385"/>
      <c r="P30" s="150"/>
      <c r="Q30" s="381">
        <f t="shared" si="2"/>
        <v>1430000</v>
      </c>
      <c r="R30" s="381">
        <f t="shared" si="3"/>
        <v>114400</v>
      </c>
      <c r="S30" s="381">
        <v>1544400</v>
      </c>
      <c r="T30" s="384" t="s">
        <v>213</v>
      </c>
      <c r="U30" s="387" t="s">
        <v>211</v>
      </c>
      <c r="V30" s="150" t="s">
        <v>227</v>
      </c>
      <c r="W30" s="238"/>
      <c r="X30" s="239"/>
      <c r="Y30" s="239"/>
      <c r="Z30" s="237"/>
      <c r="AA30" s="237"/>
      <c r="AB30" s="237"/>
      <c r="AC30" s="241">
        <f t="shared" si="1"/>
        <v>2044400</v>
      </c>
      <c r="AD30" s="368"/>
      <c r="AE30" s="370"/>
      <c r="AF30" s="104" t="s">
        <v>150</v>
      </c>
      <c r="AG30" s="151" t="s">
        <v>144</v>
      </c>
      <c r="AH30" s="151" t="s">
        <v>143</v>
      </c>
      <c r="AI30" s="371"/>
      <c r="AJ30" s="371"/>
      <c r="AK30" s="247"/>
      <c r="AL30" s="373" t="e">
        <f>VLOOKUP(D30,'web CSHT'!$J$4:$Q$18000,8,0)</f>
        <v>#N/A</v>
      </c>
      <c r="AM30" s="374"/>
      <c r="AN30" s="367"/>
      <c r="AO30" s="375"/>
      <c r="AP30" s="376"/>
      <c r="AQ30" s="376"/>
      <c r="AR30" s="377"/>
    </row>
    <row r="31" spans="1:44" s="378" customFormat="1" ht="92.25" customHeight="1" thickBot="1">
      <c r="A31" s="368">
        <f t="shared" si="0"/>
        <v>10</v>
      </c>
      <c r="B31" s="392">
        <f>VLOOKUP(G31,[3]T10!$Q$6:$S$1576,3,0)</f>
        <v>45940</v>
      </c>
      <c r="C31" s="394" t="s">
        <v>159</v>
      </c>
      <c r="D31" s="394">
        <v>307831332230</v>
      </c>
      <c r="E31" s="397" t="s">
        <v>22</v>
      </c>
      <c r="F31" s="396" t="s">
        <v>155</v>
      </c>
      <c r="G31" s="395" t="s">
        <v>151</v>
      </c>
      <c r="H31" s="381">
        <v>500000</v>
      </c>
      <c r="I31" s="382" t="s">
        <v>239</v>
      </c>
      <c r="J31" s="383">
        <v>45940</v>
      </c>
      <c r="K31" s="381"/>
      <c r="L31" s="381"/>
      <c r="M31" s="381"/>
      <c r="N31" s="384"/>
      <c r="O31" s="385"/>
      <c r="P31" s="150"/>
      <c r="Q31" s="381">
        <f t="shared" si="2"/>
        <v>1430000</v>
      </c>
      <c r="R31" s="381">
        <f t="shared" si="3"/>
        <v>114400</v>
      </c>
      <c r="S31" s="381">
        <v>1544400</v>
      </c>
      <c r="T31" s="384" t="s">
        <v>220</v>
      </c>
      <c r="U31" s="387" t="s">
        <v>221</v>
      </c>
      <c r="V31" s="150" t="s">
        <v>225</v>
      </c>
      <c r="W31" s="238"/>
      <c r="X31" s="239"/>
      <c r="Y31" s="239"/>
      <c r="Z31" s="237"/>
      <c r="AA31" s="237"/>
      <c r="AB31" s="237"/>
      <c r="AC31" s="241">
        <f t="shared" si="1"/>
        <v>2044400</v>
      </c>
      <c r="AD31" s="368"/>
      <c r="AE31" s="370"/>
      <c r="AF31" s="104" t="s">
        <v>160</v>
      </c>
      <c r="AG31" s="151"/>
      <c r="AH31" s="151" t="s">
        <v>162</v>
      </c>
      <c r="AI31" s="371"/>
      <c r="AJ31" s="371"/>
      <c r="AK31" s="247"/>
      <c r="AL31" s="373" t="e">
        <f>VLOOKUP(D31,'web CSHT'!$J$4:$Q$18000,8,0)</f>
        <v>#N/A</v>
      </c>
      <c r="AM31" s="374"/>
      <c r="AN31" s="367"/>
      <c r="AO31" s="375"/>
      <c r="AP31" s="376"/>
      <c r="AQ31" s="376"/>
      <c r="AR31" s="377"/>
    </row>
    <row r="32" spans="1:44" s="378" customFormat="1" ht="92.25" customHeight="1" thickBot="1">
      <c r="A32" s="368">
        <f t="shared" si="0"/>
        <v>11</v>
      </c>
      <c r="B32" s="392">
        <f>VLOOKUP(G32,[3]T10!$Q$6:$S$1576,3,0)</f>
        <v>45941</v>
      </c>
      <c r="C32" s="394" t="s">
        <v>159</v>
      </c>
      <c r="D32" s="394">
        <v>307845870530</v>
      </c>
      <c r="E32" s="397" t="s">
        <v>22</v>
      </c>
      <c r="F32" s="396" t="s">
        <v>156</v>
      </c>
      <c r="G32" s="395" t="s">
        <v>152</v>
      </c>
      <c r="H32" s="381">
        <v>500000</v>
      </c>
      <c r="I32" s="382" t="s">
        <v>240</v>
      </c>
      <c r="J32" s="383" t="s">
        <v>211</v>
      </c>
      <c r="K32" s="381"/>
      <c r="L32" s="381"/>
      <c r="M32" s="381"/>
      <c r="N32" s="384"/>
      <c r="O32" s="385"/>
      <c r="P32" s="150"/>
      <c r="Q32" s="381">
        <f t="shared" si="2"/>
        <v>1430000</v>
      </c>
      <c r="R32" s="381">
        <f t="shared" si="3"/>
        <v>114400</v>
      </c>
      <c r="S32" s="381">
        <v>1544400</v>
      </c>
      <c r="T32" s="384">
        <v>141484</v>
      </c>
      <c r="U32" s="387">
        <v>45941</v>
      </c>
      <c r="V32" s="150" t="s">
        <v>225</v>
      </c>
      <c r="W32" s="238"/>
      <c r="X32" s="239"/>
      <c r="Y32" s="239"/>
      <c r="Z32" s="235"/>
      <c r="AA32" s="237"/>
      <c r="AB32" s="336"/>
      <c r="AC32" s="241">
        <f t="shared" si="1"/>
        <v>2044400</v>
      </c>
      <c r="AD32" s="368"/>
      <c r="AE32" s="370"/>
      <c r="AF32" s="104" t="s">
        <v>160</v>
      </c>
      <c r="AG32" s="151"/>
      <c r="AH32" s="151" t="s">
        <v>162</v>
      </c>
      <c r="AI32" s="371"/>
      <c r="AJ32" s="371"/>
      <c r="AK32" s="247"/>
      <c r="AL32" s="373" t="e">
        <f>VLOOKUP(D32,'web CSHT'!$J$4:$Q$18000,8,0)</f>
        <v>#N/A</v>
      </c>
      <c r="AM32" s="374"/>
      <c r="AN32" s="367"/>
      <c r="AO32" s="375"/>
      <c r="AP32" s="376"/>
      <c r="AQ32" s="376"/>
      <c r="AR32" s="377"/>
    </row>
    <row r="33" spans="1:44" s="378" customFormat="1" ht="92.25" customHeight="1" thickBot="1">
      <c r="A33" s="368">
        <f t="shared" si="0"/>
        <v>12</v>
      </c>
      <c r="B33" s="392">
        <f>VLOOKUP(G33,[3]T10!$Q$6:$S$1576,3,0)</f>
        <v>45943</v>
      </c>
      <c r="C33" s="394" t="s">
        <v>159</v>
      </c>
      <c r="D33" s="394">
        <v>307848713560</v>
      </c>
      <c r="E33" s="397" t="s">
        <v>22</v>
      </c>
      <c r="F33" s="396" t="s">
        <v>157</v>
      </c>
      <c r="G33" s="395" t="s">
        <v>153</v>
      </c>
      <c r="H33" s="381">
        <v>500000</v>
      </c>
      <c r="I33" s="382" t="s">
        <v>241</v>
      </c>
      <c r="J33" s="383" t="s">
        <v>211</v>
      </c>
      <c r="K33" s="381"/>
      <c r="L33" s="381"/>
      <c r="M33" s="381"/>
      <c r="N33" s="384"/>
      <c r="O33" s="385"/>
      <c r="P33" s="150"/>
      <c r="Q33" s="381">
        <f t="shared" si="2"/>
        <v>1430000</v>
      </c>
      <c r="R33" s="381">
        <f t="shared" si="3"/>
        <v>114400</v>
      </c>
      <c r="S33" s="381">
        <v>1544400</v>
      </c>
      <c r="T33" s="384">
        <v>141743</v>
      </c>
      <c r="U33" s="387">
        <v>45943</v>
      </c>
      <c r="V33" s="150" t="s">
        <v>225</v>
      </c>
      <c r="W33" s="238"/>
      <c r="X33" s="239"/>
      <c r="Y33" s="239"/>
      <c r="Z33" s="237"/>
      <c r="AA33" s="237"/>
      <c r="AB33" s="237"/>
      <c r="AC33" s="241">
        <f t="shared" si="1"/>
        <v>2044400</v>
      </c>
      <c r="AD33" s="368"/>
      <c r="AE33" s="370"/>
      <c r="AF33" s="104" t="s">
        <v>160</v>
      </c>
      <c r="AG33" s="151"/>
      <c r="AH33" s="151" t="s">
        <v>162</v>
      </c>
      <c r="AI33" s="371"/>
      <c r="AJ33" s="371"/>
      <c r="AK33" s="247"/>
      <c r="AL33" s="373" t="e">
        <f>VLOOKUP(D33,'web CSHT'!$J$4:$Q$18000,8,0)</f>
        <v>#N/A</v>
      </c>
      <c r="AM33" s="374"/>
      <c r="AN33" s="367"/>
      <c r="AO33" s="375"/>
      <c r="AP33" s="376"/>
      <c r="AQ33" s="376"/>
      <c r="AR33" s="377"/>
    </row>
    <row r="34" spans="1:44" s="378" customFormat="1" ht="92.25" customHeight="1" thickBot="1">
      <c r="A34" s="368">
        <f t="shared" si="0"/>
        <v>13</v>
      </c>
      <c r="B34" s="392">
        <f>VLOOKUP(G34,[3]T10!$Q$6:$S$1576,3,0)</f>
        <v>45942</v>
      </c>
      <c r="C34" s="394" t="s">
        <v>159</v>
      </c>
      <c r="D34" s="394">
        <v>307848857060</v>
      </c>
      <c r="E34" s="397" t="s">
        <v>22</v>
      </c>
      <c r="F34" s="396" t="s">
        <v>158</v>
      </c>
      <c r="G34" s="395" t="s">
        <v>154</v>
      </c>
      <c r="H34" s="381">
        <v>500000</v>
      </c>
      <c r="I34" s="382" t="s">
        <v>242</v>
      </c>
      <c r="J34" s="383" t="s">
        <v>211</v>
      </c>
      <c r="K34" s="381"/>
      <c r="L34" s="381"/>
      <c r="M34" s="381"/>
      <c r="N34" s="384"/>
      <c r="O34" s="385"/>
      <c r="P34" s="150"/>
      <c r="Q34" s="381">
        <f t="shared" si="2"/>
        <v>1430000</v>
      </c>
      <c r="R34" s="381">
        <f t="shared" si="3"/>
        <v>114400</v>
      </c>
      <c r="S34" s="381">
        <v>1544400</v>
      </c>
      <c r="T34" s="384">
        <v>141705</v>
      </c>
      <c r="U34" s="387">
        <v>45942</v>
      </c>
      <c r="V34" s="150" t="s">
        <v>225</v>
      </c>
      <c r="W34" s="238"/>
      <c r="X34" s="239"/>
      <c r="Y34" s="239"/>
      <c r="Z34" s="235"/>
      <c r="AA34" s="240"/>
      <c r="AB34" s="336"/>
      <c r="AC34" s="241">
        <f t="shared" si="1"/>
        <v>2044400</v>
      </c>
      <c r="AD34" s="368"/>
      <c r="AE34" s="370"/>
      <c r="AF34" s="104" t="s">
        <v>163</v>
      </c>
      <c r="AG34" s="151"/>
      <c r="AH34" s="151" t="s">
        <v>162</v>
      </c>
      <c r="AI34" s="371"/>
      <c r="AJ34" s="371"/>
      <c r="AK34" s="247"/>
      <c r="AL34" s="373" t="e">
        <f>VLOOKUP(D34,'web CSHT'!$J$4:$Q$18000,8,0)</f>
        <v>#N/A</v>
      </c>
      <c r="AM34" s="374"/>
      <c r="AN34" s="367"/>
      <c r="AO34" s="375"/>
      <c r="AP34" s="376"/>
      <c r="AQ34" s="376"/>
      <c r="AR34" s="377"/>
    </row>
    <row r="35" spans="1:44" s="378" customFormat="1" ht="84.75" customHeight="1" thickBot="1">
      <c r="A35" s="368">
        <f t="shared" si="0"/>
        <v>14</v>
      </c>
      <c r="B35" s="399">
        <f>VLOOKUP(G35,'[3]T9.25 SW '!$Q$432:$S$1581,3,0)</f>
        <v>45929</v>
      </c>
      <c r="C35" s="400">
        <v>257432252</v>
      </c>
      <c r="D35" s="401">
        <v>307805510520</v>
      </c>
      <c r="E35" s="395" t="s">
        <v>108</v>
      </c>
      <c r="F35" s="396" t="s">
        <v>173</v>
      </c>
      <c r="G35" s="402" t="s">
        <v>167</v>
      </c>
      <c r="H35" s="381">
        <v>250000</v>
      </c>
      <c r="I35" s="382" t="s">
        <v>243</v>
      </c>
      <c r="J35" s="383">
        <v>45932</v>
      </c>
      <c r="K35" s="381"/>
      <c r="L35" s="381"/>
      <c r="M35" s="381"/>
      <c r="N35" s="384"/>
      <c r="O35" s="386"/>
      <c r="P35" s="150"/>
      <c r="Q35" s="381"/>
      <c r="R35" s="381"/>
      <c r="S35" s="381"/>
      <c r="T35" s="384"/>
      <c r="U35" s="387"/>
      <c r="V35" s="150"/>
      <c r="W35" s="238"/>
      <c r="X35" s="239"/>
      <c r="Y35" s="239"/>
      <c r="Z35" s="235"/>
      <c r="AA35" s="240"/>
      <c r="AB35" s="336"/>
      <c r="AC35" s="241">
        <f t="shared" si="1"/>
        <v>250000</v>
      </c>
      <c r="AD35" s="368"/>
      <c r="AE35" s="370"/>
      <c r="AF35" s="371"/>
      <c r="AG35" s="371"/>
      <c r="AH35" s="372"/>
      <c r="AI35" s="371"/>
      <c r="AJ35" s="371"/>
      <c r="AK35" s="247"/>
      <c r="AL35" s="373" t="e">
        <f>VLOOKUP(D35,'web CSHT'!$J$4:$Q$18000,8,0)</f>
        <v>#N/A</v>
      </c>
      <c r="AM35" s="374"/>
      <c r="AN35" s="367"/>
      <c r="AO35" s="375"/>
      <c r="AP35" s="376"/>
      <c r="AQ35" s="376"/>
      <c r="AR35" s="377"/>
    </row>
    <row r="36" spans="1:44" s="378" customFormat="1" ht="84.75" customHeight="1" thickBot="1">
      <c r="A36" s="368">
        <f t="shared" si="0"/>
        <v>15</v>
      </c>
      <c r="B36" s="399">
        <f>VLOOKUP(G36,'[3]T9.25 SW '!$Q$432:$S$1581,3,0)</f>
        <v>45927</v>
      </c>
      <c r="C36" s="400">
        <v>259591289</v>
      </c>
      <c r="D36" s="401">
        <v>307805567440</v>
      </c>
      <c r="E36" s="395" t="s">
        <v>108</v>
      </c>
      <c r="F36" s="396" t="s">
        <v>174</v>
      </c>
      <c r="G36" s="402" t="s">
        <v>112</v>
      </c>
      <c r="H36" s="381">
        <v>500000</v>
      </c>
      <c r="I36" s="382" t="s">
        <v>244</v>
      </c>
      <c r="J36" s="383" t="s">
        <v>216</v>
      </c>
      <c r="K36" s="381"/>
      <c r="L36" s="381"/>
      <c r="M36" s="381"/>
      <c r="N36" s="384"/>
      <c r="O36" s="386"/>
      <c r="P36" s="150"/>
      <c r="Q36" s="381"/>
      <c r="R36" s="381"/>
      <c r="S36" s="381"/>
      <c r="T36" s="384"/>
      <c r="U36" s="387"/>
      <c r="V36" s="150"/>
      <c r="W36" s="238"/>
      <c r="X36" s="239"/>
      <c r="Y36" s="239"/>
      <c r="Z36" s="237"/>
      <c r="AA36" s="237"/>
      <c r="AB36" s="237"/>
      <c r="AC36" s="241">
        <f t="shared" si="1"/>
        <v>500000</v>
      </c>
      <c r="AD36" s="368"/>
      <c r="AE36" s="370"/>
      <c r="AF36" s="321" t="s">
        <v>113</v>
      </c>
      <c r="AG36" s="371"/>
      <c r="AH36" s="372"/>
      <c r="AI36" s="371"/>
      <c r="AJ36" s="371"/>
      <c r="AK36" s="247"/>
      <c r="AL36" s="373" t="e">
        <f>VLOOKUP(D36,'web CSHT'!$J$4:$Q$18000,8,0)</f>
        <v>#N/A</v>
      </c>
      <c r="AM36" s="374"/>
      <c r="AN36" s="367"/>
      <c r="AO36" s="375"/>
      <c r="AP36" s="376"/>
      <c r="AQ36" s="376"/>
      <c r="AR36" s="377"/>
    </row>
    <row r="37" spans="1:44" s="378" customFormat="1" ht="84.75" customHeight="1" thickBot="1">
      <c r="A37" s="368">
        <f t="shared" si="0"/>
        <v>16</v>
      </c>
      <c r="B37" s="399">
        <f>VLOOKUP(G37,'[3]T9.25 SW '!$Q$432:$S$1581,3,0)</f>
        <v>45929</v>
      </c>
      <c r="C37" s="400">
        <v>258283048</v>
      </c>
      <c r="D37" s="401">
        <v>307810452260</v>
      </c>
      <c r="E37" s="395" t="s">
        <v>108</v>
      </c>
      <c r="F37" s="396" t="s">
        <v>175</v>
      </c>
      <c r="G37" s="403" t="s">
        <v>168</v>
      </c>
      <c r="H37" s="381">
        <v>500000</v>
      </c>
      <c r="I37" s="382" t="s">
        <v>245</v>
      </c>
      <c r="J37" s="383">
        <v>45934</v>
      </c>
      <c r="K37" s="381"/>
      <c r="L37" s="381"/>
      <c r="M37" s="381"/>
      <c r="N37" s="384"/>
      <c r="O37" s="386"/>
      <c r="P37" s="150"/>
      <c r="Q37" s="381"/>
      <c r="R37" s="381"/>
      <c r="S37" s="381"/>
      <c r="T37" s="384"/>
      <c r="U37" s="386"/>
      <c r="V37" s="150"/>
      <c r="W37" s="238"/>
      <c r="X37" s="239"/>
      <c r="Y37" s="239"/>
      <c r="Z37" s="235"/>
      <c r="AA37" s="237"/>
      <c r="AB37" s="336"/>
      <c r="AC37" s="241">
        <f t="shared" si="1"/>
        <v>500000</v>
      </c>
      <c r="AD37" s="368"/>
      <c r="AE37" s="370"/>
      <c r="AF37" s="321" t="s">
        <v>113</v>
      </c>
      <c r="AG37" s="371"/>
      <c r="AH37" s="372"/>
      <c r="AI37" s="371"/>
      <c r="AJ37" s="371"/>
      <c r="AK37" s="247"/>
      <c r="AL37" s="373" t="e">
        <f>VLOOKUP(D37,'web CSHT'!$J$4:$Q$18000,8,0)</f>
        <v>#N/A</v>
      </c>
      <c r="AM37" s="374"/>
      <c r="AN37" s="367"/>
      <c r="AO37" s="375"/>
      <c r="AP37" s="376"/>
      <c r="AQ37" s="376"/>
      <c r="AR37" s="377"/>
    </row>
    <row r="38" spans="1:44" s="378" customFormat="1" ht="84.75" customHeight="1" thickBot="1">
      <c r="A38" s="368">
        <f t="shared" si="0"/>
        <v>17</v>
      </c>
      <c r="B38" s="399">
        <f>VLOOKUP(G38,'[3]T9.25 SW '!$Q$432:$S$1581,3,0)</f>
        <v>45930</v>
      </c>
      <c r="C38" s="400">
        <v>257432252</v>
      </c>
      <c r="D38" s="401">
        <v>307810507820</v>
      </c>
      <c r="E38" s="395" t="s">
        <v>108</v>
      </c>
      <c r="F38" s="396" t="s">
        <v>176</v>
      </c>
      <c r="G38" s="403" t="s">
        <v>169</v>
      </c>
      <c r="H38" s="381">
        <v>500000</v>
      </c>
      <c r="I38" s="382" t="s">
        <v>246</v>
      </c>
      <c r="J38" s="383">
        <v>45932</v>
      </c>
      <c r="K38" s="381"/>
      <c r="L38" s="381"/>
      <c r="M38" s="381"/>
      <c r="N38" s="384"/>
      <c r="O38" s="385"/>
      <c r="P38" s="150"/>
      <c r="Q38" s="381"/>
      <c r="R38" s="381"/>
      <c r="S38" s="381"/>
      <c r="T38" s="384"/>
      <c r="U38" s="386"/>
      <c r="V38" s="150"/>
      <c r="W38" s="238"/>
      <c r="X38" s="239"/>
      <c r="Y38" s="239"/>
      <c r="Z38" s="237"/>
      <c r="AA38" s="237"/>
      <c r="AB38" s="237"/>
      <c r="AC38" s="241">
        <f t="shared" si="1"/>
        <v>500000</v>
      </c>
      <c r="AD38" s="368"/>
      <c r="AE38" s="370"/>
      <c r="AF38" s="321" t="s">
        <v>113</v>
      </c>
      <c r="AG38" s="371"/>
      <c r="AH38" s="372"/>
      <c r="AI38" s="371"/>
      <c r="AJ38" s="371"/>
      <c r="AK38" s="247"/>
      <c r="AL38" s="373" t="e">
        <f>VLOOKUP(D38,'web CSHT'!$J$4:$Q$18000,8,0)</f>
        <v>#N/A</v>
      </c>
      <c r="AM38" s="374"/>
      <c r="AN38" s="367"/>
      <c r="AO38" s="375"/>
      <c r="AP38" s="376"/>
      <c r="AQ38" s="376"/>
      <c r="AR38" s="377"/>
    </row>
    <row r="39" spans="1:44" s="378" customFormat="1" ht="84.75" customHeight="1" thickBot="1">
      <c r="A39" s="368">
        <f t="shared" si="0"/>
        <v>18</v>
      </c>
      <c r="B39" s="399">
        <f>VLOOKUP(G39,'[3]T9.25 SW '!$Q$432:$S$1581,3,0)</f>
        <v>45930</v>
      </c>
      <c r="C39" s="400">
        <v>257432252</v>
      </c>
      <c r="D39" s="401" t="s">
        <v>206</v>
      </c>
      <c r="E39" s="395" t="s">
        <v>108</v>
      </c>
      <c r="F39" s="396" t="s">
        <v>177</v>
      </c>
      <c r="G39" s="403" t="s">
        <v>170</v>
      </c>
      <c r="H39" s="381">
        <v>500000</v>
      </c>
      <c r="I39" s="382" t="s">
        <v>247</v>
      </c>
      <c r="J39" s="383">
        <v>45931</v>
      </c>
      <c r="K39" s="381"/>
      <c r="L39" s="381"/>
      <c r="M39" s="381"/>
      <c r="N39" s="384"/>
      <c r="O39" s="386"/>
      <c r="P39" s="150"/>
      <c r="Q39" s="381"/>
      <c r="R39" s="381"/>
      <c r="S39" s="381"/>
      <c r="T39" s="384"/>
      <c r="U39" s="385"/>
      <c r="V39" s="150"/>
      <c r="W39" s="238"/>
      <c r="X39" s="239"/>
      <c r="Y39" s="239"/>
      <c r="Z39" s="237"/>
      <c r="AA39" s="237"/>
      <c r="AB39" s="237"/>
      <c r="AC39" s="241">
        <f t="shared" si="1"/>
        <v>500000</v>
      </c>
      <c r="AD39" s="368"/>
      <c r="AE39" s="370"/>
      <c r="AF39" s="321" t="s">
        <v>113</v>
      </c>
      <c r="AG39" s="371"/>
      <c r="AH39" s="372"/>
      <c r="AI39" s="371"/>
      <c r="AJ39" s="371"/>
      <c r="AK39" s="247"/>
      <c r="AL39" s="373" t="e">
        <f>VLOOKUP(D39,'web CSHT'!$J$4:$Q$18000,8,0)</f>
        <v>#N/A</v>
      </c>
      <c r="AM39" s="374"/>
      <c r="AN39" s="367"/>
      <c r="AO39" s="375"/>
      <c r="AP39" s="376"/>
      <c r="AQ39" s="376"/>
      <c r="AR39" s="377"/>
    </row>
    <row r="40" spans="1:44" s="378" customFormat="1" ht="84.75" customHeight="1" thickBot="1">
      <c r="A40" s="368">
        <f t="shared" si="0"/>
        <v>19</v>
      </c>
      <c r="B40" s="399">
        <f>VLOOKUP(G40,'[3]T9.25 SW '!$Q$432:$S$1581,3,0)</f>
        <v>45930</v>
      </c>
      <c r="C40" s="400">
        <v>258096267</v>
      </c>
      <c r="D40" s="401">
        <v>307810951400</v>
      </c>
      <c r="E40" s="395" t="s">
        <v>108</v>
      </c>
      <c r="F40" s="396" t="s">
        <v>178</v>
      </c>
      <c r="G40" s="403" t="s">
        <v>171</v>
      </c>
      <c r="H40" s="381">
        <v>500000</v>
      </c>
      <c r="I40" s="382" t="s">
        <v>248</v>
      </c>
      <c r="J40" s="383">
        <v>45932</v>
      </c>
      <c r="K40" s="381"/>
      <c r="L40" s="381"/>
      <c r="M40" s="381"/>
      <c r="N40" s="384"/>
      <c r="O40" s="386"/>
      <c r="P40" s="150"/>
      <c r="Q40" s="381"/>
      <c r="R40" s="381"/>
      <c r="S40" s="381"/>
      <c r="T40" s="384"/>
      <c r="U40" s="386"/>
      <c r="V40" s="150"/>
      <c r="W40" s="238"/>
      <c r="X40" s="239"/>
      <c r="Y40" s="239"/>
      <c r="Z40" s="237"/>
      <c r="AA40" s="237"/>
      <c r="AB40" s="237"/>
      <c r="AC40" s="241">
        <f t="shared" si="1"/>
        <v>500000</v>
      </c>
      <c r="AD40" s="368"/>
      <c r="AE40" s="370"/>
      <c r="AF40" s="321" t="s">
        <v>113</v>
      </c>
      <c r="AG40" s="371"/>
      <c r="AH40" s="372"/>
      <c r="AI40" s="371"/>
      <c r="AJ40" s="371"/>
      <c r="AK40" s="247"/>
      <c r="AL40" s="373" t="e">
        <f>VLOOKUP(D40,'web CSHT'!$J$4:$Q$18000,8,0)</f>
        <v>#N/A</v>
      </c>
      <c r="AM40" s="374"/>
      <c r="AN40" s="367"/>
      <c r="AO40" s="375"/>
      <c r="AP40" s="376"/>
      <c r="AQ40" s="376"/>
      <c r="AR40" s="377"/>
    </row>
    <row r="41" spans="1:44" s="378" customFormat="1" ht="84.75" customHeight="1" thickBot="1">
      <c r="A41" s="368">
        <f t="shared" si="0"/>
        <v>20</v>
      </c>
      <c r="B41" s="399">
        <f>VLOOKUP(G41,'[3]T9.25 SW '!$Q$432:$S$1581,3,0)</f>
        <v>45930</v>
      </c>
      <c r="C41" s="400">
        <v>258283048</v>
      </c>
      <c r="D41" s="401">
        <v>307815448640</v>
      </c>
      <c r="E41" s="395" t="s">
        <v>108</v>
      </c>
      <c r="F41" s="396" t="s">
        <v>179</v>
      </c>
      <c r="G41" s="403" t="s">
        <v>172</v>
      </c>
      <c r="H41" s="381">
        <v>500000</v>
      </c>
      <c r="I41" s="382" t="s">
        <v>249</v>
      </c>
      <c r="J41" s="383">
        <v>45934</v>
      </c>
      <c r="K41" s="381"/>
      <c r="L41" s="381"/>
      <c r="M41" s="381"/>
      <c r="N41" s="384"/>
      <c r="O41" s="386"/>
      <c r="P41" s="150"/>
      <c r="Q41" s="381"/>
      <c r="R41" s="381"/>
      <c r="S41" s="381"/>
      <c r="T41" s="384"/>
      <c r="U41" s="386"/>
      <c r="V41" s="150"/>
      <c r="W41" s="238"/>
      <c r="X41" s="239"/>
      <c r="Y41" s="239"/>
      <c r="Z41" s="235"/>
      <c r="AA41" s="237"/>
      <c r="AB41" s="336"/>
      <c r="AC41" s="241">
        <f t="shared" si="1"/>
        <v>500000</v>
      </c>
      <c r="AD41" s="368"/>
      <c r="AE41" s="370"/>
      <c r="AF41" s="321" t="s">
        <v>113</v>
      </c>
      <c r="AG41" s="371"/>
      <c r="AH41" s="372"/>
      <c r="AI41" s="371"/>
      <c r="AJ41" s="371"/>
      <c r="AK41" s="247"/>
      <c r="AL41" s="373" t="e">
        <f>VLOOKUP(D41,'web CSHT'!$J$4:$Q$18000,8,0)</f>
        <v>#N/A</v>
      </c>
      <c r="AM41" s="374"/>
      <c r="AN41" s="367"/>
      <c r="AO41" s="375"/>
      <c r="AP41" s="376"/>
      <c r="AQ41" s="376"/>
      <c r="AR41" s="377"/>
    </row>
    <row r="42" spans="1:44" s="378" customFormat="1" ht="84.75" customHeight="1" thickBot="1">
      <c r="A42" s="368">
        <f t="shared" si="0"/>
        <v>21</v>
      </c>
      <c r="B42" s="399">
        <v>45943</v>
      </c>
      <c r="C42" s="400">
        <v>259099228</v>
      </c>
      <c r="D42" s="401">
        <f>VLOOKUP(G42,[4]Sheet1!$I$188:$Q$205000,9,0)</f>
        <v>307853072720</v>
      </c>
      <c r="E42" s="395" t="s">
        <v>108</v>
      </c>
      <c r="F42" s="396" t="s">
        <v>193</v>
      </c>
      <c r="G42" s="403" t="s">
        <v>180</v>
      </c>
      <c r="H42" s="381">
        <v>250000</v>
      </c>
      <c r="I42" s="382" t="s">
        <v>250</v>
      </c>
      <c r="J42" s="383" t="s">
        <v>222</v>
      </c>
      <c r="K42" s="381"/>
      <c r="L42" s="381"/>
      <c r="M42" s="381"/>
      <c r="N42" s="384"/>
      <c r="O42" s="386"/>
      <c r="P42" s="150"/>
      <c r="Q42" s="381"/>
      <c r="R42" s="381"/>
      <c r="S42" s="381"/>
      <c r="T42" s="384"/>
      <c r="U42" s="386"/>
      <c r="V42" s="150"/>
      <c r="W42" s="238"/>
      <c r="X42" s="239"/>
      <c r="Y42" s="239"/>
      <c r="Z42" s="235"/>
      <c r="AA42" s="240"/>
      <c r="AB42" s="336"/>
      <c r="AC42" s="241">
        <f t="shared" si="1"/>
        <v>250000</v>
      </c>
      <c r="AD42" s="368"/>
      <c r="AE42" s="370"/>
      <c r="AF42" s="371"/>
      <c r="AG42" s="371"/>
      <c r="AH42" s="372"/>
      <c r="AI42" s="371"/>
      <c r="AJ42" s="371"/>
      <c r="AK42" s="247"/>
      <c r="AL42" s="373" t="e">
        <f>VLOOKUP(D42,'web CSHT'!$J$4:$Q$18000,8,0)</f>
        <v>#N/A</v>
      </c>
      <c r="AM42" s="374"/>
      <c r="AN42" s="367"/>
      <c r="AO42" s="375"/>
      <c r="AP42" s="376"/>
      <c r="AQ42" s="376"/>
      <c r="AR42" s="377"/>
    </row>
    <row r="43" spans="1:44" s="378" customFormat="1" ht="84.75" customHeight="1" thickBot="1">
      <c r="A43" s="368">
        <f t="shared" si="0"/>
        <v>22</v>
      </c>
      <c r="B43" s="399">
        <v>45943</v>
      </c>
      <c r="C43" s="400">
        <v>259099228</v>
      </c>
      <c r="D43" s="401">
        <f>VLOOKUP(G43,[4]Sheet1!$I$188:$Q$205000,9,0)</f>
        <v>307853097550</v>
      </c>
      <c r="E43" s="395" t="s">
        <v>108</v>
      </c>
      <c r="F43" s="396" t="s">
        <v>194</v>
      </c>
      <c r="G43" s="403" t="s">
        <v>181</v>
      </c>
      <c r="H43" s="381">
        <v>250000</v>
      </c>
      <c r="I43" s="382" t="s">
        <v>251</v>
      </c>
      <c r="J43" s="383" t="s">
        <v>222</v>
      </c>
      <c r="K43" s="381"/>
      <c r="L43" s="381"/>
      <c r="M43" s="381"/>
      <c r="N43" s="384"/>
      <c r="O43" s="385"/>
      <c r="P43" s="150"/>
      <c r="Q43" s="381"/>
      <c r="R43" s="381"/>
      <c r="S43" s="381"/>
      <c r="T43" s="384"/>
      <c r="U43" s="386"/>
      <c r="V43" s="150"/>
      <c r="W43" s="238"/>
      <c r="X43" s="239"/>
      <c r="Y43" s="239"/>
      <c r="Z43" s="235"/>
      <c r="AA43" s="237"/>
      <c r="AB43" s="237"/>
      <c r="AC43" s="241">
        <f>H43+M43+S43+Y43</f>
        <v>250000</v>
      </c>
      <c r="AD43" s="368"/>
      <c r="AE43" s="370"/>
      <c r="AF43" s="371"/>
      <c r="AG43" s="371"/>
      <c r="AH43" s="372"/>
      <c r="AI43" s="371"/>
      <c r="AJ43" s="371"/>
      <c r="AK43" s="247"/>
      <c r="AL43" s="373" t="e">
        <f>VLOOKUP(D43,'web CSHT'!$J$4:$Q$18000,8,0)</f>
        <v>#N/A</v>
      </c>
      <c r="AM43" s="374"/>
      <c r="AN43" s="367"/>
      <c r="AO43" s="375"/>
      <c r="AP43" s="376"/>
      <c r="AQ43" s="376"/>
      <c r="AR43" s="377"/>
    </row>
    <row r="44" spans="1:44" s="378" customFormat="1" ht="84.75" customHeight="1" thickBot="1">
      <c r="A44" s="368">
        <f t="shared" si="0"/>
        <v>23</v>
      </c>
      <c r="B44" s="399">
        <v>45944</v>
      </c>
      <c r="C44" s="400">
        <v>259098334</v>
      </c>
      <c r="D44" s="401">
        <f>VLOOKUP(G44,[4]Sheet1!$I$188:$Q$205000,9,0)</f>
        <v>307853158010</v>
      </c>
      <c r="E44" s="395" t="s">
        <v>108</v>
      </c>
      <c r="F44" s="396" t="s">
        <v>195</v>
      </c>
      <c r="G44" s="403" t="s">
        <v>182</v>
      </c>
      <c r="H44" s="381">
        <v>250000</v>
      </c>
      <c r="I44" s="382" t="s">
        <v>252</v>
      </c>
      <c r="J44" s="383">
        <v>45947</v>
      </c>
      <c r="K44" s="381"/>
      <c r="L44" s="381"/>
      <c r="M44" s="381"/>
      <c r="N44" s="384"/>
      <c r="O44" s="385"/>
      <c r="P44" s="150"/>
      <c r="Q44" s="381"/>
      <c r="R44" s="381"/>
      <c r="S44" s="381"/>
      <c r="T44" s="384"/>
      <c r="U44" s="386"/>
      <c r="V44" s="150"/>
      <c r="W44" s="238"/>
      <c r="X44" s="239"/>
      <c r="Y44" s="239"/>
      <c r="Z44" s="235"/>
      <c r="AA44" s="236"/>
      <c r="AB44" s="237"/>
      <c r="AC44" s="241">
        <f t="shared" si="1"/>
        <v>250000</v>
      </c>
      <c r="AD44" s="368"/>
      <c r="AE44" s="370"/>
      <c r="AF44" s="371"/>
      <c r="AG44" s="371"/>
      <c r="AH44" s="372"/>
      <c r="AI44" s="371"/>
      <c r="AJ44" s="371"/>
      <c r="AK44" s="247"/>
      <c r="AL44" s="373" t="e">
        <f>VLOOKUP(D44,'web CSHT'!$J$4:$Q$18000,8,0)</f>
        <v>#N/A</v>
      </c>
      <c r="AM44" s="374"/>
      <c r="AN44" s="367"/>
      <c r="AO44" s="375"/>
      <c r="AP44" s="376"/>
      <c r="AQ44" s="376"/>
      <c r="AR44" s="377"/>
    </row>
    <row r="45" spans="1:44" s="378" customFormat="1" ht="84.75" customHeight="1" thickBot="1">
      <c r="A45" s="368">
        <f t="shared" si="0"/>
        <v>24</v>
      </c>
      <c r="B45" s="399">
        <v>45944</v>
      </c>
      <c r="C45" s="400">
        <v>259070840</v>
      </c>
      <c r="D45" s="401">
        <f>VLOOKUP(G45,[4]Sheet1!$I$188:$Q$205000,9,0)</f>
        <v>307857560900</v>
      </c>
      <c r="E45" s="395" t="s">
        <v>108</v>
      </c>
      <c r="F45" s="396" t="s">
        <v>196</v>
      </c>
      <c r="G45" s="403" t="s">
        <v>183</v>
      </c>
      <c r="H45" s="381">
        <v>250000</v>
      </c>
      <c r="I45" s="382" t="s">
        <v>253</v>
      </c>
      <c r="J45" s="383">
        <v>45947</v>
      </c>
      <c r="K45" s="381"/>
      <c r="L45" s="381"/>
      <c r="M45" s="381"/>
      <c r="N45" s="384"/>
      <c r="O45" s="386"/>
      <c r="P45" s="150"/>
      <c r="Q45" s="381"/>
      <c r="R45" s="381"/>
      <c r="S45" s="381"/>
      <c r="T45" s="384"/>
      <c r="U45" s="385"/>
      <c r="V45" s="150"/>
      <c r="W45" s="238"/>
      <c r="X45" s="239"/>
      <c r="Y45" s="239"/>
      <c r="Z45" s="235"/>
      <c r="AA45" s="237"/>
      <c r="AB45" s="336"/>
      <c r="AC45" s="241">
        <f t="shared" si="1"/>
        <v>250000</v>
      </c>
      <c r="AD45" s="368"/>
      <c r="AE45" s="370"/>
      <c r="AF45" s="371"/>
      <c r="AG45" s="371"/>
      <c r="AH45" s="372"/>
      <c r="AI45" s="371"/>
      <c r="AJ45" s="371"/>
      <c r="AK45" s="247"/>
      <c r="AL45" s="373" t="e">
        <f>VLOOKUP(D45,'web CSHT'!$J$4:$Q$18000,8,0)</f>
        <v>#N/A</v>
      </c>
      <c r="AM45" s="374"/>
      <c r="AN45" s="367"/>
      <c r="AO45" s="375"/>
      <c r="AP45" s="376"/>
      <c r="AQ45" s="376"/>
      <c r="AR45" s="377"/>
    </row>
    <row r="46" spans="1:44" s="378" customFormat="1" ht="84.75" customHeight="1" thickBot="1">
      <c r="A46" s="368">
        <f t="shared" si="0"/>
        <v>25</v>
      </c>
      <c r="B46" s="399">
        <v>45944</v>
      </c>
      <c r="C46" s="400">
        <v>259099228</v>
      </c>
      <c r="D46" s="401">
        <f>VLOOKUP(G46,[4]Sheet1!$I$188:$Q$205000,9,0)</f>
        <v>307857597300</v>
      </c>
      <c r="E46" s="395" t="s">
        <v>108</v>
      </c>
      <c r="F46" s="396" t="s">
        <v>197</v>
      </c>
      <c r="G46" s="403" t="s">
        <v>184</v>
      </c>
      <c r="H46" s="381">
        <v>250000</v>
      </c>
      <c r="I46" s="382" t="s">
        <v>254</v>
      </c>
      <c r="J46" s="383">
        <v>45947</v>
      </c>
      <c r="K46" s="381"/>
      <c r="L46" s="381"/>
      <c r="M46" s="381"/>
      <c r="N46" s="384"/>
      <c r="O46" s="386"/>
      <c r="P46" s="150"/>
      <c r="Q46" s="381"/>
      <c r="R46" s="381"/>
      <c r="S46" s="381"/>
      <c r="T46" s="384"/>
      <c r="U46" s="386"/>
      <c r="V46" s="150"/>
      <c r="W46" s="238"/>
      <c r="X46" s="239"/>
      <c r="Y46" s="239"/>
      <c r="Z46" s="237"/>
      <c r="AA46" s="237"/>
      <c r="AB46" s="237"/>
      <c r="AC46" s="241">
        <f t="shared" si="1"/>
        <v>250000</v>
      </c>
      <c r="AD46" s="368"/>
      <c r="AE46" s="370"/>
      <c r="AF46" s="371"/>
      <c r="AG46" s="371"/>
      <c r="AH46" s="372"/>
      <c r="AI46" s="371"/>
      <c r="AJ46" s="371"/>
      <c r="AK46" s="247"/>
      <c r="AL46" s="373" t="e">
        <f>VLOOKUP(D46,'web CSHT'!$J$4:$Q$18000,8,0)</f>
        <v>#N/A</v>
      </c>
      <c r="AM46" s="374"/>
      <c r="AN46" s="367"/>
      <c r="AO46" s="375"/>
      <c r="AP46" s="376"/>
      <c r="AQ46" s="376"/>
      <c r="AR46" s="377"/>
    </row>
    <row r="47" spans="1:44" s="378" customFormat="1" ht="84.75" customHeight="1" thickBot="1">
      <c r="A47" s="368">
        <f t="shared" si="0"/>
        <v>26</v>
      </c>
      <c r="B47" s="399">
        <v>45944</v>
      </c>
      <c r="C47" s="400">
        <v>259099228</v>
      </c>
      <c r="D47" s="401">
        <f>VLOOKUP(G47,[4]Sheet1!$I$188:$Q$205000,9,0)</f>
        <v>307857632410</v>
      </c>
      <c r="E47" s="395" t="s">
        <v>108</v>
      </c>
      <c r="F47" s="396" t="s">
        <v>198</v>
      </c>
      <c r="G47" s="403" t="s">
        <v>185</v>
      </c>
      <c r="H47" s="381">
        <v>250000</v>
      </c>
      <c r="I47" s="382" t="s">
        <v>255</v>
      </c>
      <c r="J47" s="383">
        <v>45947</v>
      </c>
      <c r="K47" s="381"/>
      <c r="L47" s="381"/>
      <c r="M47" s="381"/>
      <c r="N47" s="384"/>
      <c r="O47" s="386"/>
      <c r="P47" s="150"/>
      <c r="Q47" s="381"/>
      <c r="R47" s="381"/>
      <c r="S47" s="381"/>
      <c r="T47" s="384"/>
      <c r="U47" s="386"/>
      <c r="V47" s="150"/>
      <c r="W47" s="238"/>
      <c r="X47" s="239"/>
      <c r="Y47" s="239"/>
      <c r="Z47" s="235"/>
      <c r="AA47" s="237"/>
      <c r="AB47" s="336"/>
      <c r="AC47" s="241">
        <f t="shared" si="1"/>
        <v>250000</v>
      </c>
      <c r="AD47" s="368"/>
      <c r="AE47" s="370"/>
      <c r="AF47" s="371"/>
      <c r="AG47" s="371"/>
      <c r="AH47" s="372"/>
      <c r="AI47" s="371"/>
      <c r="AJ47" s="371"/>
      <c r="AK47" s="247"/>
      <c r="AL47" s="373" t="e">
        <f>VLOOKUP(D47,'web CSHT'!$J$4:$Q$18000,8,0)</f>
        <v>#N/A</v>
      </c>
      <c r="AM47" s="374"/>
      <c r="AN47" s="367"/>
      <c r="AO47" s="375"/>
      <c r="AP47" s="376"/>
      <c r="AQ47" s="376"/>
      <c r="AR47" s="377"/>
    </row>
    <row r="48" spans="1:44" s="378" customFormat="1" ht="84.75" customHeight="1" thickBot="1">
      <c r="A48" s="368">
        <f t="shared" si="0"/>
        <v>27</v>
      </c>
      <c r="B48" s="399">
        <v>45945</v>
      </c>
      <c r="C48" s="400">
        <v>259099228</v>
      </c>
      <c r="D48" s="401">
        <f>VLOOKUP(G48,[4]Sheet1!$I$188:$Q$205000,9,0)</f>
        <v>307857684650</v>
      </c>
      <c r="E48" s="395" t="s">
        <v>108</v>
      </c>
      <c r="F48" s="396" t="s">
        <v>199</v>
      </c>
      <c r="G48" s="403" t="s">
        <v>186</v>
      </c>
      <c r="H48" s="381">
        <v>250000</v>
      </c>
      <c r="I48" s="382" t="s">
        <v>256</v>
      </c>
      <c r="J48" s="383">
        <v>45947</v>
      </c>
      <c r="K48" s="381"/>
      <c r="L48" s="381"/>
      <c r="M48" s="381"/>
      <c r="N48" s="384"/>
      <c r="O48" s="385"/>
      <c r="P48" s="150"/>
      <c r="Q48" s="381"/>
      <c r="R48" s="381"/>
      <c r="S48" s="381"/>
      <c r="T48" s="384"/>
      <c r="U48" s="386"/>
      <c r="V48" s="150"/>
      <c r="W48" s="238"/>
      <c r="X48" s="239"/>
      <c r="Y48" s="239"/>
      <c r="Z48" s="237"/>
      <c r="AA48" s="237"/>
      <c r="AB48" s="237"/>
      <c r="AC48" s="241">
        <f t="shared" si="1"/>
        <v>250000</v>
      </c>
      <c r="AD48" s="368"/>
      <c r="AE48" s="370"/>
      <c r="AF48" s="371"/>
      <c r="AG48" s="371"/>
      <c r="AH48" s="380"/>
      <c r="AI48" s="371"/>
      <c r="AJ48" s="371"/>
      <c r="AK48" s="247"/>
      <c r="AL48" s="373" t="e">
        <f>VLOOKUP(D48,'web CSHT'!$J$4:$Q$18000,8,0)</f>
        <v>#N/A</v>
      </c>
      <c r="AM48" s="374"/>
      <c r="AN48" s="367"/>
      <c r="AO48" s="375"/>
      <c r="AP48" s="376"/>
      <c r="AQ48" s="376"/>
      <c r="AR48" s="377"/>
    </row>
    <row r="49" spans="1:48" s="378" customFormat="1" ht="84.75" customHeight="1" thickBot="1">
      <c r="A49" s="368">
        <f t="shared" si="0"/>
        <v>28</v>
      </c>
      <c r="B49" s="399">
        <v>45945</v>
      </c>
      <c r="C49" s="400">
        <v>259099228</v>
      </c>
      <c r="D49" s="401">
        <f>VLOOKUP(G49,[4]Sheet1!$I$188:$Q$205000,9,0)</f>
        <v>307860305710</v>
      </c>
      <c r="E49" s="395" t="s">
        <v>108</v>
      </c>
      <c r="F49" s="396" t="s">
        <v>201</v>
      </c>
      <c r="G49" s="403" t="s">
        <v>187</v>
      </c>
      <c r="H49" s="381">
        <v>250000</v>
      </c>
      <c r="I49" s="382" t="s">
        <v>257</v>
      </c>
      <c r="J49" s="383">
        <v>45947</v>
      </c>
      <c r="K49" s="381"/>
      <c r="L49" s="381"/>
      <c r="M49" s="381"/>
      <c r="N49" s="384"/>
      <c r="O49" s="386"/>
      <c r="P49" s="150"/>
      <c r="Q49" s="381"/>
      <c r="R49" s="381"/>
      <c r="S49" s="381"/>
      <c r="T49" s="384"/>
      <c r="U49" s="386"/>
      <c r="V49" s="150"/>
      <c r="W49" s="238"/>
      <c r="X49" s="239"/>
      <c r="Y49" s="239"/>
      <c r="Z49" s="235"/>
      <c r="AA49" s="240"/>
      <c r="AB49" s="336"/>
      <c r="AC49" s="241">
        <f t="shared" si="1"/>
        <v>250000</v>
      </c>
      <c r="AD49" s="368"/>
      <c r="AE49" s="370"/>
      <c r="AF49" s="371"/>
      <c r="AG49" s="371"/>
      <c r="AH49" s="380"/>
      <c r="AI49" s="371"/>
      <c r="AJ49" s="371"/>
      <c r="AK49" s="247"/>
      <c r="AL49" s="373" t="e">
        <f>VLOOKUP(D49,'web CSHT'!$J$4:$Q$18000,8,0)</f>
        <v>#N/A</v>
      </c>
      <c r="AM49" s="374"/>
      <c r="AN49" s="367"/>
      <c r="AO49" s="375"/>
      <c r="AP49" s="376"/>
      <c r="AQ49" s="335"/>
      <c r="AR49" s="335"/>
      <c r="AS49" s="335"/>
      <c r="AT49" s="235"/>
      <c r="AU49" s="236"/>
      <c r="AV49" s="369"/>
    </row>
    <row r="50" spans="1:48" s="378" customFormat="1" ht="84.75" customHeight="1" thickBot="1">
      <c r="A50" s="368">
        <f t="shared" si="0"/>
        <v>29</v>
      </c>
      <c r="B50" s="399">
        <v>45945</v>
      </c>
      <c r="C50" s="400">
        <v>259099228</v>
      </c>
      <c r="D50" s="401">
        <f>VLOOKUP(G50,[4]Sheet1!$I$188:$Q$205000,9,0)</f>
        <v>307860299630</v>
      </c>
      <c r="E50" s="395" t="s">
        <v>108</v>
      </c>
      <c r="F50" s="396" t="s">
        <v>200</v>
      </c>
      <c r="G50" s="405" t="s">
        <v>188</v>
      </c>
      <c r="H50" s="381">
        <v>250000</v>
      </c>
      <c r="I50" s="382" t="s">
        <v>258</v>
      </c>
      <c r="J50" s="383">
        <v>45947</v>
      </c>
      <c r="K50" s="381"/>
      <c r="L50" s="381"/>
      <c r="M50" s="381"/>
      <c r="N50" s="384"/>
      <c r="O50" s="386"/>
      <c r="P50" s="150"/>
      <c r="Q50" s="381"/>
      <c r="R50" s="381"/>
      <c r="S50" s="381"/>
      <c r="T50" s="384"/>
      <c r="U50" s="386"/>
      <c r="V50" s="150"/>
      <c r="W50" s="238"/>
      <c r="X50" s="239"/>
      <c r="Y50" s="239"/>
      <c r="Z50" s="237"/>
      <c r="AA50" s="237"/>
      <c r="AB50" s="237"/>
      <c r="AC50" s="241">
        <f t="shared" si="1"/>
        <v>250000</v>
      </c>
      <c r="AD50" s="368"/>
      <c r="AE50" s="370"/>
      <c r="AF50" s="371"/>
      <c r="AG50" s="371"/>
      <c r="AH50" s="380"/>
      <c r="AI50" s="371"/>
      <c r="AJ50" s="371"/>
      <c r="AK50" s="247"/>
      <c r="AL50" s="373" t="e">
        <f>VLOOKUP(D50,'web CSHT'!$J$4:$Q$18000,8,0)</f>
        <v>#N/A</v>
      </c>
      <c r="AM50" s="374"/>
      <c r="AN50" s="367"/>
      <c r="AO50" s="375"/>
      <c r="AP50" s="376"/>
      <c r="AQ50" s="376"/>
      <c r="AR50" s="377"/>
    </row>
    <row r="51" spans="1:48" s="378" customFormat="1" ht="84.75" customHeight="1" thickBot="1">
      <c r="A51" s="368">
        <f t="shared" si="0"/>
        <v>30</v>
      </c>
      <c r="B51" s="399">
        <v>45945</v>
      </c>
      <c r="C51" s="400">
        <v>259070840</v>
      </c>
      <c r="D51" s="401">
        <f>VLOOKUP(G51,[4]Sheet1!$I$188:$Q$205000,9,0)</f>
        <v>307860329730</v>
      </c>
      <c r="E51" s="395" t="s">
        <v>108</v>
      </c>
      <c r="F51" s="396" t="s">
        <v>202</v>
      </c>
      <c r="G51" s="405" t="s">
        <v>189</v>
      </c>
      <c r="H51" s="381"/>
      <c r="I51" s="382"/>
      <c r="J51" s="383"/>
      <c r="K51" s="381"/>
      <c r="L51" s="381"/>
      <c r="M51" s="381"/>
      <c r="N51" s="384"/>
      <c r="O51" s="386"/>
      <c r="P51" s="150"/>
      <c r="Q51" s="381"/>
      <c r="R51" s="381"/>
      <c r="S51" s="381"/>
      <c r="T51" s="384"/>
      <c r="U51" s="386"/>
      <c r="V51" s="150"/>
      <c r="W51" s="238"/>
      <c r="X51" s="239"/>
      <c r="Y51" s="239"/>
      <c r="Z51" s="237"/>
      <c r="AA51" s="237"/>
      <c r="AB51" s="237"/>
      <c r="AC51" s="241">
        <f t="shared" si="1"/>
        <v>0</v>
      </c>
      <c r="AD51" s="368"/>
      <c r="AE51" s="370"/>
      <c r="AF51" s="371" t="s">
        <v>261</v>
      </c>
      <c r="AG51" s="371"/>
      <c r="AH51" s="380"/>
      <c r="AI51" s="371"/>
      <c r="AJ51" s="371"/>
      <c r="AK51" s="247"/>
      <c r="AL51" s="373" t="e">
        <f>VLOOKUP(D51,'web CSHT'!$J$4:$Q$18000,8,0)</f>
        <v>#N/A</v>
      </c>
      <c r="AM51" s="374"/>
      <c r="AN51" s="367"/>
      <c r="AO51" s="375"/>
      <c r="AP51" s="376"/>
      <c r="AQ51" s="376"/>
      <c r="AR51" s="377"/>
    </row>
    <row r="52" spans="1:48" s="378" customFormat="1" ht="84.75" customHeight="1" thickBot="1">
      <c r="A52" s="368">
        <f t="shared" si="0"/>
        <v>31</v>
      </c>
      <c r="B52" s="399">
        <v>45945</v>
      </c>
      <c r="C52" s="400">
        <v>259099228</v>
      </c>
      <c r="D52" s="401">
        <v>307860312560</v>
      </c>
      <c r="E52" s="395" t="s">
        <v>108</v>
      </c>
      <c r="F52" s="396" t="s">
        <v>203</v>
      </c>
      <c r="G52" s="405" t="s">
        <v>190</v>
      </c>
      <c r="H52" s="381">
        <v>250000</v>
      </c>
      <c r="I52" s="382" t="s">
        <v>262</v>
      </c>
      <c r="J52" s="383">
        <v>45950</v>
      </c>
      <c r="K52" s="381"/>
      <c r="L52" s="381"/>
      <c r="M52" s="381"/>
      <c r="N52" s="384"/>
      <c r="O52" s="386"/>
      <c r="P52" s="150"/>
      <c r="Q52" s="381"/>
      <c r="R52" s="381"/>
      <c r="S52" s="381"/>
      <c r="T52" s="384"/>
      <c r="U52" s="386"/>
      <c r="V52" s="150"/>
      <c r="W52" s="238"/>
      <c r="X52" s="239"/>
      <c r="Y52" s="239"/>
      <c r="Z52" s="235"/>
      <c r="AA52" s="236"/>
      <c r="AB52" s="336"/>
      <c r="AC52" s="241">
        <f t="shared" si="1"/>
        <v>250000</v>
      </c>
      <c r="AD52" s="368"/>
      <c r="AE52" s="370"/>
      <c r="AF52" s="371"/>
      <c r="AG52" s="371"/>
      <c r="AH52" s="380"/>
      <c r="AI52" s="371"/>
      <c r="AJ52" s="371"/>
      <c r="AK52" s="247"/>
      <c r="AL52" s="373" t="e">
        <f>VLOOKUP(D52,'web CSHT'!$J$4:$Q$18000,8,0)</f>
        <v>#N/A</v>
      </c>
      <c r="AM52" s="374"/>
      <c r="AN52" s="367"/>
      <c r="AO52" s="375"/>
      <c r="AP52" s="376"/>
      <c r="AQ52" s="376"/>
      <c r="AR52" s="377"/>
    </row>
    <row r="53" spans="1:48" s="378" customFormat="1" ht="84.75" customHeight="1" thickBot="1">
      <c r="A53" s="368">
        <f t="shared" si="0"/>
        <v>32</v>
      </c>
      <c r="B53" s="399">
        <v>45945</v>
      </c>
      <c r="C53" s="400">
        <v>259099228</v>
      </c>
      <c r="D53" s="401">
        <v>307860322250</v>
      </c>
      <c r="E53" s="395" t="s">
        <v>108</v>
      </c>
      <c r="F53" s="396" t="s">
        <v>205</v>
      </c>
      <c r="G53" s="402" t="s">
        <v>191</v>
      </c>
      <c r="H53" s="381">
        <v>250000</v>
      </c>
      <c r="I53" s="382" t="s">
        <v>263</v>
      </c>
      <c r="J53" s="383">
        <v>45950</v>
      </c>
      <c r="K53" s="381"/>
      <c r="L53" s="381"/>
      <c r="M53" s="381"/>
      <c r="N53" s="384"/>
      <c r="O53" s="386"/>
      <c r="P53" s="150"/>
      <c r="Q53" s="381"/>
      <c r="R53" s="381"/>
      <c r="S53" s="381"/>
      <c r="T53" s="384"/>
      <c r="U53" s="387"/>
      <c r="V53" s="150"/>
      <c r="W53" s="238"/>
      <c r="X53" s="239"/>
      <c r="Y53" s="239"/>
      <c r="Z53" s="237"/>
      <c r="AA53" s="237"/>
      <c r="AB53" s="237"/>
      <c r="AC53" s="241">
        <f t="shared" si="1"/>
        <v>250000</v>
      </c>
      <c r="AD53" s="368"/>
      <c r="AE53" s="370"/>
      <c r="AF53" s="370"/>
      <c r="AG53" s="379"/>
      <c r="AH53" s="372"/>
      <c r="AI53" s="371"/>
      <c r="AJ53" s="371"/>
      <c r="AK53" s="247"/>
      <c r="AL53" s="373" t="e">
        <f>VLOOKUP(D53,'web CSHT'!$J$4:$Q$18000,8,0)</f>
        <v>#N/A</v>
      </c>
      <c r="AM53" s="374"/>
      <c r="AN53" s="367"/>
      <c r="AO53" s="375"/>
      <c r="AP53" s="376"/>
      <c r="AQ53" s="376"/>
      <c r="AR53" s="377"/>
    </row>
    <row r="54" spans="1:48" s="378" customFormat="1" ht="84.75" customHeight="1" thickBot="1">
      <c r="A54" s="368">
        <f t="shared" si="0"/>
        <v>33</v>
      </c>
      <c r="B54" s="399">
        <v>45945</v>
      </c>
      <c r="C54" s="400">
        <v>259099228</v>
      </c>
      <c r="D54" s="401">
        <v>307860317610</v>
      </c>
      <c r="E54" s="395" t="s">
        <v>108</v>
      </c>
      <c r="F54" s="396" t="s">
        <v>204</v>
      </c>
      <c r="G54" s="402" t="s">
        <v>192</v>
      </c>
      <c r="H54" s="381">
        <v>250000</v>
      </c>
      <c r="I54" s="382" t="s">
        <v>264</v>
      </c>
      <c r="J54" s="383">
        <v>45950</v>
      </c>
      <c r="K54" s="381"/>
      <c r="L54" s="381"/>
      <c r="M54" s="381"/>
      <c r="N54" s="384"/>
      <c r="O54" s="386"/>
      <c r="P54" s="150"/>
      <c r="Q54" s="381"/>
      <c r="R54" s="381"/>
      <c r="S54" s="381"/>
      <c r="T54" s="384"/>
      <c r="U54" s="387"/>
      <c r="V54" s="150"/>
      <c r="W54" s="238"/>
      <c r="X54" s="239"/>
      <c r="Y54" s="239"/>
      <c r="Z54" s="237"/>
      <c r="AA54" s="237"/>
      <c r="AB54" s="237"/>
      <c r="AC54" s="241">
        <f t="shared" si="1"/>
        <v>250000</v>
      </c>
      <c r="AD54" s="368"/>
      <c r="AE54" s="370"/>
      <c r="AF54" s="370"/>
      <c r="AG54" s="379"/>
      <c r="AH54" s="372"/>
      <c r="AI54" s="371"/>
      <c r="AJ54" s="371"/>
      <c r="AK54" s="247"/>
      <c r="AL54" s="373" t="e">
        <f>VLOOKUP(D54,'web CSHT'!$J$4:$Q$18000,8,0)</f>
        <v>#N/A</v>
      </c>
      <c r="AM54" s="374"/>
      <c r="AN54" s="367"/>
      <c r="AO54" s="375"/>
      <c r="AP54" s="376"/>
      <c r="AQ54" s="376"/>
      <c r="AR54" s="377"/>
    </row>
    <row r="55" spans="1:48" s="408" customFormat="1" ht="58.5" customHeight="1" thickBot="1">
      <c r="A55" s="563" t="s">
        <v>15</v>
      </c>
      <c r="B55" s="563"/>
      <c r="C55" s="563"/>
      <c r="D55" s="563"/>
      <c r="E55" s="563"/>
      <c r="F55" s="563"/>
      <c r="G55" s="563"/>
      <c r="H55" s="242">
        <f>SUM(H22:H54)</f>
        <v>12500000</v>
      </c>
      <c r="I55" s="243"/>
      <c r="J55" s="243"/>
      <c r="K55" s="242">
        <f>SUM(K22:K54)</f>
        <v>925926</v>
      </c>
      <c r="L55" s="242">
        <f>SUM(L22:L54)</f>
        <v>74074</v>
      </c>
      <c r="M55" s="242">
        <f>SUM(M22:M54)</f>
        <v>1000000</v>
      </c>
      <c r="N55" s="244"/>
      <c r="O55" s="243"/>
      <c r="P55" s="245"/>
      <c r="Q55" s="242">
        <f>SUM(Q22:Q54)</f>
        <v>16895000</v>
      </c>
      <c r="R55" s="242">
        <f>SUM(R22:R54)</f>
        <v>1351600</v>
      </c>
      <c r="S55" s="242">
        <f>SUM(S22:S54)</f>
        <v>18246600</v>
      </c>
      <c r="T55" s="246"/>
      <c r="U55" s="247"/>
      <c r="V55" s="247"/>
      <c r="W55" s="242">
        <f>SUM(W22:W54)</f>
        <v>18519</v>
      </c>
      <c r="X55" s="242">
        <f>SUM(X22:X54)</f>
        <v>1481</v>
      </c>
      <c r="Y55" s="242">
        <f>SUM(Y22:Y54)</f>
        <v>20000</v>
      </c>
      <c r="Z55" s="175"/>
      <c r="AA55" s="176"/>
      <c r="AB55" s="176"/>
      <c r="AC55" s="242">
        <f>SUM(AC22:AC54)</f>
        <v>31766600</v>
      </c>
      <c r="AD55" s="143"/>
      <c r="AE55" s="144"/>
      <c r="AF55" s="145"/>
      <c r="AG55" s="146"/>
      <c r="AH55" s="146"/>
      <c r="AI55" s="149"/>
      <c r="AJ55" s="147"/>
      <c r="AK55" s="145"/>
      <c r="AL55" s="146"/>
      <c r="AM55" s="216"/>
      <c r="AN55" s="252"/>
      <c r="AO55" s="162"/>
      <c r="AP55" s="146"/>
      <c r="AQ55" s="146"/>
      <c r="AR55" s="163"/>
    </row>
    <row r="56" spans="1:48" ht="7.5" customHeight="1" thickBot="1">
      <c r="A56" s="407"/>
      <c r="B56" s="22"/>
      <c r="H56" s="366"/>
      <c r="Z56" s="2"/>
      <c r="AI56" s="56"/>
      <c r="AM56" s="216"/>
      <c r="AN56" s="252"/>
    </row>
    <row r="57" spans="1:48" ht="12.75" customHeight="1" thickBot="1">
      <c r="B57" s="2"/>
      <c r="I57" s="530"/>
      <c r="J57" s="530"/>
      <c r="K57" s="562"/>
      <c r="L57" s="406"/>
      <c r="M57" s="406"/>
      <c r="N57" s="131"/>
      <c r="AI57" s="56"/>
      <c r="AM57" s="216"/>
      <c r="AN57" s="252"/>
    </row>
    <row r="58" spans="1:48" ht="2.25" customHeight="1">
      <c r="B58" s="2"/>
      <c r="AI58" s="56"/>
      <c r="AN58" s="252"/>
    </row>
    <row r="59" spans="1:48" ht="30" customHeight="1">
      <c r="A59" s="533"/>
      <c r="B59" s="534"/>
      <c r="C59" s="534"/>
      <c r="O59" s="62"/>
      <c r="P59" s="110"/>
      <c r="Q59" s="81"/>
      <c r="R59" s="62"/>
      <c r="S59" s="564" t="str">
        <f>'COVER DN XUẤT'!D41</f>
        <v xml:space="preserve">         Ngày  23  tháng 02  năm 2026</v>
      </c>
      <c r="T59" s="564"/>
      <c r="U59" s="564"/>
      <c r="V59" s="564"/>
      <c r="W59" s="564"/>
      <c r="X59" s="564"/>
      <c r="Y59" s="564"/>
      <c r="Z59" s="565"/>
      <c r="AA59" s="564"/>
      <c r="AB59" s="564"/>
      <c r="AC59" s="564"/>
      <c r="AD59" s="83"/>
      <c r="AI59" s="56"/>
      <c r="AJ59" s="2"/>
      <c r="AK59" s="5"/>
      <c r="AM59" s="52"/>
      <c r="AN59" s="252"/>
      <c r="AO59" s="2"/>
      <c r="AP59" s="2"/>
      <c r="AQ59" s="2"/>
      <c r="AR59" s="2"/>
    </row>
    <row r="60" spans="1:48" ht="12" customHeight="1">
      <c r="B60" s="2"/>
      <c r="R60" s="52"/>
      <c r="S60" s="217"/>
      <c r="T60" s="218"/>
      <c r="U60" s="219"/>
      <c r="V60" s="220"/>
      <c r="W60" s="217"/>
      <c r="X60" s="219"/>
      <c r="Y60" s="219"/>
      <c r="Z60" s="221"/>
      <c r="AA60" s="219"/>
      <c r="AB60" s="219"/>
      <c r="AC60" s="217"/>
      <c r="AD60" s="84"/>
      <c r="AI60" s="56"/>
      <c r="AJ60" s="2"/>
      <c r="AK60" s="5"/>
      <c r="AM60" s="52"/>
      <c r="AN60" s="252"/>
      <c r="AO60" s="2"/>
      <c r="AP60" s="2"/>
      <c r="AQ60" s="2"/>
      <c r="AR60" s="2"/>
    </row>
    <row r="61" spans="1:48" ht="29.25" customHeight="1">
      <c r="B61" s="2"/>
      <c r="O61" s="88"/>
      <c r="P61" s="109"/>
      <c r="Q61" s="404"/>
      <c r="R61" s="88"/>
      <c r="S61" s="222"/>
      <c r="T61" s="566" t="s">
        <v>16</v>
      </c>
      <c r="U61" s="566"/>
      <c r="V61" s="566"/>
      <c r="W61" s="566"/>
      <c r="X61" s="566"/>
      <c r="Y61" s="566"/>
      <c r="Z61" s="567"/>
      <c r="AA61" s="566"/>
      <c r="AB61" s="566"/>
      <c r="AC61" s="222"/>
      <c r="AD61" s="85"/>
      <c r="AI61" s="56"/>
      <c r="AJ61" s="2"/>
      <c r="AK61" s="5"/>
      <c r="AM61" s="52"/>
      <c r="AN61" s="252"/>
      <c r="AO61" s="2"/>
      <c r="AP61" s="2"/>
      <c r="AQ61" s="2"/>
      <c r="AR61" s="2"/>
    </row>
    <row r="62" spans="1:48" ht="16.5">
      <c r="B62" s="2"/>
      <c r="AJ62" s="2"/>
      <c r="AK62" s="5"/>
      <c r="AM62" s="52"/>
      <c r="AN62" s="252"/>
      <c r="AO62" s="2"/>
      <c r="AP62" s="2"/>
      <c r="AQ62" s="2"/>
      <c r="AR62" s="2"/>
    </row>
    <row r="63" spans="1:48" ht="16.5">
      <c r="AN63" s="252"/>
    </row>
    <row r="64" spans="1:48" ht="16.5">
      <c r="AN64" s="252"/>
    </row>
    <row r="65" spans="11:44" ht="16.5">
      <c r="K65" s="361" t="s">
        <v>64</v>
      </c>
      <c r="AN65" s="252"/>
    </row>
    <row r="66" spans="11:44" ht="16.5">
      <c r="AN66" s="252"/>
    </row>
    <row r="67" spans="11:44" ht="16.5">
      <c r="AN67" s="252"/>
    </row>
    <row r="68" spans="11:44" ht="16.5">
      <c r="AN68" s="252"/>
    </row>
    <row r="69" spans="11:44" ht="16.5">
      <c r="AN69" s="252"/>
    </row>
    <row r="70" spans="11:44" ht="16.5">
      <c r="AN70" s="253"/>
    </row>
    <row r="71" spans="11:44" ht="16.5">
      <c r="AN71" s="253"/>
    </row>
    <row r="72" spans="11:44" ht="22.5">
      <c r="S72" s="5"/>
      <c r="AJ72" s="2"/>
      <c r="AK72" s="5"/>
      <c r="AM72" s="52"/>
      <c r="AN72" s="248"/>
      <c r="AO72" s="2"/>
      <c r="AP72" s="2"/>
      <c r="AQ72" s="2"/>
      <c r="AR72" s="2"/>
    </row>
  </sheetData>
  <autoFilter ref="A21:AR55"/>
  <mergeCells count="11">
    <mergeCell ref="A55:G55"/>
    <mergeCell ref="I57:K57"/>
    <mergeCell ref="A59:C59"/>
    <mergeCell ref="S59:AC59"/>
    <mergeCell ref="T61:AB61"/>
    <mergeCell ref="W19:X19"/>
    <mergeCell ref="A1:AC1"/>
    <mergeCell ref="A2:AC2"/>
    <mergeCell ref="A4:AC4"/>
    <mergeCell ref="Q18:R18"/>
    <mergeCell ref="W18:X18"/>
  </mergeCells>
  <conditionalFormatting sqref="Z21">
    <cfRule type="duplicateValues" dxfId="262" priority="135"/>
  </conditionalFormatting>
  <conditionalFormatting sqref="G55:G1048576 AH2:AH15 G1:G21 AH55:AH1048576 AH17:AH21">
    <cfRule type="duplicateValues" dxfId="261" priority="134"/>
  </conditionalFormatting>
  <conditionalFormatting sqref="N55:N1048576 N1:N13 N16:N21 AE9:AE10">
    <cfRule type="duplicateValues" dxfId="260" priority="133"/>
  </conditionalFormatting>
  <conditionalFormatting sqref="T55:T58 T1:T18 T62:T1048576 T60 T20:T21">
    <cfRule type="duplicateValues" dxfId="259" priority="132"/>
  </conditionalFormatting>
  <conditionalFormatting sqref="T55:T58 T1:T18 T62:T1048576 T60 T20:T21">
    <cfRule type="duplicateValues" dxfId="258" priority="136"/>
    <cfRule type="duplicateValues" dxfId="257" priority="137"/>
    <cfRule type="duplicateValues" dxfId="256" priority="138"/>
  </conditionalFormatting>
  <conditionalFormatting sqref="N55:N1048576 N1:N13 N16:N21 AE9:AE10">
    <cfRule type="duplicateValues" dxfId="255" priority="139"/>
    <cfRule type="duplicateValues" dxfId="254" priority="140"/>
    <cfRule type="duplicateValues" dxfId="253" priority="141"/>
    <cfRule type="duplicateValues" dxfId="252" priority="142"/>
    <cfRule type="duplicateValues" dxfId="251" priority="143"/>
  </conditionalFormatting>
  <conditionalFormatting sqref="D55:D1048576 D1:D9 D18:D21">
    <cfRule type="duplicateValues" dxfId="250" priority="144"/>
  </conditionalFormatting>
  <conditionalFormatting sqref="G55:G1048576 G1:G21 AD1:AD21 AD55:AD1048576">
    <cfRule type="duplicateValues" dxfId="249" priority="131"/>
  </conditionalFormatting>
  <conditionalFormatting sqref="T62:T1048576 T1:T18 T55:T58 T60 T20:T21">
    <cfRule type="duplicateValues" dxfId="248" priority="129"/>
    <cfRule type="duplicateValues" dxfId="247" priority="130"/>
  </conditionalFormatting>
  <conditionalFormatting sqref="G55:G1048576 G1:G21">
    <cfRule type="duplicateValues" dxfId="246" priority="128"/>
  </conditionalFormatting>
  <conditionalFormatting sqref="G55:G1048576">
    <cfRule type="duplicateValues" dxfId="245" priority="127"/>
  </conditionalFormatting>
  <conditionalFormatting sqref="AJ55">
    <cfRule type="duplicateValues" dxfId="244" priority="123"/>
    <cfRule type="duplicateValues" dxfId="243" priority="124"/>
  </conditionalFormatting>
  <conditionalFormatting sqref="AJ55">
    <cfRule type="duplicateValues" dxfId="242" priority="122"/>
  </conditionalFormatting>
  <conditionalFormatting sqref="AJ55">
    <cfRule type="duplicateValues" dxfId="241" priority="121"/>
  </conditionalFormatting>
  <conditionalFormatting sqref="AJ55">
    <cfRule type="duplicateValues" dxfId="240" priority="125"/>
  </conditionalFormatting>
  <conditionalFormatting sqref="AJ55">
    <cfRule type="duplicateValues" dxfId="239" priority="126"/>
  </conditionalFormatting>
  <conditionalFormatting sqref="AJ55">
    <cfRule type="duplicateValues" dxfId="238" priority="119"/>
    <cfRule type="duplicateValues" dxfId="237" priority="120"/>
  </conditionalFormatting>
  <conditionalFormatting sqref="AJ55">
    <cfRule type="duplicateValues" dxfId="236" priority="118"/>
  </conditionalFormatting>
  <conditionalFormatting sqref="AJ55">
    <cfRule type="duplicateValues" dxfId="235" priority="117"/>
  </conditionalFormatting>
  <conditionalFormatting sqref="F55:F1048576 F1:F21">
    <cfRule type="duplicateValues" dxfId="234" priority="116"/>
  </conditionalFormatting>
  <conditionalFormatting sqref="T55:T58 T60:T1048576">
    <cfRule type="duplicateValues" dxfId="233" priority="115"/>
  </conditionalFormatting>
  <conditionalFormatting sqref="N55:N1048576 N1:N13 N16:N21 AE9:AE10">
    <cfRule type="duplicateValues" dxfId="232" priority="145"/>
    <cfRule type="duplicateValues" dxfId="231" priority="146"/>
    <cfRule type="duplicateValues" dxfId="230" priority="147"/>
  </conditionalFormatting>
  <conditionalFormatting sqref="N55:N1048576">
    <cfRule type="duplicateValues" dxfId="229" priority="148"/>
  </conditionalFormatting>
  <conditionalFormatting sqref="T55:T58">
    <cfRule type="duplicateValues" dxfId="228" priority="149"/>
  </conditionalFormatting>
  <conditionalFormatting sqref="F55:F1048576">
    <cfRule type="duplicateValues" dxfId="227" priority="114"/>
  </conditionalFormatting>
  <conditionalFormatting sqref="T55:T58 T60:T1048576">
    <cfRule type="duplicateValues" dxfId="226" priority="150"/>
    <cfRule type="duplicateValues" dxfId="225" priority="151"/>
  </conditionalFormatting>
  <conditionalFormatting sqref="AD41">
    <cfRule type="duplicateValues" dxfId="224" priority="110"/>
  </conditionalFormatting>
  <conditionalFormatting sqref="AD41">
    <cfRule type="duplicateValues" dxfId="223" priority="111"/>
    <cfRule type="duplicateValues" dxfId="222" priority="112"/>
  </conditionalFormatting>
  <conditionalFormatting sqref="AD41">
    <cfRule type="duplicateValues" dxfId="221" priority="113"/>
  </conditionalFormatting>
  <conditionalFormatting sqref="AD49">
    <cfRule type="duplicateValues" dxfId="220" priority="106"/>
  </conditionalFormatting>
  <conditionalFormatting sqref="AD49">
    <cfRule type="duplicateValues" dxfId="219" priority="107"/>
    <cfRule type="duplicateValues" dxfId="218" priority="108"/>
  </conditionalFormatting>
  <conditionalFormatting sqref="AD49">
    <cfRule type="duplicateValues" dxfId="217" priority="109"/>
  </conditionalFormatting>
  <conditionalFormatting sqref="T60:T1048576 T1:T18 T55:T58 T20:T21">
    <cfRule type="duplicateValues" dxfId="216" priority="87"/>
    <cfRule type="duplicateValues" dxfId="215" priority="102"/>
    <cfRule type="duplicateValues" dxfId="214" priority="104"/>
    <cfRule type="duplicateValues" dxfId="213" priority="105"/>
  </conditionalFormatting>
  <conditionalFormatting sqref="Z60 Z1:Z21 Z62:Z1048576 Z55:Z58">
    <cfRule type="duplicateValues" dxfId="212" priority="103"/>
  </conditionalFormatting>
  <conditionalFormatting sqref="T60:T1048576 T1:T18 T55:T58 T20:T21">
    <cfRule type="duplicateValues" dxfId="211" priority="152"/>
  </conditionalFormatting>
  <conditionalFormatting sqref="AD42">
    <cfRule type="duplicateValues" dxfId="210" priority="98"/>
  </conditionalFormatting>
  <conditionalFormatting sqref="AD42">
    <cfRule type="duplicateValues" dxfId="209" priority="99"/>
    <cfRule type="duplicateValues" dxfId="208" priority="100"/>
  </conditionalFormatting>
  <conditionalFormatting sqref="AD42">
    <cfRule type="duplicateValues" dxfId="207" priority="101"/>
  </conditionalFormatting>
  <conditionalFormatting sqref="AD24">
    <cfRule type="duplicateValues" dxfId="206" priority="94"/>
  </conditionalFormatting>
  <conditionalFormatting sqref="AD24">
    <cfRule type="duplicateValues" dxfId="205" priority="95"/>
    <cfRule type="duplicateValues" dxfId="204" priority="96"/>
  </conditionalFormatting>
  <conditionalFormatting sqref="AD24">
    <cfRule type="duplicateValues" dxfId="203" priority="97"/>
  </conditionalFormatting>
  <conditionalFormatting sqref="AD27">
    <cfRule type="duplicateValues" dxfId="202" priority="90"/>
  </conditionalFormatting>
  <conditionalFormatting sqref="AD27">
    <cfRule type="duplicateValues" dxfId="201" priority="91"/>
    <cfRule type="duplicateValues" dxfId="200" priority="92"/>
  </conditionalFormatting>
  <conditionalFormatting sqref="AD27">
    <cfRule type="duplicateValues" dxfId="199" priority="93"/>
  </conditionalFormatting>
  <conditionalFormatting sqref="T60:T1048576 T1:T18 T55:T58 T20:T21">
    <cfRule type="duplicateValues" dxfId="198" priority="88"/>
    <cfRule type="duplicateValues" dxfId="197" priority="89"/>
  </conditionalFormatting>
  <conditionalFormatting sqref="N55:N1048576">
    <cfRule type="duplicateValues" dxfId="196" priority="153"/>
    <cfRule type="duplicateValues" dxfId="195" priority="154"/>
    <cfRule type="duplicateValues" dxfId="194" priority="155"/>
  </conditionalFormatting>
  <conditionalFormatting sqref="Z60">
    <cfRule type="duplicateValues" dxfId="193" priority="156"/>
  </conditionalFormatting>
  <conditionalFormatting sqref="I55:I1048576 I1:I21">
    <cfRule type="duplicateValues" dxfId="192" priority="157"/>
  </conditionalFormatting>
  <conditionalFormatting sqref="I55:I1048576">
    <cfRule type="duplicateValues" dxfId="191" priority="158"/>
  </conditionalFormatting>
  <conditionalFormatting sqref="T55:T58 T1:T18 T60:T1048576 T20:T21">
    <cfRule type="duplicateValues" dxfId="190" priority="159"/>
  </conditionalFormatting>
  <conditionalFormatting sqref="T55:T58 T1:T18 T60:T1048576 T20:T21">
    <cfRule type="duplicateValues" dxfId="189" priority="160"/>
    <cfRule type="duplicateValues" dxfId="188" priority="161"/>
  </conditionalFormatting>
  <conditionalFormatting sqref="T60:T1048576">
    <cfRule type="duplicateValues" dxfId="187" priority="86"/>
  </conditionalFormatting>
  <conditionalFormatting sqref="AD29:AD40">
    <cfRule type="duplicateValues" dxfId="186" priority="162"/>
  </conditionalFormatting>
  <conditionalFormatting sqref="D55:D1048576 D1:D9 D17:D21 AN1:AN21 AN73:AN1048576">
    <cfRule type="duplicateValues" dxfId="185" priority="85"/>
  </conditionalFormatting>
  <conditionalFormatting sqref="AH16">
    <cfRule type="duplicateValues" dxfId="184" priority="83"/>
  </conditionalFormatting>
  <conditionalFormatting sqref="AH16">
    <cfRule type="duplicateValues" dxfId="183" priority="77"/>
    <cfRule type="duplicateValues" dxfId="182" priority="78"/>
    <cfRule type="duplicateValues" dxfId="181" priority="79"/>
    <cfRule type="duplicateValues" dxfId="180" priority="80"/>
    <cfRule type="duplicateValues" dxfId="179" priority="81"/>
    <cfRule type="duplicateValues" dxfId="178" priority="82"/>
  </conditionalFormatting>
  <conditionalFormatting sqref="AH16">
    <cfRule type="duplicateValues" dxfId="177" priority="76"/>
  </conditionalFormatting>
  <conditionalFormatting sqref="AH16">
    <cfRule type="duplicateValues" dxfId="176" priority="84"/>
  </conditionalFormatting>
  <conditionalFormatting sqref="AN72">
    <cfRule type="duplicateValues" dxfId="175" priority="66"/>
  </conditionalFormatting>
  <conditionalFormatting sqref="AN60:AN69">
    <cfRule type="duplicateValues" dxfId="174" priority="65"/>
  </conditionalFormatting>
  <conditionalFormatting sqref="AN70:AN71">
    <cfRule type="duplicateValues" dxfId="173" priority="55"/>
    <cfRule type="duplicateValues" dxfId="172" priority="56"/>
  </conditionalFormatting>
  <conditionalFormatting sqref="AN70:AN71">
    <cfRule type="duplicateValues" dxfId="171" priority="54"/>
  </conditionalFormatting>
  <conditionalFormatting sqref="AN70:AN71">
    <cfRule type="duplicateValues" dxfId="170" priority="57"/>
    <cfRule type="duplicateValues" dxfId="169" priority="58"/>
  </conditionalFormatting>
  <conditionalFormatting sqref="AN70:AN71">
    <cfRule type="duplicateValues" dxfId="168" priority="59"/>
  </conditionalFormatting>
  <conditionalFormatting sqref="AN70:AN71">
    <cfRule type="duplicateValues" dxfId="167" priority="60"/>
    <cfRule type="duplicateValues" dxfId="166" priority="61"/>
  </conditionalFormatting>
  <conditionalFormatting sqref="AN70:AN71">
    <cfRule type="duplicateValues" dxfId="165" priority="62"/>
    <cfRule type="duplicateValues" dxfId="164" priority="63"/>
    <cfRule type="duplicateValues" dxfId="163" priority="64"/>
  </conditionalFormatting>
  <conditionalFormatting sqref="AN60:AN69">
    <cfRule type="duplicateValues" dxfId="162" priority="67"/>
  </conditionalFormatting>
  <conditionalFormatting sqref="AN72">
    <cfRule type="duplicateValues" dxfId="161" priority="68"/>
    <cfRule type="duplicateValues" dxfId="160" priority="69"/>
  </conditionalFormatting>
  <conditionalFormatting sqref="AN72">
    <cfRule type="duplicateValues" dxfId="159" priority="70"/>
  </conditionalFormatting>
  <conditionalFormatting sqref="AN72">
    <cfRule type="duplicateValues" dxfId="158" priority="71"/>
    <cfRule type="duplicateValues" dxfId="157" priority="72"/>
  </conditionalFormatting>
  <conditionalFormatting sqref="AN72">
    <cfRule type="duplicateValues" dxfId="156" priority="73"/>
    <cfRule type="duplicateValues" dxfId="155" priority="74"/>
    <cfRule type="duplicateValues" dxfId="154" priority="75"/>
  </conditionalFormatting>
  <conditionalFormatting sqref="AN24">
    <cfRule type="duplicateValues" dxfId="153" priority="51"/>
    <cfRule type="duplicateValues" dxfId="152" priority="52"/>
    <cfRule type="duplicateValues" dxfId="151" priority="53"/>
  </conditionalFormatting>
  <conditionalFormatting sqref="AN40">
    <cfRule type="duplicateValues" dxfId="150" priority="50"/>
  </conditionalFormatting>
  <conditionalFormatting sqref="N55:N1048576 N1:N13 N16:N21 AE9:AE10">
    <cfRule type="duplicateValues" dxfId="149" priority="163"/>
    <cfRule type="duplicateValues" dxfId="148" priority="164"/>
    <cfRule type="duplicateValues" dxfId="147" priority="165"/>
    <cfRule type="duplicateValues" dxfId="146" priority="166"/>
  </conditionalFormatting>
  <conditionalFormatting sqref="T55:T1048576 T1:T18 T20:T21">
    <cfRule type="duplicateValues" dxfId="145" priority="167"/>
    <cfRule type="duplicateValues" dxfId="144" priority="168"/>
    <cfRule type="duplicateValues" dxfId="143" priority="169"/>
  </conditionalFormatting>
  <conditionalFormatting sqref="T55:T1048576 T1:T18 T20:T21">
    <cfRule type="duplicateValues" dxfId="142" priority="170"/>
  </conditionalFormatting>
  <conditionalFormatting sqref="AN55:AN59">
    <cfRule type="duplicateValues" dxfId="141" priority="171"/>
  </conditionalFormatting>
  <conditionalFormatting sqref="Z24">
    <cfRule type="duplicateValues" dxfId="140" priority="47"/>
  </conditionalFormatting>
  <conditionalFormatting sqref="Z24">
    <cfRule type="duplicateValues" dxfId="139" priority="46"/>
  </conditionalFormatting>
  <conditionalFormatting sqref="Z27">
    <cfRule type="duplicateValues" dxfId="138" priority="45"/>
  </conditionalFormatting>
  <conditionalFormatting sqref="Z27">
    <cfRule type="duplicateValues" dxfId="137" priority="44"/>
  </conditionalFormatting>
  <conditionalFormatting sqref="Z41 Z52">
    <cfRule type="duplicateValues" dxfId="136" priority="48"/>
  </conditionalFormatting>
  <conditionalFormatting sqref="Z47 Z45 Z32">
    <cfRule type="duplicateValues" dxfId="135" priority="49"/>
  </conditionalFormatting>
  <conditionalFormatting sqref="I1:I1048576">
    <cfRule type="duplicateValues" dxfId="134" priority="43"/>
  </conditionalFormatting>
  <conditionalFormatting sqref="N1:N13 N16:N1048576 AE9:AE10">
    <cfRule type="duplicateValues" dxfId="133" priority="42"/>
  </conditionalFormatting>
  <conditionalFormatting sqref="T1:T1048576">
    <cfRule type="duplicateValues" dxfId="132" priority="41"/>
  </conditionalFormatting>
  <conditionalFormatting sqref="AT49">
    <cfRule type="duplicateValues" dxfId="131" priority="31"/>
    <cfRule type="duplicateValues" dxfId="130" priority="32"/>
    <cfRule type="duplicateValues" dxfId="129" priority="33"/>
    <cfRule type="duplicateValues" dxfId="128" priority="34"/>
  </conditionalFormatting>
  <conditionalFormatting sqref="AT49">
    <cfRule type="duplicateValues" dxfId="127" priority="35"/>
  </conditionalFormatting>
  <conditionalFormatting sqref="AT49">
    <cfRule type="duplicateValues" dxfId="126" priority="36"/>
    <cfRule type="duplicateValues" dxfId="125" priority="37"/>
  </conditionalFormatting>
  <conditionalFormatting sqref="AT49">
    <cfRule type="duplicateValues" dxfId="124" priority="38"/>
    <cfRule type="duplicateValues" dxfId="123" priority="39"/>
    <cfRule type="duplicateValues" dxfId="122" priority="40"/>
  </conditionalFormatting>
  <conditionalFormatting sqref="AT49">
    <cfRule type="duplicateValues" dxfId="121" priority="30"/>
  </conditionalFormatting>
  <conditionalFormatting sqref="AT49">
    <cfRule type="duplicateValues" dxfId="120" priority="29"/>
  </conditionalFormatting>
  <conditionalFormatting sqref="AN23:AN46">
    <cfRule type="duplicateValues" dxfId="119" priority="172"/>
    <cfRule type="duplicateValues" dxfId="118" priority="173"/>
    <cfRule type="duplicateValues" dxfId="117" priority="174"/>
    <cfRule type="duplicateValues" dxfId="116" priority="175"/>
  </conditionalFormatting>
  <conditionalFormatting sqref="I55:I1048576 I1:I21">
    <cfRule type="duplicateValues" dxfId="115" priority="176"/>
    <cfRule type="duplicateValues" dxfId="114" priority="177"/>
    <cfRule type="duplicateValues" dxfId="113" priority="178"/>
  </conditionalFormatting>
  <conditionalFormatting sqref="I55:I1048576 I1:I21 AM1:AM1048576">
    <cfRule type="duplicateValues" dxfId="112" priority="179"/>
    <cfRule type="duplicateValues" dxfId="111" priority="180"/>
  </conditionalFormatting>
  <conditionalFormatting sqref="I55:I1048576 I1:I21 AM1:AM1048576">
    <cfRule type="duplicateValues" dxfId="110" priority="181"/>
  </conditionalFormatting>
  <conditionalFormatting sqref="I55:I1048576 I1:I21">
    <cfRule type="duplicateValues" dxfId="109" priority="182"/>
    <cfRule type="duplicateValues" dxfId="108" priority="183"/>
  </conditionalFormatting>
  <conditionalFormatting sqref="Z26">
    <cfRule type="duplicateValues" dxfId="107" priority="25"/>
  </conditionalFormatting>
  <conditionalFormatting sqref="Z26">
    <cfRule type="duplicateValues" dxfId="106" priority="24"/>
  </conditionalFormatting>
  <conditionalFormatting sqref="AD26">
    <cfRule type="duplicateValues" dxfId="105" priority="26"/>
  </conditionalFormatting>
  <conditionalFormatting sqref="AD26">
    <cfRule type="duplicateValues" dxfId="104" priority="27"/>
    <cfRule type="duplicateValues" dxfId="103" priority="28"/>
  </conditionalFormatting>
  <conditionalFormatting sqref="G22:G24">
    <cfRule type="duplicateValues" dxfId="102" priority="20"/>
  </conditionalFormatting>
  <conditionalFormatting sqref="G22:G24">
    <cfRule type="duplicateValues" dxfId="101" priority="19"/>
  </conditionalFormatting>
  <conditionalFormatting sqref="C22:C24">
    <cfRule type="duplicateValues" dxfId="100" priority="18"/>
  </conditionalFormatting>
  <conditionalFormatting sqref="G25:G27">
    <cfRule type="duplicateValues" dxfId="99" priority="16"/>
    <cfRule type="duplicateValues" dxfId="98" priority="17"/>
  </conditionalFormatting>
  <conditionalFormatting sqref="G25:G27">
    <cfRule type="duplicateValues" dxfId="97" priority="15"/>
  </conditionalFormatting>
  <conditionalFormatting sqref="G25:G27">
    <cfRule type="duplicateValues" dxfId="96" priority="14"/>
  </conditionalFormatting>
  <conditionalFormatting sqref="G25:G30">
    <cfRule type="duplicateValues" dxfId="95" priority="13"/>
  </conditionalFormatting>
  <conditionalFormatting sqref="G31:G34">
    <cfRule type="duplicateValues" dxfId="94" priority="21"/>
  </conditionalFormatting>
  <conditionalFormatting sqref="D22:D34">
    <cfRule type="duplicateValues" dxfId="93" priority="22"/>
    <cfRule type="duplicateValues" dxfId="92" priority="23"/>
  </conditionalFormatting>
  <conditionalFormatting sqref="F35:F54">
    <cfRule type="duplicateValues" dxfId="91" priority="3"/>
  </conditionalFormatting>
  <conditionalFormatting sqref="G35:G54">
    <cfRule type="duplicateValues" dxfId="90" priority="2"/>
  </conditionalFormatting>
  <conditionalFormatting sqref="G35:G54">
    <cfRule type="duplicateValues" dxfId="89" priority="4"/>
    <cfRule type="duplicateValues" dxfId="88" priority="5"/>
  </conditionalFormatting>
  <conditionalFormatting sqref="D35:D54">
    <cfRule type="duplicateValues" dxfId="87" priority="6"/>
  </conditionalFormatting>
  <conditionalFormatting sqref="G35:G54">
    <cfRule type="duplicateValues" dxfId="86" priority="7"/>
    <cfRule type="duplicateValues" dxfId="85" priority="8"/>
    <cfRule type="duplicateValues" dxfId="84" priority="9"/>
  </conditionalFormatting>
  <conditionalFormatting sqref="G35:G54">
    <cfRule type="duplicateValues" dxfId="83" priority="10"/>
    <cfRule type="duplicateValues" dxfId="82" priority="11"/>
    <cfRule type="duplicateValues" dxfId="81" priority="12"/>
  </conditionalFormatting>
  <conditionalFormatting sqref="G35:G54">
    <cfRule type="duplicateValues" dxfId="80" priority="1"/>
  </conditionalFormatting>
  <conditionalFormatting sqref="Z55:Z1048576 Z1:Z21">
    <cfRule type="duplicateValues" dxfId="79" priority="184"/>
  </conditionalFormatting>
  <conditionalFormatting sqref="Z43:Z44 Z22:Z23 Z25 Z28:Z31 Z36:Z41 Z33 Z46 Z48 Z50:Z54">
    <cfRule type="duplicateValues" dxfId="78" priority="185"/>
  </conditionalFormatting>
  <conditionalFormatting sqref="Z43:Z44 Z22:Z23 Z50:Z51 Z25 Z28:Z31 Z36:Z40 Z33 Z46 Z48 Z53:Z54">
    <cfRule type="duplicateValues" dxfId="77" priority="186"/>
  </conditionalFormatting>
  <conditionalFormatting sqref="AN23:AN54">
    <cfRule type="duplicateValues" dxfId="76" priority="187"/>
  </conditionalFormatting>
  <conditionalFormatting sqref="AN23:AN54">
    <cfRule type="duplicateValues" dxfId="75" priority="188"/>
    <cfRule type="duplicateValues" dxfId="74" priority="189"/>
    <cfRule type="duplicateValues" dxfId="73" priority="190"/>
  </conditionalFormatting>
  <conditionalFormatting sqref="Z22:Z25 Z27:Z54">
    <cfRule type="duplicateValues" dxfId="72" priority="191"/>
  </conditionalFormatting>
  <conditionalFormatting sqref="T22:T54">
    <cfRule type="duplicateValues" dxfId="71" priority="192"/>
    <cfRule type="duplicateValues" dxfId="70" priority="193"/>
    <cfRule type="duplicateValues" dxfId="69" priority="194"/>
    <cfRule type="duplicateValues" dxfId="68" priority="195"/>
  </conditionalFormatting>
  <conditionalFormatting sqref="N22:N54">
    <cfRule type="duplicateValues" dxfId="67" priority="196"/>
    <cfRule type="duplicateValues" dxfId="66" priority="197"/>
    <cfRule type="duplicateValues" dxfId="65" priority="198"/>
    <cfRule type="duplicateValues" dxfId="64" priority="199"/>
  </conditionalFormatting>
  <conditionalFormatting sqref="N22:N54">
    <cfRule type="duplicateValues" dxfId="63" priority="200"/>
  </conditionalFormatting>
  <conditionalFormatting sqref="T22:T54">
    <cfRule type="duplicateValues" dxfId="62" priority="201"/>
  </conditionalFormatting>
  <conditionalFormatting sqref="T22:T54">
    <cfRule type="duplicateValues" dxfId="61" priority="202"/>
    <cfRule type="duplicateValues" dxfId="60" priority="203"/>
  </conditionalFormatting>
  <conditionalFormatting sqref="T22:T54">
    <cfRule type="duplicateValues" dxfId="59" priority="204"/>
    <cfRule type="duplicateValues" dxfId="58" priority="205"/>
    <cfRule type="duplicateValues" dxfId="57" priority="206"/>
  </conditionalFormatting>
  <conditionalFormatting sqref="N22:N54">
    <cfRule type="duplicateValues" dxfId="56" priority="207"/>
    <cfRule type="duplicateValues" dxfId="55" priority="208"/>
    <cfRule type="duplicateValues" dxfId="54" priority="209"/>
  </conditionalFormatting>
  <conditionalFormatting sqref="AG53:AG54">
    <cfRule type="duplicateValues" dxfId="53" priority="210"/>
    <cfRule type="duplicateValues" dxfId="52" priority="211"/>
  </conditionalFormatting>
  <conditionalFormatting sqref="AG53:AG54">
    <cfRule type="duplicateValues" dxfId="51" priority="212"/>
  </conditionalFormatting>
  <conditionalFormatting sqref="AN22:AN59">
    <cfRule type="duplicateValues" dxfId="50" priority="213"/>
  </conditionalFormatting>
  <conditionalFormatting sqref="AD43:AD48 AD22:AD23 AD50:AD54 AD25 AD28:AD40">
    <cfRule type="duplicateValues" dxfId="49" priority="214"/>
  </conditionalFormatting>
  <conditionalFormatting sqref="AD43:AD48 AD22:AD23 AD50:AD54 AD25 AD28:AD40">
    <cfRule type="duplicateValues" dxfId="48" priority="215"/>
    <cfRule type="duplicateValues" dxfId="47" priority="216"/>
  </conditionalFormatting>
  <conditionalFormatting sqref="I22:I54">
    <cfRule type="duplicateValues" dxfId="46" priority="217"/>
    <cfRule type="duplicateValues" dxfId="45" priority="218"/>
    <cfRule type="duplicateValues" dxfId="44" priority="219"/>
    <cfRule type="duplicateValues" dxfId="43" priority="220"/>
  </conditionalFormatting>
  <conditionalFormatting sqref="I22:I54">
    <cfRule type="duplicateValues" dxfId="42" priority="221"/>
    <cfRule type="duplicateValues" dxfId="41" priority="222"/>
  </conditionalFormatting>
  <conditionalFormatting sqref="I22:I54">
    <cfRule type="duplicateValues" dxfId="40" priority="223"/>
  </conditionalFormatting>
  <conditionalFormatting sqref="AK22:AK54">
    <cfRule type="duplicateValues" dxfId="39" priority="224"/>
  </conditionalFormatting>
  <conditionalFormatting sqref="AK22:AK54">
    <cfRule type="duplicateValues" dxfId="38" priority="225"/>
    <cfRule type="duplicateValues" dxfId="37" priority="226"/>
    <cfRule type="duplicateValues" dxfId="36" priority="227"/>
    <cfRule type="duplicateValues" dxfId="35" priority="228"/>
    <cfRule type="duplicateValues" dxfId="34" priority="229"/>
    <cfRule type="duplicateValues" dxfId="33" priority="230"/>
  </conditionalFormatting>
  <conditionalFormatting sqref="AN23:AN54">
    <cfRule type="duplicateValues" dxfId="32" priority="231"/>
    <cfRule type="duplicateValues" dxfId="31" priority="232"/>
  </conditionalFormatting>
  <conditionalFormatting sqref="AN22:AN54">
    <cfRule type="duplicateValues" dxfId="30" priority="233"/>
    <cfRule type="duplicateValues" dxfId="29" priority="234"/>
  </conditionalFormatting>
  <conditionalFormatting sqref="AN22:AN54">
    <cfRule type="duplicateValues" dxfId="28" priority="235"/>
  </conditionalFormatting>
  <conditionalFormatting sqref="AN22:AN54">
    <cfRule type="duplicateValues" dxfId="27" priority="236"/>
    <cfRule type="duplicateValues" dxfId="26" priority="237"/>
    <cfRule type="duplicateValues" dxfId="25" priority="238"/>
    <cfRule type="duplicateValues" dxfId="24" priority="239"/>
  </conditionalFormatting>
  <conditionalFormatting sqref="AN22:AN54">
    <cfRule type="duplicateValues" dxfId="23" priority="240"/>
    <cfRule type="duplicateValues" dxfId="22" priority="241"/>
    <cfRule type="duplicateValues" dxfId="21" priority="242"/>
  </conditionalFormatting>
  <conditionalFormatting sqref="AL22:AL54">
    <cfRule type="duplicateValues" dxfId="20" priority="243"/>
  </conditionalFormatting>
  <conditionalFormatting sqref="AL22:AL54">
    <cfRule type="duplicateValues" dxfId="19" priority="244"/>
    <cfRule type="duplicateValues" dxfId="18" priority="245"/>
    <cfRule type="duplicateValues" dxfId="17" priority="246"/>
    <cfRule type="duplicateValues" dxfId="16" priority="247"/>
    <cfRule type="duplicateValues" dxfId="15" priority="248"/>
    <cfRule type="duplicateValues" dxfId="14" priority="249"/>
  </conditionalFormatting>
  <pageMargins left="0.28000000000000003" right="0.2" top="0.23" bottom="0.24" header="0.2" footer="0.2"/>
  <pageSetup paperSize="9" scale="23" fitToHeight="0" orientation="landscape" r:id="rId1"/>
  <colBreaks count="1" manualBreakCount="1">
    <brk id="2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E3:T628"/>
  <sheetViews>
    <sheetView topLeftCell="A82" zoomScale="85" zoomScaleNormal="85" workbookViewId="0">
      <selection activeCell="G83" sqref="G83"/>
    </sheetView>
  </sheetViews>
  <sheetFormatPr defaultRowHeight="15"/>
  <cols>
    <col min="7" max="7" width="9.42578125" customWidth="1"/>
    <col min="10" max="10" width="24.140625" style="484" customWidth="1"/>
    <col min="11" max="11" width="15.5703125" style="330" customWidth="1"/>
    <col min="12" max="12" width="14.28515625" customWidth="1"/>
    <col min="13" max="13" width="15.140625" customWidth="1"/>
    <col min="14" max="14" width="17.42578125" customWidth="1"/>
    <col min="15" max="15" width="19.85546875" customWidth="1"/>
    <col min="18" max="18" width="14.7109375" customWidth="1"/>
    <col min="20" max="20" width="23.85546875" customWidth="1"/>
  </cols>
  <sheetData>
    <row r="3" spans="6:18" ht="15.75" thickBot="1"/>
    <row r="4" spans="6:18" ht="50.25" thickBot="1">
      <c r="F4" s="190" t="s">
        <v>9</v>
      </c>
      <c r="G4" s="191" t="s">
        <v>66</v>
      </c>
      <c r="H4" s="191" t="s">
        <v>67</v>
      </c>
      <c r="I4" s="191" t="s">
        <v>68</v>
      </c>
      <c r="J4" s="194" t="s">
        <v>69</v>
      </c>
      <c r="K4" s="191" t="s">
        <v>70</v>
      </c>
      <c r="L4" s="191" t="s">
        <v>71</v>
      </c>
      <c r="M4" s="191" t="s">
        <v>72</v>
      </c>
      <c r="N4" s="191" t="s">
        <v>73</v>
      </c>
      <c r="O4" s="191" t="s">
        <v>74</v>
      </c>
      <c r="P4" s="191" t="s">
        <v>75</v>
      </c>
      <c r="Q4" s="191" t="s">
        <v>76</v>
      </c>
      <c r="R4" s="191" t="s">
        <v>77</v>
      </c>
    </row>
    <row r="5" spans="6:18" ht="33.75" thickBot="1">
      <c r="F5" s="207">
        <v>1</v>
      </c>
      <c r="G5" s="208" t="s">
        <v>520</v>
      </c>
      <c r="H5" s="208" t="s">
        <v>520</v>
      </c>
      <c r="I5" s="208" t="s">
        <v>68</v>
      </c>
      <c r="J5" s="485">
        <v>107973124450</v>
      </c>
      <c r="K5" s="449">
        <v>46062</v>
      </c>
      <c r="L5" s="209" t="s">
        <v>521</v>
      </c>
      <c r="M5" s="209" t="s">
        <v>522</v>
      </c>
      <c r="N5" s="210">
        <v>1083328</v>
      </c>
      <c r="O5" s="211">
        <v>46063</v>
      </c>
      <c r="P5" s="212" t="s">
        <v>523</v>
      </c>
      <c r="Q5" s="213">
        <v>500</v>
      </c>
      <c r="R5" s="208" t="s">
        <v>524</v>
      </c>
    </row>
    <row r="6" spans="6:18" ht="33.75" thickBot="1">
      <c r="F6" s="193">
        <v>2</v>
      </c>
      <c r="G6" s="184" t="s">
        <v>520</v>
      </c>
      <c r="H6" s="184" t="s">
        <v>520</v>
      </c>
      <c r="I6" s="184" t="s">
        <v>68</v>
      </c>
      <c r="J6" s="195">
        <v>308233036000</v>
      </c>
      <c r="K6" s="472">
        <v>46059</v>
      </c>
      <c r="L6" s="185" t="s">
        <v>525</v>
      </c>
      <c r="M6" s="185" t="s">
        <v>526</v>
      </c>
      <c r="N6" s="186">
        <v>650607</v>
      </c>
      <c r="O6" s="187">
        <v>46063</v>
      </c>
      <c r="P6" s="188" t="s">
        <v>523</v>
      </c>
      <c r="Q6" s="189">
        <v>250</v>
      </c>
      <c r="R6" s="184" t="s">
        <v>527</v>
      </c>
    </row>
    <row r="7" spans="6:18" ht="33.75" thickBot="1">
      <c r="F7" s="192">
        <v>3</v>
      </c>
      <c r="G7" s="178" t="s">
        <v>520</v>
      </c>
      <c r="H7" s="178" t="s">
        <v>520</v>
      </c>
      <c r="I7" s="178" t="s">
        <v>68</v>
      </c>
      <c r="J7" s="486">
        <v>308244872630</v>
      </c>
      <c r="K7" s="473">
        <v>46063</v>
      </c>
      <c r="L7" s="179" t="s">
        <v>525</v>
      </c>
      <c r="M7" s="179" t="s">
        <v>526</v>
      </c>
      <c r="N7" s="180">
        <v>650603</v>
      </c>
      <c r="O7" s="181">
        <v>46063</v>
      </c>
      <c r="P7" s="182" t="s">
        <v>523</v>
      </c>
      <c r="Q7" s="183">
        <v>500</v>
      </c>
      <c r="R7" s="178" t="s">
        <v>528</v>
      </c>
    </row>
    <row r="8" spans="6:18" ht="33.75" thickBot="1">
      <c r="F8" s="193">
        <v>4</v>
      </c>
      <c r="G8" s="184" t="s">
        <v>520</v>
      </c>
      <c r="H8" s="184" t="s">
        <v>520</v>
      </c>
      <c r="I8" s="184" t="s">
        <v>68</v>
      </c>
      <c r="J8" s="195">
        <v>308240538230</v>
      </c>
      <c r="K8" s="472">
        <v>46063</v>
      </c>
      <c r="L8" s="185" t="s">
        <v>525</v>
      </c>
      <c r="M8" s="185" t="s">
        <v>526</v>
      </c>
      <c r="N8" s="186">
        <v>650602</v>
      </c>
      <c r="O8" s="187">
        <v>46063</v>
      </c>
      <c r="P8" s="188" t="s">
        <v>523</v>
      </c>
      <c r="Q8" s="189">
        <v>500</v>
      </c>
      <c r="R8" s="184" t="s">
        <v>529</v>
      </c>
    </row>
    <row r="9" spans="6:18" ht="33.75" thickBot="1">
      <c r="F9" s="192">
        <v>5</v>
      </c>
      <c r="G9" s="178" t="s">
        <v>520</v>
      </c>
      <c r="H9" s="178" t="s">
        <v>520</v>
      </c>
      <c r="I9" s="178" t="s">
        <v>68</v>
      </c>
      <c r="J9" s="486">
        <v>308240529460</v>
      </c>
      <c r="K9" s="473">
        <v>46063</v>
      </c>
      <c r="L9" s="179" t="s">
        <v>525</v>
      </c>
      <c r="M9" s="179" t="s">
        <v>526</v>
      </c>
      <c r="N9" s="180">
        <v>650601</v>
      </c>
      <c r="O9" s="181">
        <v>46063</v>
      </c>
      <c r="P9" s="182" t="s">
        <v>523</v>
      </c>
      <c r="Q9" s="183">
        <v>250</v>
      </c>
      <c r="R9" s="178" t="s">
        <v>530</v>
      </c>
    </row>
    <row r="10" spans="6:18" ht="33.75" thickBot="1">
      <c r="F10" s="193">
        <v>6</v>
      </c>
      <c r="G10" s="184" t="s">
        <v>520</v>
      </c>
      <c r="H10" s="184" t="s">
        <v>520</v>
      </c>
      <c r="I10" s="184" t="s">
        <v>68</v>
      </c>
      <c r="J10" s="195">
        <v>308228536360</v>
      </c>
      <c r="K10" s="472">
        <v>46059</v>
      </c>
      <c r="L10" s="185" t="s">
        <v>525</v>
      </c>
      <c r="M10" s="185" t="s">
        <v>526</v>
      </c>
      <c r="N10" s="186">
        <v>650595</v>
      </c>
      <c r="O10" s="187">
        <v>46063</v>
      </c>
      <c r="P10" s="188" t="s">
        <v>523</v>
      </c>
      <c r="Q10" s="189">
        <v>250</v>
      </c>
      <c r="R10" s="184" t="s">
        <v>531</v>
      </c>
    </row>
    <row r="11" spans="6:18" ht="33.75" thickBot="1">
      <c r="F11" s="192">
        <v>7</v>
      </c>
      <c r="G11" s="178" t="s">
        <v>520</v>
      </c>
      <c r="H11" s="178" t="s">
        <v>520</v>
      </c>
      <c r="I11" s="178" t="s">
        <v>68</v>
      </c>
      <c r="J11" s="486">
        <v>308240528100</v>
      </c>
      <c r="K11" s="473">
        <v>46063</v>
      </c>
      <c r="L11" s="179" t="s">
        <v>525</v>
      </c>
      <c r="M11" s="179" t="s">
        <v>526</v>
      </c>
      <c r="N11" s="180">
        <v>650591</v>
      </c>
      <c r="O11" s="181">
        <v>46063</v>
      </c>
      <c r="P11" s="182" t="s">
        <v>523</v>
      </c>
      <c r="Q11" s="183">
        <v>250</v>
      </c>
      <c r="R11" s="178" t="s">
        <v>532</v>
      </c>
    </row>
    <row r="12" spans="6:18" ht="33.75" thickBot="1">
      <c r="F12" s="193">
        <v>8</v>
      </c>
      <c r="G12" s="184" t="s">
        <v>520</v>
      </c>
      <c r="H12" s="184" t="s">
        <v>520</v>
      </c>
      <c r="I12" s="184" t="s">
        <v>68</v>
      </c>
      <c r="J12" s="195">
        <v>308240517600</v>
      </c>
      <c r="K12" s="472">
        <v>46062</v>
      </c>
      <c r="L12" s="185" t="s">
        <v>525</v>
      </c>
      <c r="M12" s="185" t="s">
        <v>526</v>
      </c>
      <c r="N12" s="186">
        <v>650542</v>
      </c>
      <c r="O12" s="187">
        <v>46063</v>
      </c>
      <c r="P12" s="188" t="s">
        <v>523</v>
      </c>
      <c r="Q12" s="189">
        <v>500</v>
      </c>
      <c r="R12" s="184" t="s">
        <v>533</v>
      </c>
    </row>
    <row r="13" spans="6:18" ht="33.75" thickBot="1">
      <c r="F13" s="192">
        <v>9</v>
      </c>
      <c r="G13" s="178" t="s">
        <v>520</v>
      </c>
      <c r="H13" s="178" t="s">
        <v>520</v>
      </c>
      <c r="I13" s="178" t="s">
        <v>68</v>
      </c>
      <c r="J13" s="486">
        <v>308240523640</v>
      </c>
      <c r="K13" s="473">
        <v>46063</v>
      </c>
      <c r="L13" s="179" t="s">
        <v>525</v>
      </c>
      <c r="M13" s="179" t="s">
        <v>522</v>
      </c>
      <c r="N13" s="180">
        <v>1081478</v>
      </c>
      <c r="O13" s="181">
        <v>46063</v>
      </c>
      <c r="P13" s="182" t="s">
        <v>523</v>
      </c>
      <c r="Q13" s="183">
        <v>500</v>
      </c>
      <c r="R13" s="178" t="s">
        <v>534</v>
      </c>
    </row>
    <row r="14" spans="6:18" ht="33.75" thickBot="1">
      <c r="F14" s="193">
        <v>10</v>
      </c>
      <c r="G14" s="184" t="s">
        <v>520</v>
      </c>
      <c r="H14" s="184" t="s">
        <v>520</v>
      </c>
      <c r="I14" s="184" t="s">
        <v>68</v>
      </c>
      <c r="J14" s="195">
        <v>308240526000</v>
      </c>
      <c r="K14" s="472">
        <v>46063</v>
      </c>
      <c r="L14" s="185" t="s">
        <v>525</v>
      </c>
      <c r="M14" s="185" t="s">
        <v>522</v>
      </c>
      <c r="N14" s="186">
        <v>1081472</v>
      </c>
      <c r="O14" s="187">
        <v>46063</v>
      </c>
      <c r="P14" s="188" t="s">
        <v>523</v>
      </c>
      <c r="Q14" s="189">
        <v>500</v>
      </c>
      <c r="R14" s="184" t="s">
        <v>535</v>
      </c>
    </row>
    <row r="15" spans="6:18" ht="33.75" thickBot="1">
      <c r="F15" s="192">
        <v>11</v>
      </c>
      <c r="G15" s="178" t="s">
        <v>520</v>
      </c>
      <c r="H15" s="178" t="s">
        <v>520</v>
      </c>
      <c r="I15" s="178" t="s">
        <v>68</v>
      </c>
      <c r="J15" s="486">
        <v>308237816300</v>
      </c>
      <c r="K15" s="473">
        <v>46061</v>
      </c>
      <c r="L15" s="179" t="s">
        <v>525</v>
      </c>
      <c r="M15" s="179" t="s">
        <v>522</v>
      </c>
      <c r="N15" s="180">
        <v>1081063</v>
      </c>
      <c r="O15" s="181">
        <v>46063</v>
      </c>
      <c r="P15" s="182" t="s">
        <v>523</v>
      </c>
      <c r="Q15" s="183">
        <v>500</v>
      </c>
      <c r="R15" s="178" t="s">
        <v>536</v>
      </c>
    </row>
    <row r="16" spans="6:18" ht="33.75" thickBot="1">
      <c r="F16" s="193">
        <v>12</v>
      </c>
      <c r="G16" s="184" t="s">
        <v>520</v>
      </c>
      <c r="H16" s="184" t="s">
        <v>520</v>
      </c>
      <c r="I16" s="184" t="s">
        <v>68</v>
      </c>
      <c r="J16" s="195">
        <v>308237561720</v>
      </c>
      <c r="K16" s="472">
        <v>46060</v>
      </c>
      <c r="L16" s="185" t="s">
        <v>525</v>
      </c>
      <c r="M16" s="185" t="s">
        <v>522</v>
      </c>
      <c r="N16" s="186">
        <v>1081058</v>
      </c>
      <c r="O16" s="187">
        <v>46063</v>
      </c>
      <c r="P16" s="188" t="s">
        <v>523</v>
      </c>
      <c r="Q16" s="189">
        <v>500</v>
      </c>
      <c r="R16" s="184" t="s">
        <v>537</v>
      </c>
    </row>
    <row r="17" spans="6:18" ht="33.75" thickBot="1">
      <c r="F17" s="192">
        <v>13</v>
      </c>
      <c r="G17" s="178" t="s">
        <v>520</v>
      </c>
      <c r="H17" s="178" t="s">
        <v>520</v>
      </c>
      <c r="I17" s="178" t="s">
        <v>68</v>
      </c>
      <c r="J17" s="486">
        <v>308237780450</v>
      </c>
      <c r="K17" s="473">
        <v>46061</v>
      </c>
      <c r="L17" s="179" t="s">
        <v>525</v>
      </c>
      <c r="M17" s="179" t="s">
        <v>522</v>
      </c>
      <c r="N17" s="180">
        <v>1081056</v>
      </c>
      <c r="O17" s="181">
        <v>46063</v>
      </c>
      <c r="P17" s="182" t="s">
        <v>523</v>
      </c>
      <c r="Q17" s="183">
        <v>500</v>
      </c>
      <c r="R17" s="178" t="s">
        <v>538</v>
      </c>
    </row>
    <row r="18" spans="6:18" ht="33.75" thickBot="1">
      <c r="F18" s="193">
        <v>14</v>
      </c>
      <c r="G18" s="184" t="s">
        <v>520</v>
      </c>
      <c r="H18" s="184" t="s">
        <v>520</v>
      </c>
      <c r="I18" s="184" t="s">
        <v>68</v>
      </c>
      <c r="J18" s="195">
        <v>107975068500</v>
      </c>
      <c r="K18" s="472">
        <v>46062</v>
      </c>
      <c r="L18" s="185" t="s">
        <v>539</v>
      </c>
      <c r="M18" s="185" t="s">
        <v>526</v>
      </c>
      <c r="N18" s="186">
        <v>649411</v>
      </c>
      <c r="O18" s="187">
        <v>46063</v>
      </c>
      <c r="P18" s="188" t="s">
        <v>523</v>
      </c>
      <c r="Q18" s="189" t="s">
        <v>540</v>
      </c>
      <c r="R18" s="184" t="s">
        <v>541</v>
      </c>
    </row>
    <row r="19" spans="6:18" ht="33.75" thickBot="1">
      <c r="F19" s="192">
        <v>15</v>
      </c>
      <c r="G19" s="178" t="s">
        <v>520</v>
      </c>
      <c r="H19" s="178" t="s">
        <v>520</v>
      </c>
      <c r="I19" s="178" t="s">
        <v>68</v>
      </c>
      <c r="J19" s="486">
        <v>107969675920</v>
      </c>
      <c r="K19" s="473">
        <v>46060</v>
      </c>
      <c r="L19" s="179" t="s">
        <v>542</v>
      </c>
      <c r="M19" s="179" t="s">
        <v>522</v>
      </c>
      <c r="N19" s="180">
        <v>1077584</v>
      </c>
      <c r="O19" s="181">
        <v>46062</v>
      </c>
      <c r="P19" s="182" t="s">
        <v>523</v>
      </c>
      <c r="Q19" s="183">
        <v>500</v>
      </c>
      <c r="R19" s="178" t="s">
        <v>543</v>
      </c>
    </row>
    <row r="20" spans="6:18" ht="33.75" thickBot="1">
      <c r="F20" s="193">
        <v>16</v>
      </c>
      <c r="G20" s="184" t="s">
        <v>520</v>
      </c>
      <c r="H20" s="184" t="s">
        <v>520</v>
      </c>
      <c r="I20" s="184" t="s">
        <v>68</v>
      </c>
      <c r="J20" s="195">
        <v>308233402910</v>
      </c>
      <c r="K20" s="472">
        <v>46059</v>
      </c>
      <c r="L20" s="185" t="s">
        <v>525</v>
      </c>
      <c r="M20" s="185" t="s">
        <v>522</v>
      </c>
      <c r="N20" s="186">
        <v>1075808</v>
      </c>
      <c r="O20" s="187">
        <v>46062</v>
      </c>
      <c r="P20" s="188" t="s">
        <v>523</v>
      </c>
      <c r="Q20" s="189">
        <v>500</v>
      </c>
      <c r="R20" s="184" t="s">
        <v>544</v>
      </c>
    </row>
    <row r="21" spans="6:18" ht="33.75" thickBot="1">
      <c r="F21" s="192">
        <v>17</v>
      </c>
      <c r="G21" s="178" t="s">
        <v>520</v>
      </c>
      <c r="H21" s="178" t="s">
        <v>520</v>
      </c>
      <c r="I21" s="178" t="s">
        <v>68</v>
      </c>
      <c r="J21" s="486">
        <v>308233684860</v>
      </c>
      <c r="K21" s="473">
        <v>46059</v>
      </c>
      <c r="L21" s="179" t="s">
        <v>525</v>
      </c>
      <c r="M21" s="179" t="s">
        <v>522</v>
      </c>
      <c r="N21" s="180">
        <v>1075792</v>
      </c>
      <c r="O21" s="181">
        <v>46062</v>
      </c>
      <c r="P21" s="182" t="s">
        <v>523</v>
      </c>
      <c r="Q21" s="183">
        <v>500</v>
      </c>
      <c r="R21" s="178" t="s">
        <v>545</v>
      </c>
    </row>
    <row r="22" spans="6:18" ht="33.75" thickBot="1">
      <c r="F22" s="193">
        <v>18</v>
      </c>
      <c r="G22" s="184" t="s">
        <v>520</v>
      </c>
      <c r="H22" s="184" t="s">
        <v>520</v>
      </c>
      <c r="I22" s="184" t="s">
        <v>68</v>
      </c>
      <c r="J22" s="195">
        <v>308233857210</v>
      </c>
      <c r="K22" s="472">
        <v>46059</v>
      </c>
      <c r="L22" s="185" t="s">
        <v>525</v>
      </c>
      <c r="M22" s="185" t="s">
        <v>522</v>
      </c>
      <c r="N22" s="186">
        <v>1075790</v>
      </c>
      <c r="O22" s="187">
        <v>46062</v>
      </c>
      <c r="P22" s="188" t="s">
        <v>523</v>
      </c>
      <c r="Q22" s="189">
        <v>500</v>
      </c>
      <c r="R22" s="184" t="s">
        <v>546</v>
      </c>
    </row>
    <row r="23" spans="6:18" ht="33.75" thickBot="1">
      <c r="F23" s="192">
        <v>19</v>
      </c>
      <c r="G23" s="178" t="s">
        <v>520</v>
      </c>
      <c r="H23" s="178" t="s">
        <v>520</v>
      </c>
      <c r="I23" s="178" t="s">
        <v>68</v>
      </c>
      <c r="J23" s="486">
        <v>308238120910</v>
      </c>
      <c r="K23" s="473">
        <v>46060</v>
      </c>
      <c r="L23" s="179" t="s">
        <v>525</v>
      </c>
      <c r="M23" s="179" t="s">
        <v>526</v>
      </c>
      <c r="N23" s="180">
        <v>647951</v>
      </c>
      <c r="O23" s="181">
        <v>46062</v>
      </c>
      <c r="P23" s="182" t="s">
        <v>523</v>
      </c>
      <c r="Q23" s="183">
        <v>500</v>
      </c>
      <c r="R23" s="178" t="s">
        <v>547</v>
      </c>
    </row>
    <row r="24" spans="6:18" ht="33.75" thickBot="1">
      <c r="F24" s="193">
        <v>20</v>
      </c>
      <c r="G24" s="184" t="s">
        <v>520</v>
      </c>
      <c r="H24" s="184" t="s">
        <v>520</v>
      </c>
      <c r="I24" s="184" t="s">
        <v>68</v>
      </c>
      <c r="J24" s="195">
        <v>107969830730</v>
      </c>
      <c r="K24" s="472">
        <v>46060</v>
      </c>
      <c r="L24" s="185" t="s">
        <v>521</v>
      </c>
      <c r="M24" s="185" t="s">
        <v>526</v>
      </c>
      <c r="N24" s="186">
        <v>647950</v>
      </c>
      <c r="O24" s="187">
        <v>46062</v>
      </c>
      <c r="P24" s="188" t="s">
        <v>523</v>
      </c>
      <c r="Q24" s="189">
        <v>250</v>
      </c>
      <c r="R24" s="184" t="s">
        <v>548</v>
      </c>
    </row>
    <row r="25" spans="6:18" ht="33.75" thickBot="1">
      <c r="F25" s="192">
        <v>21</v>
      </c>
      <c r="G25" s="178" t="s">
        <v>520</v>
      </c>
      <c r="H25" s="178" t="s">
        <v>520</v>
      </c>
      <c r="I25" s="178" t="s">
        <v>68</v>
      </c>
      <c r="J25" s="486">
        <v>308238251330</v>
      </c>
      <c r="K25" s="473">
        <v>46061</v>
      </c>
      <c r="L25" s="179" t="s">
        <v>525</v>
      </c>
      <c r="M25" s="179" t="s">
        <v>526</v>
      </c>
      <c r="N25" s="180">
        <v>647945</v>
      </c>
      <c r="O25" s="181">
        <v>46062</v>
      </c>
      <c r="P25" s="182" t="s">
        <v>523</v>
      </c>
      <c r="Q25" s="183">
        <v>500</v>
      </c>
      <c r="R25" s="178" t="s">
        <v>549</v>
      </c>
    </row>
    <row r="26" spans="6:18" ht="33.75" thickBot="1">
      <c r="F26" s="193">
        <v>22</v>
      </c>
      <c r="G26" s="184" t="s">
        <v>520</v>
      </c>
      <c r="H26" s="184" t="s">
        <v>520</v>
      </c>
      <c r="I26" s="184" t="s">
        <v>68</v>
      </c>
      <c r="J26" s="195">
        <v>308233196960</v>
      </c>
      <c r="K26" s="472">
        <v>46060</v>
      </c>
      <c r="L26" s="185" t="s">
        <v>525</v>
      </c>
      <c r="M26" s="185" t="s">
        <v>526</v>
      </c>
      <c r="N26" s="186">
        <v>647617</v>
      </c>
      <c r="O26" s="187">
        <v>46062</v>
      </c>
      <c r="P26" s="188" t="s">
        <v>523</v>
      </c>
      <c r="Q26" s="189">
        <v>250</v>
      </c>
      <c r="R26" s="184" t="s">
        <v>550</v>
      </c>
    </row>
    <row r="27" spans="6:18" ht="33.75" thickBot="1">
      <c r="F27" s="192">
        <v>23</v>
      </c>
      <c r="G27" s="178" t="s">
        <v>520</v>
      </c>
      <c r="H27" s="178" t="s">
        <v>520</v>
      </c>
      <c r="I27" s="178" t="s">
        <v>68</v>
      </c>
      <c r="J27" s="486">
        <v>308233149510</v>
      </c>
      <c r="K27" s="473">
        <v>46060</v>
      </c>
      <c r="L27" s="179" t="s">
        <v>525</v>
      </c>
      <c r="M27" s="179" t="s">
        <v>526</v>
      </c>
      <c r="N27" s="180">
        <v>647612</v>
      </c>
      <c r="O27" s="181">
        <v>46062</v>
      </c>
      <c r="P27" s="182" t="s">
        <v>523</v>
      </c>
      <c r="Q27" s="183">
        <v>500</v>
      </c>
      <c r="R27" s="178" t="s">
        <v>551</v>
      </c>
    </row>
    <row r="28" spans="6:18" ht="33.75" thickBot="1">
      <c r="F28" s="193">
        <v>24</v>
      </c>
      <c r="G28" s="184" t="s">
        <v>520</v>
      </c>
      <c r="H28" s="184" t="s">
        <v>520</v>
      </c>
      <c r="I28" s="184" t="s">
        <v>68</v>
      </c>
      <c r="J28" s="195">
        <v>308233069120</v>
      </c>
      <c r="K28" s="472">
        <v>46059</v>
      </c>
      <c r="L28" s="185" t="s">
        <v>525</v>
      </c>
      <c r="M28" s="185" t="s">
        <v>526</v>
      </c>
      <c r="N28" s="186">
        <v>647611</v>
      </c>
      <c r="O28" s="187">
        <v>46062</v>
      </c>
      <c r="P28" s="188" t="s">
        <v>523</v>
      </c>
      <c r="Q28" s="189">
        <v>500</v>
      </c>
      <c r="R28" s="184" t="s">
        <v>552</v>
      </c>
    </row>
    <row r="29" spans="6:18" ht="33.75" thickBot="1">
      <c r="F29" s="192">
        <v>25</v>
      </c>
      <c r="G29" s="178" t="s">
        <v>520</v>
      </c>
      <c r="H29" s="178" t="s">
        <v>520</v>
      </c>
      <c r="I29" s="178" t="s">
        <v>68</v>
      </c>
      <c r="J29" s="486">
        <v>308233110200</v>
      </c>
      <c r="K29" s="473">
        <v>46060</v>
      </c>
      <c r="L29" s="179" t="s">
        <v>525</v>
      </c>
      <c r="M29" s="179" t="s">
        <v>526</v>
      </c>
      <c r="N29" s="180">
        <v>647604</v>
      </c>
      <c r="O29" s="181">
        <v>46062</v>
      </c>
      <c r="P29" s="182" t="s">
        <v>523</v>
      </c>
      <c r="Q29" s="183">
        <v>500</v>
      </c>
      <c r="R29" s="178" t="s">
        <v>553</v>
      </c>
    </row>
    <row r="30" spans="6:18" ht="33.75" thickBot="1">
      <c r="F30" s="193">
        <v>26</v>
      </c>
      <c r="G30" s="184" t="s">
        <v>520</v>
      </c>
      <c r="H30" s="184" t="s">
        <v>520</v>
      </c>
      <c r="I30" s="184" t="s">
        <v>68</v>
      </c>
      <c r="J30" s="195">
        <v>107968950350</v>
      </c>
      <c r="K30" s="472">
        <v>46059</v>
      </c>
      <c r="L30" s="185" t="s">
        <v>521</v>
      </c>
      <c r="M30" s="185" t="s">
        <v>526</v>
      </c>
      <c r="N30" s="186">
        <v>647600</v>
      </c>
      <c r="O30" s="187">
        <v>46062</v>
      </c>
      <c r="P30" s="188" t="s">
        <v>523</v>
      </c>
      <c r="Q30" s="189" t="s">
        <v>554</v>
      </c>
      <c r="R30" s="184" t="s">
        <v>555</v>
      </c>
    </row>
    <row r="31" spans="6:18" ht="33.75" thickBot="1">
      <c r="F31" s="192">
        <v>27</v>
      </c>
      <c r="G31" s="178" t="s">
        <v>520</v>
      </c>
      <c r="H31" s="178" t="s">
        <v>520</v>
      </c>
      <c r="I31" s="178" t="s">
        <v>68</v>
      </c>
      <c r="J31" s="486">
        <v>308233006820</v>
      </c>
      <c r="K31" s="473">
        <v>46059</v>
      </c>
      <c r="L31" s="179" t="s">
        <v>525</v>
      </c>
      <c r="M31" s="179" t="s">
        <v>526</v>
      </c>
      <c r="N31" s="180">
        <v>647578</v>
      </c>
      <c r="O31" s="181">
        <v>46062</v>
      </c>
      <c r="P31" s="182" t="s">
        <v>523</v>
      </c>
      <c r="Q31" s="183">
        <v>500</v>
      </c>
      <c r="R31" s="178" t="s">
        <v>556</v>
      </c>
    </row>
    <row r="32" spans="6:18" ht="33.75" thickBot="1">
      <c r="F32" s="193">
        <v>28</v>
      </c>
      <c r="G32" s="184" t="s">
        <v>520</v>
      </c>
      <c r="H32" s="184" t="s">
        <v>520</v>
      </c>
      <c r="I32" s="184" t="s">
        <v>68</v>
      </c>
      <c r="J32" s="195">
        <v>107960045320</v>
      </c>
      <c r="K32" s="472">
        <v>46060</v>
      </c>
      <c r="L32" s="185" t="s">
        <v>521</v>
      </c>
      <c r="M32" s="185" t="s">
        <v>526</v>
      </c>
      <c r="N32" s="186">
        <v>647569</v>
      </c>
      <c r="O32" s="187">
        <v>46062</v>
      </c>
      <c r="P32" s="188" t="s">
        <v>523</v>
      </c>
      <c r="Q32" s="189">
        <v>500</v>
      </c>
      <c r="R32" s="184" t="s">
        <v>557</v>
      </c>
    </row>
    <row r="33" spans="6:18" ht="33.75" thickBot="1">
      <c r="F33" s="192">
        <v>29</v>
      </c>
      <c r="G33" s="178" t="s">
        <v>520</v>
      </c>
      <c r="H33" s="178" t="s">
        <v>520</v>
      </c>
      <c r="I33" s="178" t="s">
        <v>68</v>
      </c>
      <c r="J33" s="486">
        <v>308227361210</v>
      </c>
      <c r="K33" s="473">
        <v>46058</v>
      </c>
      <c r="L33" s="179" t="s">
        <v>525</v>
      </c>
      <c r="M33" s="179" t="s">
        <v>526</v>
      </c>
      <c r="N33" s="180">
        <v>647568</v>
      </c>
      <c r="O33" s="181">
        <v>46062</v>
      </c>
      <c r="P33" s="182" t="s">
        <v>523</v>
      </c>
      <c r="Q33" s="183">
        <v>500</v>
      </c>
      <c r="R33" s="178" t="s">
        <v>558</v>
      </c>
    </row>
    <row r="34" spans="6:18" ht="33.75" thickBot="1">
      <c r="F34" s="193">
        <v>30</v>
      </c>
      <c r="G34" s="184" t="s">
        <v>520</v>
      </c>
      <c r="H34" s="184" t="s">
        <v>520</v>
      </c>
      <c r="I34" s="184" t="s">
        <v>68</v>
      </c>
      <c r="J34" s="195">
        <v>107959752240</v>
      </c>
      <c r="K34" s="472">
        <v>46059</v>
      </c>
      <c r="L34" s="185" t="s">
        <v>521</v>
      </c>
      <c r="M34" s="185" t="s">
        <v>526</v>
      </c>
      <c r="N34" s="186">
        <v>647567</v>
      </c>
      <c r="O34" s="187">
        <v>46062</v>
      </c>
      <c r="P34" s="188" t="s">
        <v>523</v>
      </c>
      <c r="Q34" s="189">
        <v>500</v>
      </c>
      <c r="R34" s="184" t="s">
        <v>559</v>
      </c>
    </row>
    <row r="35" spans="6:18" ht="33.75" thickBot="1">
      <c r="F35" s="192">
        <v>31</v>
      </c>
      <c r="G35" s="178" t="s">
        <v>520</v>
      </c>
      <c r="H35" s="178" t="s">
        <v>520</v>
      </c>
      <c r="I35" s="178" t="s">
        <v>68</v>
      </c>
      <c r="J35" s="486">
        <v>308227339360</v>
      </c>
      <c r="K35" s="473">
        <v>46058</v>
      </c>
      <c r="L35" s="179" t="s">
        <v>525</v>
      </c>
      <c r="M35" s="179" t="s">
        <v>526</v>
      </c>
      <c r="N35" s="180">
        <v>647559</v>
      </c>
      <c r="O35" s="181">
        <v>46062</v>
      </c>
      <c r="P35" s="182" t="s">
        <v>523</v>
      </c>
      <c r="Q35" s="183">
        <v>500</v>
      </c>
      <c r="R35" s="178" t="s">
        <v>560</v>
      </c>
    </row>
    <row r="36" spans="6:18" ht="33.75" thickBot="1">
      <c r="F36" s="193">
        <v>32</v>
      </c>
      <c r="G36" s="184" t="s">
        <v>520</v>
      </c>
      <c r="H36" s="184" t="s">
        <v>520</v>
      </c>
      <c r="I36" s="184" t="s">
        <v>68</v>
      </c>
      <c r="J36" s="195">
        <v>308220063600</v>
      </c>
      <c r="K36" s="472">
        <v>46057</v>
      </c>
      <c r="L36" s="185" t="s">
        <v>525</v>
      </c>
      <c r="M36" s="185" t="s">
        <v>526</v>
      </c>
      <c r="N36" s="186">
        <v>647557</v>
      </c>
      <c r="O36" s="187">
        <v>46062</v>
      </c>
      <c r="P36" s="188" t="s">
        <v>523</v>
      </c>
      <c r="Q36" s="189">
        <v>250</v>
      </c>
      <c r="R36" s="184" t="s">
        <v>561</v>
      </c>
    </row>
    <row r="37" spans="6:18" ht="33.75" thickBot="1">
      <c r="F37" s="192">
        <v>33</v>
      </c>
      <c r="G37" s="178" t="s">
        <v>520</v>
      </c>
      <c r="H37" s="178" t="s">
        <v>520</v>
      </c>
      <c r="I37" s="178" t="s">
        <v>68</v>
      </c>
      <c r="J37" s="486">
        <v>308236180840</v>
      </c>
      <c r="K37" s="473">
        <v>46060</v>
      </c>
      <c r="L37" s="179" t="s">
        <v>525</v>
      </c>
      <c r="M37" s="179" t="s">
        <v>522</v>
      </c>
      <c r="N37" s="180">
        <v>1073913</v>
      </c>
      <c r="O37" s="181">
        <v>46062</v>
      </c>
      <c r="P37" s="182" t="s">
        <v>523</v>
      </c>
      <c r="Q37" s="183">
        <v>500</v>
      </c>
      <c r="R37" s="178" t="s">
        <v>562</v>
      </c>
    </row>
    <row r="38" spans="6:18" ht="33.75" thickBot="1">
      <c r="F38" s="193">
        <v>34</v>
      </c>
      <c r="G38" s="184" t="s">
        <v>520</v>
      </c>
      <c r="H38" s="184" t="s">
        <v>520</v>
      </c>
      <c r="I38" s="184" t="s">
        <v>68</v>
      </c>
      <c r="J38" s="195">
        <v>308236332850</v>
      </c>
      <c r="K38" s="472">
        <v>46061</v>
      </c>
      <c r="L38" s="185" t="s">
        <v>525</v>
      </c>
      <c r="M38" s="185" t="s">
        <v>526</v>
      </c>
      <c r="N38" s="186">
        <v>647414</v>
      </c>
      <c r="O38" s="187">
        <v>46062</v>
      </c>
      <c r="P38" s="188" t="s">
        <v>523</v>
      </c>
      <c r="Q38" s="189">
        <v>500</v>
      </c>
      <c r="R38" s="184" t="s">
        <v>563</v>
      </c>
    </row>
    <row r="39" spans="6:18" ht="33.75" thickBot="1">
      <c r="F39" s="192">
        <v>35</v>
      </c>
      <c r="G39" s="178" t="s">
        <v>520</v>
      </c>
      <c r="H39" s="178" t="s">
        <v>520</v>
      </c>
      <c r="I39" s="178" t="s">
        <v>68</v>
      </c>
      <c r="J39" s="486">
        <v>308236573320</v>
      </c>
      <c r="K39" s="473">
        <v>46060</v>
      </c>
      <c r="L39" s="179" t="s">
        <v>525</v>
      </c>
      <c r="M39" s="179" t="s">
        <v>522</v>
      </c>
      <c r="N39" s="180">
        <v>1073461</v>
      </c>
      <c r="O39" s="181">
        <v>46062</v>
      </c>
      <c r="P39" s="182" t="s">
        <v>523</v>
      </c>
      <c r="Q39" s="183">
        <v>500</v>
      </c>
      <c r="R39" s="178" t="s">
        <v>564</v>
      </c>
    </row>
    <row r="40" spans="6:18" ht="33.75" thickBot="1">
      <c r="F40" s="193">
        <v>36</v>
      </c>
      <c r="G40" s="184" t="s">
        <v>520</v>
      </c>
      <c r="H40" s="184" t="s">
        <v>520</v>
      </c>
      <c r="I40" s="184" t="s">
        <v>68</v>
      </c>
      <c r="J40" s="195">
        <v>308236431330</v>
      </c>
      <c r="K40" s="472">
        <v>46060</v>
      </c>
      <c r="L40" s="185" t="s">
        <v>525</v>
      </c>
      <c r="M40" s="185" t="s">
        <v>522</v>
      </c>
      <c r="N40" s="186">
        <v>1073440</v>
      </c>
      <c r="O40" s="187">
        <v>46062</v>
      </c>
      <c r="P40" s="188" t="s">
        <v>523</v>
      </c>
      <c r="Q40" s="189">
        <v>500</v>
      </c>
      <c r="R40" s="184" t="s">
        <v>565</v>
      </c>
    </row>
    <row r="41" spans="6:18" ht="33.75" thickBot="1">
      <c r="F41" s="192">
        <v>37</v>
      </c>
      <c r="G41" s="178" t="s">
        <v>520</v>
      </c>
      <c r="H41" s="178" t="s">
        <v>520</v>
      </c>
      <c r="I41" s="178" t="s">
        <v>68</v>
      </c>
      <c r="J41" s="486">
        <v>308236400860</v>
      </c>
      <c r="K41" s="473">
        <v>46060</v>
      </c>
      <c r="L41" s="179" t="s">
        <v>525</v>
      </c>
      <c r="M41" s="179" t="s">
        <v>522</v>
      </c>
      <c r="N41" s="180">
        <v>1073433</v>
      </c>
      <c r="O41" s="181">
        <v>46062</v>
      </c>
      <c r="P41" s="182" t="s">
        <v>523</v>
      </c>
      <c r="Q41" s="183">
        <v>500</v>
      </c>
      <c r="R41" s="178" t="s">
        <v>566</v>
      </c>
    </row>
    <row r="42" spans="6:18" ht="33.75" thickBot="1">
      <c r="F42" s="193">
        <v>38</v>
      </c>
      <c r="G42" s="184" t="s">
        <v>520</v>
      </c>
      <c r="H42" s="184" t="s">
        <v>520</v>
      </c>
      <c r="I42" s="184" t="s">
        <v>68</v>
      </c>
      <c r="J42" s="195">
        <v>308233271860</v>
      </c>
      <c r="K42" s="472">
        <v>46060</v>
      </c>
      <c r="L42" s="185" t="s">
        <v>525</v>
      </c>
      <c r="M42" s="185" t="s">
        <v>522</v>
      </c>
      <c r="N42" s="186">
        <v>1073401</v>
      </c>
      <c r="O42" s="187">
        <v>46062</v>
      </c>
      <c r="P42" s="188" t="s">
        <v>523</v>
      </c>
      <c r="Q42" s="189">
        <v>500</v>
      </c>
      <c r="R42" s="184" t="s">
        <v>567</v>
      </c>
    </row>
    <row r="43" spans="6:18" ht="33.75" thickBot="1">
      <c r="F43" s="192">
        <v>39</v>
      </c>
      <c r="G43" s="178" t="s">
        <v>520</v>
      </c>
      <c r="H43" s="178" t="s">
        <v>520</v>
      </c>
      <c r="I43" s="178" t="s">
        <v>68</v>
      </c>
      <c r="J43" s="486">
        <v>308236835710</v>
      </c>
      <c r="K43" s="473">
        <v>46061</v>
      </c>
      <c r="L43" s="179" t="s">
        <v>525</v>
      </c>
      <c r="M43" s="179" t="s">
        <v>522</v>
      </c>
      <c r="N43" s="180">
        <v>1072484</v>
      </c>
      <c r="O43" s="181">
        <v>46062</v>
      </c>
      <c r="P43" s="182" t="s">
        <v>523</v>
      </c>
      <c r="Q43" s="183">
        <v>500</v>
      </c>
      <c r="R43" s="178" t="s">
        <v>568</v>
      </c>
    </row>
    <row r="44" spans="6:18" ht="33.75" thickBot="1">
      <c r="F44" s="193">
        <v>40</v>
      </c>
      <c r="G44" s="184" t="s">
        <v>520</v>
      </c>
      <c r="H44" s="184" t="s">
        <v>520</v>
      </c>
      <c r="I44" s="184" t="s">
        <v>68</v>
      </c>
      <c r="J44" s="195">
        <v>308236847610</v>
      </c>
      <c r="K44" s="472">
        <v>46061</v>
      </c>
      <c r="L44" s="185" t="s">
        <v>525</v>
      </c>
      <c r="M44" s="185" t="s">
        <v>522</v>
      </c>
      <c r="N44" s="186">
        <v>1072474</v>
      </c>
      <c r="O44" s="187">
        <v>46062</v>
      </c>
      <c r="P44" s="188" t="s">
        <v>523</v>
      </c>
      <c r="Q44" s="189">
        <v>500</v>
      </c>
      <c r="R44" s="184" t="s">
        <v>569</v>
      </c>
    </row>
    <row r="45" spans="6:18" ht="33.75" thickBot="1">
      <c r="F45" s="192">
        <v>41</v>
      </c>
      <c r="G45" s="178" t="s">
        <v>520</v>
      </c>
      <c r="H45" s="178" t="s">
        <v>520</v>
      </c>
      <c r="I45" s="178" t="s">
        <v>68</v>
      </c>
      <c r="J45" s="486">
        <v>308236857410</v>
      </c>
      <c r="K45" s="473">
        <v>46061</v>
      </c>
      <c r="L45" s="179" t="s">
        <v>525</v>
      </c>
      <c r="M45" s="179" t="s">
        <v>522</v>
      </c>
      <c r="N45" s="180">
        <v>1072426</v>
      </c>
      <c r="O45" s="181">
        <v>46062</v>
      </c>
      <c r="P45" s="182" t="s">
        <v>523</v>
      </c>
      <c r="Q45" s="183">
        <v>500</v>
      </c>
      <c r="R45" s="178" t="s">
        <v>570</v>
      </c>
    </row>
    <row r="46" spans="6:18" ht="33.75" thickBot="1">
      <c r="F46" s="193">
        <v>42</v>
      </c>
      <c r="G46" s="184" t="s">
        <v>520</v>
      </c>
      <c r="H46" s="184" t="s">
        <v>520</v>
      </c>
      <c r="I46" s="184" t="s">
        <v>68</v>
      </c>
      <c r="J46" s="195">
        <v>308233328230</v>
      </c>
      <c r="K46" s="472">
        <v>46059</v>
      </c>
      <c r="L46" s="185" t="s">
        <v>525</v>
      </c>
      <c r="M46" s="185" t="s">
        <v>522</v>
      </c>
      <c r="N46" s="186">
        <v>1071334</v>
      </c>
      <c r="O46" s="187">
        <v>46061</v>
      </c>
      <c r="P46" s="188" t="s">
        <v>523</v>
      </c>
      <c r="Q46" s="189">
        <v>500</v>
      </c>
      <c r="R46" s="184" t="s">
        <v>571</v>
      </c>
    </row>
    <row r="47" spans="6:18" ht="33.75" thickBot="1">
      <c r="F47" s="192">
        <v>43</v>
      </c>
      <c r="G47" s="178" t="s">
        <v>520</v>
      </c>
      <c r="H47" s="178" t="s">
        <v>520</v>
      </c>
      <c r="I47" s="178" t="s">
        <v>68</v>
      </c>
      <c r="J47" s="486">
        <v>107968068350</v>
      </c>
      <c r="K47" s="473">
        <v>46060</v>
      </c>
      <c r="L47" s="179" t="s">
        <v>521</v>
      </c>
      <c r="M47" s="179" t="s">
        <v>522</v>
      </c>
      <c r="N47" s="180">
        <v>1071034</v>
      </c>
      <c r="O47" s="181">
        <v>46060</v>
      </c>
      <c r="P47" s="182" t="s">
        <v>523</v>
      </c>
      <c r="Q47" s="183">
        <v>500</v>
      </c>
      <c r="R47" s="178" t="s">
        <v>572</v>
      </c>
    </row>
    <row r="48" spans="6:18" ht="33.75" thickBot="1">
      <c r="F48" s="193">
        <v>44</v>
      </c>
      <c r="G48" s="184" t="s">
        <v>520</v>
      </c>
      <c r="H48" s="184" t="s">
        <v>520</v>
      </c>
      <c r="I48" s="184" t="s">
        <v>68</v>
      </c>
      <c r="J48" s="195">
        <v>107966944300</v>
      </c>
      <c r="K48" s="472">
        <v>46059</v>
      </c>
      <c r="L48" s="185" t="s">
        <v>521</v>
      </c>
      <c r="M48" s="185" t="s">
        <v>522</v>
      </c>
      <c r="N48" s="186">
        <v>1070809</v>
      </c>
      <c r="O48" s="187">
        <v>46060</v>
      </c>
      <c r="P48" s="188" t="s">
        <v>523</v>
      </c>
      <c r="Q48" s="189">
        <v>500</v>
      </c>
      <c r="R48" s="184" t="s">
        <v>573</v>
      </c>
    </row>
    <row r="49" spans="6:18" ht="33.75" thickBot="1">
      <c r="F49" s="192">
        <v>45</v>
      </c>
      <c r="G49" s="178" t="s">
        <v>520</v>
      </c>
      <c r="H49" s="178" t="s">
        <v>520</v>
      </c>
      <c r="I49" s="178" t="s">
        <v>68</v>
      </c>
      <c r="J49" s="486">
        <v>308227346030</v>
      </c>
      <c r="K49" s="473">
        <v>46058</v>
      </c>
      <c r="L49" s="179" t="s">
        <v>525</v>
      </c>
      <c r="M49" s="179" t="s">
        <v>522</v>
      </c>
      <c r="N49" s="180">
        <v>1070266</v>
      </c>
      <c r="O49" s="181">
        <v>46060</v>
      </c>
      <c r="P49" s="182" t="s">
        <v>523</v>
      </c>
      <c r="Q49" s="183">
        <v>500</v>
      </c>
      <c r="R49" s="178" t="s">
        <v>574</v>
      </c>
    </row>
    <row r="50" spans="6:18" ht="33.75" thickBot="1">
      <c r="F50" s="193">
        <v>46</v>
      </c>
      <c r="G50" s="184" t="s">
        <v>520</v>
      </c>
      <c r="H50" s="184" t="s">
        <v>520</v>
      </c>
      <c r="I50" s="184" t="s">
        <v>68</v>
      </c>
      <c r="J50" s="195">
        <v>308227328860</v>
      </c>
      <c r="K50" s="472">
        <v>46059</v>
      </c>
      <c r="L50" s="185" t="s">
        <v>525</v>
      </c>
      <c r="M50" s="185" t="s">
        <v>522</v>
      </c>
      <c r="N50" s="186">
        <v>1070265</v>
      </c>
      <c r="O50" s="187">
        <v>46060</v>
      </c>
      <c r="P50" s="188" t="s">
        <v>523</v>
      </c>
      <c r="Q50" s="189">
        <v>500</v>
      </c>
      <c r="R50" s="184" t="s">
        <v>575</v>
      </c>
    </row>
    <row r="51" spans="6:18" ht="33.75" thickBot="1">
      <c r="F51" s="192">
        <v>47</v>
      </c>
      <c r="G51" s="178" t="s">
        <v>520</v>
      </c>
      <c r="H51" s="178" t="s">
        <v>520</v>
      </c>
      <c r="I51" s="178" t="s">
        <v>68</v>
      </c>
      <c r="J51" s="486">
        <v>308227252120</v>
      </c>
      <c r="K51" s="473">
        <v>46058</v>
      </c>
      <c r="L51" s="179" t="s">
        <v>525</v>
      </c>
      <c r="M51" s="179" t="s">
        <v>522</v>
      </c>
      <c r="N51" s="180">
        <v>1068069</v>
      </c>
      <c r="O51" s="181">
        <v>46059</v>
      </c>
      <c r="P51" s="182" t="s">
        <v>523</v>
      </c>
      <c r="Q51" s="183">
        <v>500</v>
      </c>
      <c r="R51" s="178" t="s">
        <v>576</v>
      </c>
    </row>
    <row r="52" spans="6:18" ht="33.75" thickBot="1">
      <c r="F52" s="193">
        <v>48</v>
      </c>
      <c r="G52" s="184" t="s">
        <v>520</v>
      </c>
      <c r="H52" s="184" t="s">
        <v>520</v>
      </c>
      <c r="I52" s="184" t="s">
        <v>68</v>
      </c>
      <c r="J52" s="195">
        <v>308222936030</v>
      </c>
      <c r="K52" s="472">
        <v>46058</v>
      </c>
      <c r="L52" s="185" t="s">
        <v>525</v>
      </c>
      <c r="M52" s="185" t="s">
        <v>522</v>
      </c>
      <c r="N52" s="186">
        <v>1065857</v>
      </c>
      <c r="O52" s="187">
        <v>46059</v>
      </c>
      <c r="P52" s="188" t="s">
        <v>523</v>
      </c>
      <c r="Q52" s="189">
        <v>500</v>
      </c>
      <c r="R52" s="184" t="s">
        <v>577</v>
      </c>
    </row>
    <row r="53" spans="6:18" ht="33.75" thickBot="1">
      <c r="F53" s="192">
        <v>49</v>
      </c>
      <c r="G53" s="178" t="s">
        <v>520</v>
      </c>
      <c r="H53" s="178" t="s">
        <v>520</v>
      </c>
      <c r="I53" s="178" t="s">
        <v>68</v>
      </c>
      <c r="J53" s="486">
        <v>308219911220</v>
      </c>
      <c r="K53" s="473">
        <v>46058</v>
      </c>
      <c r="L53" s="179" t="s">
        <v>525</v>
      </c>
      <c r="M53" s="179" t="s">
        <v>522</v>
      </c>
      <c r="N53" s="180">
        <v>1065847</v>
      </c>
      <c r="O53" s="181">
        <v>46059</v>
      </c>
      <c r="P53" s="182" t="s">
        <v>523</v>
      </c>
      <c r="Q53" s="183">
        <v>500</v>
      </c>
      <c r="R53" s="178" t="s">
        <v>578</v>
      </c>
    </row>
    <row r="54" spans="6:18" ht="33.75" thickBot="1">
      <c r="F54" s="193">
        <v>50</v>
      </c>
      <c r="G54" s="184" t="s">
        <v>520</v>
      </c>
      <c r="H54" s="184" t="s">
        <v>520</v>
      </c>
      <c r="I54" s="184" t="s">
        <v>68</v>
      </c>
      <c r="J54" s="195">
        <v>308222929510</v>
      </c>
      <c r="K54" s="472">
        <v>46057</v>
      </c>
      <c r="L54" s="185" t="s">
        <v>525</v>
      </c>
      <c r="M54" s="185" t="s">
        <v>522</v>
      </c>
      <c r="N54" s="186">
        <v>1065841</v>
      </c>
      <c r="O54" s="187">
        <v>46059</v>
      </c>
      <c r="P54" s="188" t="s">
        <v>523</v>
      </c>
      <c r="Q54" s="189">
        <v>500</v>
      </c>
      <c r="R54" s="184" t="s">
        <v>579</v>
      </c>
    </row>
    <row r="55" spans="6:18" ht="33.75" thickBot="1">
      <c r="F55" s="192">
        <v>51</v>
      </c>
      <c r="G55" s="178" t="s">
        <v>520</v>
      </c>
      <c r="H55" s="178" t="s">
        <v>520</v>
      </c>
      <c r="I55" s="178" t="s">
        <v>68</v>
      </c>
      <c r="J55" s="486">
        <v>308220445800</v>
      </c>
      <c r="K55" s="473">
        <v>46057</v>
      </c>
      <c r="L55" s="179" t="s">
        <v>525</v>
      </c>
      <c r="M55" s="179" t="s">
        <v>522</v>
      </c>
      <c r="N55" s="180">
        <v>1061947</v>
      </c>
      <c r="O55" s="181">
        <v>46058</v>
      </c>
      <c r="P55" s="182" t="s">
        <v>523</v>
      </c>
      <c r="Q55" s="183">
        <v>500</v>
      </c>
      <c r="R55" s="178" t="s">
        <v>580</v>
      </c>
    </row>
    <row r="56" spans="6:18" ht="33.75" thickBot="1">
      <c r="F56" s="193">
        <v>52</v>
      </c>
      <c r="G56" s="184" t="s">
        <v>520</v>
      </c>
      <c r="H56" s="184" t="s">
        <v>520</v>
      </c>
      <c r="I56" s="184" t="s">
        <v>68</v>
      </c>
      <c r="J56" s="195">
        <v>308220113960</v>
      </c>
      <c r="K56" s="472">
        <v>46056</v>
      </c>
      <c r="L56" s="185" t="s">
        <v>525</v>
      </c>
      <c r="M56" s="185" t="s">
        <v>522</v>
      </c>
      <c r="N56" s="186">
        <v>1061938</v>
      </c>
      <c r="O56" s="187">
        <v>46058</v>
      </c>
      <c r="P56" s="188" t="s">
        <v>523</v>
      </c>
      <c r="Q56" s="189">
        <v>500</v>
      </c>
      <c r="R56" s="184" t="s">
        <v>581</v>
      </c>
    </row>
    <row r="57" spans="6:18" ht="33.75" thickBot="1">
      <c r="F57" s="192">
        <v>53</v>
      </c>
      <c r="G57" s="178" t="s">
        <v>520</v>
      </c>
      <c r="H57" s="178" t="s">
        <v>520</v>
      </c>
      <c r="I57" s="178" t="s">
        <v>68</v>
      </c>
      <c r="J57" s="486">
        <v>308219941650</v>
      </c>
      <c r="K57" s="473">
        <v>46056</v>
      </c>
      <c r="L57" s="179" t="s">
        <v>525</v>
      </c>
      <c r="M57" s="179" t="s">
        <v>526</v>
      </c>
      <c r="N57" s="180">
        <v>643132</v>
      </c>
      <c r="O57" s="181">
        <v>46058</v>
      </c>
      <c r="P57" s="182" t="s">
        <v>523</v>
      </c>
      <c r="Q57" s="183">
        <v>250</v>
      </c>
      <c r="R57" s="178" t="s">
        <v>582</v>
      </c>
    </row>
    <row r="58" spans="6:18" ht="33.75" thickBot="1">
      <c r="F58" s="193">
        <v>54</v>
      </c>
      <c r="G58" s="184" t="s">
        <v>520</v>
      </c>
      <c r="H58" s="184" t="s">
        <v>520</v>
      </c>
      <c r="I58" s="184" t="s">
        <v>68</v>
      </c>
      <c r="J58" s="195">
        <v>308214659600</v>
      </c>
      <c r="K58" s="472">
        <v>46056</v>
      </c>
      <c r="L58" s="185" t="s">
        <v>525</v>
      </c>
      <c r="M58" s="185" t="s">
        <v>526</v>
      </c>
      <c r="N58" s="186">
        <v>643125</v>
      </c>
      <c r="O58" s="187">
        <v>46058</v>
      </c>
      <c r="P58" s="188" t="s">
        <v>523</v>
      </c>
      <c r="Q58" s="189">
        <v>250</v>
      </c>
      <c r="R58" s="184" t="s">
        <v>583</v>
      </c>
    </row>
    <row r="59" spans="6:18" ht="33.75" thickBot="1">
      <c r="F59" s="192">
        <v>55</v>
      </c>
      <c r="G59" s="178" t="s">
        <v>520</v>
      </c>
      <c r="H59" s="178" t="s">
        <v>520</v>
      </c>
      <c r="I59" s="178" t="s">
        <v>68</v>
      </c>
      <c r="J59" s="486">
        <v>308214657940</v>
      </c>
      <c r="K59" s="473">
        <v>46055</v>
      </c>
      <c r="L59" s="179" t="s">
        <v>525</v>
      </c>
      <c r="M59" s="179" t="s">
        <v>526</v>
      </c>
      <c r="N59" s="180">
        <v>643123</v>
      </c>
      <c r="O59" s="181">
        <v>46058</v>
      </c>
      <c r="P59" s="182" t="s">
        <v>523</v>
      </c>
      <c r="Q59" s="183">
        <v>250</v>
      </c>
      <c r="R59" s="178" t="s">
        <v>584</v>
      </c>
    </row>
    <row r="60" spans="6:18" ht="33.75" thickBot="1">
      <c r="F60" s="193">
        <v>56</v>
      </c>
      <c r="G60" s="184" t="s">
        <v>520</v>
      </c>
      <c r="H60" s="184" t="s">
        <v>520</v>
      </c>
      <c r="I60" s="184" t="s">
        <v>68</v>
      </c>
      <c r="J60" s="195">
        <v>308225764620</v>
      </c>
      <c r="K60" s="472">
        <v>46058</v>
      </c>
      <c r="L60" s="185" t="s">
        <v>525</v>
      </c>
      <c r="M60" s="185" t="s">
        <v>526</v>
      </c>
      <c r="N60" s="186">
        <v>643115</v>
      </c>
      <c r="O60" s="187">
        <v>46058</v>
      </c>
      <c r="P60" s="188" t="s">
        <v>523</v>
      </c>
      <c r="Q60" s="189">
        <v>500</v>
      </c>
      <c r="R60" s="184" t="s">
        <v>585</v>
      </c>
    </row>
    <row r="61" spans="6:18" ht="33.75" thickBot="1">
      <c r="F61" s="192">
        <v>57</v>
      </c>
      <c r="G61" s="178" t="s">
        <v>520</v>
      </c>
      <c r="H61" s="178" t="s">
        <v>520</v>
      </c>
      <c r="I61" s="178" t="s">
        <v>68</v>
      </c>
      <c r="J61" s="486">
        <v>308219961400</v>
      </c>
      <c r="K61" s="473">
        <v>46056</v>
      </c>
      <c r="L61" s="179" t="s">
        <v>525</v>
      </c>
      <c r="M61" s="179" t="s">
        <v>526</v>
      </c>
      <c r="N61" s="180">
        <v>643113</v>
      </c>
      <c r="O61" s="181">
        <v>46058</v>
      </c>
      <c r="P61" s="182" t="s">
        <v>523</v>
      </c>
      <c r="Q61" s="183">
        <v>250</v>
      </c>
      <c r="R61" s="178" t="s">
        <v>586</v>
      </c>
    </row>
    <row r="62" spans="6:18" ht="33.75" thickBot="1">
      <c r="F62" s="193">
        <v>58</v>
      </c>
      <c r="G62" s="184" t="s">
        <v>520</v>
      </c>
      <c r="H62" s="184" t="s">
        <v>520</v>
      </c>
      <c r="I62" s="184" t="s">
        <v>68</v>
      </c>
      <c r="J62" s="195">
        <v>308214658640</v>
      </c>
      <c r="K62" s="472">
        <v>46055</v>
      </c>
      <c r="L62" s="185" t="s">
        <v>525</v>
      </c>
      <c r="M62" s="185" t="s">
        <v>526</v>
      </c>
      <c r="N62" s="186">
        <v>643106</v>
      </c>
      <c r="O62" s="187">
        <v>46058</v>
      </c>
      <c r="P62" s="188" t="s">
        <v>523</v>
      </c>
      <c r="Q62" s="189">
        <v>250</v>
      </c>
      <c r="R62" s="184" t="s">
        <v>587</v>
      </c>
    </row>
    <row r="63" spans="6:18" ht="33.75" thickBot="1">
      <c r="F63" s="192">
        <v>59</v>
      </c>
      <c r="G63" s="178" t="s">
        <v>520</v>
      </c>
      <c r="H63" s="178" t="s">
        <v>520</v>
      </c>
      <c r="I63" s="178" t="s">
        <v>68</v>
      </c>
      <c r="J63" s="486">
        <v>308214659120</v>
      </c>
      <c r="K63" s="473">
        <v>46056</v>
      </c>
      <c r="L63" s="179" t="s">
        <v>525</v>
      </c>
      <c r="M63" s="179" t="s">
        <v>526</v>
      </c>
      <c r="N63" s="180">
        <v>643104</v>
      </c>
      <c r="O63" s="181">
        <v>46058</v>
      </c>
      <c r="P63" s="182" t="s">
        <v>523</v>
      </c>
      <c r="Q63" s="183">
        <v>250</v>
      </c>
      <c r="R63" s="178" t="s">
        <v>588</v>
      </c>
    </row>
    <row r="64" spans="6:18" ht="33.75" thickBot="1">
      <c r="F64" s="193">
        <v>60</v>
      </c>
      <c r="G64" s="184" t="s">
        <v>520</v>
      </c>
      <c r="H64" s="184" t="s">
        <v>520</v>
      </c>
      <c r="I64" s="184" t="s">
        <v>68</v>
      </c>
      <c r="J64" s="195">
        <v>308222921920</v>
      </c>
      <c r="K64" s="472">
        <v>46057</v>
      </c>
      <c r="L64" s="185" t="s">
        <v>525</v>
      </c>
      <c r="M64" s="185" t="s">
        <v>526</v>
      </c>
      <c r="N64" s="186">
        <v>642600</v>
      </c>
      <c r="O64" s="187">
        <v>46058</v>
      </c>
      <c r="P64" s="188" t="s">
        <v>523</v>
      </c>
      <c r="Q64" s="189">
        <v>500</v>
      </c>
      <c r="R64" s="184" t="s">
        <v>589</v>
      </c>
    </row>
    <row r="65" spans="6:18" ht="33.75" thickBot="1">
      <c r="F65" s="192">
        <v>61</v>
      </c>
      <c r="G65" s="178" t="s">
        <v>520</v>
      </c>
      <c r="H65" s="178" t="s">
        <v>520</v>
      </c>
      <c r="I65" s="178" t="s">
        <v>68</v>
      </c>
      <c r="J65" s="486">
        <v>308185181640</v>
      </c>
      <c r="K65" s="473">
        <v>46047</v>
      </c>
      <c r="L65" s="179" t="s">
        <v>525</v>
      </c>
      <c r="M65" s="179" t="s">
        <v>522</v>
      </c>
      <c r="N65" s="180">
        <v>1060034</v>
      </c>
      <c r="O65" s="181">
        <v>46058</v>
      </c>
      <c r="P65" s="182" t="s">
        <v>523</v>
      </c>
      <c r="Q65" s="183">
        <v>35.781999999999996</v>
      </c>
      <c r="R65" s="178" t="s">
        <v>590</v>
      </c>
    </row>
    <row r="66" spans="6:18" ht="33.75" thickBot="1">
      <c r="F66" s="193">
        <v>62</v>
      </c>
      <c r="G66" s="184" t="s">
        <v>520</v>
      </c>
      <c r="H66" s="184" t="s">
        <v>520</v>
      </c>
      <c r="I66" s="184" t="s">
        <v>68</v>
      </c>
      <c r="J66" s="195">
        <v>308163885320</v>
      </c>
      <c r="K66" s="472">
        <v>46042</v>
      </c>
      <c r="L66" s="185" t="s">
        <v>525</v>
      </c>
      <c r="M66" s="185" t="s">
        <v>522</v>
      </c>
      <c r="N66" s="186">
        <v>1060030</v>
      </c>
      <c r="O66" s="187">
        <v>46058</v>
      </c>
      <c r="P66" s="188" t="s">
        <v>523</v>
      </c>
      <c r="Q66" s="189">
        <v>51.186999999999998</v>
      </c>
      <c r="R66" s="184" t="s">
        <v>591</v>
      </c>
    </row>
    <row r="67" spans="6:18" ht="33.75" thickBot="1">
      <c r="F67" s="192">
        <v>63</v>
      </c>
      <c r="G67" s="178" t="s">
        <v>520</v>
      </c>
      <c r="H67" s="178" t="s">
        <v>520</v>
      </c>
      <c r="I67" s="178" t="s">
        <v>68</v>
      </c>
      <c r="J67" s="486">
        <v>308185214650</v>
      </c>
      <c r="K67" s="473">
        <v>46047</v>
      </c>
      <c r="L67" s="179" t="s">
        <v>525</v>
      </c>
      <c r="M67" s="179" t="s">
        <v>522</v>
      </c>
      <c r="N67" s="180">
        <v>1060028</v>
      </c>
      <c r="O67" s="181">
        <v>46058</v>
      </c>
      <c r="P67" s="182" t="s">
        <v>523</v>
      </c>
      <c r="Q67" s="183">
        <v>49.052999999999997</v>
      </c>
      <c r="R67" s="178" t="s">
        <v>592</v>
      </c>
    </row>
    <row r="68" spans="6:18" ht="33.75" thickBot="1">
      <c r="F68" s="193">
        <v>64</v>
      </c>
      <c r="G68" s="184" t="s">
        <v>520</v>
      </c>
      <c r="H68" s="184" t="s">
        <v>520</v>
      </c>
      <c r="I68" s="184" t="s">
        <v>68</v>
      </c>
      <c r="J68" s="195">
        <v>308158598110</v>
      </c>
      <c r="K68" s="472">
        <v>46039</v>
      </c>
      <c r="L68" s="185" t="s">
        <v>525</v>
      </c>
      <c r="M68" s="185" t="s">
        <v>522</v>
      </c>
      <c r="N68" s="186">
        <v>1060026</v>
      </c>
      <c r="O68" s="187">
        <v>46058</v>
      </c>
      <c r="P68" s="188" t="s">
        <v>523</v>
      </c>
      <c r="Q68" s="189">
        <v>18.143999999999998</v>
      </c>
      <c r="R68" s="184" t="s">
        <v>593</v>
      </c>
    </row>
    <row r="69" spans="6:18" ht="33.75" thickBot="1">
      <c r="F69" s="192">
        <v>65</v>
      </c>
      <c r="G69" s="178" t="s">
        <v>520</v>
      </c>
      <c r="H69" s="178" t="s">
        <v>520</v>
      </c>
      <c r="I69" s="178" t="s">
        <v>68</v>
      </c>
      <c r="J69" s="486">
        <v>308163893940</v>
      </c>
      <c r="K69" s="473">
        <v>46042</v>
      </c>
      <c r="L69" s="179" t="s">
        <v>525</v>
      </c>
      <c r="M69" s="179" t="s">
        <v>522</v>
      </c>
      <c r="N69" s="180">
        <v>1059929</v>
      </c>
      <c r="O69" s="181">
        <v>46058</v>
      </c>
      <c r="P69" s="182" t="s">
        <v>523</v>
      </c>
      <c r="Q69" s="183">
        <v>16.832000000000001</v>
      </c>
      <c r="R69" s="178" t="s">
        <v>594</v>
      </c>
    </row>
    <row r="70" spans="6:18" ht="33.75" thickBot="1">
      <c r="F70" s="193">
        <v>66</v>
      </c>
      <c r="G70" s="184" t="s">
        <v>520</v>
      </c>
      <c r="H70" s="184" t="s">
        <v>520</v>
      </c>
      <c r="I70" s="184" t="s">
        <v>68</v>
      </c>
      <c r="J70" s="195">
        <v>308194272800</v>
      </c>
      <c r="K70" s="472">
        <v>46050</v>
      </c>
      <c r="L70" s="185" t="s">
        <v>525</v>
      </c>
      <c r="M70" s="185" t="s">
        <v>522</v>
      </c>
      <c r="N70" s="186">
        <v>1059927</v>
      </c>
      <c r="O70" s="187">
        <v>46058</v>
      </c>
      <c r="P70" s="188" t="s">
        <v>523</v>
      </c>
      <c r="Q70" s="189">
        <v>80.510000000000005</v>
      </c>
      <c r="R70" s="184" t="s">
        <v>595</v>
      </c>
    </row>
    <row r="71" spans="6:18" ht="33.75" thickBot="1">
      <c r="F71" s="192">
        <v>67</v>
      </c>
      <c r="G71" s="178" t="s">
        <v>520</v>
      </c>
      <c r="H71" s="178" t="s">
        <v>520</v>
      </c>
      <c r="I71" s="178" t="s">
        <v>68</v>
      </c>
      <c r="J71" s="486">
        <v>308199051550</v>
      </c>
      <c r="K71" s="473">
        <v>46051</v>
      </c>
      <c r="L71" s="179" t="s">
        <v>525</v>
      </c>
      <c r="M71" s="179" t="s">
        <v>522</v>
      </c>
      <c r="N71" s="180">
        <v>1059925</v>
      </c>
      <c r="O71" s="181">
        <v>46058</v>
      </c>
      <c r="P71" s="182" t="s">
        <v>523</v>
      </c>
      <c r="Q71" s="183">
        <v>18.234000000000002</v>
      </c>
      <c r="R71" s="178" t="s">
        <v>596</v>
      </c>
    </row>
    <row r="72" spans="6:18" ht="33.75" thickBot="1">
      <c r="F72" s="193">
        <v>68</v>
      </c>
      <c r="G72" s="184" t="s">
        <v>520</v>
      </c>
      <c r="H72" s="184" t="s">
        <v>520</v>
      </c>
      <c r="I72" s="184" t="s">
        <v>68</v>
      </c>
      <c r="J72" s="195">
        <v>308208876530</v>
      </c>
      <c r="K72" s="472">
        <v>46053</v>
      </c>
      <c r="L72" s="185" t="s">
        <v>525</v>
      </c>
      <c r="M72" s="185" t="s">
        <v>522</v>
      </c>
      <c r="N72" s="186">
        <v>1059920</v>
      </c>
      <c r="O72" s="187">
        <v>46058</v>
      </c>
      <c r="P72" s="188" t="s">
        <v>523</v>
      </c>
      <c r="Q72" s="189">
        <v>39.11</v>
      </c>
      <c r="R72" s="184" t="s">
        <v>597</v>
      </c>
    </row>
    <row r="73" spans="6:18" ht="33.75" thickBot="1">
      <c r="F73" s="192">
        <v>69</v>
      </c>
      <c r="G73" s="178" t="s">
        <v>520</v>
      </c>
      <c r="H73" s="178" t="s">
        <v>520</v>
      </c>
      <c r="I73" s="178" t="s">
        <v>68</v>
      </c>
      <c r="J73" s="486">
        <v>308215983740</v>
      </c>
      <c r="K73" s="473">
        <v>46056</v>
      </c>
      <c r="L73" s="179" t="s">
        <v>525</v>
      </c>
      <c r="M73" s="179" t="s">
        <v>522</v>
      </c>
      <c r="N73" s="180">
        <v>1059916</v>
      </c>
      <c r="O73" s="181">
        <v>46058</v>
      </c>
      <c r="P73" s="182" t="s">
        <v>523</v>
      </c>
      <c r="Q73" s="183">
        <v>53.942</v>
      </c>
      <c r="R73" s="178" t="s">
        <v>598</v>
      </c>
    </row>
    <row r="74" spans="6:18" ht="33.75" thickBot="1">
      <c r="F74" s="193">
        <v>70</v>
      </c>
      <c r="G74" s="184" t="s">
        <v>520</v>
      </c>
      <c r="H74" s="184" t="s">
        <v>520</v>
      </c>
      <c r="I74" s="184" t="s">
        <v>68</v>
      </c>
      <c r="J74" s="195">
        <v>308221077640</v>
      </c>
      <c r="K74" s="472">
        <v>46057</v>
      </c>
      <c r="L74" s="185" t="s">
        <v>525</v>
      </c>
      <c r="M74" s="185" t="s">
        <v>522</v>
      </c>
      <c r="N74" s="186">
        <v>1059914</v>
      </c>
      <c r="O74" s="187">
        <v>46058</v>
      </c>
      <c r="P74" s="188" t="s">
        <v>523</v>
      </c>
      <c r="Q74" s="189">
        <v>81.445999999999998</v>
      </c>
      <c r="R74" s="184" t="s">
        <v>599</v>
      </c>
    </row>
    <row r="75" spans="6:18" ht="33.75" thickBot="1">
      <c r="F75" s="192">
        <v>71</v>
      </c>
      <c r="G75" s="178" t="s">
        <v>520</v>
      </c>
      <c r="H75" s="178" t="s">
        <v>520</v>
      </c>
      <c r="I75" s="178" t="s">
        <v>68</v>
      </c>
      <c r="J75" s="486">
        <v>308163889520</v>
      </c>
      <c r="K75" s="473">
        <v>46042</v>
      </c>
      <c r="L75" s="179" t="s">
        <v>525</v>
      </c>
      <c r="M75" s="179" t="s">
        <v>522</v>
      </c>
      <c r="N75" s="180">
        <v>1059904</v>
      </c>
      <c r="O75" s="181">
        <v>46058</v>
      </c>
      <c r="P75" s="182" t="s">
        <v>523</v>
      </c>
      <c r="Q75" s="183">
        <v>90.087999999999994</v>
      </c>
      <c r="R75" s="178" t="s">
        <v>600</v>
      </c>
    </row>
    <row r="76" spans="6:18" ht="33.75" thickBot="1">
      <c r="F76" s="193">
        <v>72</v>
      </c>
      <c r="G76" s="184" t="s">
        <v>520</v>
      </c>
      <c r="H76" s="184" t="s">
        <v>520</v>
      </c>
      <c r="I76" s="184" t="s">
        <v>68</v>
      </c>
      <c r="J76" s="195">
        <v>308180519750</v>
      </c>
      <c r="K76" s="472">
        <v>46044</v>
      </c>
      <c r="L76" s="185" t="s">
        <v>525</v>
      </c>
      <c r="M76" s="185" t="s">
        <v>522</v>
      </c>
      <c r="N76" s="186">
        <v>1059898</v>
      </c>
      <c r="O76" s="187">
        <v>46058</v>
      </c>
      <c r="P76" s="188" t="s">
        <v>523</v>
      </c>
      <c r="Q76" s="189">
        <v>27.149000000000001</v>
      </c>
      <c r="R76" s="184" t="s">
        <v>601</v>
      </c>
    </row>
    <row r="77" spans="6:18" ht="33.75" thickBot="1">
      <c r="F77" s="192">
        <v>73</v>
      </c>
      <c r="G77" s="178" t="s">
        <v>520</v>
      </c>
      <c r="H77" s="178" t="s">
        <v>520</v>
      </c>
      <c r="I77" s="178" t="s">
        <v>68</v>
      </c>
      <c r="J77" s="486">
        <v>107943733440</v>
      </c>
      <c r="K77" s="473">
        <v>46053</v>
      </c>
      <c r="L77" s="179" t="s">
        <v>521</v>
      </c>
      <c r="M77" s="179" t="s">
        <v>522</v>
      </c>
      <c r="N77" s="180">
        <v>1059814</v>
      </c>
      <c r="O77" s="181">
        <v>46058</v>
      </c>
      <c r="P77" s="182" t="s">
        <v>523</v>
      </c>
      <c r="Q77" s="183">
        <v>70.082999999999998</v>
      </c>
      <c r="R77" s="178" t="s">
        <v>602</v>
      </c>
    </row>
    <row r="78" spans="6:18" ht="33.75" thickBot="1">
      <c r="F78" s="193">
        <v>74</v>
      </c>
      <c r="G78" s="184" t="s">
        <v>520</v>
      </c>
      <c r="H78" s="184" t="s">
        <v>520</v>
      </c>
      <c r="I78" s="184" t="s">
        <v>68</v>
      </c>
      <c r="J78" s="195">
        <v>107943055730</v>
      </c>
      <c r="K78" s="472">
        <v>46053</v>
      </c>
      <c r="L78" s="185" t="s">
        <v>521</v>
      </c>
      <c r="M78" s="185" t="s">
        <v>522</v>
      </c>
      <c r="N78" s="186">
        <v>1059813</v>
      </c>
      <c r="O78" s="187">
        <v>46058</v>
      </c>
      <c r="P78" s="188" t="s">
        <v>523</v>
      </c>
      <c r="Q78" s="189">
        <v>67.557000000000002</v>
      </c>
      <c r="R78" s="184" t="s">
        <v>603</v>
      </c>
    </row>
    <row r="79" spans="6:18" ht="33.75" thickBot="1">
      <c r="F79" s="192">
        <v>75</v>
      </c>
      <c r="G79" s="178" t="s">
        <v>520</v>
      </c>
      <c r="H79" s="178" t="s">
        <v>520</v>
      </c>
      <c r="I79" s="178" t="s">
        <v>68</v>
      </c>
      <c r="J79" s="486">
        <v>308220729960</v>
      </c>
      <c r="K79" s="473">
        <v>46057</v>
      </c>
      <c r="L79" s="179" t="s">
        <v>525</v>
      </c>
      <c r="M79" s="179" t="s">
        <v>522</v>
      </c>
      <c r="N79" s="180">
        <v>1059201</v>
      </c>
      <c r="O79" s="181">
        <v>46058</v>
      </c>
      <c r="P79" s="182" t="s">
        <v>523</v>
      </c>
      <c r="Q79" s="183">
        <v>500</v>
      </c>
      <c r="R79" s="178" t="s">
        <v>604</v>
      </c>
    </row>
    <row r="80" spans="6:18" ht="33.75" thickBot="1">
      <c r="F80" s="193">
        <v>76</v>
      </c>
      <c r="G80" s="184" t="s">
        <v>520</v>
      </c>
      <c r="H80" s="184" t="s">
        <v>520</v>
      </c>
      <c r="I80" s="184" t="s">
        <v>68</v>
      </c>
      <c r="J80" s="195">
        <v>308222975600</v>
      </c>
      <c r="K80" s="472">
        <v>46057</v>
      </c>
      <c r="L80" s="185" t="s">
        <v>525</v>
      </c>
      <c r="M80" s="185" t="s">
        <v>526</v>
      </c>
      <c r="N80" s="186">
        <v>642163</v>
      </c>
      <c r="O80" s="187">
        <v>46058</v>
      </c>
      <c r="P80" s="188" t="s">
        <v>523</v>
      </c>
      <c r="Q80" s="189">
        <v>500</v>
      </c>
      <c r="R80" s="184" t="s">
        <v>605</v>
      </c>
    </row>
    <row r="81" spans="6:18" ht="33.75" thickBot="1">
      <c r="F81" s="192">
        <v>77</v>
      </c>
      <c r="G81" s="178" t="s">
        <v>520</v>
      </c>
      <c r="H81" s="178" t="s">
        <v>520</v>
      </c>
      <c r="I81" s="178" t="s">
        <v>68</v>
      </c>
      <c r="J81" s="486">
        <v>308220602230</v>
      </c>
      <c r="K81" s="473">
        <v>46056</v>
      </c>
      <c r="L81" s="179" t="s">
        <v>525</v>
      </c>
      <c r="M81" s="179" t="s">
        <v>526</v>
      </c>
      <c r="N81" s="180">
        <v>642159</v>
      </c>
      <c r="O81" s="181">
        <v>46058</v>
      </c>
      <c r="P81" s="182" t="s">
        <v>523</v>
      </c>
      <c r="Q81" s="183">
        <v>500</v>
      </c>
      <c r="R81" s="178" t="s">
        <v>606</v>
      </c>
    </row>
    <row r="82" spans="6:18" ht="33.75" thickBot="1">
      <c r="F82" s="193">
        <v>78</v>
      </c>
      <c r="G82" s="184" t="s">
        <v>520</v>
      </c>
      <c r="H82" s="184" t="s">
        <v>520</v>
      </c>
      <c r="I82" s="184" t="s">
        <v>68</v>
      </c>
      <c r="J82" s="195">
        <v>308214660520</v>
      </c>
      <c r="K82" s="472">
        <v>46055</v>
      </c>
      <c r="L82" s="185" t="s">
        <v>525</v>
      </c>
      <c r="M82" s="185" t="s">
        <v>526</v>
      </c>
      <c r="N82" s="186">
        <v>642056</v>
      </c>
      <c r="O82" s="187">
        <v>46058</v>
      </c>
      <c r="P82" s="188" t="s">
        <v>523</v>
      </c>
      <c r="Q82" s="189">
        <v>500</v>
      </c>
      <c r="R82" s="184" t="s">
        <v>607</v>
      </c>
    </row>
    <row r="83" spans="6:18" ht="33.75" thickBot="1">
      <c r="F83" s="192">
        <v>79</v>
      </c>
      <c r="G83" s="178" t="s">
        <v>520</v>
      </c>
      <c r="H83" s="178" t="s">
        <v>520</v>
      </c>
      <c r="I83" s="178" t="s">
        <v>68</v>
      </c>
      <c r="J83" s="486">
        <v>308219852530</v>
      </c>
      <c r="K83" s="473">
        <v>46056</v>
      </c>
      <c r="L83" s="179" t="s">
        <v>525</v>
      </c>
      <c r="M83" s="179" t="s">
        <v>526</v>
      </c>
      <c r="N83" s="180">
        <v>642053</v>
      </c>
      <c r="O83" s="181">
        <v>46058</v>
      </c>
      <c r="P83" s="182" t="s">
        <v>523</v>
      </c>
      <c r="Q83" s="183">
        <v>500</v>
      </c>
      <c r="R83" s="178" t="s">
        <v>608</v>
      </c>
    </row>
    <row r="84" spans="6:18" ht="33.75" thickBot="1">
      <c r="F84" s="193">
        <v>80</v>
      </c>
      <c r="G84" s="184" t="s">
        <v>520</v>
      </c>
      <c r="H84" s="184" t="s">
        <v>520</v>
      </c>
      <c r="I84" s="184" t="s">
        <v>68</v>
      </c>
      <c r="J84" s="195">
        <v>308219818820</v>
      </c>
      <c r="K84" s="472">
        <v>46056</v>
      </c>
      <c r="L84" s="185" t="s">
        <v>525</v>
      </c>
      <c r="M84" s="185" t="s">
        <v>526</v>
      </c>
      <c r="N84" s="186">
        <v>642048</v>
      </c>
      <c r="O84" s="187">
        <v>46058</v>
      </c>
      <c r="P84" s="188" t="s">
        <v>523</v>
      </c>
      <c r="Q84" s="189">
        <v>250</v>
      </c>
      <c r="R84" s="184" t="s">
        <v>609</v>
      </c>
    </row>
    <row r="85" spans="6:18" ht="33.75" thickBot="1">
      <c r="F85" s="192">
        <v>81</v>
      </c>
      <c r="G85" s="178" t="s">
        <v>520</v>
      </c>
      <c r="H85" s="178" t="s">
        <v>520</v>
      </c>
      <c r="I85" s="178" t="s">
        <v>68</v>
      </c>
      <c r="J85" s="486">
        <v>308214663320</v>
      </c>
      <c r="K85" s="473">
        <v>46056</v>
      </c>
      <c r="L85" s="179" t="s">
        <v>525</v>
      </c>
      <c r="M85" s="179" t="s">
        <v>526</v>
      </c>
      <c r="N85" s="180">
        <v>642047</v>
      </c>
      <c r="O85" s="181">
        <v>46058</v>
      </c>
      <c r="P85" s="182" t="s">
        <v>523</v>
      </c>
      <c r="Q85" s="183">
        <v>500</v>
      </c>
      <c r="R85" s="178" t="s">
        <v>610</v>
      </c>
    </row>
    <row r="86" spans="6:18" ht="33.75" thickBot="1">
      <c r="F86" s="193">
        <v>82</v>
      </c>
      <c r="G86" s="184" t="s">
        <v>520</v>
      </c>
      <c r="H86" s="184" t="s">
        <v>520</v>
      </c>
      <c r="I86" s="184" t="s">
        <v>68</v>
      </c>
      <c r="J86" s="195">
        <v>308219883920</v>
      </c>
      <c r="K86" s="472">
        <v>46056</v>
      </c>
      <c r="L86" s="185" t="s">
        <v>525</v>
      </c>
      <c r="M86" s="185" t="s">
        <v>526</v>
      </c>
      <c r="N86" s="186">
        <v>642045</v>
      </c>
      <c r="O86" s="187">
        <v>46058</v>
      </c>
      <c r="P86" s="188" t="s">
        <v>523</v>
      </c>
      <c r="Q86" s="189">
        <v>500</v>
      </c>
      <c r="R86" s="184" t="s">
        <v>611</v>
      </c>
    </row>
    <row r="87" spans="6:18" ht="33.75" thickBot="1">
      <c r="F87" s="192">
        <v>83</v>
      </c>
      <c r="G87" s="178" t="s">
        <v>520</v>
      </c>
      <c r="H87" s="178" t="s">
        <v>520</v>
      </c>
      <c r="I87" s="178" t="s">
        <v>68</v>
      </c>
      <c r="J87" s="486">
        <v>308222965650</v>
      </c>
      <c r="K87" s="473">
        <v>46058</v>
      </c>
      <c r="L87" s="179" t="s">
        <v>525</v>
      </c>
      <c r="M87" s="179" t="s">
        <v>522</v>
      </c>
      <c r="N87" s="180">
        <v>1058583</v>
      </c>
      <c r="O87" s="181">
        <v>46058</v>
      </c>
      <c r="P87" s="182" t="s">
        <v>523</v>
      </c>
      <c r="Q87" s="183">
        <v>500</v>
      </c>
      <c r="R87" s="178" t="s">
        <v>612</v>
      </c>
    </row>
    <row r="88" spans="6:18" ht="33.75" thickBot="1">
      <c r="F88" s="193">
        <v>84</v>
      </c>
      <c r="G88" s="184" t="s">
        <v>520</v>
      </c>
      <c r="H88" s="184" t="s">
        <v>520</v>
      </c>
      <c r="I88" s="184" t="s">
        <v>68</v>
      </c>
      <c r="J88" s="195">
        <v>308214665050</v>
      </c>
      <c r="K88" s="472">
        <v>46055</v>
      </c>
      <c r="L88" s="185" t="s">
        <v>525</v>
      </c>
      <c r="M88" s="185" t="s">
        <v>522</v>
      </c>
      <c r="N88" s="186">
        <v>1056704</v>
      </c>
      <c r="O88" s="187">
        <v>46057</v>
      </c>
      <c r="P88" s="188" t="s">
        <v>523</v>
      </c>
      <c r="Q88" s="189">
        <v>500</v>
      </c>
      <c r="R88" s="184" t="s">
        <v>613</v>
      </c>
    </row>
    <row r="89" spans="6:18" ht="33.75" thickBot="1">
      <c r="F89" s="192">
        <v>85</v>
      </c>
      <c r="G89" s="178" t="s">
        <v>520</v>
      </c>
      <c r="H89" s="178" t="s">
        <v>520</v>
      </c>
      <c r="I89" s="178" t="s">
        <v>68</v>
      </c>
      <c r="J89" s="486">
        <v>308220669060</v>
      </c>
      <c r="K89" s="473">
        <v>46056</v>
      </c>
      <c r="L89" s="179" t="s">
        <v>525</v>
      </c>
      <c r="M89" s="179" t="s">
        <v>522</v>
      </c>
      <c r="N89" s="180">
        <v>1054395</v>
      </c>
      <c r="O89" s="181">
        <v>46057</v>
      </c>
      <c r="P89" s="182" t="s">
        <v>523</v>
      </c>
      <c r="Q89" s="183">
        <v>500</v>
      </c>
      <c r="R89" s="178" t="s">
        <v>614</v>
      </c>
    </row>
    <row r="90" spans="6:18" ht="33.75" thickBot="1">
      <c r="F90" s="193">
        <v>86</v>
      </c>
      <c r="G90" s="184" t="s">
        <v>520</v>
      </c>
      <c r="H90" s="184" t="s">
        <v>520</v>
      </c>
      <c r="I90" s="184" t="s">
        <v>68</v>
      </c>
      <c r="J90" s="195">
        <v>308221089800</v>
      </c>
      <c r="K90" s="472">
        <v>46057</v>
      </c>
      <c r="L90" s="185" t="s">
        <v>525</v>
      </c>
      <c r="M90" s="185" t="s">
        <v>522</v>
      </c>
      <c r="N90" s="186">
        <v>1053027</v>
      </c>
      <c r="O90" s="187">
        <v>46057</v>
      </c>
      <c r="P90" s="188" t="s">
        <v>523</v>
      </c>
      <c r="Q90" s="189">
        <v>500</v>
      </c>
      <c r="R90" s="184" t="s">
        <v>615</v>
      </c>
    </row>
    <row r="91" spans="6:18" ht="33.75" thickBot="1">
      <c r="F91" s="192">
        <v>87</v>
      </c>
      <c r="G91" s="178" t="s">
        <v>520</v>
      </c>
      <c r="H91" s="178" t="s">
        <v>520</v>
      </c>
      <c r="I91" s="178" t="s">
        <v>68</v>
      </c>
      <c r="J91" s="486">
        <v>308220689510</v>
      </c>
      <c r="K91" s="473">
        <v>46057</v>
      </c>
      <c r="L91" s="179" t="s">
        <v>525</v>
      </c>
      <c r="M91" s="179" t="s">
        <v>522</v>
      </c>
      <c r="N91" s="180">
        <v>1053012</v>
      </c>
      <c r="O91" s="181">
        <v>46057</v>
      </c>
      <c r="P91" s="182" t="s">
        <v>523</v>
      </c>
      <c r="Q91" s="183">
        <v>500</v>
      </c>
      <c r="R91" s="178" t="s">
        <v>616</v>
      </c>
    </row>
    <row r="92" spans="6:18" ht="33.75" thickBot="1">
      <c r="F92" s="193">
        <v>88</v>
      </c>
      <c r="G92" s="184" t="s">
        <v>520</v>
      </c>
      <c r="H92" s="184" t="s">
        <v>520</v>
      </c>
      <c r="I92" s="184" t="s">
        <v>68</v>
      </c>
      <c r="J92" s="195">
        <v>308208169310</v>
      </c>
      <c r="K92" s="472">
        <v>46055</v>
      </c>
      <c r="L92" s="185" t="s">
        <v>525</v>
      </c>
      <c r="M92" s="185" t="s">
        <v>526</v>
      </c>
      <c r="N92" s="186">
        <v>638971</v>
      </c>
      <c r="O92" s="187">
        <v>46056</v>
      </c>
      <c r="P92" s="188" t="s">
        <v>523</v>
      </c>
      <c r="Q92" s="189">
        <v>500</v>
      </c>
      <c r="R92" s="184" t="s">
        <v>617</v>
      </c>
    </row>
    <row r="93" spans="6:18" ht="33.75" thickBot="1">
      <c r="F93" s="192">
        <v>89</v>
      </c>
      <c r="G93" s="178" t="s">
        <v>520</v>
      </c>
      <c r="H93" s="178" t="s">
        <v>520</v>
      </c>
      <c r="I93" s="178" t="s">
        <v>68</v>
      </c>
      <c r="J93" s="486">
        <v>308214655950</v>
      </c>
      <c r="K93" s="473">
        <v>46056</v>
      </c>
      <c r="L93" s="179" t="s">
        <v>525</v>
      </c>
      <c r="M93" s="179" t="s">
        <v>522</v>
      </c>
      <c r="N93" s="180">
        <v>1048802</v>
      </c>
      <c r="O93" s="181">
        <v>46056</v>
      </c>
      <c r="P93" s="182" t="s">
        <v>523</v>
      </c>
      <c r="Q93" s="183">
        <v>500</v>
      </c>
      <c r="R93" s="178" t="s">
        <v>618</v>
      </c>
    </row>
    <row r="94" spans="6:18" ht="33.75" thickBot="1">
      <c r="F94" s="193">
        <v>90</v>
      </c>
      <c r="G94" s="184" t="s">
        <v>520</v>
      </c>
      <c r="H94" s="184" t="s">
        <v>520</v>
      </c>
      <c r="I94" s="184" t="s">
        <v>68</v>
      </c>
      <c r="J94" s="195">
        <v>308214655360</v>
      </c>
      <c r="K94" s="472">
        <v>46055</v>
      </c>
      <c r="L94" s="185" t="s">
        <v>525</v>
      </c>
      <c r="M94" s="185" t="s">
        <v>522</v>
      </c>
      <c r="N94" s="186">
        <v>1048785</v>
      </c>
      <c r="O94" s="187">
        <v>46056</v>
      </c>
      <c r="P94" s="188" t="s">
        <v>523</v>
      </c>
      <c r="Q94" s="189">
        <v>500</v>
      </c>
      <c r="R94" s="184" t="s">
        <v>619</v>
      </c>
    </row>
    <row r="95" spans="6:18" ht="33.75" thickBot="1">
      <c r="F95" s="192">
        <v>91</v>
      </c>
      <c r="G95" s="178" t="s">
        <v>520</v>
      </c>
      <c r="H95" s="178" t="s">
        <v>520</v>
      </c>
      <c r="I95" s="178" t="s">
        <v>68</v>
      </c>
      <c r="J95" s="486">
        <v>308214654550</v>
      </c>
      <c r="K95" s="473">
        <v>46055</v>
      </c>
      <c r="L95" s="179" t="s">
        <v>525</v>
      </c>
      <c r="M95" s="179" t="s">
        <v>522</v>
      </c>
      <c r="N95" s="180">
        <v>1048783</v>
      </c>
      <c r="O95" s="181">
        <v>46056</v>
      </c>
      <c r="P95" s="182" t="s">
        <v>523</v>
      </c>
      <c r="Q95" s="183">
        <v>500</v>
      </c>
      <c r="R95" s="178" t="s">
        <v>620</v>
      </c>
    </row>
    <row r="96" spans="6:18" ht="33.75" thickBot="1">
      <c r="F96" s="193">
        <v>92</v>
      </c>
      <c r="G96" s="184" t="s">
        <v>520</v>
      </c>
      <c r="H96" s="184" t="s">
        <v>520</v>
      </c>
      <c r="I96" s="184" t="s">
        <v>68</v>
      </c>
      <c r="J96" s="195">
        <v>308215443010</v>
      </c>
      <c r="K96" s="472">
        <v>46055</v>
      </c>
      <c r="L96" s="185" t="s">
        <v>525</v>
      </c>
      <c r="M96" s="185" t="s">
        <v>522</v>
      </c>
      <c r="N96" s="186">
        <v>1048782</v>
      </c>
      <c r="O96" s="187">
        <v>46056</v>
      </c>
      <c r="P96" s="188" t="s">
        <v>523</v>
      </c>
      <c r="Q96" s="189">
        <v>250</v>
      </c>
      <c r="R96" s="184" t="s">
        <v>621</v>
      </c>
    </row>
    <row r="97" spans="5:18" ht="33.75" thickBot="1">
      <c r="F97" s="192">
        <v>93</v>
      </c>
      <c r="G97" s="178" t="s">
        <v>520</v>
      </c>
      <c r="H97" s="178" t="s">
        <v>520</v>
      </c>
      <c r="I97" s="178" t="s">
        <v>68</v>
      </c>
      <c r="J97" s="486">
        <v>107937670410</v>
      </c>
      <c r="K97" s="473">
        <v>46052</v>
      </c>
      <c r="L97" s="179" t="s">
        <v>521</v>
      </c>
      <c r="M97" s="179" t="s">
        <v>526</v>
      </c>
      <c r="N97" s="180">
        <v>638884</v>
      </c>
      <c r="O97" s="181">
        <v>46056</v>
      </c>
      <c r="P97" s="182" t="s">
        <v>523</v>
      </c>
      <c r="Q97" s="183" t="s">
        <v>622</v>
      </c>
      <c r="R97" s="178" t="s">
        <v>623</v>
      </c>
    </row>
    <row r="98" spans="5:18" ht="33.75" thickBot="1">
      <c r="F98" s="193">
        <v>94</v>
      </c>
      <c r="G98" s="184" t="s">
        <v>520</v>
      </c>
      <c r="H98" s="184" t="s">
        <v>520</v>
      </c>
      <c r="I98" s="184" t="s">
        <v>68</v>
      </c>
      <c r="J98" s="195">
        <v>308214646300</v>
      </c>
      <c r="K98" s="472">
        <v>46055</v>
      </c>
      <c r="L98" s="185" t="s">
        <v>525</v>
      </c>
      <c r="M98" s="185" t="s">
        <v>522</v>
      </c>
      <c r="N98" s="186">
        <v>1047508</v>
      </c>
      <c r="O98" s="187">
        <v>46056</v>
      </c>
      <c r="P98" s="188" t="s">
        <v>523</v>
      </c>
      <c r="Q98" s="189">
        <v>500</v>
      </c>
      <c r="R98" s="184" t="s">
        <v>624</v>
      </c>
    </row>
    <row r="99" spans="5:18" ht="33.75" thickBot="1">
      <c r="F99" s="192">
        <v>95</v>
      </c>
      <c r="G99" s="178" t="s">
        <v>520</v>
      </c>
      <c r="H99" s="178" t="s">
        <v>520</v>
      </c>
      <c r="I99" s="178" t="s">
        <v>68</v>
      </c>
      <c r="J99" s="486">
        <v>107945667650</v>
      </c>
      <c r="K99" s="473">
        <v>46052</v>
      </c>
      <c r="L99" s="179" t="s">
        <v>521</v>
      </c>
      <c r="M99" s="179" t="s">
        <v>526</v>
      </c>
      <c r="N99" s="180">
        <v>638502</v>
      </c>
      <c r="O99" s="181">
        <v>46056</v>
      </c>
      <c r="P99" s="182" t="s">
        <v>523</v>
      </c>
      <c r="Q99" s="183" t="s">
        <v>554</v>
      </c>
      <c r="R99" s="178" t="s">
        <v>625</v>
      </c>
    </row>
    <row r="100" spans="5:18" ht="33.75" thickBot="1">
      <c r="F100" s="193">
        <v>96</v>
      </c>
      <c r="G100" s="184" t="s">
        <v>520</v>
      </c>
      <c r="H100" s="184" t="s">
        <v>520</v>
      </c>
      <c r="I100" s="184" t="s">
        <v>68</v>
      </c>
      <c r="J100" s="195">
        <v>308208742500</v>
      </c>
      <c r="K100" s="472">
        <v>46053</v>
      </c>
      <c r="L100" s="185" t="s">
        <v>525</v>
      </c>
      <c r="M100" s="185" t="s">
        <v>522</v>
      </c>
      <c r="N100" s="186">
        <v>1045494</v>
      </c>
      <c r="O100" s="187">
        <v>46055</v>
      </c>
      <c r="P100" s="188" t="s">
        <v>523</v>
      </c>
      <c r="Q100" s="189">
        <v>500</v>
      </c>
      <c r="R100" s="184" t="s">
        <v>626</v>
      </c>
    </row>
    <row r="101" spans="5:18" ht="33.75" thickBot="1">
      <c r="F101" s="192">
        <v>97</v>
      </c>
      <c r="G101" s="178" t="s">
        <v>520</v>
      </c>
      <c r="H101" s="178" t="s">
        <v>520</v>
      </c>
      <c r="I101" s="178" t="s">
        <v>68</v>
      </c>
      <c r="J101" s="486">
        <v>308208705400</v>
      </c>
      <c r="K101" s="473">
        <v>46052</v>
      </c>
      <c r="L101" s="179" t="s">
        <v>525</v>
      </c>
      <c r="M101" s="179" t="s">
        <v>522</v>
      </c>
      <c r="N101" s="180">
        <v>1045483</v>
      </c>
      <c r="O101" s="181">
        <v>46055</v>
      </c>
      <c r="P101" s="182" t="s">
        <v>523</v>
      </c>
      <c r="Q101" s="183">
        <v>500</v>
      </c>
      <c r="R101" s="178" t="s">
        <v>627</v>
      </c>
    </row>
    <row r="102" spans="5:18" ht="33.75" thickBot="1">
      <c r="F102" s="193">
        <v>98</v>
      </c>
      <c r="G102" s="184" t="s">
        <v>520</v>
      </c>
      <c r="H102" s="184" t="s">
        <v>520</v>
      </c>
      <c r="I102" s="184" t="s">
        <v>68</v>
      </c>
      <c r="J102" s="195">
        <v>308208412320</v>
      </c>
      <c r="K102" s="472">
        <v>46053</v>
      </c>
      <c r="L102" s="185" t="s">
        <v>525</v>
      </c>
      <c r="M102" s="185" t="s">
        <v>526</v>
      </c>
      <c r="N102" s="186">
        <v>636896</v>
      </c>
      <c r="O102" s="187">
        <v>46055</v>
      </c>
      <c r="P102" s="188" t="s">
        <v>523</v>
      </c>
      <c r="Q102" s="189">
        <v>500</v>
      </c>
      <c r="R102" s="184" t="s">
        <v>628</v>
      </c>
    </row>
    <row r="103" spans="5:18" ht="33.75" thickBot="1">
      <c r="F103" s="192">
        <v>99</v>
      </c>
      <c r="G103" s="178" t="s">
        <v>520</v>
      </c>
      <c r="H103" s="178" t="s">
        <v>520</v>
      </c>
      <c r="I103" s="178" t="s">
        <v>68</v>
      </c>
      <c r="J103" s="486">
        <v>308202089550</v>
      </c>
      <c r="K103" s="473">
        <v>46052</v>
      </c>
      <c r="L103" s="179" t="s">
        <v>525</v>
      </c>
      <c r="M103" s="179" t="s">
        <v>526</v>
      </c>
      <c r="N103" s="180">
        <v>636891</v>
      </c>
      <c r="O103" s="181">
        <v>46055</v>
      </c>
      <c r="P103" s="182" t="s">
        <v>523</v>
      </c>
      <c r="Q103" s="183">
        <v>250</v>
      </c>
      <c r="R103" s="178" t="s">
        <v>629</v>
      </c>
    </row>
    <row r="104" spans="5:18" ht="33.75" thickBot="1">
      <c r="F104" s="193">
        <v>100</v>
      </c>
      <c r="G104" s="184" t="s">
        <v>520</v>
      </c>
      <c r="H104" s="184" t="s">
        <v>520</v>
      </c>
      <c r="I104" s="184" t="s">
        <v>68</v>
      </c>
      <c r="J104" s="195">
        <v>308201614950</v>
      </c>
      <c r="K104" s="472">
        <v>46051</v>
      </c>
      <c r="L104" s="185" t="s">
        <v>525</v>
      </c>
      <c r="M104" s="185" t="s">
        <v>526</v>
      </c>
      <c r="N104" s="186">
        <v>636889</v>
      </c>
      <c r="O104" s="187">
        <v>46055</v>
      </c>
      <c r="P104" s="188" t="s">
        <v>523</v>
      </c>
      <c r="Q104" s="189">
        <v>250</v>
      </c>
      <c r="R104" s="184" t="s">
        <v>630</v>
      </c>
    </row>
    <row r="105" spans="5:18" ht="50.25" thickBot="1">
      <c r="E105">
        <v>2</v>
      </c>
      <c r="F105" s="190" t="s">
        <v>9</v>
      </c>
      <c r="G105" s="191" t="s">
        <v>66</v>
      </c>
      <c r="H105" s="191" t="s">
        <v>67</v>
      </c>
      <c r="I105" s="191" t="s">
        <v>68</v>
      </c>
      <c r="J105" s="194" t="s">
        <v>69</v>
      </c>
      <c r="K105" s="191" t="s">
        <v>70</v>
      </c>
      <c r="L105" s="191" t="s">
        <v>71</v>
      </c>
      <c r="M105" s="191" t="s">
        <v>72</v>
      </c>
      <c r="N105" s="191" t="s">
        <v>73</v>
      </c>
      <c r="O105" s="191" t="s">
        <v>74</v>
      </c>
      <c r="P105" s="191" t="s">
        <v>75</v>
      </c>
      <c r="Q105" s="191" t="s">
        <v>76</v>
      </c>
      <c r="R105" s="191" t="s">
        <v>77</v>
      </c>
    </row>
    <row r="106" spans="5:18" ht="33.75" thickBot="1">
      <c r="F106" s="192">
        <v>1</v>
      </c>
      <c r="G106" s="178" t="s">
        <v>520</v>
      </c>
      <c r="H106" s="178" t="s">
        <v>520</v>
      </c>
      <c r="I106" s="178" t="s">
        <v>68</v>
      </c>
      <c r="J106" s="486">
        <v>308196593520</v>
      </c>
      <c r="K106" s="473">
        <v>46050</v>
      </c>
      <c r="L106" s="179" t="s">
        <v>525</v>
      </c>
      <c r="M106" s="179" t="s">
        <v>526</v>
      </c>
      <c r="N106" s="180">
        <v>636868</v>
      </c>
      <c r="O106" s="181">
        <v>46055</v>
      </c>
      <c r="P106" s="182" t="s">
        <v>523</v>
      </c>
      <c r="Q106" s="183">
        <v>250</v>
      </c>
      <c r="R106" s="178" t="s">
        <v>631</v>
      </c>
    </row>
    <row r="107" spans="5:18" ht="33.75" thickBot="1">
      <c r="F107" s="193">
        <v>2</v>
      </c>
      <c r="G107" s="184" t="s">
        <v>520</v>
      </c>
      <c r="H107" s="184" t="s">
        <v>520</v>
      </c>
      <c r="I107" s="184" t="s">
        <v>68</v>
      </c>
      <c r="J107" s="195">
        <v>308200921620</v>
      </c>
      <c r="K107" s="472">
        <v>46052</v>
      </c>
      <c r="L107" s="185" t="s">
        <v>525</v>
      </c>
      <c r="M107" s="185" t="s">
        <v>522</v>
      </c>
      <c r="N107" s="186">
        <v>1041249</v>
      </c>
      <c r="O107" s="187">
        <v>46055</v>
      </c>
      <c r="P107" s="188" t="s">
        <v>523</v>
      </c>
      <c r="Q107" s="189">
        <v>500</v>
      </c>
      <c r="R107" s="184" t="s">
        <v>632</v>
      </c>
    </row>
    <row r="108" spans="5:18" ht="33.75" thickBot="1">
      <c r="F108" s="192">
        <v>3</v>
      </c>
      <c r="G108" s="178" t="s">
        <v>520</v>
      </c>
      <c r="H108" s="178" t="s">
        <v>520</v>
      </c>
      <c r="I108" s="178" t="s">
        <v>68</v>
      </c>
      <c r="J108" s="486">
        <v>308208052520</v>
      </c>
      <c r="K108" s="473">
        <v>46052</v>
      </c>
      <c r="L108" s="179" t="s">
        <v>525</v>
      </c>
      <c r="M108" s="179" t="s">
        <v>522</v>
      </c>
      <c r="N108" s="180">
        <v>1041221</v>
      </c>
      <c r="O108" s="181">
        <v>46055</v>
      </c>
      <c r="P108" s="182" t="s">
        <v>523</v>
      </c>
      <c r="Q108" s="183">
        <v>500</v>
      </c>
      <c r="R108" s="178" t="s">
        <v>633</v>
      </c>
    </row>
    <row r="109" spans="5:18" ht="33.75" thickBot="1">
      <c r="F109" s="193">
        <v>4</v>
      </c>
      <c r="G109" s="184" t="s">
        <v>520</v>
      </c>
      <c r="H109" s="184" t="s">
        <v>520</v>
      </c>
      <c r="I109" s="184" t="s">
        <v>68</v>
      </c>
      <c r="J109" s="195">
        <v>308206856330</v>
      </c>
      <c r="K109" s="472">
        <v>46052</v>
      </c>
      <c r="L109" s="185" t="s">
        <v>525</v>
      </c>
      <c r="M109" s="185" t="s">
        <v>522</v>
      </c>
      <c r="N109" s="186">
        <v>1041201</v>
      </c>
      <c r="O109" s="187">
        <v>46055</v>
      </c>
      <c r="P109" s="188" t="s">
        <v>523</v>
      </c>
      <c r="Q109" s="189">
        <v>500</v>
      </c>
      <c r="R109" s="184" t="s">
        <v>634</v>
      </c>
    </row>
    <row r="110" spans="5:18" ht="33.75" thickBot="1">
      <c r="F110" s="192">
        <v>5</v>
      </c>
      <c r="G110" s="178" t="s">
        <v>520</v>
      </c>
      <c r="H110" s="178" t="s">
        <v>520</v>
      </c>
      <c r="I110" s="178" t="s">
        <v>68</v>
      </c>
      <c r="J110" s="486">
        <v>308208081000</v>
      </c>
      <c r="K110" s="473">
        <v>46052</v>
      </c>
      <c r="L110" s="179" t="s">
        <v>525</v>
      </c>
      <c r="M110" s="179" t="s">
        <v>522</v>
      </c>
      <c r="N110" s="180">
        <v>1039256</v>
      </c>
      <c r="O110" s="181">
        <v>46053</v>
      </c>
      <c r="P110" s="182" t="s">
        <v>523</v>
      </c>
      <c r="Q110" s="183">
        <v>250</v>
      </c>
      <c r="R110" s="178" t="s">
        <v>635</v>
      </c>
    </row>
    <row r="111" spans="5:18" ht="33.75" thickBot="1">
      <c r="F111" s="193">
        <v>6</v>
      </c>
      <c r="G111" s="184" t="s">
        <v>520</v>
      </c>
      <c r="H111" s="184" t="s">
        <v>520</v>
      </c>
      <c r="I111" s="184" t="s">
        <v>68</v>
      </c>
      <c r="J111" s="195">
        <v>308206869740</v>
      </c>
      <c r="K111" s="472">
        <v>46052</v>
      </c>
      <c r="L111" s="185" t="s">
        <v>525</v>
      </c>
      <c r="M111" s="185" t="s">
        <v>526</v>
      </c>
      <c r="N111" s="186">
        <v>635737</v>
      </c>
      <c r="O111" s="187">
        <v>46053</v>
      </c>
      <c r="P111" s="188" t="s">
        <v>523</v>
      </c>
      <c r="Q111" s="189">
        <v>500</v>
      </c>
      <c r="R111" s="184" t="s">
        <v>636</v>
      </c>
    </row>
    <row r="112" spans="5:18" ht="33.75" thickBot="1">
      <c r="F112" s="192">
        <v>7</v>
      </c>
      <c r="G112" s="178" t="s">
        <v>520</v>
      </c>
      <c r="H112" s="178" t="s">
        <v>520</v>
      </c>
      <c r="I112" s="178" t="s">
        <v>68</v>
      </c>
      <c r="J112" s="486">
        <v>107944639500</v>
      </c>
      <c r="K112" s="473">
        <v>46052</v>
      </c>
      <c r="L112" s="179" t="s">
        <v>539</v>
      </c>
      <c r="M112" s="179" t="s">
        <v>526</v>
      </c>
      <c r="N112" s="180">
        <v>635722</v>
      </c>
      <c r="O112" s="181">
        <v>46053</v>
      </c>
      <c r="P112" s="182" t="s">
        <v>523</v>
      </c>
      <c r="Q112" s="183" t="s">
        <v>637</v>
      </c>
      <c r="R112" s="178" t="s">
        <v>638</v>
      </c>
    </row>
    <row r="113" spans="6:18" ht="33.75" thickBot="1">
      <c r="F113" s="193">
        <v>8</v>
      </c>
      <c r="G113" s="184" t="s">
        <v>520</v>
      </c>
      <c r="H113" s="184" t="s">
        <v>520</v>
      </c>
      <c r="I113" s="184" t="s">
        <v>68</v>
      </c>
      <c r="J113" s="195">
        <v>308206863110</v>
      </c>
      <c r="K113" s="472">
        <v>46052</v>
      </c>
      <c r="L113" s="185" t="s">
        <v>525</v>
      </c>
      <c r="M113" s="185" t="s">
        <v>526</v>
      </c>
      <c r="N113" s="186">
        <v>635720</v>
      </c>
      <c r="O113" s="187">
        <v>46053</v>
      </c>
      <c r="P113" s="188" t="s">
        <v>523</v>
      </c>
      <c r="Q113" s="189">
        <v>500</v>
      </c>
      <c r="R113" s="184" t="s">
        <v>639</v>
      </c>
    </row>
    <row r="114" spans="6:18" ht="33.75" thickBot="1">
      <c r="F114" s="192">
        <v>9</v>
      </c>
      <c r="G114" s="178" t="s">
        <v>520</v>
      </c>
      <c r="H114" s="178" t="s">
        <v>520</v>
      </c>
      <c r="I114" s="178" t="s">
        <v>68</v>
      </c>
      <c r="J114" s="486">
        <v>308197097960</v>
      </c>
      <c r="K114" s="473">
        <v>46050</v>
      </c>
      <c r="L114" s="179" t="s">
        <v>525</v>
      </c>
      <c r="M114" s="179" t="s">
        <v>522</v>
      </c>
      <c r="N114" s="180">
        <v>1038981</v>
      </c>
      <c r="O114" s="181">
        <v>46053</v>
      </c>
      <c r="P114" s="182" t="s">
        <v>523</v>
      </c>
      <c r="Q114" s="183">
        <v>500</v>
      </c>
      <c r="R114" s="178" t="s">
        <v>640</v>
      </c>
    </row>
    <row r="115" spans="6:18" ht="33.75" thickBot="1">
      <c r="F115" s="193">
        <v>10</v>
      </c>
      <c r="G115" s="184" t="s">
        <v>520</v>
      </c>
      <c r="H115" s="184" t="s">
        <v>520</v>
      </c>
      <c r="I115" s="184" t="s">
        <v>68</v>
      </c>
      <c r="J115" s="195">
        <v>308208131360</v>
      </c>
      <c r="K115" s="472">
        <v>46053</v>
      </c>
      <c r="L115" s="185" t="s">
        <v>525</v>
      </c>
      <c r="M115" s="185" t="s">
        <v>522</v>
      </c>
      <c r="N115" s="186">
        <v>1038498</v>
      </c>
      <c r="O115" s="187">
        <v>46053</v>
      </c>
      <c r="P115" s="188" t="s">
        <v>523</v>
      </c>
      <c r="Q115" s="189">
        <v>500</v>
      </c>
      <c r="R115" s="184" t="s">
        <v>641</v>
      </c>
    </row>
    <row r="116" spans="6:18" ht="33.75" thickBot="1">
      <c r="F116" s="192">
        <v>11</v>
      </c>
      <c r="G116" s="178" t="s">
        <v>520</v>
      </c>
      <c r="H116" s="178" t="s">
        <v>520</v>
      </c>
      <c r="I116" s="178" t="s">
        <v>68</v>
      </c>
      <c r="J116" s="486">
        <v>308206853900</v>
      </c>
      <c r="K116" s="473">
        <v>46052</v>
      </c>
      <c r="L116" s="179" t="s">
        <v>525</v>
      </c>
      <c r="M116" s="179" t="s">
        <v>522</v>
      </c>
      <c r="N116" s="180">
        <v>1038481</v>
      </c>
      <c r="O116" s="181">
        <v>46053</v>
      </c>
      <c r="P116" s="182" t="s">
        <v>523</v>
      </c>
      <c r="Q116" s="183">
        <v>500</v>
      </c>
      <c r="R116" s="178" t="s">
        <v>642</v>
      </c>
    </row>
    <row r="117" spans="6:18" ht="33.75" thickBot="1">
      <c r="F117" s="193">
        <v>12</v>
      </c>
      <c r="G117" s="184" t="s">
        <v>520</v>
      </c>
      <c r="H117" s="184" t="s">
        <v>520</v>
      </c>
      <c r="I117" s="184" t="s">
        <v>68</v>
      </c>
      <c r="J117" s="195">
        <v>308201871630</v>
      </c>
      <c r="K117" s="472">
        <v>46051</v>
      </c>
      <c r="L117" s="185" t="s">
        <v>525</v>
      </c>
      <c r="M117" s="185" t="s">
        <v>522</v>
      </c>
      <c r="N117" s="186">
        <v>1035869</v>
      </c>
      <c r="O117" s="187">
        <v>46052</v>
      </c>
      <c r="P117" s="188" t="s">
        <v>523</v>
      </c>
      <c r="Q117" s="189">
        <v>500</v>
      </c>
      <c r="R117" s="184" t="s">
        <v>643</v>
      </c>
    </row>
    <row r="118" spans="6:18" ht="33.75" thickBot="1">
      <c r="F118" s="192">
        <v>13</v>
      </c>
      <c r="G118" s="178" t="s">
        <v>520</v>
      </c>
      <c r="H118" s="178" t="s">
        <v>520</v>
      </c>
      <c r="I118" s="178" t="s">
        <v>68</v>
      </c>
      <c r="J118" s="486">
        <v>308202019000</v>
      </c>
      <c r="K118" s="473">
        <v>46052</v>
      </c>
      <c r="L118" s="179" t="s">
        <v>525</v>
      </c>
      <c r="M118" s="179" t="s">
        <v>522</v>
      </c>
      <c r="N118" s="180">
        <v>1035868</v>
      </c>
      <c r="O118" s="181">
        <v>46052</v>
      </c>
      <c r="P118" s="182" t="s">
        <v>523</v>
      </c>
      <c r="Q118" s="183">
        <v>500</v>
      </c>
      <c r="R118" s="178" t="s">
        <v>644</v>
      </c>
    </row>
    <row r="119" spans="6:18" ht="33.75" thickBot="1">
      <c r="F119" s="193">
        <v>14</v>
      </c>
      <c r="G119" s="184" t="s">
        <v>520</v>
      </c>
      <c r="H119" s="184" t="s">
        <v>520</v>
      </c>
      <c r="I119" s="184" t="s">
        <v>68</v>
      </c>
      <c r="J119" s="195">
        <v>308201885040</v>
      </c>
      <c r="K119" s="472">
        <v>46051</v>
      </c>
      <c r="L119" s="185" t="s">
        <v>525</v>
      </c>
      <c r="M119" s="185" t="s">
        <v>522</v>
      </c>
      <c r="N119" s="186">
        <v>1035863</v>
      </c>
      <c r="O119" s="187">
        <v>46052</v>
      </c>
      <c r="P119" s="188" t="s">
        <v>523</v>
      </c>
      <c r="Q119" s="189">
        <v>500</v>
      </c>
      <c r="R119" s="184" t="s">
        <v>645</v>
      </c>
    </row>
    <row r="120" spans="6:18" ht="33.75" thickBot="1">
      <c r="F120" s="192">
        <v>15</v>
      </c>
      <c r="G120" s="178" t="s">
        <v>520</v>
      </c>
      <c r="H120" s="178" t="s">
        <v>520</v>
      </c>
      <c r="I120" s="178" t="s">
        <v>68</v>
      </c>
      <c r="J120" s="486">
        <v>308201992360</v>
      </c>
      <c r="K120" s="473">
        <v>46051</v>
      </c>
      <c r="L120" s="179" t="s">
        <v>525</v>
      </c>
      <c r="M120" s="179" t="s">
        <v>522</v>
      </c>
      <c r="N120" s="180">
        <v>1035861</v>
      </c>
      <c r="O120" s="181">
        <v>46052</v>
      </c>
      <c r="P120" s="182" t="s">
        <v>523</v>
      </c>
      <c r="Q120" s="183">
        <v>500</v>
      </c>
      <c r="R120" s="178" t="s">
        <v>646</v>
      </c>
    </row>
    <row r="121" spans="6:18" ht="33.75" thickBot="1">
      <c r="F121" s="193">
        <v>16</v>
      </c>
      <c r="G121" s="184" t="s">
        <v>520</v>
      </c>
      <c r="H121" s="184" t="s">
        <v>520</v>
      </c>
      <c r="I121" s="184" t="s">
        <v>68</v>
      </c>
      <c r="J121" s="195">
        <v>308201912600</v>
      </c>
      <c r="K121" s="472">
        <v>46051</v>
      </c>
      <c r="L121" s="185" t="s">
        <v>525</v>
      </c>
      <c r="M121" s="185" t="s">
        <v>522</v>
      </c>
      <c r="N121" s="186">
        <v>1035848</v>
      </c>
      <c r="O121" s="187">
        <v>46052</v>
      </c>
      <c r="P121" s="188" t="s">
        <v>523</v>
      </c>
      <c r="Q121" s="189">
        <v>500</v>
      </c>
      <c r="R121" s="184" t="s">
        <v>647</v>
      </c>
    </row>
    <row r="122" spans="6:18" ht="33.75" thickBot="1">
      <c r="F122" s="192">
        <v>17</v>
      </c>
      <c r="G122" s="178" t="s">
        <v>520</v>
      </c>
      <c r="H122" s="178" t="s">
        <v>520</v>
      </c>
      <c r="I122" s="178" t="s">
        <v>68</v>
      </c>
      <c r="J122" s="486">
        <v>308201850300</v>
      </c>
      <c r="K122" s="473">
        <v>46051</v>
      </c>
      <c r="L122" s="179" t="s">
        <v>525</v>
      </c>
      <c r="M122" s="179" t="s">
        <v>522</v>
      </c>
      <c r="N122" s="180">
        <v>1035839</v>
      </c>
      <c r="O122" s="181">
        <v>46052</v>
      </c>
      <c r="P122" s="182" t="s">
        <v>523</v>
      </c>
      <c r="Q122" s="183">
        <v>500</v>
      </c>
      <c r="R122" s="178" t="s">
        <v>648</v>
      </c>
    </row>
    <row r="123" spans="6:18" ht="33.75" thickBot="1">
      <c r="F123" s="193">
        <v>18</v>
      </c>
      <c r="G123" s="184" t="s">
        <v>520</v>
      </c>
      <c r="H123" s="184" t="s">
        <v>520</v>
      </c>
      <c r="I123" s="184" t="s">
        <v>68</v>
      </c>
      <c r="J123" s="195">
        <v>308202123520</v>
      </c>
      <c r="K123" s="472">
        <v>46052</v>
      </c>
      <c r="L123" s="185" t="s">
        <v>525</v>
      </c>
      <c r="M123" s="185" t="s">
        <v>526</v>
      </c>
      <c r="N123" s="186">
        <v>634473</v>
      </c>
      <c r="O123" s="187">
        <v>46052</v>
      </c>
      <c r="P123" s="188" t="s">
        <v>523</v>
      </c>
      <c r="Q123" s="189">
        <v>500</v>
      </c>
      <c r="R123" s="184" t="s">
        <v>649</v>
      </c>
    </row>
    <row r="124" spans="6:18" ht="33.75" thickBot="1">
      <c r="F124" s="192">
        <v>19</v>
      </c>
      <c r="G124" s="178" t="s">
        <v>520</v>
      </c>
      <c r="H124" s="178" t="s">
        <v>520</v>
      </c>
      <c r="I124" s="178" t="s">
        <v>68</v>
      </c>
      <c r="J124" s="486">
        <v>308202099500</v>
      </c>
      <c r="K124" s="473">
        <v>46052</v>
      </c>
      <c r="L124" s="179" t="s">
        <v>525</v>
      </c>
      <c r="M124" s="179" t="s">
        <v>526</v>
      </c>
      <c r="N124" s="180">
        <v>634467</v>
      </c>
      <c r="O124" s="181">
        <v>46052</v>
      </c>
      <c r="P124" s="182" t="s">
        <v>523</v>
      </c>
      <c r="Q124" s="183">
        <v>500</v>
      </c>
      <c r="R124" s="178" t="s">
        <v>650</v>
      </c>
    </row>
    <row r="125" spans="6:18" ht="33.75" thickBot="1">
      <c r="F125" s="193">
        <v>20</v>
      </c>
      <c r="G125" s="184" t="s">
        <v>520</v>
      </c>
      <c r="H125" s="184" t="s">
        <v>520</v>
      </c>
      <c r="I125" s="184" t="s">
        <v>68</v>
      </c>
      <c r="J125" s="195">
        <v>308202052820</v>
      </c>
      <c r="K125" s="472">
        <v>46051</v>
      </c>
      <c r="L125" s="185" t="s">
        <v>525</v>
      </c>
      <c r="M125" s="185" t="s">
        <v>526</v>
      </c>
      <c r="N125" s="186">
        <v>634466</v>
      </c>
      <c r="O125" s="187">
        <v>46052</v>
      </c>
      <c r="P125" s="188" t="s">
        <v>523</v>
      </c>
      <c r="Q125" s="189">
        <v>500</v>
      </c>
      <c r="R125" s="184" t="s">
        <v>651</v>
      </c>
    </row>
    <row r="126" spans="6:18" ht="33.75" thickBot="1">
      <c r="F126" s="192">
        <v>21</v>
      </c>
      <c r="G126" s="178" t="s">
        <v>520</v>
      </c>
      <c r="H126" s="178" t="s">
        <v>520</v>
      </c>
      <c r="I126" s="178" t="s">
        <v>68</v>
      </c>
      <c r="J126" s="486">
        <v>308173905600</v>
      </c>
      <c r="K126" s="473">
        <v>46043</v>
      </c>
      <c r="L126" s="179" t="s">
        <v>525</v>
      </c>
      <c r="M126" s="179" t="s">
        <v>526</v>
      </c>
      <c r="N126" s="180">
        <v>634457</v>
      </c>
      <c r="O126" s="181">
        <v>46052</v>
      </c>
      <c r="P126" s="182" t="s">
        <v>523</v>
      </c>
      <c r="Q126" s="183">
        <v>250</v>
      </c>
      <c r="R126" s="178" t="s">
        <v>652</v>
      </c>
    </row>
    <row r="127" spans="6:18" ht="33.75" thickBot="1">
      <c r="F127" s="193">
        <v>22</v>
      </c>
      <c r="G127" s="184" t="s">
        <v>520</v>
      </c>
      <c r="H127" s="184" t="s">
        <v>520</v>
      </c>
      <c r="I127" s="184" t="s">
        <v>68</v>
      </c>
      <c r="J127" s="195">
        <v>107937407210</v>
      </c>
      <c r="K127" s="472">
        <v>46050</v>
      </c>
      <c r="L127" s="185" t="s">
        <v>521</v>
      </c>
      <c r="M127" s="185" t="s">
        <v>522</v>
      </c>
      <c r="N127" s="186">
        <v>1033708</v>
      </c>
      <c r="O127" s="187">
        <v>46052</v>
      </c>
      <c r="P127" s="188" t="s">
        <v>523</v>
      </c>
      <c r="Q127" s="189">
        <v>48.514000000000003</v>
      </c>
      <c r="R127" s="184" t="s">
        <v>653</v>
      </c>
    </row>
    <row r="128" spans="6:18" ht="33.75" thickBot="1">
      <c r="F128" s="192">
        <v>23</v>
      </c>
      <c r="G128" s="178" t="s">
        <v>520</v>
      </c>
      <c r="H128" s="178" t="s">
        <v>520</v>
      </c>
      <c r="I128" s="178" t="s">
        <v>68</v>
      </c>
      <c r="J128" s="486">
        <v>308193019910</v>
      </c>
      <c r="K128" s="473">
        <v>46050</v>
      </c>
      <c r="L128" s="179" t="s">
        <v>525</v>
      </c>
      <c r="M128" s="179" t="s">
        <v>522</v>
      </c>
      <c r="N128" s="180">
        <v>1028000</v>
      </c>
      <c r="O128" s="181">
        <v>46051</v>
      </c>
      <c r="P128" s="182" t="s">
        <v>523</v>
      </c>
      <c r="Q128" s="183">
        <v>500</v>
      </c>
      <c r="R128" s="178" t="s">
        <v>654</v>
      </c>
    </row>
    <row r="129" spans="6:18" ht="33.75" thickBot="1">
      <c r="F129" s="193">
        <v>24</v>
      </c>
      <c r="G129" s="184" t="s">
        <v>520</v>
      </c>
      <c r="H129" s="184" t="s">
        <v>520</v>
      </c>
      <c r="I129" s="184" t="s">
        <v>68</v>
      </c>
      <c r="J129" s="195">
        <v>308193003000</v>
      </c>
      <c r="K129" s="472">
        <v>46049</v>
      </c>
      <c r="L129" s="185" t="s">
        <v>525</v>
      </c>
      <c r="M129" s="185" t="s">
        <v>522</v>
      </c>
      <c r="N129" s="186">
        <v>1027990</v>
      </c>
      <c r="O129" s="187">
        <v>46051</v>
      </c>
      <c r="P129" s="188" t="s">
        <v>523</v>
      </c>
      <c r="Q129" s="189">
        <v>500</v>
      </c>
      <c r="R129" s="184" t="s">
        <v>655</v>
      </c>
    </row>
    <row r="130" spans="6:18" ht="33.75" thickBot="1">
      <c r="F130" s="192">
        <v>25</v>
      </c>
      <c r="G130" s="178" t="s">
        <v>520</v>
      </c>
      <c r="H130" s="178" t="s">
        <v>520</v>
      </c>
      <c r="I130" s="178" t="s">
        <v>68</v>
      </c>
      <c r="J130" s="486">
        <v>308193009630</v>
      </c>
      <c r="K130" s="473">
        <v>46050</v>
      </c>
      <c r="L130" s="179" t="s">
        <v>525</v>
      </c>
      <c r="M130" s="179" t="s">
        <v>522</v>
      </c>
      <c r="N130" s="180">
        <v>1027988</v>
      </c>
      <c r="O130" s="181">
        <v>46051</v>
      </c>
      <c r="P130" s="182" t="s">
        <v>523</v>
      </c>
      <c r="Q130" s="183">
        <v>500</v>
      </c>
      <c r="R130" s="178" t="s">
        <v>656</v>
      </c>
    </row>
    <row r="131" spans="6:18" ht="33.75" thickBot="1">
      <c r="F131" s="193">
        <v>26</v>
      </c>
      <c r="G131" s="184" t="s">
        <v>520</v>
      </c>
      <c r="H131" s="184" t="s">
        <v>520</v>
      </c>
      <c r="I131" s="184" t="s">
        <v>68</v>
      </c>
      <c r="J131" s="195">
        <v>308193026540</v>
      </c>
      <c r="K131" s="472">
        <v>46050</v>
      </c>
      <c r="L131" s="185" t="s">
        <v>525</v>
      </c>
      <c r="M131" s="185" t="s">
        <v>522</v>
      </c>
      <c r="N131" s="186">
        <v>1027983</v>
      </c>
      <c r="O131" s="187">
        <v>46051</v>
      </c>
      <c r="P131" s="188" t="s">
        <v>523</v>
      </c>
      <c r="Q131" s="189">
        <v>500</v>
      </c>
      <c r="R131" s="184" t="s">
        <v>657</v>
      </c>
    </row>
    <row r="132" spans="6:18" ht="33.75" thickBot="1">
      <c r="F132" s="192">
        <v>27</v>
      </c>
      <c r="G132" s="178" t="s">
        <v>520</v>
      </c>
      <c r="H132" s="178" t="s">
        <v>520</v>
      </c>
      <c r="I132" s="178" t="s">
        <v>68</v>
      </c>
      <c r="J132" s="486">
        <v>308188091320</v>
      </c>
      <c r="K132" s="473">
        <v>46048</v>
      </c>
      <c r="L132" s="179" t="s">
        <v>525</v>
      </c>
      <c r="M132" s="179" t="s">
        <v>526</v>
      </c>
      <c r="N132" s="180">
        <v>632025</v>
      </c>
      <c r="O132" s="181">
        <v>46051</v>
      </c>
      <c r="P132" s="182" t="s">
        <v>523</v>
      </c>
      <c r="Q132" s="183">
        <v>500</v>
      </c>
      <c r="R132" s="178" t="s">
        <v>658</v>
      </c>
    </row>
    <row r="133" spans="6:18" ht="33.75" thickBot="1">
      <c r="F133" s="193">
        <v>28</v>
      </c>
      <c r="G133" s="184" t="s">
        <v>520</v>
      </c>
      <c r="H133" s="184" t="s">
        <v>520</v>
      </c>
      <c r="I133" s="184" t="s">
        <v>68</v>
      </c>
      <c r="J133" s="195">
        <v>308189669600</v>
      </c>
      <c r="K133" s="472">
        <v>46048</v>
      </c>
      <c r="L133" s="185" t="s">
        <v>525</v>
      </c>
      <c r="M133" s="185" t="s">
        <v>526</v>
      </c>
      <c r="N133" s="186">
        <v>632016</v>
      </c>
      <c r="O133" s="187">
        <v>46051</v>
      </c>
      <c r="P133" s="188" t="s">
        <v>523</v>
      </c>
      <c r="Q133" s="189">
        <v>500</v>
      </c>
      <c r="R133" s="184" t="s">
        <v>659</v>
      </c>
    </row>
    <row r="134" spans="6:18" ht="33.75" thickBot="1">
      <c r="F134" s="192">
        <v>29</v>
      </c>
      <c r="G134" s="178" t="s">
        <v>520</v>
      </c>
      <c r="H134" s="178" t="s">
        <v>520</v>
      </c>
      <c r="I134" s="178" t="s">
        <v>68</v>
      </c>
      <c r="J134" s="486">
        <v>308188033810</v>
      </c>
      <c r="K134" s="473">
        <v>46049</v>
      </c>
      <c r="L134" s="179" t="s">
        <v>525</v>
      </c>
      <c r="M134" s="179" t="s">
        <v>522</v>
      </c>
      <c r="N134" s="180">
        <v>1027513</v>
      </c>
      <c r="O134" s="181">
        <v>46051</v>
      </c>
      <c r="P134" s="182" t="s">
        <v>523</v>
      </c>
      <c r="Q134" s="183">
        <v>500</v>
      </c>
      <c r="R134" s="178" t="s">
        <v>660</v>
      </c>
    </row>
    <row r="135" spans="6:18" ht="33.75" thickBot="1">
      <c r="F135" s="193">
        <v>30</v>
      </c>
      <c r="G135" s="184" t="s">
        <v>520</v>
      </c>
      <c r="H135" s="184" t="s">
        <v>520</v>
      </c>
      <c r="I135" s="184" t="s">
        <v>68</v>
      </c>
      <c r="J135" s="195">
        <v>308197128100</v>
      </c>
      <c r="K135" s="472">
        <v>46051</v>
      </c>
      <c r="L135" s="185" t="s">
        <v>525</v>
      </c>
      <c r="M135" s="185" t="s">
        <v>522</v>
      </c>
      <c r="N135" s="186">
        <v>1026628</v>
      </c>
      <c r="O135" s="187">
        <v>46051</v>
      </c>
      <c r="P135" s="188" t="s">
        <v>523</v>
      </c>
      <c r="Q135" s="189">
        <v>500</v>
      </c>
      <c r="R135" s="184" t="s">
        <v>661</v>
      </c>
    </row>
    <row r="136" spans="6:18" ht="33.75" thickBot="1">
      <c r="F136" s="192">
        <v>31</v>
      </c>
      <c r="G136" s="178" t="s">
        <v>520</v>
      </c>
      <c r="H136" s="178" t="s">
        <v>520</v>
      </c>
      <c r="I136" s="178" t="s">
        <v>68</v>
      </c>
      <c r="J136" s="486">
        <v>308197208010</v>
      </c>
      <c r="K136" s="473">
        <v>46051</v>
      </c>
      <c r="L136" s="179" t="s">
        <v>525</v>
      </c>
      <c r="M136" s="179" t="s">
        <v>522</v>
      </c>
      <c r="N136" s="180">
        <v>1026116</v>
      </c>
      <c r="O136" s="181">
        <v>46051</v>
      </c>
      <c r="P136" s="182" t="s">
        <v>523</v>
      </c>
      <c r="Q136" s="183">
        <v>500</v>
      </c>
      <c r="R136" s="178" t="s">
        <v>662</v>
      </c>
    </row>
    <row r="137" spans="6:18" ht="33.75" thickBot="1">
      <c r="F137" s="193">
        <v>32</v>
      </c>
      <c r="G137" s="184" t="s">
        <v>520</v>
      </c>
      <c r="H137" s="184" t="s">
        <v>520</v>
      </c>
      <c r="I137" s="184" t="s">
        <v>68</v>
      </c>
      <c r="J137" s="195">
        <v>308193057820</v>
      </c>
      <c r="K137" s="472">
        <v>46049</v>
      </c>
      <c r="L137" s="185" t="s">
        <v>525</v>
      </c>
      <c r="M137" s="185" t="s">
        <v>522</v>
      </c>
      <c r="N137" s="186">
        <v>1025805</v>
      </c>
      <c r="O137" s="187">
        <v>46051</v>
      </c>
      <c r="P137" s="188" t="s">
        <v>523</v>
      </c>
      <c r="Q137" s="189">
        <v>500</v>
      </c>
      <c r="R137" s="184" t="s">
        <v>663</v>
      </c>
    </row>
    <row r="138" spans="6:18" ht="33.75" thickBot="1">
      <c r="F138" s="192">
        <v>33</v>
      </c>
      <c r="G138" s="178" t="s">
        <v>520</v>
      </c>
      <c r="H138" s="178" t="s">
        <v>520</v>
      </c>
      <c r="I138" s="178" t="s">
        <v>68</v>
      </c>
      <c r="J138" s="486">
        <v>308188140540</v>
      </c>
      <c r="K138" s="473">
        <v>46048</v>
      </c>
      <c r="L138" s="179" t="s">
        <v>525</v>
      </c>
      <c r="M138" s="179" t="s">
        <v>522</v>
      </c>
      <c r="N138" s="180">
        <v>1025780</v>
      </c>
      <c r="O138" s="181">
        <v>46051</v>
      </c>
      <c r="P138" s="182" t="s">
        <v>523</v>
      </c>
      <c r="Q138" s="183">
        <v>500</v>
      </c>
      <c r="R138" s="178" t="s">
        <v>664</v>
      </c>
    </row>
    <row r="139" spans="6:18" ht="33.75" thickBot="1">
      <c r="F139" s="193">
        <v>34</v>
      </c>
      <c r="G139" s="184" t="s">
        <v>520</v>
      </c>
      <c r="H139" s="184" t="s">
        <v>520</v>
      </c>
      <c r="I139" s="184" t="s">
        <v>68</v>
      </c>
      <c r="J139" s="195">
        <v>107935659750</v>
      </c>
      <c r="K139" s="472">
        <v>46050</v>
      </c>
      <c r="L139" s="185" t="s">
        <v>521</v>
      </c>
      <c r="M139" s="185" t="s">
        <v>522</v>
      </c>
      <c r="N139" s="186">
        <v>1024038</v>
      </c>
      <c r="O139" s="187">
        <v>46050</v>
      </c>
      <c r="P139" s="188" t="s">
        <v>523</v>
      </c>
      <c r="Q139" s="189">
        <v>500</v>
      </c>
      <c r="R139" s="184" t="s">
        <v>665</v>
      </c>
    </row>
    <row r="140" spans="6:18" ht="33.75" thickBot="1">
      <c r="F140" s="192">
        <v>35</v>
      </c>
      <c r="G140" s="178" t="s">
        <v>520</v>
      </c>
      <c r="H140" s="178" t="s">
        <v>520</v>
      </c>
      <c r="I140" s="178" t="s">
        <v>68</v>
      </c>
      <c r="J140" s="486">
        <v>107920585140</v>
      </c>
      <c r="K140" s="473">
        <v>46045</v>
      </c>
      <c r="L140" s="179" t="s">
        <v>666</v>
      </c>
      <c r="M140" s="179" t="s">
        <v>522</v>
      </c>
      <c r="N140" s="180">
        <v>1022034</v>
      </c>
      <c r="O140" s="181">
        <v>46050</v>
      </c>
      <c r="P140" s="182" t="s">
        <v>523</v>
      </c>
      <c r="Q140" s="183">
        <v>27.2</v>
      </c>
      <c r="R140" s="178" t="s">
        <v>667</v>
      </c>
    </row>
    <row r="141" spans="6:18" ht="33.75" thickBot="1">
      <c r="F141" s="193">
        <v>36</v>
      </c>
      <c r="G141" s="184" t="s">
        <v>520</v>
      </c>
      <c r="H141" s="184" t="s">
        <v>520</v>
      </c>
      <c r="I141" s="184" t="s">
        <v>68</v>
      </c>
      <c r="J141" s="195">
        <v>308193111610</v>
      </c>
      <c r="K141" s="472">
        <v>46050</v>
      </c>
      <c r="L141" s="185" t="s">
        <v>525</v>
      </c>
      <c r="M141" s="185" t="s">
        <v>526</v>
      </c>
      <c r="N141" s="186">
        <v>629728</v>
      </c>
      <c r="O141" s="187">
        <v>46050</v>
      </c>
      <c r="P141" s="188" t="s">
        <v>523</v>
      </c>
      <c r="Q141" s="189">
        <v>500</v>
      </c>
      <c r="R141" s="184" t="s">
        <v>668</v>
      </c>
    </row>
    <row r="142" spans="6:18" ht="33.75" thickBot="1">
      <c r="F142" s="192">
        <v>37</v>
      </c>
      <c r="G142" s="178" t="s">
        <v>520</v>
      </c>
      <c r="H142" s="178" t="s">
        <v>520</v>
      </c>
      <c r="I142" s="178" t="s">
        <v>68</v>
      </c>
      <c r="J142" s="486">
        <v>308182232540</v>
      </c>
      <c r="K142" s="473">
        <v>46045</v>
      </c>
      <c r="L142" s="179" t="s">
        <v>525</v>
      </c>
      <c r="M142" s="179" t="s">
        <v>526</v>
      </c>
      <c r="N142" s="180">
        <v>629727</v>
      </c>
      <c r="O142" s="181">
        <v>46050</v>
      </c>
      <c r="P142" s="182" t="s">
        <v>523</v>
      </c>
      <c r="Q142" s="183">
        <v>500</v>
      </c>
      <c r="R142" s="178" t="s">
        <v>669</v>
      </c>
    </row>
    <row r="143" spans="6:18" ht="33.75" thickBot="1">
      <c r="F143" s="193">
        <v>38</v>
      </c>
      <c r="G143" s="184" t="s">
        <v>520</v>
      </c>
      <c r="H143" s="184" t="s">
        <v>520</v>
      </c>
      <c r="I143" s="184" t="s">
        <v>68</v>
      </c>
      <c r="J143" s="195">
        <v>107929233050</v>
      </c>
      <c r="K143" s="472">
        <v>46048</v>
      </c>
      <c r="L143" s="185" t="s">
        <v>521</v>
      </c>
      <c r="M143" s="185" t="s">
        <v>526</v>
      </c>
      <c r="N143" s="186">
        <v>629723</v>
      </c>
      <c r="O143" s="187">
        <v>46050</v>
      </c>
      <c r="P143" s="188" t="s">
        <v>523</v>
      </c>
      <c r="Q143" s="189" t="s">
        <v>637</v>
      </c>
      <c r="R143" s="184" t="s">
        <v>670</v>
      </c>
    </row>
    <row r="144" spans="6:18" ht="33.75" thickBot="1">
      <c r="F144" s="192">
        <v>39</v>
      </c>
      <c r="G144" s="178" t="s">
        <v>520</v>
      </c>
      <c r="H144" s="178" t="s">
        <v>520</v>
      </c>
      <c r="I144" s="178" t="s">
        <v>68</v>
      </c>
      <c r="J144" s="486">
        <v>308188076360</v>
      </c>
      <c r="K144" s="473">
        <v>46048</v>
      </c>
      <c r="L144" s="179" t="s">
        <v>525</v>
      </c>
      <c r="M144" s="179" t="s">
        <v>526</v>
      </c>
      <c r="N144" s="180">
        <v>629721</v>
      </c>
      <c r="O144" s="181">
        <v>46050</v>
      </c>
      <c r="P144" s="182" t="s">
        <v>523</v>
      </c>
      <c r="Q144" s="183">
        <v>500</v>
      </c>
      <c r="R144" s="178" t="s">
        <v>671</v>
      </c>
    </row>
    <row r="145" spans="6:18" ht="33.75" thickBot="1">
      <c r="F145" s="193">
        <v>40</v>
      </c>
      <c r="G145" s="184" t="s">
        <v>520</v>
      </c>
      <c r="H145" s="184" t="s">
        <v>520</v>
      </c>
      <c r="I145" s="184" t="s">
        <v>68</v>
      </c>
      <c r="J145" s="195">
        <v>308184475600</v>
      </c>
      <c r="K145" s="472">
        <v>46047</v>
      </c>
      <c r="L145" s="185" t="s">
        <v>525</v>
      </c>
      <c r="M145" s="185" t="s">
        <v>526</v>
      </c>
      <c r="N145" s="186">
        <v>629702</v>
      </c>
      <c r="O145" s="187">
        <v>46050</v>
      </c>
      <c r="P145" s="188" t="s">
        <v>523</v>
      </c>
      <c r="Q145" s="189">
        <v>500</v>
      </c>
      <c r="R145" s="184" t="s">
        <v>672</v>
      </c>
    </row>
    <row r="146" spans="6:18" ht="33.75" thickBot="1">
      <c r="F146" s="192">
        <v>41</v>
      </c>
      <c r="G146" s="178" t="s">
        <v>520</v>
      </c>
      <c r="H146" s="178" t="s">
        <v>520</v>
      </c>
      <c r="I146" s="178" t="s">
        <v>68</v>
      </c>
      <c r="J146" s="486">
        <v>308182398000</v>
      </c>
      <c r="K146" s="473">
        <v>46046</v>
      </c>
      <c r="L146" s="179" t="s">
        <v>525</v>
      </c>
      <c r="M146" s="179" t="s">
        <v>526</v>
      </c>
      <c r="N146" s="180">
        <v>629683</v>
      </c>
      <c r="O146" s="181">
        <v>46050</v>
      </c>
      <c r="P146" s="182" t="s">
        <v>523</v>
      </c>
      <c r="Q146" s="183">
        <v>250</v>
      </c>
      <c r="R146" s="178" t="s">
        <v>673</v>
      </c>
    </row>
    <row r="147" spans="6:18" ht="33.75" thickBot="1">
      <c r="F147" s="193">
        <v>42</v>
      </c>
      <c r="G147" s="184" t="s">
        <v>520</v>
      </c>
      <c r="H147" s="184" t="s">
        <v>520</v>
      </c>
      <c r="I147" s="184" t="s">
        <v>68</v>
      </c>
      <c r="J147" s="195">
        <v>308193069130</v>
      </c>
      <c r="K147" s="472">
        <v>46050</v>
      </c>
      <c r="L147" s="185" t="s">
        <v>525</v>
      </c>
      <c r="M147" s="185" t="s">
        <v>522</v>
      </c>
      <c r="N147" s="186">
        <v>1021090</v>
      </c>
      <c r="O147" s="187">
        <v>46050</v>
      </c>
      <c r="P147" s="188" t="s">
        <v>523</v>
      </c>
      <c r="Q147" s="189">
        <v>500</v>
      </c>
      <c r="R147" s="184" t="s">
        <v>674</v>
      </c>
    </row>
    <row r="148" spans="6:18" ht="33.75" thickBot="1">
      <c r="F148" s="192">
        <v>43</v>
      </c>
      <c r="G148" s="178" t="s">
        <v>520</v>
      </c>
      <c r="H148" s="178" t="s">
        <v>520</v>
      </c>
      <c r="I148" s="178" t="s">
        <v>68</v>
      </c>
      <c r="J148" s="486">
        <v>308193049900</v>
      </c>
      <c r="K148" s="473">
        <v>46049</v>
      </c>
      <c r="L148" s="179" t="s">
        <v>525</v>
      </c>
      <c r="M148" s="179" t="s">
        <v>522</v>
      </c>
      <c r="N148" s="180">
        <v>1021080</v>
      </c>
      <c r="O148" s="181">
        <v>46050</v>
      </c>
      <c r="P148" s="182" t="s">
        <v>523</v>
      </c>
      <c r="Q148" s="183">
        <v>500</v>
      </c>
      <c r="R148" s="178" t="s">
        <v>675</v>
      </c>
    </row>
    <row r="149" spans="6:18" ht="33.75" thickBot="1">
      <c r="F149" s="193">
        <v>44</v>
      </c>
      <c r="G149" s="184" t="s">
        <v>520</v>
      </c>
      <c r="H149" s="184" t="s">
        <v>520</v>
      </c>
      <c r="I149" s="184" t="s">
        <v>68</v>
      </c>
      <c r="J149" s="195">
        <v>107933112120</v>
      </c>
      <c r="K149" s="472">
        <v>46049</v>
      </c>
      <c r="L149" s="185" t="s">
        <v>521</v>
      </c>
      <c r="M149" s="185" t="s">
        <v>522</v>
      </c>
      <c r="N149" s="186">
        <v>1020141</v>
      </c>
      <c r="O149" s="187">
        <v>46050</v>
      </c>
      <c r="P149" s="188" t="s">
        <v>523</v>
      </c>
      <c r="Q149" s="189" t="s">
        <v>540</v>
      </c>
      <c r="R149" s="184" t="s">
        <v>676</v>
      </c>
    </row>
    <row r="150" spans="6:18" ht="33.75" thickBot="1">
      <c r="F150" s="192">
        <v>45</v>
      </c>
      <c r="G150" s="178" t="s">
        <v>520</v>
      </c>
      <c r="H150" s="178" t="s">
        <v>520</v>
      </c>
      <c r="I150" s="178" t="s">
        <v>68</v>
      </c>
      <c r="J150" s="486">
        <v>308188147910</v>
      </c>
      <c r="K150" s="473">
        <v>46048</v>
      </c>
      <c r="L150" s="179" t="s">
        <v>525</v>
      </c>
      <c r="M150" s="179" t="s">
        <v>522</v>
      </c>
      <c r="N150" s="180">
        <v>1015453</v>
      </c>
      <c r="O150" s="181">
        <v>46049</v>
      </c>
      <c r="P150" s="182" t="s">
        <v>523</v>
      </c>
      <c r="Q150" s="183">
        <v>500</v>
      </c>
      <c r="R150" s="178" t="s">
        <v>677</v>
      </c>
    </row>
    <row r="151" spans="6:18" ht="33.75" thickBot="1">
      <c r="F151" s="193">
        <v>46</v>
      </c>
      <c r="G151" s="184" t="s">
        <v>520</v>
      </c>
      <c r="H151" s="184" t="s">
        <v>520</v>
      </c>
      <c r="I151" s="184" t="s">
        <v>68</v>
      </c>
      <c r="J151" s="195">
        <v>308188158630</v>
      </c>
      <c r="K151" s="472">
        <v>46048</v>
      </c>
      <c r="L151" s="185" t="s">
        <v>525</v>
      </c>
      <c r="M151" s="185" t="s">
        <v>522</v>
      </c>
      <c r="N151" s="186">
        <v>1015392</v>
      </c>
      <c r="O151" s="187">
        <v>46049</v>
      </c>
      <c r="P151" s="188" t="s">
        <v>523</v>
      </c>
      <c r="Q151" s="189">
        <v>500</v>
      </c>
      <c r="R151" s="184" t="s">
        <v>678</v>
      </c>
    </row>
    <row r="152" spans="6:18" ht="33.75" thickBot="1">
      <c r="F152" s="192">
        <v>47</v>
      </c>
      <c r="G152" s="178" t="s">
        <v>520</v>
      </c>
      <c r="H152" s="178" t="s">
        <v>520</v>
      </c>
      <c r="I152" s="178" t="s">
        <v>68</v>
      </c>
      <c r="J152" s="486">
        <v>308184446860</v>
      </c>
      <c r="K152" s="473">
        <v>46049</v>
      </c>
      <c r="L152" s="179" t="s">
        <v>525</v>
      </c>
      <c r="M152" s="179" t="s">
        <v>522</v>
      </c>
      <c r="N152" s="180">
        <v>1015349</v>
      </c>
      <c r="O152" s="181">
        <v>46049</v>
      </c>
      <c r="P152" s="182" t="s">
        <v>523</v>
      </c>
      <c r="Q152" s="183">
        <v>500</v>
      </c>
      <c r="R152" s="178" t="s">
        <v>679</v>
      </c>
    </row>
    <row r="153" spans="6:18" ht="33.75" thickBot="1">
      <c r="F153" s="193">
        <v>48</v>
      </c>
      <c r="G153" s="184" t="s">
        <v>520</v>
      </c>
      <c r="H153" s="184" t="s">
        <v>520</v>
      </c>
      <c r="I153" s="184" t="s">
        <v>68</v>
      </c>
      <c r="J153" s="195">
        <v>308184902340</v>
      </c>
      <c r="K153" s="472">
        <v>46046</v>
      </c>
      <c r="L153" s="185" t="s">
        <v>525</v>
      </c>
      <c r="M153" s="185" t="s">
        <v>522</v>
      </c>
      <c r="N153" s="186">
        <v>1011786</v>
      </c>
      <c r="O153" s="187">
        <v>46048</v>
      </c>
      <c r="P153" s="188" t="s">
        <v>523</v>
      </c>
      <c r="Q153" s="189">
        <v>500</v>
      </c>
      <c r="R153" s="184" t="s">
        <v>680</v>
      </c>
    </row>
    <row r="154" spans="6:18" ht="33.75" thickBot="1">
      <c r="F154" s="192">
        <v>49</v>
      </c>
      <c r="G154" s="178" t="s">
        <v>520</v>
      </c>
      <c r="H154" s="178" t="s">
        <v>520</v>
      </c>
      <c r="I154" s="178" t="s">
        <v>68</v>
      </c>
      <c r="J154" s="486">
        <v>308184852640</v>
      </c>
      <c r="K154" s="473">
        <v>46046</v>
      </c>
      <c r="L154" s="179" t="s">
        <v>525</v>
      </c>
      <c r="M154" s="179" t="s">
        <v>522</v>
      </c>
      <c r="N154" s="180">
        <v>1011784</v>
      </c>
      <c r="O154" s="181">
        <v>46048</v>
      </c>
      <c r="P154" s="182" t="s">
        <v>523</v>
      </c>
      <c r="Q154" s="183">
        <v>500</v>
      </c>
      <c r="R154" s="178" t="s">
        <v>681</v>
      </c>
    </row>
    <row r="155" spans="6:18" ht="33.75" thickBot="1">
      <c r="F155" s="193">
        <v>50</v>
      </c>
      <c r="G155" s="184" t="s">
        <v>520</v>
      </c>
      <c r="H155" s="184" t="s">
        <v>520</v>
      </c>
      <c r="I155" s="184" t="s">
        <v>68</v>
      </c>
      <c r="J155" s="195">
        <v>308184880200</v>
      </c>
      <c r="K155" s="472">
        <v>46046</v>
      </c>
      <c r="L155" s="185" t="s">
        <v>525</v>
      </c>
      <c r="M155" s="185" t="s">
        <v>522</v>
      </c>
      <c r="N155" s="186">
        <v>1011781</v>
      </c>
      <c r="O155" s="187">
        <v>46048</v>
      </c>
      <c r="P155" s="188" t="s">
        <v>523</v>
      </c>
      <c r="Q155" s="189">
        <v>500</v>
      </c>
      <c r="R155" s="184" t="s">
        <v>682</v>
      </c>
    </row>
    <row r="156" spans="6:18" ht="33.75" thickBot="1">
      <c r="F156" s="192">
        <v>51</v>
      </c>
      <c r="G156" s="178" t="s">
        <v>520</v>
      </c>
      <c r="H156" s="178" t="s">
        <v>520</v>
      </c>
      <c r="I156" s="178" t="s">
        <v>68</v>
      </c>
      <c r="J156" s="486">
        <v>308184728520</v>
      </c>
      <c r="K156" s="473">
        <v>46047</v>
      </c>
      <c r="L156" s="179" t="s">
        <v>525</v>
      </c>
      <c r="M156" s="179" t="s">
        <v>526</v>
      </c>
      <c r="N156" s="180">
        <v>626275</v>
      </c>
      <c r="O156" s="181">
        <v>46048</v>
      </c>
      <c r="P156" s="182" t="s">
        <v>523</v>
      </c>
      <c r="Q156" s="183">
        <v>500</v>
      </c>
      <c r="R156" s="178" t="s">
        <v>683</v>
      </c>
    </row>
    <row r="157" spans="6:18" ht="33.75" thickBot="1">
      <c r="F157" s="193">
        <v>52</v>
      </c>
      <c r="G157" s="184" t="s">
        <v>520</v>
      </c>
      <c r="H157" s="184" t="s">
        <v>520</v>
      </c>
      <c r="I157" s="184" t="s">
        <v>68</v>
      </c>
      <c r="J157" s="195">
        <v>308184601230</v>
      </c>
      <c r="K157" s="472">
        <v>46046</v>
      </c>
      <c r="L157" s="185" t="s">
        <v>525</v>
      </c>
      <c r="M157" s="185" t="s">
        <v>526</v>
      </c>
      <c r="N157" s="186">
        <v>626274</v>
      </c>
      <c r="O157" s="187">
        <v>46048</v>
      </c>
      <c r="P157" s="188" t="s">
        <v>523</v>
      </c>
      <c r="Q157" s="189">
        <v>500</v>
      </c>
      <c r="R157" s="184" t="s">
        <v>684</v>
      </c>
    </row>
    <row r="158" spans="6:18" ht="33.75" thickBot="1">
      <c r="F158" s="192">
        <v>53</v>
      </c>
      <c r="G158" s="178" t="s">
        <v>520</v>
      </c>
      <c r="H158" s="178" t="s">
        <v>520</v>
      </c>
      <c r="I158" s="178" t="s">
        <v>68</v>
      </c>
      <c r="J158" s="486">
        <v>308184642050</v>
      </c>
      <c r="K158" s="473">
        <v>46046</v>
      </c>
      <c r="L158" s="179" t="s">
        <v>525</v>
      </c>
      <c r="M158" s="179" t="s">
        <v>526</v>
      </c>
      <c r="N158" s="180">
        <v>626268</v>
      </c>
      <c r="O158" s="181">
        <v>46048</v>
      </c>
      <c r="P158" s="182" t="s">
        <v>523</v>
      </c>
      <c r="Q158" s="183">
        <v>500</v>
      </c>
      <c r="R158" s="178" t="s">
        <v>685</v>
      </c>
    </row>
    <row r="159" spans="6:18" ht="33.75" thickBot="1">
      <c r="F159" s="193">
        <v>54</v>
      </c>
      <c r="G159" s="184" t="s">
        <v>520</v>
      </c>
      <c r="H159" s="184" t="s">
        <v>520</v>
      </c>
      <c r="I159" s="184" t="s">
        <v>68</v>
      </c>
      <c r="J159" s="195">
        <v>308184527510</v>
      </c>
      <c r="K159" s="472">
        <v>46047</v>
      </c>
      <c r="L159" s="185" t="s">
        <v>525</v>
      </c>
      <c r="M159" s="185" t="s">
        <v>526</v>
      </c>
      <c r="N159" s="186">
        <v>626264</v>
      </c>
      <c r="O159" s="187">
        <v>46048</v>
      </c>
      <c r="P159" s="188" t="s">
        <v>523</v>
      </c>
      <c r="Q159" s="189">
        <v>500</v>
      </c>
      <c r="R159" s="184" t="s">
        <v>686</v>
      </c>
    </row>
    <row r="160" spans="6:18" ht="33.75" thickBot="1">
      <c r="F160" s="192">
        <v>55</v>
      </c>
      <c r="G160" s="178" t="s">
        <v>520</v>
      </c>
      <c r="H160" s="178" t="s">
        <v>520</v>
      </c>
      <c r="I160" s="178" t="s">
        <v>68</v>
      </c>
      <c r="J160" s="486">
        <v>308181125140</v>
      </c>
      <c r="K160" s="473">
        <v>46046</v>
      </c>
      <c r="L160" s="179" t="s">
        <v>525</v>
      </c>
      <c r="M160" s="179" t="s">
        <v>526</v>
      </c>
      <c r="N160" s="180">
        <v>626254</v>
      </c>
      <c r="O160" s="181">
        <v>46048</v>
      </c>
      <c r="P160" s="182" t="s">
        <v>523</v>
      </c>
      <c r="Q160" s="183">
        <v>500</v>
      </c>
      <c r="R160" s="178" t="s">
        <v>687</v>
      </c>
    </row>
    <row r="161" spans="6:18" ht="33.75" thickBot="1">
      <c r="F161" s="193">
        <v>56</v>
      </c>
      <c r="G161" s="184" t="s">
        <v>520</v>
      </c>
      <c r="H161" s="184" t="s">
        <v>520</v>
      </c>
      <c r="I161" s="184" t="s">
        <v>68</v>
      </c>
      <c r="J161" s="195">
        <v>308174416450</v>
      </c>
      <c r="K161" s="472">
        <v>46044</v>
      </c>
      <c r="L161" s="185" t="s">
        <v>525</v>
      </c>
      <c r="M161" s="185" t="s">
        <v>526</v>
      </c>
      <c r="N161" s="186">
        <v>626252</v>
      </c>
      <c r="O161" s="187">
        <v>46048</v>
      </c>
      <c r="P161" s="188" t="s">
        <v>523</v>
      </c>
      <c r="Q161" s="189">
        <v>250</v>
      </c>
      <c r="R161" s="184" t="s">
        <v>688</v>
      </c>
    </row>
    <row r="162" spans="6:18" ht="33.75" thickBot="1">
      <c r="F162" s="192">
        <v>57</v>
      </c>
      <c r="G162" s="178" t="s">
        <v>520</v>
      </c>
      <c r="H162" s="178" t="s">
        <v>520</v>
      </c>
      <c r="I162" s="178" t="s">
        <v>68</v>
      </c>
      <c r="J162" s="486">
        <v>308182479050</v>
      </c>
      <c r="K162" s="473">
        <v>46046</v>
      </c>
      <c r="L162" s="179" t="s">
        <v>525</v>
      </c>
      <c r="M162" s="179" t="s">
        <v>526</v>
      </c>
      <c r="N162" s="180">
        <v>626251</v>
      </c>
      <c r="O162" s="181">
        <v>46048</v>
      </c>
      <c r="P162" s="182" t="s">
        <v>523</v>
      </c>
      <c r="Q162" s="183">
        <v>500</v>
      </c>
      <c r="R162" s="178" t="s">
        <v>689</v>
      </c>
    </row>
    <row r="163" spans="6:18" ht="33.75" thickBot="1">
      <c r="F163" s="193">
        <v>58</v>
      </c>
      <c r="G163" s="184" t="s">
        <v>520</v>
      </c>
      <c r="H163" s="184" t="s">
        <v>520</v>
      </c>
      <c r="I163" s="184" t="s">
        <v>68</v>
      </c>
      <c r="J163" s="195">
        <v>308184396020</v>
      </c>
      <c r="K163" s="472">
        <v>46046</v>
      </c>
      <c r="L163" s="185" t="s">
        <v>525</v>
      </c>
      <c r="M163" s="185" t="s">
        <v>522</v>
      </c>
      <c r="N163" s="186">
        <v>1009973</v>
      </c>
      <c r="O163" s="187">
        <v>46048</v>
      </c>
      <c r="P163" s="188" t="s">
        <v>523</v>
      </c>
      <c r="Q163" s="189">
        <v>500</v>
      </c>
      <c r="R163" s="184" t="s">
        <v>690</v>
      </c>
    </row>
    <row r="164" spans="6:18" ht="33.75" thickBot="1">
      <c r="F164" s="192">
        <v>59</v>
      </c>
      <c r="G164" s="178" t="s">
        <v>520</v>
      </c>
      <c r="H164" s="178" t="s">
        <v>520</v>
      </c>
      <c r="I164" s="178" t="s">
        <v>68</v>
      </c>
      <c r="J164" s="486">
        <v>107923838040</v>
      </c>
      <c r="K164" s="473">
        <v>46046</v>
      </c>
      <c r="L164" s="179" t="s">
        <v>521</v>
      </c>
      <c r="M164" s="179" t="s">
        <v>522</v>
      </c>
      <c r="N164" s="180">
        <v>1008374</v>
      </c>
      <c r="O164" s="181">
        <v>46048</v>
      </c>
      <c r="P164" s="182" t="s">
        <v>523</v>
      </c>
      <c r="Q164" s="183">
        <v>500</v>
      </c>
      <c r="R164" s="178" t="s">
        <v>691</v>
      </c>
    </row>
    <row r="165" spans="6:18" ht="33.75" thickBot="1">
      <c r="F165" s="193">
        <v>60</v>
      </c>
      <c r="G165" s="184" t="s">
        <v>520</v>
      </c>
      <c r="H165" s="184" t="s">
        <v>520</v>
      </c>
      <c r="I165" s="184" t="s">
        <v>68</v>
      </c>
      <c r="J165" s="195">
        <v>107922023420</v>
      </c>
      <c r="K165" s="472">
        <v>46046</v>
      </c>
      <c r="L165" s="185" t="s">
        <v>539</v>
      </c>
      <c r="M165" s="185" t="s">
        <v>526</v>
      </c>
      <c r="N165" s="186">
        <v>625222</v>
      </c>
      <c r="O165" s="187">
        <v>46048</v>
      </c>
      <c r="P165" s="188" t="s">
        <v>523</v>
      </c>
      <c r="Q165" s="189" t="s">
        <v>692</v>
      </c>
      <c r="R165" s="184" t="s">
        <v>693</v>
      </c>
    </row>
    <row r="166" spans="6:18" ht="33.75" thickBot="1">
      <c r="F166" s="192">
        <v>61</v>
      </c>
      <c r="G166" s="178" t="s">
        <v>520</v>
      </c>
      <c r="H166" s="178" t="s">
        <v>520</v>
      </c>
      <c r="I166" s="178" t="s">
        <v>68</v>
      </c>
      <c r="J166" s="486">
        <v>308180440650</v>
      </c>
      <c r="K166" s="473">
        <v>46045</v>
      </c>
      <c r="L166" s="179" t="s">
        <v>525</v>
      </c>
      <c r="M166" s="179" t="s">
        <v>522</v>
      </c>
      <c r="N166" s="180">
        <v>1006572</v>
      </c>
      <c r="O166" s="181">
        <v>46046</v>
      </c>
      <c r="P166" s="182" t="s">
        <v>523</v>
      </c>
      <c r="Q166" s="183">
        <v>250</v>
      </c>
      <c r="R166" s="178" t="s">
        <v>694</v>
      </c>
    </row>
    <row r="167" spans="6:18" ht="33.75" thickBot="1">
      <c r="F167" s="193">
        <v>62</v>
      </c>
      <c r="G167" s="184" t="s">
        <v>520</v>
      </c>
      <c r="H167" s="184" t="s">
        <v>520</v>
      </c>
      <c r="I167" s="184" t="s">
        <v>68</v>
      </c>
      <c r="J167" s="195">
        <v>308178265200</v>
      </c>
      <c r="K167" s="472">
        <v>46044</v>
      </c>
      <c r="L167" s="185" t="s">
        <v>525</v>
      </c>
      <c r="M167" s="185" t="s">
        <v>522</v>
      </c>
      <c r="N167" s="186">
        <v>1006554</v>
      </c>
      <c r="O167" s="187">
        <v>46046</v>
      </c>
      <c r="P167" s="188" t="s">
        <v>523</v>
      </c>
      <c r="Q167" s="189">
        <v>500</v>
      </c>
      <c r="R167" s="184" t="s">
        <v>695</v>
      </c>
    </row>
    <row r="168" spans="6:18" ht="33.75" thickBot="1">
      <c r="F168" s="192">
        <v>63</v>
      </c>
      <c r="G168" s="178" t="s">
        <v>520</v>
      </c>
      <c r="H168" s="178" t="s">
        <v>520</v>
      </c>
      <c r="I168" s="178" t="s">
        <v>68</v>
      </c>
      <c r="J168" s="486">
        <v>308178049710</v>
      </c>
      <c r="K168" s="473">
        <v>46044</v>
      </c>
      <c r="L168" s="179" t="s">
        <v>525</v>
      </c>
      <c r="M168" s="179" t="s">
        <v>522</v>
      </c>
      <c r="N168" s="180">
        <v>1006541</v>
      </c>
      <c r="O168" s="181">
        <v>46046</v>
      </c>
      <c r="P168" s="182" t="s">
        <v>523</v>
      </c>
      <c r="Q168" s="183">
        <v>500</v>
      </c>
      <c r="R168" s="178" t="s">
        <v>696</v>
      </c>
    </row>
    <row r="169" spans="6:18" ht="33.75" thickBot="1">
      <c r="F169" s="193">
        <v>64</v>
      </c>
      <c r="G169" s="184" t="s">
        <v>520</v>
      </c>
      <c r="H169" s="184" t="s">
        <v>520</v>
      </c>
      <c r="I169" s="184" t="s">
        <v>68</v>
      </c>
      <c r="J169" s="195">
        <v>308178343450</v>
      </c>
      <c r="K169" s="472">
        <v>46044</v>
      </c>
      <c r="L169" s="185" t="s">
        <v>525</v>
      </c>
      <c r="M169" s="185" t="s">
        <v>522</v>
      </c>
      <c r="N169" s="186">
        <v>1006539</v>
      </c>
      <c r="O169" s="187">
        <v>46046</v>
      </c>
      <c r="P169" s="188" t="s">
        <v>523</v>
      </c>
      <c r="Q169" s="189">
        <v>500</v>
      </c>
      <c r="R169" s="184" t="s">
        <v>697</v>
      </c>
    </row>
    <row r="170" spans="6:18" ht="33.75" thickBot="1">
      <c r="F170" s="192">
        <v>65</v>
      </c>
      <c r="G170" s="178" t="s">
        <v>520</v>
      </c>
      <c r="H170" s="178" t="s">
        <v>520</v>
      </c>
      <c r="I170" s="178" t="s">
        <v>68</v>
      </c>
      <c r="J170" s="486">
        <v>308178135220</v>
      </c>
      <c r="K170" s="473">
        <v>46044</v>
      </c>
      <c r="L170" s="179" t="s">
        <v>525</v>
      </c>
      <c r="M170" s="179" t="s">
        <v>522</v>
      </c>
      <c r="N170" s="180">
        <v>1006550</v>
      </c>
      <c r="O170" s="181">
        <v>46046</v>
      </c>
      <c r="P170" s="182" t="s">
        <v>523</v>
      </c>
      <c r="Q170" s="183">
        <v>500</v>
      </c>
      <c r="R170" s="178" t="s">
        <v>698</v>
      </c>
    </row>
    <row r="171" spans="6:18" ht="33.75" thickBot="1">
      <c r="F171" s="193">
        <v>66</v>
      </c>
      <c r="G171" s="184" t="s">
        <v>520</v>
      </c>
      <c r="H171" s="184" t="s">
        <v>520</v>
      </c>
      <c r="I171" s="184" t="s">
        <v>68</v>
      </c>
      <c r="J171" s="195">
        <v>308178183520</v>
      </c>
      <c r="K171" s="472">
        <v>46044</v>
      </c>
      <c r="L171" s="185" t="s">
        <v>525</v>
      </c>
      <c r="M171" s="185" t="s">
        <v>522</v>
      </c>
      <c r="N171" s="186">
        <v>1006536</v>
      </c>
      <c r="O171" s="187">
        <v>46046</v>
      </c>
      <c r="P171" s="188" t="s">
        <v>523</v>
      </c>
      <c r="Q171" s="189">
        <v>500</v>
      </c>
      <c r="R171" s="184" t="s">
        <v>699</v>
      </c>
    </row>
    <row r="172" spans="6:18" ht="33.75" thickBot="1">
      <c r="F172" s="192">
        <v>67</v>
      </c>
      <c r="G172" s="178" t="s">
        <v>520</v>
      </c>
      <c r="H172" s="178" t="s">
        <v>520</v>
      </c>
      <c r="I172" s="178" t="s">
        <v>68</v>
      </c>
      <c r="J172" s="486">
        <v>107910979300</v>
      </c>
      <c r="K172" s="473">
        <v>46045</v>
      </c>
      <c r="L172" s="179" t="s">
        <v>521</v>
      </c>
      <c r="M172" s="179" t="s">
        <v>526</v>
      </c>
      <c r="N172" s="180">
        <v>624418</v>
      </c>
      <c r="O172" s="181">
        <v>46046</v>
      </c>
      <c r="P172" s="182" t="s">
        <v>523</v>
      </c>
      <c r="Q172" s="183">
        <v>500</v>
      </c>
      <c r="R172" s="178" t="s">
        <v>700</v>
      </c>
    </row>
    <row r="173" spans="6:18" ht="33.75" thickBot="1">
      <c r="F173" s="193">
        <v>68</v>
      </c>
      <c r="G173" s="184" t="s">
        <v>520</v>
      </c>
      <c r="H173" s="184" t="s">
        <v>520</v>
      </c>
      <c r="I173" s="184" t="s">
        <v>68</v>
      </c>
      <c r="J173" s="195">
        <v>308158462640</v>
      </c>
      <c r="K173" s="472">
        <v>46039</v>
      </c>
      <c r="L173" s="185" t="s">
        <v>525</v>
      </c>
      <c r="M173" s="185" t="s">
        <v>526</v>
      </c>
      <c r="N173" s="186">
        <v>623604</v>
      </c>
      <c r="O173" s="187">
        <v>46045</v>
      </c>
      <c r="P173" s="188" t="s">
        <v>523</v>
      </c>
      <c r="Q173" s="189">
        <v>250</v>
      </c>
      <c r="R173" s="184" t="s">
        <v>701</v>
      </c>
    </row>
    <row r="174" spans="6:18" ht="33.75" thickBot="1">
      <c r="F174" s="192">
        <v>69</v>
      </c>
      <c r="G174" s="178" t="s">
        <v>520</v>
      </c>
      <c r="H174" s="178" t="s">
        <v>520</v>
      </c>
      <c r="I174" s="178" t="s">
        <v>68</v>
      </c>
      <c r="J174" s="486">
        <v>107914513560</v>
      </c>
      <c r="K174" s="473">
        <v>46044</v>
      </c>
      <c r="L174" s="179" t="s">
        <v>521</v>
      </c>
      <c r="M174" s="179" t="s">
        <v>522</v>
      </c>
      <c r="N174" s="180">
        <v>1002041</v>
      </c>
      <c r="O174" s="181">
        <v>46045</v>
      </c>
      <c r="P174" s="182" t="s">
        <v>523</v>
      </c>
      <c r="Q174" s="183">
        <v>500</v>
      </c>
      <c r="R174" s="178" t="s">
        <v>702</v>
      </c>
    </row>
    <row r="175" spans="6:18" ht="33.75" thickBot="1">
      <c r="F175" s="193">
        <v>70</v>
      </c>
      <c r="G175" s="184" t="s">
        <v>520</v>
      </c>
      <c r="H175" s="184" t="s">
        <v>520</v>
      </c>
      <c r="I175" s="184" t="s">
        <v>68</v>
      </c>
      <c r="J175" s="195">
        <v>308174827130</v>
      </c>
      <c r="K175" s="472">
        <v>46043</v>
      </c>
      <c r="L175" s="185" t="s">
        <v>525</v>
      </c>
      <c r="M175" s="185" t="s">
        <v>522</v>
      </c>
      <c r="N175" s="186">
        <v>1001920</v>
      </c>
      <c r="O175" s="187">
        <v>46045</v>
      </c>
      <c r="P175" s="188" t="s">
        <v>523</v>
      </c>
      <c r="Q175" s="189">
        <v>500</v>
      </c>
      <c r="R175" s="184" t="s">
        <v>703</v>
      </c>
    </row>
    <row r="176" spans="6:18" ht="33.75" thickBot="1">
      <c r="F176" s="192">
        <v>71</v>
      </c>
      <c r="G176" s="178" t="s">
        <v>520</v>
      </c>
      <c r="H176" s="178" t="s">
        <v>520</v>
      </c>
      <c r="I176" s="178" t="s">
        <v>68</v>
      </c>
      <c r="J176" s="486">
        <v>308178723660</v>
      </c>
      <c r="K176" s="473">
        <v>46044</v>
      </c>
      <c r="L176" s="179" t="s">
        <v>525</v>
      </c>
      <c r="M176" s="179" t="s">
        <v>522</v>
      </c>
      <c r="N176" s="180">
        <v>1001083</v>
      </c>
      <c r="O176" s="181">
        <v>46045</v>
      </c>
      <c r="P176" s="182" t="s">
        <v>523</v>
      </c>
      <c r="Q176" s="183">
        <v>500</v>
      </c>
      <c r="R176" s="178" t="s">
        <v>704</v>
      </c>
    </row>
    <row r="177" spans="6:18" ht="33.75" thickBot="1">
      <c r="F177" s="193">
        <v>72</v>
      </c>
      <c r="G177" s="184" t="s">
        <v>520</v>
      </c>
      <c r="H177" s="184" t="s">
        <v>520</v>
      </c>
      <c r="I177" s="184" t="s">
        <v>68</v>
      </c>
      <c r="J177" s="195">
        <v>308169652730</v>
      </c>
      <c r="K177" s="472">
        <v>46042</v>
      </c>
      <c r="L177" s="185" t="s">
        <v>525</v>
      </c>
      <c r="M177" s="185" t="s">
        <v>526</v>
      </c>
      <c r="N177" s="186">
        <v>622642</v>
      </c>
      <c r="O177" s="187">
        <v>46045</v>
      </c>
      <c r="P177" s="188" t="s">
        <v>523</v>
      </c>
      <c r="Q177" s="189">
        <v>500</v>
      </c>
      <c r="R177" s="184" t="s">
        <v>705</v>
      </c>
    </row>
    <row r="178" spans="6:18" ht="33.75" thickBot="1">
      <c r="F178" s="192">
        <v>73</v>
      </c>
      <c r="G178" s="178" t="s">
        <v>520</v>
      </c>
      <c r="H178" s="178" t="s">
        <v>520</v>
      </c>
      <c r="I178" s="178" t="s">
        <v>68</v>
      </c>
      <c r="J178" s="486">
        <v>308173455240</v>
      </c>
      <c r="K178" s="473">
        <v>46043</v>
      </c>
      <c r="L178" s="179" t="s">
        <v>525</v>
      </c>
      <c r="M178" s="179" t="s">
        <v>522</v>
      </c>
      <c r="N178" s="180">
        <v>1000453</v>
      </c>
      <c r="O178" s="181">
        <v>46045</v>
      </c>
      <c r="P178" s="182" t="s">
        <v>523</v>
      </c>
      <c r="Q178" s="183">
        <v>500</v>
      </c>
      <c r="R178" s="178" t="s">
        <v>706</v>
      </c>
    </row>
    <row r="179" spans="6:18" ht="33.75" thickBot="1">
      <c r="F179" s="193">
        <v>74</v>
      </c>
      <c r="G179" s="184" t="s">
        <v>520</v>
      </c>
      <c r="H179" s="184" t="s">
        <v>520</v>
      </c>
      <c r="I179" s="184" t="s">
        <v>68</v>
      </c>
      <c r="J179" s="195">
        <v>308173617750</v>
      </c>
      <c r="K179" s="472">
        <v>46043</v>
      </c>
      <c r="L179" s="185" t="s">
        <v>525</v>
      </c>
      <c r="M179" s="185" t="s">
        <v>522</v>
      </c>
      <c r="N179" s="186">
        <v>1000449</v>
      </c>
      <c r="O179" s="187">
        <v>46045</v>
      </c>
      <c r="P179" s="188" t="s">
        <v>523</v>
      </c>
      <c r="Q179" s="189">
        <v>500</v>
      </c>
      <c r="R179" s="184" t="s">
        <v>707</v>
      </c>
    </row>
    <row r="180" spans="6:18" ht="33.75" thickBot="1">
      <c r="F180" s="192">
        <v>75</v>
      </c>
      <c r="G180" s="178" t="s">
        <v>520</v>
      </c>
      <c r="H180" s="178" t="s">
        <v>520</v>
      </c>
      <c r="I180" s="178" t="s">
        <v>68</v>
      </c>
      <c r="J180" s="486">
        <v>308173520450</v>
      </c>
      <c r="K180" s="473">
        <v>46043</v>
      </c>
      <c r="L180" s="179" t="s">
        <v>525</v>
      </c>
      <c r="M180" s="179" t="s">
        <v>522</v>
      </c>
      <c r="N180" s="180">
        <v>1000438</v>
      </c>
      <c r="O180" s="181">
        <v>46045</v>
      </c>
      <c r="P180" s="182" t="s">
        <v>523</v>
      </c>
      <c r="Q180" s="183">
        <v>500</v>
      </c>
      <c r="R180" s="178" t="s">
        <v>708</v>
      </c>
    </row>
    <row r="181" spans="6:18" ht="33.75" thickBot="1">
      <c r="F181" s="193">
        <v>76</v>
      </c>
      <c r="G181" s="184" t="s">
        <v>520</v>
      </c>
      <c r="H181" s="184" t="s">
        <v>520</v>
      </c>
      <c r="I181" s="184" t="s">
        <v>68</v>
      </c>
      <c r="J181" s="195">
        <v>308173799530</v>
      </c>
      <c r="K181" s="472">
        <v>46043</v>
      </c>
      <c r="L181" s="185" t="s">
        <v>525</v>
      </c>
      <c r="M181" s="185" t="s">
        <v>522</v>
      </c>
      <c r="N181" s="186">
        <v>1000437</v>
      </c>
      <c r="O181" s="187">
        <v>46045</v>
      </c>
      <c r="P181" s="188" t="s">
        <v>523</v>
      </c>
      <c r="Q181" s="189">
        <v>500</v>
      </c>
      <c r="R181" s="184" t="s">
        <v>709</v>
      </c>
    </row>
    <row r="182" spans="6:18" ht="33.75" thickBot="1">
      <c r="F182" s="192">
        <v>77</v>
      </c>
      <c r="G182" s="178" t="s">
        <v>520</v>
      </c>
      <c r="H182" s="178" t="s">
        <v>520</v>
      </c>
      <c r="I182" s="178" t="s">
        <v>68</v>
      </c>
      <c r="J182" s="486">
        <v>308179001340</v>
      </c>
      <c r="K182" s="473">
        <v>46045</v>
      </c>
      <c r="L182" s="179" t="s">
        <v>525</v>
      </c>
      <c r="M182" s="179" t="s">
        <v>522</v>
      </c>
      <c r="N182" s="180">
        <v>999842</v>
      </c>
      <c r="O182" s="181">
        <v>46045</v>
      </c>
      <c r="P182" s="182" t="s">
        <v>523</v>
      </c>
      <c r="Q182" s="183">
        <v>500</v>
      </c>
      <c r="R182" s="178" t="s">
        <v>710</v>
      </c>
    </row>
    <row r="183" spans="6:18" ht="33.75" thickBot="1">
      <c r="F183" s="193">
        <v>78</v>
      </c>
      <c r="G183" s="184" t="s">
        <v>520</v>
      </c>
      <c r="H183" s="184" t="s">
        <v>520</v>
      </c>
      <c r="I183" s="184" t="s">
        <v>68</v>
      </c>
      <c r="J183" s="195">
        <v>308169801610</v>
      </c>
      <c r="K183" s="472">
        <v>46043</v>
      </c>
      <c r="L183" s="185" t="s">
        <v>525</v>
      </c>
      <c r="M183" s="185" t="s">
        <v>522</v>
      </c>
      <c r="N183" s="186">
        <v>997713</v>
      </c>
      <c r="O183" s="187">
        <v>46044</v>
      </c>
      <c r="P183" s="188" t="s">
        <v>523</v>
      </c>
      <c r="Q183" s="189">
        <v>500</v>
      </c>
      <c r="R183" s="184" t="s">
        <v>711</v>
      </c>
    </row>
    <row r="184" spans="6:18" ht="33.75" thickBot="1">
      <c r="F184" s="192">
        <v>79</v>
      </c>
      <c r="G184" s="178" t="s">
        <v>520</v>
      </c>
      <c r="H184" s="178" t="s">
        <v>520</v>
      </c>
      <c r="I184" s="178" t="s">
        <v>68</v>
      </c>
      <c r="J184" s="486">
        <v>308169744060</v>
      </c>
      <c r="K184" s="473">
        <v>46042</v>
      </c>
      <c r="L184" s="179" t="s">
        <v>525</v>
      </c>
      <c r="M184" s="179" t="s">
        <v>522</v>
      </c>
      <c r="N184" s="180">
        <v>997707</v>
      </c>
      <c r="O184" s="181">
        <v>46044</v>
      </c>
      <c r="P184" s="182" t="s">
        <v>523</v>
      </c>
      <c r="Q184" s="183">
        <v>500</v>
      </c>
      <c r="R184" s="178" t="s">
        <v>712</v>
      </c>
    </row>
    <row r="185" spans="6:18" ht="33.75" thickBot="1">
      <c r="F185" s="193">
        <v>80</v>
      </c>
      <c r="G185" s="184" t="s">
        <v>520</v>
      </c>
      <c r="H185" s="184" t="s">
        <v>520</v>
      </c>
      <c r="I185" s="184" t="s">
        <v>68</v>
      </c>
      <c r="J185" s="195">
        <v>308163876550</v>
      </c>
      <c r="K185" s="472">
        <v>46042</v>
      </c>
      <c r="L185" s="185" t="s">
        <v>525</v>
      </c>
      <c r="M185" s="185" t="s">
        <v>522</v>
      </c>
      <c r="N185" s="186">
        <v>997704</v>
      </c>
      <c r="O185" s="187">
        <v>46044</v>
      </c>
      <c r="P185" s="188" t="s">
        <v>523</v>
      </c>
      <c r="Q185" s="189">
        <v>500</v>
      </c>
      <c r="R185" s="184" t="s">
        <v>713</v>
      </c>
    </row>
    <row r="186" spans="6:18" ht="33.75" thickBot="1">
      <c r="F186" s="192">
        <v>81</v>
      </c>
      <c r="G186" s="178" t="s">
        <v>520</v>
      </c>
      <c r="H186" s="178" t="s">
        <v>520</v>
      </c>
      <c r="I186" s="178" t="s">
        <v>68</v>
      </c>
      <c r="J186" s="486">
        <v>308169391630</v>
      </c>
      <c r="K186" s="473">
        <v>46042</v>
      </c>
      <c r="L186" s="179" t="s">
        <v>525</v>
      </c>
      <c r="M186" s="179" t="s">
        <v>526</v>
      </c>
      <c r="N186" s="180">
        <v>621644</v>
      </c>
      <c r="O186" s="181">
        <v>46044</v>
      </c>
      <c r="P186" s="182" t="s">
        <v>523</v>
      </c>
      <c r="Q186" s="183">
        <v>500</v>
      </c>
      <c r="R186" s="178" t="s">
        <v>714</v>
      </c>
    </row>
    <row r="187" spans="6:18" ht="33.75" thickBot="1">
      <c r="F187" s="193">
        <v>82</v>
      </c>
      <c r="G187" s="184" t="s">
        <v>520</v>
      </c>
      <c r="H187" s="184" t="s">
        <v>520</v>
      </c>
      <c r="I187" s="184" t="s">
        <v>68</v>
      </c>
      <c r="J187" s="195">
        <v>107914982450</v>
      </c>
      <c r="K187" s="472">
        <v>46043</v>
      </c>
      <c r="L187" s="185" t="s">
        <v>521</v>
      </c>
      <c r="M187" s="185" t="s">
        <v>526</v>
      </c>
      <c r="N187" s="186">
        <v>621641</v>
      </c>
      <c r="O187" s="187">
        <v>46044</v>
      </c>
      <c r="P187" s="188" t="s">
        <v>523</v>
      </c>
      <c r="Q187" s="189">
        <v>500</v>
      </c>
      <c r="R187" s="184" t="s">
        <v>715</v>
      </c>
    </row>
    <row r="188" spans="6:18" ht="33.75" thickBot="1">
      <c r="F188" s="192">
        <v>83</v>
      </c>
      <c r="G188" s="178" t="s">
        <v>520</v>
      </c>
      <c r="H188" s="178" t="s">
        <v>520</v>
      </c>
      <c r="I188" s="178" t="s">
        <v>68</v>
      </c>
      <c r="J188" s="486">
        <v>308173961230</v>
      </c>
      <c r="K188" s="473">
        <v>46044</v>
      </c>
      <c r="L188" s="179" t="s">
        <v>525</v>
      </c>
      <c r="M188" s="179" t="s">
        <v>522</v>
      </c>
      <c r="N188" s="180">
        <v>995206</v>
      </c>
      <c r="O188" s="181">
        <v>46044</v>
      </c>
      <c r="P188" s="182" t="s">
        <v>523</v>
      </c>
      <c r="Q188" s="183">
        <v>500</v>
      </c>
      <c r="R188" s="178" t="s">
        <v>716</v>
      </c>
    </row>
    <row r="189" spans="6:18" ht="33.75" thickBot="1">
      <c r="F189" s="193">
        <v>84</v>
      </c>
      <c r="G189" s="184" t="s">
        <v>520</v>
      </c>
      <c r="H189" s="184" t="s">
        <v>520</v>
      </c>
      <c r="I189" s="184" t="s">
        <v>68</v>
      </c>
      <c r="J189" s="195">
        <v>308173998110</v>
      </c>
      <c r="K189" s="472">
        <v>46044</v>
      </c>
      <c r="L189" s="185" t="s">
        <v>525</v>
      </c>
      <c r="M189" s="185" t="s">
        <v>522</v>
      </c>
      <c r="N189" s="186">
        <v>995174</v>
      </c>
      <c r="O189" s="187">
        <v>46044</v>
      </c>
      <c r="P189" s="188" t="s">
        <v>523</v>
      </c>
      <c r="Q189" s="189">
        <v>500</v>
      </c>
      <c r="R189" s="184" t="s">
        <v>717</v>
      </c>
    </row>
    <row r="190" spans="6:18" ht="33.75" thickBot="1">
      <c r="F190" s="192">
        <v>85</v>
      </c>
      <c r="G190" s="178" t="s">
        <v>520</v>
      </c>
      <c r="H190" s="178" t="s">
        <v>520</v>
      </c>
      <c r="I190" s="178" t="s">
        <v>68</v>
      </c>
      <c r="J190" s="486">
        <v>308168333230</v>
      </c>
      <c r="K190" s="473">
        <v>46043</v>
      </c>
      <c r="L190" s="179" t="s">
        <v>525</v>
      </c>
      <c r="M190" s="179" t="s">
        <v>522</v>
      </c>
      <c r="N190" s="180">
        <v>995046</v>
      </c>
      <c r="O190" s="181">
        <v>46044</v>
      </c>
      <c r="P190" s="182" t="s">
        <v>523</v>
      </c>
      <c r="Q190" s="183">
        <v>500</v>
      </c>
      <c r="R190" s="178" t="s">
        <v>718</v>
      </c>
    </row>
    <row r="191" spans="6:18" ht="33.75" thickBot="1">
      <c r="F191" s="193">
        <v>86</v>
      </c>
      <c r="G191" s="184" t="s">
        <v>520</v>
      </c>
      <c r="H191" s="184" t="s">
        <v>520</v>
      </c>
      <c r="I191" s="184" t="s">
        <v>68</v>
      </c>
      <c r="J191" s="195">
        <v>308091291230</v>
      </c>
      <c r="K191" s="472">
        <v>46017</v>
      </c>
      <c r="L191" s="185" t="s">
        <v>525</v>
      </c>
      <c r="M191" s="185" t="s">
        <v>522</v>
      </c>
      <c r="N191" s="186">
        <v>991291</v>
      </c>
      <c r="O191" s="187">
        <v>46043</v>
      </c>
      <c r="P191" s="188" t="s">
        <v>523</v>
      </c>
      <c r="Q191" s="189">
        <v>250</v>
      </c>
      <c r="R191" s="184" t="s">
        <v>719</v>
      </c>
    </row>
    <row r="192" spans="6:18" ht="33.75" thickBot="1">
      <c r="F192" s="192">
        <v>87</v>
      </c>
      <c r="G192" s="178" t="s">
        <v>520</v>
      </c>
      <c r="H192" s="178" t="s">
        <v>520</v>
      </c>
      <c r="I192" s="178" t="s">
        <v>68</v>
      </c>
      <c r="J192" s="486">
        <v>308103496760</v>
      </c>
      <c r="K192" s="473">
        <v>46020</v>
      </c>
      <c r="L192" s="179" t="s">
        <v>525</v>
      </c>
      <c r="M192" s="179" t="s">
        <v>522</v>
      </c>
      <c r="N192" s="180">
        <v>991277</v>
      </c>
      <c r="O192" s="181">
        <v>46043</v>
      </c>
      <c r="P192" s="182" t="s">
        <v>523</v>
      </c>
      <c r="Q192" s="183">
        <v>500</v>
      </c>
      <c r="R192" s="178" t="s">
        <v>720</v>
      </c>
    </row>
    <row r="193" spans="5:18" ht="33.75" thickBot="1">
      <c r="F193" s="193">
        <v>88</v>
      </c>
      <c r="G193" s="184" t="s">
        <v>520</v>
      </c>
      <c r="H193" s="184" t="s">
        <v>520</v>
      </c>
      <c r="I193" s="184" t="s">
        <v>68</v>
      </c>
      <c r="J193" s="195">
        <v>308168319010</v>
      </c>
      <c r="K193" s="472">
        <v>46042</v>
      </c>
      <c r="L193" s="185" t="s">
        <v>525</v>
      </c>
      <c r="M193" s="185" t="s">
        <v>522</v>
      </c>
      <c r="N193" s="186">
        <v>990534</v>
      </c>
      <c r="O193" s="187">
        <v>46043</v>
      </c>
      <c r="P193" s="188" t="s">
        <v>523</v>
      </c>
      <c r="Q193" s="189">
        <v>500</v>
      </c>
      <c r="R193" s="184" t="s">
        <v>721</v>
      </c>
    </row>
    <row r="194" spans="5:18" ht="33.75" thickBot="1">
      <c r="F194" s="192">
        <v>89</v>
      </c>
      <c r="G194" s="178" t="s">
        <v>520</v>
      </c>
      <c r="H194" s="178" t="s">
        <v>520</v>
      </c>
      <c r="I194" s="178" t="s">
        <v>68</v>
      </c>
      <c r="J194" s="486">
        <v>308168286330</v>
      </c>
      <c r="K194" s="473">
        <v>46043</v>
      </c>
      <c r="L194" s="179" t="s">
        <v>525</v>
      </c>
      <c r="M194" s="179" t="s">
        <v>522</v>
      </c>
      <c r="N194" s="180">
        <v>990075</v>
      </c>
      <c r="O194" s="181">
        <v>46043</v>
      </c>
      <c r="P194" s="182" t="s">
        <v>523</v>
      </c>
      <c r="Q194" s="183">
        <v>500</v>
      </c>
      <c r="R194" s="178" t="s">
        <v>722</v>
      </c>
    </row>
    <row r="195" spans="5:18" ht="33.75" thickBot="1">
      <c r="F195" s="193">
        <v>90</v>
      </c>
      <c r="G195" s="184" t="s">
        <v>520</v>
      </c>
      <c r="H195" s="184" t="s">
        <v>520</v>
      </c>
      <c r="I195" s="184" t="s">
        <v>68</v>
      </c>
      <c r="J195" s="195">
        <v>308165546640</v>
      </c>
      <c r="K195" s="472">
        <v>46041</v>
      </c>
      <c r="L195" s="185" t="s">
        <v>525</v>
      </c>
      <c r="M195" s="185" t="s">
        <v>522</v>
      </c>
      <c r="N195" s="186">
        <v>989657</v>
      </c>
      <c r="O195" s="187">
        <v>46043</v>
      </c>
      <c r="P195" s="188" t="s">
        <v>523</v>
      </c>
      <c r="Q195" s="189">
        <v>500</v>
      </c>
      <c r="R195" s="184" t="s">
        <v>723</v>
      </c>
    </row>
    <row r="196" spans="5:18" ht="33.75" thickBot="1">
      <c r="F196" s="192">
        <v>91</v>
      </c>
      <c r="G196" s="178" t="s">
        <v>520</v>
      </c>
      <c r="H196" s="178" t="s">
        <v>520</v>
      </c>
      <c r="I196" s="178" t="s">
        <v>68</v>
      </c>
      <c r="J196" s="486">
        <v>308163740860</v>
      </c>
      <c r="K196" s="473">
        <v>46041</v>
      </c>
      <c r="L196" s="179" t="s">
        <v>525</v>
      </c>
      <c r="M196" s="179" t="s">
        <v>522</v>
      </c>
      <c r="N196" s="180">
        <v>987520</v>
      </c>
      <c r="O196" s="181">
        <v>46042</v>
      </c>
      <c r="P196" s="182" t="s">
        <v>523</v>
      </c>
      <c r="Q196" s="183">
        <v>500</v>
      </c>
      <c r="R196" s="178" t="s">
        <v>724</v>
      </c>
    </row>
    <row r="197" spans="5:18" ht="33.75" thickBot="1">
      <c r="F197" s="193">
        <v>92</v>
      </c>
      <c r="G197" s="184" t="s">
        <v>520</v>
      </c>
      <c r="H197" s="184" t="s">
        <v>520</v>
      </c>
      <c r="I197" s="184" t="s">
        <v>68</v>
      </c>
      <c r="J197" s="195">
        <v>308163125560</v>
      </c>
      <c r="K197" s="472">
        <v>46041</v>
      </c>
      <c r="L197" s="185" t="s">
        <v>525</v>
      </c>
      <c r="M197" s="185" t="s">
        <v>522</v>
      </c>
      <c r="N197" s="186">
        <v>987514</v>
      </c>
      <c r="O197" s="187">
        <v>46042</v>
      </c>
      <c r="P197" s="188" t="s">
        <v>523</v>
      </c>
      <c r="Q197" s="189">
        <v>500</v>
      </c>
      <c r="R197" s="184" t="s">
        <v>725</v>
      </c>
    </row>
    <row r="198" spans="5:18" ht="33.75" thickBot="1">
      <c r="F198" s="192">
        <v>93</v>
      </c>
      <c r="G198" s="178" t="s">
        <v>520</v>
      </c>
      <c r="H198" s="178" t="s">
        <v>520</v>
      </c>
      <c r="I198" s="178" t="s">
        <v>68</v>
      </c>
      <c r="J198" s="486">
        <v>308144823510</v>
      </c>
      <c r="K198" s="473">
        <v>46035</v>
      </c>
      <c r="L198" s="179" t="s">
        <v>525</v>
      </c>
      <c r="M198" s="179" t="s">
        <v>522</v>
      </c>
      <c r="N198" s="180">
        <v>986830</v>
      </c>
      <c r="O198" s="181">
        <v>46042</v>
      </c>
      <c r="P198" s="182" t="s">
        <v>523</v>
      </c>
      <c r="Q198" s="183">
        <v>250</v>
      </c>
      <c r="R198" s="178" t="s">
        <v>726</v>
      </c>
    </row>
    <row r="199" spans="5:18" ht="33.75" thickBot="1">
      <c r="F199" s="193">
        <v>94</v>
      </c>
      <c r="G199" s="184" t="s">
        <v>520</v>
      </c>
      <c r="H199" s="184" t="s">
        <v>520</v>
      </c>
      <c r="I199" s="184" t="s">
        <v>68</v>
      </c>
      <c r="J199" s="195">
        <v>308103389920</v>
      </c>
      <c r="K199" s="472">
        <v>46020</v>
      </c>
      <c r="L199" s="185" t="s">
        <v>525</v>
      </c>
      <c r="M199" s="185" t="s">
        <v>522</v>
      </c>
      <c r="N199" s="186">
        <v>986018</v>
      </c>
      <c r="O199" s="187">
        <v>46042</v>
      </c>
      <c r="P199" s="188" t="s">
        <v>523</v>
      </c>
      <c r="Q199" s="189">
        <v>250</v>
      </c>
      <c r="R199" s="184" t="s">
        <v>727</v>
      </c>
    </row>
    <row r="200" spans="5:18" ht="33.75" thickBot="1">
      <c r="F200" s="192">
        <v>95</v>
      </c>
      <c r="G200" s="178" t="s">
        <v>520</v>
      </c>
      <c r="H200" s="178" t="s">
        <v>520</v>
      </c>
      <c r="I200" s="178" t="s">
        <v>68</v>
      </c>
      <c r="J200" s="486">
        <v>308140381900</v>
      </c>
      <c r="K200" s="473">
        <v>46034</v>
      </c>
      <c r="L200" s="179" t="s">
        <v>525</v>
      </c>
      <c r="M200" s="179" t="s">
        <v>522</v>
      </c>
      <c r="N200" s="180">
        <v>985987</v>
      </c>
      <c r="O200" s="181">
        <v>46042</v>
      </c>
      <c r="P200" s="182" t="s">
        <v>523</v>
      </c>
      <c r="Q200" s="183">
        <v>500</v>
      </c>
      <c r="R200" s="178" t="s">
        <v>728</v>
      </c>
    </row>
    <row r="201" spans="5:18" ht="33.75" thickBot="1">
      <c r="F201" s="193">
        <v>96</v>
      </c>
      <c r="G201" s="184" t="s">
        <v>520</v>
      </c>
      <c r="H201" s="184" t="s">
        <v>520</v>
      </c>
      <c r="I201" s="184" t="s">
        <v>68</v>
      </c>
      <c r="J201" s="195">
        <v>308163814510</v>
      </c>
      <c r="K201" s="472">
        <v>46042</v>
      </c>
      <c r="L201" s="185" t="s">
        <v>525</v>
      </c>
      <c r="M201" s="185" t="s">
        <v>526</v>
      </c>
      <c r="N201" s="186">
        <v>618099</v>
      </c>
      <c r="O201" s="187">
        <v>46042</v>
      </c>
      <c r="P201" s="188" t="s">
        <v>523</v>
      </c>
      <c r="Q201" s="189">
        <v>500</v>
      </c>
      <c r="R201" s="184" t="s">
        <v>729</v>
      </c>
    </row>
    <row r="202" spans="5:18" ht="33.75" thickBot="1">
      <c r="F202" s="192">
        <v>97</v>
      </c>
      <c r="G202" s="178" t="s">
        <v>520</v>
      </c>
      <c r="H202" s="178" t="s">
        <v>520</v>
      </c>
      <c r="I202" s="178" t="s">
        <v>68</v>
      </c>
      <c r="J202" s="486">
        <v>107907325150</v>
      </c>
      <c r="K202" s="473">
        <v>46042</v>
      </c>
      <c r="L202" s="179" t="s">
        <v>521</v>
      </c>
      <c r="M202" s="179" t="s">
        <v>522</v>
      </c>
      <c r="N202" s="180">
        <v>985504</v>
      </c>
      <c r="O202" s="181">
        <v>46042</v>
      </c>
      <c r="P202" s="182" t="s">
        <v>523</v>
      </c>
      <c r="Q202" s="183" t="s">
        <v>692</v>
      </c>
      <c r="R202" s="178" t="s">
        <v>730</v>
      </c>
    </row>
    <row r="203" spans="5:18" ht="33.75" thickBot="1">
      <c r="F203" s="193">
        <v>98</v>
      </c>
      <c r="G203" s="184" t="s">
        <v>520</v>
      </c>
      <c r="H203" s="184" t="s">
        <v>520</v>
      </c>
      <c r="I203" s="184" t="s">
        <v>68</v>
      </c>
      <c r="J203" s="195">
        <v>308163846120</v>
      </c>
      <c r="K203" s="472">
        <v>46041</v>
      </c>
      <c r="L203" s="185" t="s">
        <v>525</v>
      </c>
      <c r="M203" s="185" t="s">
        <v>526</v>
      </c>
      <c r="N203" s="186">
        <v>617888</v>
      </c>
      <c r="O203" s="187">
        <v>46042</v>
      </c>
      <c r="P203" s="188" t="s">
        <v>523</v>
      </c>
      <c r="Q203" s="189">
        <v>500</v>
      </c>
      <c r="R203" s="184" t="s">
        <v>731</v>
      </c>
    </row>
    <row r="204" spans="5:18" ht="33.75" thickBot="1">
      <c r="F204" s="192">
        <v>99</v>
      </c>
      <c r="G204" s="178" t="s">
        <v>520</v>
      </c>
      <c r="H204" s="178" t="s">
        <v>520</v>
      </c>
      <c r="I204" s="178" t="s">
        <v>68</v>
      </c>
      <c r="J204" s="486">
        <v>308163870250</v>
      </c>
      <c r="K204" s="473">
        <v>46042</v>
      </c>
      <c r="L204" s="179" t="s">
        <v>525</v>
      </c>
      <c r="M204" s="179" t="s">
        <v>526</v>
      </c>
      <c r="N204" s="180">
        <v>617710</v>
      </c>
      <c r="O204" s="181">
        <v>46042</v>
      </c>
      <c r="P204" s="182" t="s">
        <v>523</v>
      </c>
      <c r="Q204" s="183">
        <v>500</v>
      </c>
      <c r="R204" s="178" t="s">
        <v>732</v>
      </c>
    </row>
    <row r="205" spans="5:18" ht="33.75" thickBot="1">
      <c r="F205" s="193">
        <v>100</v>
      </c>
      <c r="G205" s="184" t="s">
        <v>520</v>
      </c>
      <c r="H205" s="184" t="s">
        <v>520</v>
      </c>
      <c r="I205" s="184" t="s">
        <v>68</v>
      </c>
      <c r="J205" s="195">
        <v>107908848240</v>
      </c>
      <c r="K205" s="472">
        <v>46042</v>
      </c>
      <c r="L205" s="185" t="s">
        <v>521</v>
      </c>
      <c r="M205" s="185" t="s">
        <v>526</v>
      </c>
      <c r="N205" s="186">
        <v>617708</v>
      </c>
      <c r="O205" s="187">
        <v>46042</v>
      </c>
      <c r="P205" s="188" t="s">
        <v>523</v>
      </c>
      <c r="Q205" s="189">
        <v>500</v>
      </c>
      <c r="R205" s="184" t="s">
        <v>733</v>
      </c>
    </row>
    <row r="206" spans="5:18" ht="50.25" thickBot="1">
      <c r="E206">
        <v>3</v>
      </c>
      <c r="F206" s="190" t="s">
        <v>9</v>
      </c>
      <c r="G206" s="191" t="s">
        <v>66</v>
      </c>
      <c r="H206" s="191" t="s">
        <v>67</v>
      </c>
      <c r="I206" s="191" t="s">
        <v>68</v>
      </c>
      <c r="J206" s="194" t="s">
        <v>69</v>
      </c>
      <c r="K206" s="191" t="s">
        <v>70</v>
      </c>
      <c r="L206" s="191" t="s">
        <v>71</v>
      </c>
      <c r="M206" s="191" t="s">
        <v>72</v>
      </c>
      <c r="N206" s="191" t="s">
        <v>73</v>
      </c>
      <c r="O206" s="191" t="s">
        <v>74</v>
      </c>
      <c r="P206" s="191" t="s">
        <v>75</v>
      </c>
      <c r="Q206" s="191" t="s">
        <v>76</v>
      </c>
      <c r="R206" s="191" t="s">
        <v>77</v>
      </c>
    </row>
    <row r="207" spans="5:18" ht="33.75" thickBot="1">
      <c r="F207" s="192">
        <v>1</v>
      </c>
      <c r="G207" s="178" t="s">
        <v>520</v>
      </c>
      <c r="H207" s="178" t="s">
        <v>520</v>
      </c>
      <c r="I207" s="178" t="s">
        <v>68</v>
      </c>
      <c r="J207" s="486">
        <v>308163768160</v>
      </c>
      <c r="K207" s="473">
        <v>46041</v>
      </c>
      <c r="L207" s="179" t="s">
        <v>525</v>
      </c>
      <c r="M207" s="179" t="s">
        <v>526</v>
      </c>
      <c r="N207" s="180">
        <v>617703</v>
      </c>
      <c r="O207" s="181">
        <v>46042</v>
      </c>
      <c r="P207" s="182" t="s">
        <v>523</v>
      </c>
      <c r="Q207" s="183">
        <v>500</v>
      </c>
      <c r="R207" s="178" t="s">
        <v>734</v>
      </c>
    </row>
    <row r="208" spans="5:18" ht="33.75" thickBot="1">
      <c r="F208" s="193">
        <v>2</v>
      </c>
      <c r="G208" s="184" t="s">
        <v>520</v>
      </c>
      <c r="H208" s="184" t="s">
        <v>520</v>
      </c>
      <c r="I208" s="184" t="s">
        <v>68</v>
      </c>
      <c r="J208" s="195">
        <v>308163730250</v>
      </c>
      <c r="K208" s="472">
        <v>46041</v>
      </c>
      <c r="L208" s="185" t="s">
        <v>525</v>
      </c>
      <c r="M208" s="185" t="s">
        <v>526</v>
      </c>
      <c r="N208" s="186">
        <v>617189</v>
      </c>
      <c r="O208" s="187">
        <v>46042</v>
      </c>
      <c r="P208" s="188" t="s">
        <v>523</v>
      </c>
      <c r="Q208" s="189">
        <v>500</v>
      </c>
      <c r="R208" s="184" t="s">
        <v>735</v>
      </c>
    </row>
    <row r="209" spans="6:18" ht="33.75" thickBot="1">
      <c r="F209" s="192">
        <v>3</v>
      </c>
      <c r="G209" s="178" t="s">
        <v>520</v>
      </c>
      <c r="H209" s="178" t="s">
        <v>520</v>
      </c>
      <c r="I209" s="178" t="s">
        <v>68</v>
      </c>
      <c r="J209" s="486">
        <v>107907052960</v>
      </c>
      <c r="K209" s="473">
        <v>46041</v>
      </c>
      <c r="L209" s="179" t="s">
        <v>521</v>
      </c>
      <c r="M209" s="179" t="s">
        <v>526</v>
      </c>
      <c r="N209" s="180">
        <v>617102</v>
      </c>
      <c r="O209" s="181">
        <v>46042</v>
      </c>
      <c r="P209" s="182" t="s">
        <v>523</v>
      </c>
      <c r="Q209" s="183" t="s">
        <v>540</v>
      </c>
      <c r="R209" s="178" t="s">
        <v>736</v>
      </c>
    </row>
    <row r="210" spans="6:18" ht="33.75" thickBot="1">
      <c r="F210" s="193">
        <v>4</v>
      </c>
      <c r="G210" s="184" t="s">
        <v>520</v>
      </c>
      <c r="H210" s="184" t="s">
        <v>520</v>
      </c>
      <c r="I210" s="184" t="s">
        <v>68</v>
      </c>
      <c r="J210" s="195">
        <v>107901855610</v>
      </c>
      <c r="K210" s="472">
        <v>46039</v>
      </c>
      <c r="L210" s="185" t="s">
        <v>521</v>
      </c>
      <c r="M210" s="185" t="s">
        <v>526</v>
      </c>
      <c r="N210" s="186">
        <v>617091</v>
      </c>
      <c r="O210" s="187">
        <v>46042</v>
      </c>
      <c r="P210" s="188" t="s">
        <v>523</v>
      </c>
      <c r="Q210" s="189" t="s">
        <v>554</v>
      </c>
      <c r="R210" s="184" t="s">
        <v>737</v>
      </c>
    </row>
    <row r="211" spans="6:18" ht="33.75" thickBot="1">
      <c r="F211" s="192">
        <v>5</v>
      </c>
      <c r="G211" s="178" t="s">
        <v>520</v>
      </c>
      <c r="H211" s="178" t="s">
        <v>520</v>
      </c>
      <c r="I211" s="178" t="s">
        <v>68</v>
      </c>
      <c r="J211" s="486">
        <v>308163851130</v>
      </c>
      <c r="K211" s="473">
        <v>46041</v>
      </c>
      <c r="L211" s="179" t="s">
        <v>525</v>
      </c>
      <c r="M211" s="179" t="s">
        <v>526</v>
      </c>
      <c r="N211" s="180">
        <v>617038</v>
      </c>
      <c r="O211" s="181">
        <v>46042</v>
      </c>
      <c r="P211" s="182" t="s">
        <v>523</v>
      </c>
      <c r="Q211" s="183">
        <v>500</v>
      </c>
      <c r="R211" s="178" t="s">
        <v>738</v>
      </c>
    </row>
    <row r="212" spans="6:18" ht="33.75" thickBot="1">
      <c r="F212" s="193">
        <v>6</v>
      </c>
      <c r="G212" s="184" t="s">
        <v>520</v>
      </c>
      <c r="H212" s="184" t="s">
        <v>520</v>
      </c>
      <c r="I212" s="184" t="s">
        <v>68</v>
      </c>
      <c r="J212" s="195">
        <v>308163754160</v>
      </c>
      <c r="K212" s="472">
        <v>46042</v>
      </c>
      <c r="L212" s="185" t="s">
        <v>525</v>
      </c>
      <c r="M212" s="185" t="s">
        <v>522</v>
      </c>
      <c r="N212" s="186">
        <v>982741</v>
      </c>
      <c r="O212" s="187">
        <v>46042</v>
      </c>
      <c r="P212" s="188" t="s">
        <v>523</v>
      </c>
      <c r="Q212" s="189">
        <v>500</v>
      </c>
      <c r="R212" s="184" t="s">
        <v>739</v>
      </c>
    </row>
    <row r="213" spans="6:18" ht="33.75" thickBot="1">
      <c r="F213" s="192">
        <v>7</v>
      </c>
      <c r="G213" s="178" t="s">
        <v>520</v>
      </c>
      <c r="H213" s="178" t="s">
        <v>520</v>
      </c>
      <c r="I213" s="178" t="s">
        <v>68</v>
      </c>
      <c r="J213" s="486">
        <v>308096470420</v>
      </c>
      <c r="K213" s="473">
        <v>46020</v>
      </c>
      <c r="L213" s="179" t="s">
        <v>525</v>
      </c>
      <c r="M213" s="179" t="s">
        <v>522</v>
      </c>
      <c r="N213" s="180">
        <v>981190</v>
      </c>
      <c r="O213" s="181">
        <v>46041</v>
      </c>
      <c r="P213" s="182" t="s">
        <v>523</v>
      </c>
      <c r="Q213" s="183">
        <v>250</v>
      </c>
      <c r="R213" s="178" t="s">
        <v>740</v>
      </c>
    </row>
    <row r="214" spans="6:18" ht="33.75" thickBot="1">
      <c r="F214" s="193">
        <v>8</v>
      </c>
      <c r="G214" s="184" t="s">
        <v>520</v>
      </c>
      <c r="H214" s="184" t="s">
        <v>520</v>
      </c>
      <c r="I214" s="184" t="s">
        <v>68</v>
      </c>
      <c r="J214" s="195">
        <v>308148831600</v>
      </c>
      <c r="K214" s="472">
        <v>46036</v>
      </c>
      <c r="L214" s="185" t="s">
        <v>525</v>
      </c>
      <c r="M214" s="185" t="s">
        <v>522</v>
      </c>
      <c r="N214" s="186">
        <v>981172</v>
      </c>
      <c r="O214" s="187">
        <v>46041</v>
      </c>
      <c r="P214" s="188" t="s">
        <v>523</v>
      </c>
      <c r="Q214" s="189">
        <v>250</v>
      </c>
      <c r="R214" s="184" t="s">
        <v>741</v>
      </c>
    </row>
    <row r="215" spans="6:18" ht="33.75" thickBot="1">
      <c r="F215" s="192">
        <v>9</v>
      </c>
      <c r="G215" s="178" t="s">
        <v>520</v>
      </c>
      <c r="H215" s="178" t="s">
        <v>520</v>
      </c>
      <c r="I215" s="178" t="s">
        <v>68</v>
      </c>
      <c r="J215" s="486">
        <v>308133810960</v>
      </c>
      <c r="K215" s="473">
        <v>46031</v>
      </c>
      <c r="L215" s="179" t="s">
        <v>525</v>
      </c>
      <c r="M215" s="179" t="s">
        <v>522</v>
      </c>
      <c r="N215" s="180">
        <v>981169</v>
      </c>
      <c r="O215" s="181">
        <v>46041</v>
      </c>
      <c r="P215" s="182" t="s">
        <v>523</v>
      </c>
      <c r="Q215" s="183">
        <v>250</v>
      </c>
      <c r="R215" s="178" t="s">
        <v>742</v>
      </c>
    </row>
    <row r="216" spans="6:18" ht="33.75" thickBot="1">
      <c r="F216" s="193">
        <v>10</v>
      </c>
      <c r="G216" s="184" t="s">
        <v>520</v>
      </c>
      <c r="H216" s="184" t="s">
        <v>520</v>
      </c>
      <c r="I216" s="184" t="s">
        <v>68</v>
      </c>
      <c r="J216" s="195">
        <v>308148826220</v>
      </c>
      <c r="K216" s="472">
        <v>46036</v>
      </c>
      <c r="L216" s="185" t="s">
        <v>525</v>
      </c>
      <c r="M216" s="185" t="s">
        <v>522</v>
      </c>
      <c r="N216" s="186">
        <v>981154</v>
      </c>
      <c r="O216" s="187">
        <v>46041</v>
      </c>
      <c r="P216" s="188" t="s">
        <v>523</v>
      </c>
      <c r="Q216" s="189">
        <v>250</v>
      </c>
      <c r="R216" s="184" t="s">
        <v>743</v>
      </c>
    </row>
    <row r="217" spans="6:18" ht="33.75" thickBot="1">
      <c r="F217" s="192">
        <v>11</v>
      </c>
      <c r="G217" s="178" t="s">
        <v>520</v>
      </c>
      <c r="H217" s="178" t="s">
        <v>520</v>
      </c>
      <c r="I217" s="178" t="s">
        <v>68</v>
      </c>
      <c r="J217" s="486">
        <v>308126236520</v>
      </c>
      <c r="K217" s="473">
        <v>46030</v>
      </c>
      <c r="L217" s="179" t="s">
        <v>525</v>
      </c>
      <c r="M217" s="179" t="s">
        <v>522</v>
      </c>
      <c r="N217" s="180">
        <v>981145</v>
      </c>
      <c r="O217" s="181">
        <v>46041</v>
      </c>
      <c r="P217" s="182" t="s">
        <v>523</v>
      </c>
      <c r="Q217" s="183">
        <v>250</v>
      </c>
      <c r="R217" s="178" t="s">
        <v>744</v>
      </c>
    </row>
    <row r="218" spans="6:18" ht="33.75" thickBot="1">
      <c r="F218" s="193">
        <v>12</v>
      </c>
      <c r="G218" s="184" t="s">
        <v>520</v>
      </c>
      <c r="H218" s="184" t="s">
        <v>520</v>
      </c>
      <c r="I218" s="184" t="s">
        <v>68</v>
      </c>
      <c r="J218" s="195">
        <v>308127073020</v>
      </c>
      <c r="K218" s="472">
        <v>46029</v>
      </c>
      <c r="L218" s="185" t="s">
        <v>525</v>
      </c>
      <c r="M218" s="185" t="s">
        <v>522</v>
      </c>
      <c r="N218" s="186">
        <v>981135</v>
      </c>
      <c r="O218" s="187">
        <v>46041</v>
      </c>
      <c r="P218" s="188" t="s">
        <v>523</v>
      </c>
      <c r="Q218" s="189">
        <v>250</v>
      </c>
      <c r="R218" s="184" t="s">
        <v>745</v>
      </c>
    </row>
    <row r="219" spans="6:18" ht="33.75" thickBot="1">
      <c r="F219" s="192">
        <v>13</v>
      </c>
      <c r="G219" s="178" t="s">
        <v>520</v>
      </c>
      <c r="H219" s="178" t="s">
        <v>520</v>
      </c>
      <c r="I219" s="178" t="s">
        <v>68</v>
      </c>
      <c r="J219" s="486">
        <v>308122985940</v>
      </c>
      <c r="K219" s="473">
        <v>46029</v>
      </c>
      <c r="L219" s="179" t="s">
        <v>525</v>
      </c>
      <c r="M219" s="179" t="s">
        <v>522</v>
      </c>
      <c r="N219" s="180">
        <v>981128</v>
      </c>
      <c r="O219" s="181">
        <v>46041</v>
      </c>
      <c r="P219" s="182" t="s">
        <v>523</v>
      </c>
      <c r="Q219" s="183">
        <v>250</v>
      </c>
      <c r="R219" s="178" t="s">
        <v>746</v>
      </c>
    </row>
    <row r="220" spans="6:18" ht="33.75" thickBot="1">
      <c r="F220" s="193">
        <v>14</v>
      </c>
      <c r="G220" s="184" t="s">
        <v>520</v>
      </c>
      <c r="H220" s="184" t="s">
        <v>520</v>
      </c>
      <c r="I220" s="184" t="s">
        <v>68</v>
      </c>
      <c r="J220" s="195">
        <v>308129801510</v>
      </c>
      <c r="K220" s="472">
        <v>46030</v>
      </c>
      <c r="L220" s="185" t="s">
        <v>525</v>
      </c>
      <c r="M220" s="185" t="s">
        <v>522</v>
      </c>
      <c r="N220" s="186">
        <v>981114</v>
      </c>
      <c r="O220" s="187">
        <v>46041</v>
      </c>
      <c r="P220" s="188" t="s">
        <v>523</v>
      </c>
      <c r="Q220" s="189">
        <v>250</v>
      </c>
      <c r="R220" s="184" t="s">
        <v>747</v>
      </c>
    </row>
    <row r="221" spans="6:18" ht="33.75" thickBot="1">
      <c r="F221" s="192">
        <v>15</v>
      </c>
      <c r="G221" s="178" t="s">
        <v>520</v>
      </c>
      <c r="H221" s="178" t="s">
        <v>520</v>
      </c>
      <c r="I221" s="178" t="s">
        <v>68</v>
      </c>
      <c r="J221" s="486">
        <v>308140385950</v>
      </c>
      <c r="K221" s="473">
        <v>46035</v>
      </c>
      <c r="L221" s="179" t="s">
        <v>525</v>
      </c>
      <c r="M221" s="179" t="s">
        <v>522</v>
      </c>
      <c r="N221" s="180">
        <v>981104</v>
      </c>
      <c r="O221" s="181">
        <v>46041</v>
      </c>
      <c r="P221" s="182" t="s">
        <v>523</v>
      </c>
      <c r="Q221" s="183">
        <v>250</v>
      </c>
      <c r="R221" s="178" t="s">
        <v>748</v>
      </c>
    </row>
    <row r="222" spans="6:18" ht="33.75" thickBot="1">
      <c r="F222" s="193">
        <v>16</v>
      </c>
      <c r="G222" s="184" t="s">
        <v>520</v>
      </c>
      <c r="H222" s="184" t="s">
        <v>520</v>
      </c>
      <c r="I222" s="184" t="s">
        <v>68</v>
      </c>
      <c r="J222" s="195">
        <v>308140373500</v>
      </c>
      <c r="K222" s="472">
        <v>46034</v>
      </c>
      <c r="L222" s="185" t="s">
        <v>525</v>
      </c>
      <c r="M222" s="185" t="s">
        <v>522</v>
      </c>
      <c r="N222" s="186">
        <v>981090</v>
      </c>
      <c r="O222" s="187">
        <v>46041</v>
      </c>
      <c r="P222" s="188" t="s">
        <v>523</v>
      </c>
      <c r="Q222" s="189">
        <v>250</v>
      </c>
      <c r="R222" s="184" t="s">
        <v>749</v>
      </c>
    </row>
    <row r="223" spans="6:18" ht="33.75" thickBot="1">
      <c r="F223" s="192">
        <v>17</v>
      </c>
      <c r="G223" s="178" t="s">
        <v>520</v>
      </c>
      <c r="H223" s="178" t="s">
        <v>520</v>
      </c>
      <c r="I223" s="178" t="s">
        <v>68</v>
      </c>
      <c r="J223" s="486">
        <v>308140368450</v>
      </c>
      <c r="K223" s="473">
        <v>46034</v>
      </c>
      <c r="L223" s="179" t="s">
        <v>525</v>
      </c>
      <c r="M223" s="179" t="s">
        <v>522</v>
      </c>
      <c r="N223" s="180">
        <v>981079</v>
      </c>
      <c r="O223" s="181">
        <v>46041</v>
      </c>
      <c r="P223" s="182" t="s">
        <v>523</v>
      </c>
      <c r="Q223" s="183">
        <v>250</v>
      </c>
      <c r="R223" s="178" t="s">
        <v>750</v>
      </c>
    </row>
    <row r="224" spans="6:18" ht="33.75" thickBot="1">
      <c r="F224" s="193">
        <v>18</v>
      </c>
      <c r="G224" s="184" t="s">
        <v>520</v>
      </c>
      <c r="H224" s="184" t="s">
        <v>520</v>
      </c>
      <c r="I224" s="184" t="s">
        <v>68</v>
      </c>
      <c r="J224" s="195">
        <v>308140364950</v>
      </c>
      <c r="K224" s="472">
        <v>46034</v>
      </c>
      <c r="L224" s="185" t="s">
        <v>525</v>
      </c>
      <c r="M224" s="185" t="s">
        <v>522</v>
      </c>
      <c r="N224" s="186">
        <v>981067</v>
      </c>
      <c r="O224" s="187">
        <v>46041</v>
      </c>
      <c r="P224" s="188" t="s">
        <v>523</v>
      </c>
      <c r="Q224" s="189">
        <v>250</v>
      </c>
      <c r="R224" s="184" t="s">
        <v>751</v>
      </c>
    </row>
    <row r="225" spans="6:18" ht="33.75" thickBot="1">
      <c r="F225" s="192">
        <v>19</v>
      </c>
      <c r="G225" s="178" t="s">
        <v>520</v>
      </c>
      <c r="H225" s="178" t="s">
        <v>520</v>
      </c>
      <c r="I225" s="178" t="s">
        <v>68</v>
      </c>
      <c r="J225" s="486">
        <v>308140383960</v>
      </c>
      <c r="K225" s="473">
        <v>46034</v>
      </c>
      <c r="L225" s="179" t="s">
        <v>525</v>
      </c>
      <c r="M225" s="179" t="s">
        <v>522</v>
      </c>
      <c r="N225" s="180">
        <v>981055</v>
      </c>
      <c r="O225" s="181">
        <v>46041</v>
      </c>
      <c r="P225" s="182" t="s">
        <v>523</v>
      </c>
      <c r="Q225" s="183">
        <v>250</v>
      </c>
      <c r="R225" s="178" t="s">
        <v>752</v>
      </c>
    </row>
    <row r="226" spans="6:18" ht="33.75" thickBot="1">
      <c r="F226" s="193">
        <v>20</v>
      </c>
      <c r="G226" s="184" t="s">
        <v>520</v>
      </c>
      <c r="H226" s="184" t="s">
        <v>520</v>
      </c>
      <c r="I226" s="184" t="s">
        <v>68</v>
      </c>
      <c r="J226" s="195">
        <v>308103819460</v>
      </c>
      <c r="K226" s="472">
        <v>46021</v>
      </c>
      <c r="L226" s="185" t="s">
        <v>525</v>
      </c>
      <c r="M226" s="185" t="s">
        <v>522</v>
      </c>
      <c r="N226" s="186">
        <v>981043</v>
      </c>
      <c r="O226" s="187">
        <v>46041</v>
      </c>
      <c r="P226" s="188" t="s">
        <v>523</v>
      </c>
      <c r="Q226" s="189">
        <v>250</v>
      </c>
      <c r="R226" s="184" t="s">
        <v>753</v>
      </c>
    </row>
    <row r="227" spans="6:18" ht="33.75" thickBot="1">
      <c r="F227" s="192">
        <v>21</v>
      </c>
      <c r="G227" s="178" t="s">
        <v>520</v>
      </c>
      <c r="H227" s="178" t="s">
        <v>520</v>
      </c>
      <c r="I227" s="178" t="s">
        <v>68</v>
      </c>
      <c r="J227" s="486">
        <v>308096184230</v>
      </c>
      <c r="K227" s="473">
        <v>46017</v>
      </c>
      <c r="L227" s="179" t="s">
        <v>525</v>
      </c>
      <c r="M227" s="179" t="s">
        <v>522</v>
      </c>
      <c r="N227" s="180">
        <v>981039</v>
      </c>
      <c r="O227" s="181">
        <v>46041</v>
      </c>
      <c r="P227" s="182" t="s">
        <v>523</v>
      </c>
      <c r="Q227" s="183">
        <v>250</v>
      </c>
      <c r="R227" s="178" t="s">
        <v>754</v>
      </c>
    </row>
    <row r="228" spans="6:18" ht="33.75" thickBot="1">
      <c r="F228" s="193">
        <v>22</v>
      </c>
      <c r="G228" s="184" t="s">
        <v>520</v>
      </c>
      <c r="H228" s="184" t="s">
        <v>520</v>
      </c>
      <c r="I228" s="184" t="s">
        <v>68</v>
      </c>
      <c r="J228" s="195">
        <v>308129899510</v>
      </c>
      <c r="K228" s="472">
        <v>46031</v>
      </c>
      <c r="L228" s="185" t="s">
        <v>525</v>
      </c>
      <c r="M228" s="185" t="s">
        <v>522</v>
      </c>
      <c r="N228" s="186">
        <v>981029</v>
      </c>
      <c r="O228" s="187">
        <v>46041</v>
      </c>
      <c r="P228" s="188" t="s">
        <v>523</v>
      </c>
      <c r="Q228" s="189">
        <v>250</v>
      </c>
      <c r="R228" s="184" t="s">
        <v>755</v>
      </c>
    </row>
    <row r="229" spans="6:18" ht="33.75" thickBot="1">
      <c r="F229" s="192">
        <v>23</v>
      </c>
      <c r="G229" s="178" t="s">
        <v>520</v>
      </c>
      <c r="H229" s="178" t="s">
        <v>520</v>
      </c>
      <c r="I229" s="178" t="s">
        <v>68</v>
      </c>
      <c r="J229" s="486">
        <v>308133806060</v>
      </c>
      <c r="K229" s="473">
        <v>46031</v>
      </c>
      <c r="L229" s="179" t="s">
        <v>525</v>
      </c>
      <c r="M229" s="179" t="s">
        <v>522</v>
      </c>
      <c r="N229" s="180">
        <v>981020</v>
      </c>
      <c r="O229" s="181">
        <v>46041</v>
      </c>
      <c r="P229" s="182" t="s">
        <v>523</v>
      </c>
      <c r="Q229" s="183">
        <v>250</v>
      </c>
      <c r="R229" s="178" t="s">
        <v>756</v>
      </c>
    </row>
    <row r="230" spans="6:18" ht="33.75" thickBot="1">
      <c r="F230" s="193">
        <v>24</v>
      </c>
      <c r="G230" s="184" t="s">
        <v>520</v>
      </c>
      <c r="H230" s="184" t="s">
        <v>520</v>
      </c>
      <c r="I230" s="184" t="s">
        <v>68</v>
      </c>
      <c r="J230" s="195">
        <v>308126957520</v>
      </c>
      <c r="K230" s="472">
        <v>46030</v>
      </c>
      <c r="L230" s="185" t="s">
        <v>525</v>
      </c>
      <c r="M230" s="185" t="s">
        <v>522</v>
      </c>
      <c r="N230" s="186">
        <v>981016</v>
      </c>
      <c r="O230" s="187">
        <v>46041</v>
      </c>
      <c r="P230" s="188" t="s">
        <v>523</v>
      </c>
      <c r="Q230" s="189">
        <v>250</v>
      </c>
      <c r="R230" s="184" t="s">
        <v>757</v>
      </c>
    </row>
    <row r="231" spans="6:18" ht="33.75" thickBot="1">
      <c r="F231" s="192">
        <v>25</v>
      </c>
      <c r="G231" s="178" t="s">
        <v>520</v>
      </c>
      <c r="H231" s="178" t="s">
        <v>520</v>
      </c>
      <c r="I231" s="178" t="s">
        <v>68</v>
      </c>
      <c r="J231" s="486">
        <v>308118828420</v>
      </c>
      <c r="K231" s="473">
        <v>46028</v>
      </c>
      <c r="L231" s="179" t="s">
        <v>525</v>
      </c>
      <c r="M231" s="179" t="s">
        <v>522</v>
      </c>
      <c r="N231" s="180">
        <v>981003</v>
      </c>
      <c r="O231" s="181">
        <v>46041</v>
      </c>
      <c r="P231" s="182" t="s">
        <v>523</v>
      </c>
      <c r="Q231" s="183">
        <v>250</v>
      </c>
      <c r="R231" s="178" t="s">
        <v>758</v>
      </c>
    </row>
    <row r="232" spans="6:18" ht="33.75" thickBot="1">
      <c r="F232" s="193">
        <v>26</v>
      </c>
      <c r="G232" s="184" t="s">
        <v>520</v>
      </c>
      <c r="H232" s="184" t="s">
        <v>520</v>
      </c>
      <c r="I232" s="184" t="s">
        <v>68</v>
      </c>
      <c r="J232" s="195">
        <v>308126226020</v>
      </c>
      <c r="K232" s="472">
        <v>46029</v>
      </c>
      <c r="L232" s="185" t="s">
        <v>525</v>
      </c>
      <c r="M232" s="185" t="s">
        <v>522</v>
      </c>
      <c r="N232" s="186">
        <v>981001</v>
      </c>
      <c r="O232" s="187">
        <v>46041</v>
      </c>
      <c r="P232" s="188" t="s">
        <v>523</v>
      </c>
      <c r="Q232" s="189">
        <v>250</v>
      </c>
      <c r="R232" s="184" t="s">
        <v>759</v>
      </c>
    </row>
    <row r="233" spans="6:18" ht="33.75" thickBot="1">
      <c r="F233" s="192">
        <v>27</v>
      </c>
      <c r="G233" s="178" t="s">
        <v>520</v>
      </c>
      <c r="H233" s="178" t="s">
        <v>520</v>
      </c>
      <c r="I233" s="178" t="s">
        <v>68</v>
      </c>
      <c r="J233" s="486">
        <v>308126229260</v>
      </c>
      <c r="K233" s="473">
        <v>46029</v>
      </c>
      <c r="L233" s="179" t="s">
        <v>525</v>
      </c>
      <c r="M233" s="179" t="s">
        <v>522</v>
      </c>
      <c r="N233" s="180">
        <v>980991</v>
      </c>
      <c r="O233" s="181">
        <v>46041</v>
      </c>
      <c r="P233" s="182" t="s">
        <v>523</v>
      </c>
      <c r="Q233" s="183">
        <v>250</v>
      </c>
      <c r="R233" s="178" t="s">
        <v>760</v>
      </c>
    </row>
    <row r="234" spans="6:18" ht="33.75" thickBot="1">
      <c r="F234" s="193">
        <v>28</v>
      </c>
      <c r="G234" s="184" t="s">
        <v>520</v>
      </c>
      <c r="H234" s="184" t="s">
        <v>520</v>
      </c>
      <c r="I234" s="184" t="s">
        <v>68</v>
      </c>
      <c r="J234" s="195">
        <v>308134719450</v>
      </c>
      <c r="K234" s="472">
        <v>46032</v>
      </c>
      <c r="L234" s="185" t="s">
        <v>525</v>
      </c>
      <c r="M234" s="185" t="s">
        <v>522</v>
      </c>
      <c r="N234" s="186">
        <v>980983</v>
      </c>
      <c r="O234" s="187">
        <v>46041</v>
      </c>
      <c r="P234" s="188" t="s">
        <v>523</v>
      </c>
      <c r="Q234" s="189">
        <v>250</v>
      </c>
      <c r="R234" s="184" t="s">
        <v>761</v>
      </c>
    </row>
    <row r="235" spans="6:18" ht="33.75" thickBot="1">
      <c r="F235" s="192">
        <v>29</v>
      </c>
      <c r="G235" s="178" t="s">
        <v>520</v>
      </c>
      <c r="H235" s="178" t="s">
        <v>520</v>
      </c>
      <c r="I235" s="178" t="s">
        <v>68</v>
      </c>
      <c r="J235" s="486">
        <v>308126242010</v>
      </c>
      <c r="K235" s="473">
        <v>46030</v>
      </c>
      <c r="L235" s="179" t="s">
        <v>525</v>
      </c>
      <c r="M235" s="179" t="s">
        <v>522</v>
      </c>
      <c r="N235" s="180">
        <v>980966</v>
      </c>
      <c r="O235" s="181">
        <v>46041</v>
      </c>
      <c r="P235" s="182" t="s">
        <v>523</v>
      </c>
      <c r="Q235" s="183">
        <v>250</v>
      </c>
      <c r="R235" s="178" t="s">
        <v>762</v>
      </c>
    </row>
    <row r="236" spans="6:18" ht="33.75" thickBot="1">
      <c r="F236" s="193">
        <v>30</v>
      </c>
      <c r="G236" s="184" t="s">
        <v>520</v>
      </c>
      <c r="H236" s="184" t="s">
        <v>520</v>
      </c>
      <c r="I236" s="184" t="s">
        <v>68</v>
      </c>
      <c r="J236" s="195">
        <v>308129908130</v>
      </c>
      <c r="K236" s="472">
        <v>46031</v>
      </c>
      <c r="L236" s="185" t="s">
        <v>525</v>
      </c>
      <c r="M236" s="185" t="s">
        <v>522</v>
      </c>
      <c r="N236" s="186">
        <v>980960</v>
      </c>
      <c r="O236" s="187">
        <v>46041</v>
      </c>
      <c r="P236" s="188" t="s">
        <v>523</v>
      </c>
      <c r="Q236" s="189">
        <v>250</v>
      </c>
      <c r="R236" s="184" t="s">
        <v>763</v>
      </c>
    </row>
    <row r="237" spans="6:18" ht="33.75" thickBot="1">
      <c r="F237" s="192">
        <v>31</v>
      </c>
      <c r="G237" s="178" t="s">
        <v>520</v>
      </c>
      <c r="H237" s="178" t="s">
        <v>520</v>
      </c>
      <c r="I237" s="178" t="s">
        <v>68</v>
      </c>
      <c r="J237" s="486">
        <v>308126250150</v>
      </c>
      <c r="K237" s="473">
        <v>46030</v>
      </c>
      <c r="L237" s="179" t="s">
        <v>525</v>
      </c>
      <c r="M237" s="179" t="s">
        <v>522</v>
      </c>
      <c r="N237" s="180">
        <v>980953</v>
      </c>
      <c r="O237" s="181">
        <v>46041</v>
      </c>
      <c r="P237" s="182" t="s">
        <v>523</v>
      </c>
      <c r="Q237" s="183">
        <v>250</v>
      </c>
      <c r="R237" s="178" t="s">
        <v>764</v>
      </c>
    </row>
    <row r="238" spans="6:18" ht="33.75" thickBot="1">
      <c r="F238" s="193">
        <v>32</v>
      </c>
      <c r="G238" s="184" t="s">
        <v>520</v>
      </c>
      <c r="H238" s="184" t="s">
        <v>520</v>
      </c>
      <c r="I238" s="184" t="s">
        <v>68</v>
      </c>
      <c r="J238" s="195">
        <v>308140371360</v>
      </c>
      <c r="K238" s="472">
        <v>46034</v>
      </c>
      <c r="L238" s="185" t="s">
        <v>525</v>
      </c>
      <c r="M238" s="185" t="s">
        <v>522</v>
      </c>
      <c r="N238" s="186">
        <v>980938</v>
      </c>
      <c r="O238" s="187">
        <v>46041</v>
      </c>
      <c r="P238" s="188" t="s">
        <v>523</v>
      </c>
      <c r="Q238" s="189">
        <v>250</v>
      </c>
      <c r="R238" s="184" t="s">
        <v>765</v>
      </c>
    </row>
    <row r="239" spans="6:18" ht="33.75" thickBot="1">
      <c r="F239" s="192">
        <v>33</v>
      </c>
      <c r="G239" s="178" t="s">
        <v>520</v>
      </c>
      <c r="H239" s="178" t="s">
        <v>520</v>
      </c>
      <c r="I239" s="178" t="s">
        <v>68</v>
      </c>
      <c r="J239" s="486">
        <v>308118621110</v>
      </c>
      <c r="K239" s="473">
        <v>46027</v>
      </c>
      <c r="L239" s="179" t="s">
        <v>525</v>
      </c>
      <c r="M239" s="179" t="s">
        <v>522</v>
      </c>
      <c r="N239" s="180">
        <v>980920</v>
      </c>
      <c r="O239" s="181">
        <v>46041</v>
      </c>
      <c r="P239" s="182" t="s">
        <v>523</v>
      </c>
      <c r="Q239" s="183">
        <v>250</v>
      </c>
      <c r="R239" s="178" t="s">
        <v>766</v>
      </c>
    </row>
    <row r="240" spans="6:18" ht="33.75" thickBot="1">
      <c r="F240" s="193">
        <v>34</v>
      </c>
      <c r="G240" s="184" t="s">
        <v>520</v>
      </c>
      <c r="H240" s="184" t="s">
        <v>520</v>
      </c>
      <c r="I240" s="184" t="s">
        <v>68</v>
      </c>
      <c r="J240" s="195">
        <v>308119470210</v>
      </c>
      <c r="K240" s="472">
        <v>46028</v>
      </c>
      <c r="L240" s="185" t="s">
        <v>525</v>
      </c>
      <c r="M240" s="185" t="s">
        <v>522</v>
      </c>
      <c r="N240" s="186">
        <v>980912</v>
      </c>
      <c r="O240" s="187">
        <v>46041</v>
      </c>
      <c r="P240" s="188" t="s">
        <v>523</v>
      </c>
      <c r="Q240" s="189">
        <v>250</v>
      </c>
      <c r="R240" s="184" t="s">
        <v>767</v>
      </c>
    </row>
    <row r="241" spans="6:20" ht="33.75" thickBot="1">
      <c r="F241" s="192">
        <v>35</v>
      </c>
      <c r="G241" s="178" t="s">
        <v>520</v>
      </c>
      <c r="H241" s="178" t="s">
        <v>520</v>
      </c>
      <c r="I241" s="178" t="s">
        <v>68</v>
      </c>
      <c r="J241" s="486">
        <v>308119421650</v>
      </c>
      <c r="K241" s="473">
        <v>46028</v>
      </c>
      <c r="L241" s="179" t="s">
        <v>525</v>
      </c>
      <c r="M241" s="179" t="s">
        <v>522</v>
      </c>
      <c r="N241" s="180">
        <v>980908</v>
      </c>
      <c r="O241" s="181">
        <v>46041</v>
      </c>
      <c r="P241" s="182" t="s">
        <v>523</v>
      </c>
      <c r="Q241" s="183">
        <v>250</v>
      </c>
      <c r="R241" s="178" t="s">
        <v>768</v>
      </c>
    </row>
    <row r="242" spans="6:20" ht="33.75" thickBot="1">
      <c r="F242" s="193">
        <v>36</v>
      </c>
      <c r="G242" s="184" t="s">
        <v>520</v>
      </c>
      <c r="H242" s="184" t="s">
        <v>520</v>
      </c>
      <c r="I242" s="184" t="s">
        <v>68</v>
      </c>
      <c r="J242" s="195">
        <v>308118685620</v>
      </c>
      <c r="K242" s="472">
        <v>46027</v>
      </c>
      <c r="L242" s="185" t="s">
        <v>525</v>
      </c>
      <c r="M242" s="185" t="s">
        <v>522</v>
      </c>
      <c r="N242" s="186">
        <v>980882</v>
      </c>
      <c r="O242" s="187">
        <v>46041</v>
      </c>
      <c r="P242" s="188" t="s">
        <v>523</v>
      </c>
      <c r="Q242" s="189">
        <v>250</v>
      </c>
      <c r="R242" s="184" t="s">
        <v>769</v>
      </c>
    </row>
    <row r="243" spans="6:20" ht="33.75" thickBot="1">
      <c r="F243" s="192">
        <v>37</v>
      </c>
      <c r="G243" s="178" t="s">
        <v>520</v>
      </c>
      <c r="H243" s="178" t="s">
        <v>520</v>
      </c>
      <c r="I243" s="178" t="s">
        <v>68</v>
      </c>
      <c r="J243" s="486">
        <v>308159256660</v>
      </c>
      <c r="K243" s="473">
        <v>46039</v>
      </c>
      <c r="L243" s="179" t="s">
        <v>525</v>
      </c>
      <c r="M243" s="179" t="s">
        <v>522</v>
      </c>
      <c r="N243" s="180">
        <v>978638</v>
      </c>
      <c r="O243" s="181">
        <v>46041</v>
      </c>
      <c r="P243" s="182" t="s">
        <v>523</v>
      </c>
      <c r="Q243" s="183">
        <v>500</v>
      </c>
      <c r="R243" s="178" t="s">
        <v>770</v>
      </c>
    </row>
    <row r="244" spans="6:20" ht="33.75" thickBot="1">
      <c r="F244" s="193">
        <v>38</v>
      </c>
      <c r="G244" s="184" t="s">
        <v>520</v>
      </c>
      <c r="H244" s="184" t="s">
        <v>520</v>
      </c>
      <c r="I244" s="184" t="s">
        <v>68</v>
      </c>
      <c r="J244" s="195">
        <v>308161200230</v>
      </c>
      <c r="K244" s="472">
        <v>46039</v>
      </c>
      <c r="L244" s="185" t="s">
        <v>525</v>
      </c>
      <c r="M244" s="185" t="s">
        <v>526</v>
      </c>
      <c r="N244" s="186">
        <v>615589</v>
      </c>
      <c r="O244" s="187">
        <v>46041</v>
      </c>
      <c r="P244" s="188" t="s">
        <v>523</v>
      </c>
      <c r="Q244" s="189">
        <v>250</v>
      </c>
      <c r="R244" s="184" t="s">
        <v>771</v>
      </c>
    </row>
    <row r="245" spans="6:20" ht="33.75" thickBot="1">
      <c r="F245" s="192">
        <v>39</v>
      </c>
      <c r="G245" s="178" t="s">
        <v>520</v>
      </c>
      <c r="H245" s="178" t="s">
        <v>520</v>
      </c>
      <c r="I245" s="178" t="s">
        <v>68</v>
      </c>
      <c r="J245" s="486">
        <v>308158323820</v>
      </c>
      <c r="K245" s="473">
        <v>46039</v>
      </c>
      <c r="L245" s="179" t="s">
        <v>525</v>
      </c>
      <c r="M245" s="179" t="s">
        <v>526</v>
      </c>
      <c r="N245" s="180">
        <v>615587</v>
      </c>
      <c r="O245" s="181">
        <v>46041</v>
      </c>
      <c r="P245" s="182" t="s">
        <v>523</v>
      </c>
      <c r="Q245" s="183">
        <v>500</v>
      </c>
      <c r="R245" s="178" t="s">
        <v>772</v>
      </c>
    </row>
    <row r="246" spans="6:20" ht="33.75" thickBot="1">
      <c r="F246" s="193">
        <v>40</v>
      </c>
      <c r="G246" s="184" t="s">
        <v>520</v>
      </c>
      <c r="H246" s="184" t="s">
        <v>520</v>
      </c>
      <c r="I246" s="184" t="s">
        <v>68</v>
      </c>
      <c r="J246" s="195">
        <v>308158360000</v>
      </c>
      <c r="K246" s="472">
        <v>46039</v>
      </c>
      <c r="L246" s="185" t="s">
        <v>525</v>
      </c>
      <c r="M246" s="185" t="s">
        <v>526</v>
      </c>
      <c r="N246" s="186">
        <v>615579</v>
      </c>
      <c r="O246" s="187">
        <v>46041</v>
      </c>
      <c r="P246" s="188" t="s">
        <v>523</v>
      </c>
      <c r="Q246" s="189">
        <v>500</v>
      </c>
      <c r="R246" s="184" t="s">
        <v>773</v>
      </c>
    </row>
    <row r="247" spans="6:20" ht="33.75" thickBot="1">
      <c r="F247" s="192">
        <v>41</v>
      </c>
      <c r="G247" s="178" t="s">
        <v>520</v>
      </c>
      <c r="H247" s="178" t="s">
        <v>520</v>
      </c>
      <c r="I247" s="178" t="s">
        <v>68</v>
      </c>
      <c r="J247" s="486">
        <v>308161249010</v>
      </c>
      <c r="K247" s="473">
        <v>46039</v>
      </c>
      <c r="L247" s="179" t="s">
        <v>525</v>
      </c>
      <c r="M247" s="179" t="s">
        <v>526</v>
      </c>
      <c r="N247" s="180">
        <v>615573</v>
      </c>
      <c r="O247" s="181">
        <v>46041</v>
      </c>
      <c r="P247" s="182" t="s">
        <v>523</v>
      </c>
      <c r="Q247" s="183">
        <v>250</v>
      </c>
      <c r="R247" s="178" t="s">
        <v>774</v>
      </c>
    </row>
    <row r="248" spans="6:20" ht="33.75" thickBot="1">
      <c r="F248" s="193">
        <v>42</v>
      </c>
      <c r="G248" s="184" t="s">
        <v>520</v>
      </c>
      <c r="H248" s="184" t="s">
        <v>520</v>
      </c>
      <c r="I248" s="184" t="s">
        <v>68</v>
      </c>
      <c r="J248" s="195">
        <v>308158391130</v>
      </c>
      <c r="K248" s="472">
        <v>46039</v>
      </c>
      <c r="L248" s="185" t="s">
        <v>525</v>
      </c>
      <c r="M248" s="185" t="s">
        <v>526</v>
      </c>
      <c r="N248" s="186">
        <v>615554</v>
      </c>
      <c r="O248" s="187">
        <v>46041</v>
      </c>
      <c r="P248" s="188" t="s">
        <v>523</v>
      </c>
      <c r="Q248" s="189">
        <v>500</v>
      </c>
      <c r="R248" s="184" t="s">
        <v>775</v>
      </c>
    </row>
    <row r="249" spans="6:20" ht="33.75" thickBot="1">
      <c r="F249" s="192">
        <v>43</v>
      </c>
      <c r="G249" s="178" t="s">
        <v>520</v>
      </c>
      <c r="H249" s="178" t="s">
        <v>520</v>
      </c>
      <c r="I249" s="178" t="s">
        <v>68</v>
      </c>
      <c r="J249" s="486">
        <v>107902627010</v>
      </c>
      <c r="K249" s="473">
        <v>46039</v>
      </c>
      <c r="L249" s="179" t="s">
        <v>542</v>
      </c>
      <c r="M249" s="179" t="s">
        <v>522</v>
      </c>
      <c r="N249" s="180">
        <v>977727</v>
      </c>
      <c r="O249" s="181">
        <v>46041</v>
      </c>
      <c r="P249" s="182" t="s">
        <v>523</v>
      </c>
      <c r="Q249" s="183" t="s">
        <v>622</v>
      </c>
      <c r="R249" s="178" t="s">
        <v>776</v>
      </c>
    </row>
    <row r="250" spans="6:20" ht="33.75" thickBot="1">
      <c r="F250" s="193">
        <v>44</v>
      </c>
      <c r="G250" s="184" t="s">
        <v>520</v>
      </c>
      <c r="H250" s="184" t="s">
        <v>520</v>
      </c>
      <c r="I250" s="184" t="s">
        <v>68</v>
      </c>
      <c r="J250" s="195">
        <v>308153723750</v>
      </c>
      <c r="K250" s="472">
        <v>46037</v>
      </c>
      <c r="L250" s="185" t="s">
        <v>525</v>
      </c>
      <c r="M250" s="185" t="s">
        <v>522</v>
      </c>
      <c r="N250" s="186">
        <v>977319</v>
      </c>
      <c r="O250" s="187">
        <v>46041</v>
      </c>
      <c r="P250" s="188" t="s">
        <v>523</v>
      </c>
      <c r="Q250" s="189">
        <v>500</v>
      </c>
      <c r="R250" s="184" t="s">
        <v>777</v>
      </c>
    </row>
    <row r="251" spans="6:20" ht="33.75" thickBot="1">
      <c r="F251" s="192">
        <v>45</v>
      </c>
      <c r="G251" s="178" t="s">
        <v>520</v>
      </c>
      <c r="H251" s="178" t="s">
        <v>520</v>
      </c>
      <c r="I251" s="178" t="s">
        <v>68</v>
      </c>
      <c r="J251" s="486">
        <v>308159229840</v>
      </c>
      <c r="K251" s="473">
        <v>46039</v>
      </c>
      <c r="L251" s="179" t="s">
        <v>525</v>
      </c>
      <c r="M251" s="179" t="s">
        <v>522</v>
      </c>
      <c r="N251" s="180">
        <v>976762</v>
      </c>
      <c r="O251" s="181">
        <v>46041</v>
      </c>
      <c r="P251" s="182" t="s">
        <v>523</v>
      </c>
      <c r="Q251" s="183">
        <v>500</v>
      </c>
      <c r="R251" s="178" t="s">
        <v>778</v>
      </c>
    </row>
    <row r="252" spans="6:20" ht="33.75" thickBot="1">
      <c r="F252" s="193">
        <v>46</v>
      </c>
      <c r="G252" s="184" t="s">
        <v>520</v>
      </c>
      <c r="H252" s="184" t="s">
        <v>520</v>
      </c>
      <c r="I252" s="184" t="s">
        <v>68</v>
      </c>
      <c r="J252" s="195">
        <v>308119150050</v>
      </c>
      <c r="K252" s="472">
        <v>46028</v>
      </c>
      <c r="L252" s="185" t="s">
        <v>525</v>
      </c>
      <c r="M252" s="185" t="s">
        <v>522</v>
      </c>
      <c r="N252" s="186">
        <v>976312</v>
      </c>
      <c r="O252" s="187">
        <v>46040</v>
      </c>
      <c r="P252" s="188" t="s">
        <v>523</v>
      </c>
      <c r="Q252" s="189">
        <v>20.666</v>
      </c>
      <c r="R252" s="184" t="s">
        <v>779</v>
      </c>
    </row>
    <row r="253" spans="6:20" ht="33.75" thickBot="1">
      <c r="F253" s="192">
        <v>47</v>
      </c>
      <c r="G253" s="178" t="s">
        <v>520</v>
      </c>
      <c r="H253" s="178" t="s">
        <v>520</v>
      </c>
      <c r="I253" s="178" t="s">
        <v>68</v>
      </c>
      <c r="J253" s="486">
        <v>308123369760</v>
      </c>
      <c r="K253" s="473">
        <v>46029</v>
      </c>
      <c r="L253" s="179" t="s">
        <v>525</v>
      </c>
      <c r="M253" s="179" t="s">
        <v>522</v>
      </c>
      <c r="N253" s="180">
        <v>976309</v>
      </c>
      <c r="O253" s="181">
        <v>46040</v>
      </c>
      <c r="P253" s="182" t="s">
        <v>523</v>
      </c>
      <c r="Q253" s="183">
        <v>24.370999999999999</v>
      </c>
      <c r="R253" s="178" t="s">
        <v>780</v>
      </c>
      <c r="T253" s="195"/>
    </row>
    <row r="254" spans="6:20" ht="33.75" thickBot="1">
      <c r="F254" s="193">
        <v>48</v>
      </c>
      <c r="G254" s="184" t="s">
        <v>520</v>
      </c>
      <c r="H254" s="184" t="s">
        <v>520</v>
      </c>
      <c r="I254" s="184" t="s">
        <v>68</v>
      </c>
      <c r="J254" s="195">
        <v>308143379850</v>
      </c>
      <c r="K254" s="472">
        <v>46035</v>
      </c>
      <c r="L254" s="185" t="s">
        <v>525</v>
      </c>
      <c r="M254" s="185" t="s">
        <v>522</v>
      </c>
      <c r="N254" s="186">
        <v>976306</v>
      </c>
      <c r="O254" s="187">
        <v>46040</v>
      </c>
      <c r="P254" s="188" t="s">
        <v>523</v>
      </c>
      <c r="Q254" s="189">
        <v>19.776</v>
      </c>
      <c r="R254" s="184" t="s">
        <v>781</v>
      </c>
    </row>
    <row r="255" spans="6:20" ht="33.75" thickBot="1">
      <c r="F255" s="192">
        <v>49</v>
      </c>
      <c r="G255" s="178" t="s">
        <v>520</v>
      </c>
      <c r="H255" s="178" t="s">
        <v>520</v>
      </c>
      <c r="I255" s="178" t="s">
        <v>68</v>
      </c>
      <c r="J255" s="486">
        <v>308123471150</v>
      </c>
      <c r="K255" s="473">
        <v>46029</v>
      </c>
      <c r="L255" s="179" t="s">
        <v>525</v>
      </c>
      <c r="M255" s="179" t="s">
        <v>522</v>
      </c>
      <c r="N255" s="180">
        <v>976302</v>
      </c>
      <c r="O255" s="181">
        <v>46040</v>
      </c>
      <c r="P255" s="182" t="s">
        <v>523</v>
      </c>
      <c r="Q255" s="183">
        <v>61.491</v>
      </c>
      <c r="R255" s="178" t="s">
        <v>782</v>
      </c>
    </row>
    <row r="256" spans="6:20" ht="33.75" thickBot="1">
      <c r="F256" s="193">
        <v>50</v>
      </c>
      <c r="G256" s="184" t="s">
        <v>520</v>
      </c>
      <c r="H256" s="184" t="s">
        <v>520</v>
      </c>
      <c r="I256" s="184" t="s">
        <v>68</v>
      </c>
      <c r="J256" s="195">
        <v>308140403230</v>
      </c>
      <c r="K256" s="472">
        <v>46035</v>
      </c>
      <c r="L256" s="185" t="s">
        <v>525</v>
      </c>
      <c r="M256" s="185" t="s">
        <v>522</v>
      </c>
      <c r="N256" s="186">
        <v>976301</v>
      </c>
      <c r="O256" s="187">
        <v>46040</v>
      </c>
      <c r="P256" s="188" t="s">
        <v>523</v>
      </c>
      <c r="Q256" s="189">
        <v>45.247999999999998</v>
      </c>
      <c r="R256" s="184" t="s">
        <v>783</v>
      </c>
    </row>
    <row r="257" spans="6:18" ht="33.75" thickBot="1">
      <c r="F257" s="192">
        <v>51</v>
      </c>
      <c r="G257" s="178" t="s">
        <v>520</v>
      </c>
      <c r="H257" s="178" t="s">
        <v>520</v>
      </c>
      <c r="I257" s="178" t="s">
        <v>68</v>
      </c>
      <c r="J257" s="486">
        <v>308140400650</v>
      </c>
      <c r="K257" s="473">
        <v>46035</v>
      </c>
      <c r="L257" s="179" t="s">
        <v>525</v>
      </c>
      <c r="M257" s="179" t="s">
        <v>522</v>
      </c>
      <c r="N257" s="180">
        <v>976300</v>
      </c>
      <c r="O257" s="181">
        <v>46040</v>
      </c>
      <c r="P257" s="182" t="s">
        <v>523</v>
      </c>
      <c r="Q257" s="183">
        <v>57.024000000000001</v>
      </c>
      <c r="R257" s="178" t="s">
        <v>784</v>
      </c>
    </row>
    <row r="258" spans="6:18" ht="33.75" thickBot="1">
      <c r="F258" s="193">
        <v>52</v>
      </c>
      <c r="G258" s="184" t="s">
        <v>520</v>
      </c>
      <c r="H258" s="184" t="s">
        <v>520</v>
      </c>
      <c r="I258" s="184" t="s">
        <v>68</v>
      </c>
      <c r="J258" s="195">
        <v>308146286510</v>
      </c>
      <c r="K258" s="472">
        <v>46036</v>
      </c>
      <c r="L258" s="185" t="s">
        <v>525</v>
      </c>
      <c r="M258" s="185" t="s">
        <v>522</v>
      </c>
      <c r="N258" s="186">
        <v>976299</v>
      </c>
      <c r="O258" s="187">
        <v>46040</v>
      </c>
      <c r="P258" s="188" t="s">
        <v>523</v>
      </c>
      <c r="Q258" s="189">
        <v>18.010000000000002</v>
      </c>
      <c r="R258" s="184" t="s">
        <v>785</v>
      </c>
    </row>
    <row r="259" spans="6:18" ht="33.75" thickBot="1">
      <c r="F259" s="192">
        <v>53</v>
      </c>
      <c r="G259" s="178" t="s">
        <v>520</v>
      </c>
      <c r="H259" s="178" t="s">
        <v>520</v>
      </c>
      <c r="I259" s="178" t="s">
        <v>68</v>
      </c>
      <c r="J259" s="486">
        <v>308150267520</v>
      </c>
      <c r="K259" s="473">
        <v>46037</v>
      </c>
      <c r="L259" s="179" t="s">
        <v>525</v>
      </c>
      <c r="M259" s="179" t="s">
        <v>522</v>
      </c>
      <c r="N259" s="180">
        <v>976298</v>
      </c>
      <c r="O259" s="181">
        <v>46040</v>
      </c>
      <c r="P259" s="182" t="s">
        <v>523</v>
      </c>
      <c r="Q259" s="183">
        <v>87.090999999999994</v>
      </c>
      <c r="R259" s="178" t="s">
        <v>786</v>
      </c>
    </row>
    <row r="260" spans="6:18" ht="33.75" thickBot="1">
      <c r="F260" s="193">
        <v>54</v>
      </c>
      <c r="G260" s="184" t="s">
        <v>520</v>
      </c>
      <c r="H260" s="184" t="s">
        <v>520</v>
      </c>
      <c r="I260" s="184" t="s">
        <v>68</v>
      </c>
      <c r="J260" s="195">
        <v>308150320020</v>
      </c>
      <c r="K260" s="472">
        <v>46037</v>
      </c>
      <c r="L260" s="185" t="s">
        <v>525</v>
      </c>
      <c r="M260" s="185" t="s">
        <v>522</v>
      </c>
      <c r="N260" s="186">
        <v>976297</v>
      </c>
      <c r="O260" s="187">
        <v>46040</v>
      </c>
      <c r="P260" s="188" t="s">
        <v>523</v>
      </c>
      <c r="Q260" s="189">
        <v>71.564999999999998</v>
      </c>
      <c r="R260" s="184" t="s">
        <v>787</v>
      </c>
    </row>
    <row r="261" spans="6:18" ht="33.75" thickBot="1">
      <c r="F261" s="192">
        <v>55</v>
      </c>
      <c r="G261" s="178" t="s">
        <v>520</v>
      </c>
      <c r="H261" s="178" t="s">
        <v>520</v>
      </c>
      <c r="I261" s="178" t="s">
        <v>68</v>
      </c>
      <c r="J261" s="486">
        <v>308154504250</v>
      </c>
      <c r="K261" s="473">
        <v>46037</v>
      </c>
      <c r="L261" s="179" t="s">
        <v>788</v>
      </c>
      <c r="M261" s="179" t="s">
        <v>522</v>
      </c>
      <c r="N261" s="180">
        <v>976287</v>
      </c>
      <c r="O261" s="181">
        <v>46040</v>
      </c>
      <c r="P261" s="182" t="s">
        <v>523</v>
      </c>
      <c r="Q261" s="183">
        <v>18.88</v>
      </c>
      <c r="R261" s="178" t="s">
        <v>789</v>
      </c>
    </row>
    <row r="262" spans="6:18" ht="33.75" thickBot="1">
      <c r="F262" s="193">
        <v>56</v>
      </c>
      <c r="G262" s="184" t="s">
        <v>520</v>
      </c>
      <c r="H262" s="184" t="s">
        <v>520</v>
      </c>
      <c r="I262" s="184" t="s">
        <v>68</v>
      </c>
      <c r="J262" s="195">
        <v>308131087630</v>
      </c>
      <c r="K262" s="472">
        <v>46031</v>
      </c>
      <c r="L262" s="185" t="s">
        <v>788</v>
      </c>
      <c r="M262" s="185" t="s">
        <v>522</v>
      </c>
      <c r="N262" s="186">
        <v>976286</v>
      </c>
      <c r="O262" s="187">
        <v>46040</v>
      </c>
      <c r="P262" s="188" t="s">
        <v>523</v>
      </c>
      <c r="Q262" s="189">
        <v>18.88</v>
      </c>
      <c r="R262" s="184" t="s">
        <v>790</v>
      </c>
    </row>
    <row r="263" spans="6:18" ht="33.75" thickBot="1">
      <c r="F263" s="192">
        <v>57</v>
      </c>
      <c r="G263" s="178" t="s">
        <v>520</v>
      </c>
      <c r="H263" s="178" t="s">
        <v>520</v>
      </c>
      <c r="I263" s="178" t="s">
        <v>68</v>
      </c>
      <c r="J263" s="486">
        <v>308153970520</v>
      </c>
      <c r="K263" s="473">
        <v>46038</v>
      </c>
      <c r="L263" s="179" t="s">
        <v>525</v>
      </c>
      <c r="M263" s="179" t="s">
        <v>522</v>
      </c>
      <c r="N263" s="180">
        <v>975548</v>
      </c>
      <c r="O263" s="181">
        <v>46039</v>
      </c>
      <c r="P263" s="182" t="s">
        <v>523</v>
      </c>
      <c r="Q263" s="183">
        <v>500</v>
      </c>
      <c r="R263" s="178" t="s">
        <v>791</v>
      </c>
    </row>
    <row r="264" spans="6:18" ht="33.75" thickBot="1">
      <c r="F264" s="193">
        <v>58</v>
      </c>
      <c r="G264" s="184" t="s">
        <v>520</v>
      </c>
      <c r="H264" s="184" t="s">
        <v>520</v>
      </c>
      <c r="I264" s="184" t="s">
        <v>68</v>
      </c>
      <c r="J264" s="195">
        <v>308158430550</v>
      </c>
      <c r="K264" s="472">
        <v>46038</v>
      </c>
      <c r="L264" s="185" t="s">
        <v>525</v>
      </c>
      <c r="M264" s="185" t="s">
        <v>526</v>
      </c>
      <c r="N264" s="186">
        <v>614527</v>
      </c>
      <c r="O264" s="187">
        <v>46039</v>
      </c>
      <c r="P264" s="188" t="s">
        <v>523</v>
      </c>
      <c r="Q264" s="189">
        <v>500</v>
      </c>
      <c r="R264" s="184" t="s">
        <v>792</v>
      </c>
    </row>
    <row r="265" spans="6:18" ht="33.75" thickBot="1">
      <c r="F265" s="192">
        <v>59</v>
      </c>
      <c r="G265" s="178" t="s">
        <v>520</v>
      </c>
      <c r="H265" s="178" t="s">
        <v>520</v>
      </c>
      <c r="I265" s="178" t="s">
        <v>68</v>
      </c>
      <c r="J265" s="486">
        <v>308158509650</v>
      </c>
      <c r="K265" s="473">
        <v>46039</v>
      </c>
      <c r="L265" s="179" t="s">
        <v>525</v>
      </c>
      <c r="M265" s="179" t="s">
        <v>526</v>
      </c>
      <c r="N265" s="180">
        <v>614522</v>
      </c>
      <c r="O265" s="181">
        <v>46039</v>
      </c>
      <c r="P265" s="182" t="s">
        <v>523</v>
      </c>
      <c r="Q265" s="183">
        <v>500</v>
      </c>
      <c r="R265" s="178" t="s">
        <v>793</v>
      </c>
    </row>
    <row r="266" spans="6:18" ht="33.75" thickBot="1">
      <c r="F266" s="193">
        <v>60</v>
      </c>
      <c r="G266" s="184" t="s">
        <v>520</v>
      </c>
      <c r="H266" s="184" t="s">
        <v>520</v>
      </c>
      <c r="I266" s="184" t="s">
        <v>68</v>
      </c>
      <c r="J266" s="195">
        <v>308158278210</v>
      </c>
      <c r="K266" s="472">
        <v>46038</v>
      </c>
      <c r="L266" s="185" t="s">
        <v>525</v>
      </c>
      <c r="M266" s="185" t="s">
        <v>526</v>
      </c>
      <c r="N266" s="186">
        <v>614521</v>
      </c>
      <c r="O266" s="187">
        <v>46039</v>
      </c>
      <c r="P266" s="188" t="s">
        <v>523</v>
      </c>
      <c r="Q266" s="189">
        <v>500</v>
      </c>
      <c r="R266" s="184" t="s">
        <v>794</v>
      </c>
    </row>
    <row r="267" spans="6:18" ht="33.75" thickBot="1">
      <c r="F267" s="192">
        <v>61</v>
      </c>
      <c r="G267" s="178" t="s">
        <v>520</v>
      </c>
      <c r="H267" s="178" t="s">
        <v>520</v>
      </c>
      <c r="I267" s="178" t="s">
        <v>68</v>
      </c>
      <c r="J267" s="486">
        <v>308158117540</v>
      </c>
      <c r="K267" s="473">
        <v>46039</v>
      </c>
      <c r="L267" s="179" t="s">
        <v>525</v>
      </c>
      <c r="M267" s="179" t="s">
        <v>526</v>
      </c>
      <c r="N267" s="180">
        <v>614507</v>
      </c>
      <c r="O267" s="181">
        <v>46039</v>
      </c>
      <c r="P267" s="182" t="s">
        <v>523</v>
      </c>
      <c r="Q267" s="183">
        <v>500</v>
      </c>
      <c r="R267" s="178" t="s">
        <v>795</v>
      </c>
    </row>
    <row r="268" spans="6:18" ht="33.75" thickBot="1">
      <c r="F268" s="193">
        <v>62</v>
      </c>
      <c r="G268" s="184" t="s">
        <v>520</v>
      </c>
      <c r="H268" s="184" t="s">
        <v>520</v>
      </c>
      <c r="I268" s="184" t="s">
        <v>68</v>
      </c>
      <c r="J268" s="195">
        <v>308158180760</v>
      </c>
      <c r="K268" s="472">
        <v>46039</v>
      </c>
      <c r="L268" s="185" t="s">
        <v>525</v>
      </c>
      <c r="M268" s="185" t="s">
        <v>526</v>
      </c>
      <c r="N268" s="186">
        <v>614502</v>
      </c>
      <c r="O268" s="187">
        <v>46039</v>
      </c>
      <c r="P268" s="188" t="s">
        <v>523</v>
      </c>
      <c r="Q268" s="189">
        <v>500</v>
      </c>
      <c r="R268" s="184" t="s">
        <v>796</v>
      </c>
    </row>
    <row r="269" spans="6:18" ht="33.75" thickBot="1">
      <c r="F269" s="192">
        <v>63</v>
      </c>
      <c r="G269" s="178" t="s">
        <v>520</v>
      </c>
      <c r="H269" s="178" t="s">
        <v>520</v>
      </c>
      <c r="I269" s="178" t="s">
        <v>68</v>
      </c>
      <c r="J269" s="486">
        <v>308158149630</v>
      </c>
      <c r="K269" s="473">
        <v>46038</v>
      </c>
      <c r="L269" s="179" t="s">
        <v>525</v>
      </c>
      <c r="M269" s="179" t="s">
        <v>522</v>
      </c>
      <c r="N269" s="180">
        <v>974839</v>
      </c>
      <c r="O269" s="181">
        <v>46039</v>
      </c>
      <c r="P269" s="182" t="s">
        <v>523</v>
      </c>
      <c r="Q269" s="183">
        <v>500</v>
      </c>
      <c r="R269" s="178" t="s">
        <v>797</v>
      </c>
    </row>
    <row r="270" spans="6:18" ht="33.75" thickBot="1">
      <c r="F270" s="193">
        <v>64</v>
      </c>
      <c r="G270" s="184" t="s">
        <v>520</v>
      </c>
      <c r="H270" s="184" t="s">
        <v>520</v>
      </c>
      <c r="I270" s="184" t="s">
        <v>68</v>
      </c>
      <c r="J270" s="195">
        <v>308158082910</v>
      </c>
      <c r="K270" s="472">
        <v>46038</v>
      </c>
      <c r="L270" s="185" t="s">
        <v>525</v>
      </c>
      <c r="M270" s="185" t="s">
        <v>522</v>
      </c>
      <c r="N270" s="186">
        <v>974692</v>
      </c>
      <c r="O270" s="187">
        <v>46039</v>
      </c>
      <c r="P270" s="188" t="s">
        <v>523</v>
      </c>
      <c r="Q270" s="189">
        <v>500</v>
      </c>
      <c r="R270" s="184" t="s">
        <v>798</v>
      </c>
    </row>
    <row r="271" spans="6:18" ht="33.75" thickBot="1">
      <c r="F271" s="192">
        <v>65</v>
      </c>
      <c r="G271" s="178" t="s">
        <v>520</v>
      </c>
      <c r="H271" s="178" t="s">
        <v>520</v>
      </c>
      <c r="I271" s="178" t="s">
        <v>68</v>
      </c>
      <c r="J271" s="486">
        <v>308153812650</v>
      </c>
      <c r="K271" s="473">
        <v>46038</v>
      </c>
      <c r="L271" s="179" t="s">
        <v>525</v>
      </c>
      <c r="M271" s="179" t="s">
        <v>526</v>
      </c>
      <c r="N271" s="180">
        <v>613288</v>
      </c>
      <c r="O271" s="181">
        <v>46038</v>
      </c>
      <c r="P271" s="182" t="s">
        <v>523</v>
      </c>
      <c r="Q271" s="183">
        <v>500</v>
      </c>
      <c r="R271" s="178" t="s">
        <v>799</v>
      </c>
    </row>
    <row r="272" spans="6:18" ht="33.75" thickBot="1">
      <c r="F272" s="193">
        <v>66</v>
      </c>
      <c r="G272" s="184" t="s">
        <v>520</v>
      </c>
      <c r="H272" s="184" t="s">
        <v>520</v>
      </c>
      <c r="I272" s="184" t="s">
        <v>68</v>
      </c>
      <c r="J272" s="195">
        <v>308152929360</v>
      </c>
      <c r="K272" s="472">
        <v>46038</v>
      </c>
      <c r="L272" s="185" t="s">
        <v>525</v>
      </c>
      <c r="M272" s="185" t="s">
        <v>526</v>
      </c>
      <c r="N272" s="186">
        <v>613287</v>
      </c>
      <c r="O272" s="187">
        <v>46038</v>
      </c>
      <c r="P272" s="188" t="s">
        <v>523</v>
      </c>
      <c r="Q272" s="189">
        <v>500</v>
      </c>
      <c r="R272" s="184" t="s">
        <v>800</v>
      </c>
    </row>
    <row r="273" spans="6:18" ht="33.75" thickBot="1">
      <c r="F273" s="192">
        <v>67</v>
      </c>
      <c r="G273" s="178" t="s">
        <v>520</v>
      </c>
      <c r="H273" s="178" t="s">
        <v>520</v>
      </c>
      <c r="I273" s="178" t="s">
        <v>68</v>
      </c>
      <c r="J273" s="486">
        <v>308148840920</v>
      </c>
      <c r="K273" s="473">
        <v>46037</v>
      </c>
      <c r="L273" s="179" t="s">
        <v>525</v>
      </c>
      <c r="M273" s="179" t="s">
        <v>526</v>
      </c>
      <c r="N273" s="180">
        <v>613278</v>
      </c>
      <c r="O273" s="181">
        <v>46038</v>
      </c>
      <c r="P273" s="182" t="s">
        <v>523</v>
      </c>
      <c r="Q273" s="183">
        <v>500</v>
      </c>
      <c r="R273" s="178" t="s">
        <v>801</v>
      </c>
    </row>
    <row r="274" spans="6:18" ht="33.75" thickBot="1">
      <c r="F274" s="193">
        <v>68</v>
      </c>
      <c r="G274" s="184" t="s">
        <v>520</v>
      </c>
      <c r="H274" s="184" t="s">
        <v>520</v>
      </c>
      <c r="I274" s="184" t="s">
        <v>68</v>
      </c>
      <c r="J274" s="195">
        <v>308153848500</v>
      </c>
      <c r="K274" s="472">
        <v>46038</v>
      </c>
      <c r="L274" s="185" t="s">
        <v>525</v>
      </c>
      <c r="M274" s="185" t="s">
        <v>526</v>
      </c>
      <c r="N274" s="186">
        <v>613275</v>
      </c>
      <c r="O274" s="187">
        <v>46038</v>
      </c>
      <c r="P274" s="188" t="s">
        <v>523</v>
      </c>
      <c r="Q274" s="189">
        <v>250</v>
      </c>
      <c r="R274" s="184" t="s">
        <v>802</v>
      </c>
    </row>
    <row r="275" spans="6:18" ht="33.75" thickBot="1">
      <c r="F275" s="192">
        <v>69</v>
      </c>
      <c r="G275" s="178" t="s">
        <v>520</v>
      </c>
      <c r="H275" s="178" t="s">
        <v>520</v>
      </c>
      <c r="I275" s="178" t="s">
        <v>68</v>
      </c>
      <c r="J275" s="486">
        <v>308153769620</v>
      </c>
      <c r="K275" s="473">
        <v>46038</v>
      </c>
      <c r="L275" s="179" t="s">
        <v>525</v>
      </c>
      <c r="M275" s="179" t="s">
        <v>526</v>
      </c>
      <c r="N275" s="180">
        <v>613272</v>
      </c>
      <c r="O275" s="181">
        <v>46038</v>
      </c>
      <c r="P275" s="182" t="s">
        <v>523</v>
      </c>
      <c r="Q275" s="183">
        <v>500</v>
      </c>
      <c r="R275" s="178" t="s">
        <v>803</v>
      </c>
    </row>
    <row r="276" spans="6:18" ht="33.75" thickBot="1">
      <c r="F276" s="193">
        <v>70</v>
      </c>
      <c r="G276" s="184" t="s">
        <v>520</v>
      </c>
      <c r="H276" s="184" t="s">
        <v>520</v>
      </c>
      <c r="I276" s="184" t="s">
        <v>68</v>
      </c>
      <c r="J276" s="195">
        <v>308154078210</v>
      </c>
      <c r="K276" s="472">
        <v>46038</v>
      </c>
      <c r="L276" s="185" t="s">
        <v>525</v>
      </c>
      <c r="M276" s="185" t="s">
        <v>522</v>
      </c>
      <c r="N276" s="186">
        <v>971210</v>
      </c>
      <c r="O276" s="187">
        <v>46038</v>
      </c>
      <c r="P276" s="188" t="s">
        <v>523</v>
      </c>
      <c r="Q276" s="189">
        <v>500</v>
      </c>
      <c r="R276" s="184" t="s">
        <v>804</v>
      </c>
    </row>
    <row r="277" spans="6:18" ht="33.75" thickBot="1">
      <c r="F277" s="192">
        <v>71</v>
      </c>
      <c r="G277" s="178" t="s">
        <v>520</v>
      </c>
      <c r="H277" s="178" t="s">
        <v>520</v>
      </c>
      <c r="I277" s="178" t="s">
        <v>68</v>
      </c>
      <c r="J277" s="486">
        <v>308153918830</v>
      </c>
      <c r="K277" s="473">
        <v>46038</v>
      </c>
      <c r="L277" s="179" t="s">
        <v>525</v>
      </c>
      <c r="M277" s="179" t="s">
        <v>522</v>
      </c>
      <c r="N277" s="180">
        <v>971196</v>
      </c>
      <c r="O277" s="181">
        <v>46038</v>
      </c>
      <c r="P277" s="182" t="s">
        <v>523</v>
      </c>
      <c r="Q277" s="183">
        <v>500</v>
      </c>
      <c r="R277" s="178" t="s">
        <v>805</v>
      </c>
    </row>
    <row r="278" spans="6:18" ht="33.75" thickBot="1">
      <c r="F278" s="193">
        <v>72</v>
      </c>
      <c r="G278" s="184" t="s">
        <v>520</v>
      </c>
      <c r="H278" s="184" t="s">
        <v>520</v>
      </c>
      <c r="I278" s="184" t="s">
        <v>68</v>
      </c>
      <c r="J278" s="195">
        <v>308149826630</v>
      </c>
      <c r="K278" s="472">
        <v>46037</v>
      </c>
      <c r="L278" s="185" t="s">
        <v>525</v>
      </c>
      <c r="M278" s="185" t="s">
        <v>522</v>
      </c>
      <c r="N278" s="186">
        <v>971182</v>
      </c>
      <c r="O278" s="187">
        <v>46038</v>
      </c>
      <c r="P278" s="188" t="s">
        <v>523</v>
      </c>
      <c r="Q278" s="189">
        <v>500</v>
      </c>
      <c r="R278" s="184" t="s">
        <v>806</v>
      </c>
    </row>
    <row r="279" spans="6:18" ht="33.75" thickBot="1">
      <c r="F279" s="192">
        <v>73</v>
      </c>
      <c r="G279" s="178" t="s">
        <v>520</v>
      </c>
      <c r="H279" s="178" t="s">
        <v>520</v>
      </c>
      <c r="I279" s="178" t="s">
        <v>68</v>
      </c>
      <c r="J279" s="486">
        <v>308149683350</v>
      </c>
      <c r="K279" s="473">
        <v>46036</v>
      </c>
      <c r="L279" s="179" t="s">
        <v>525</v>
      </c>
      <c r="M279" s="179" t="s">
        <v>522</v>
      </c>
      <c r="N279" s="180">
        <v>970902</v>
      </c>
      <c r="O279" s="181">
        <v>46038</v>
      </c>
      <c r="P279" s="182" t="s">
        <v>523</v>
      </c>
      <c r="Q279" s="183">
        <v>500</v>
      </c>
      <c r="R279" s="178" t="s">
        <v>807</v>
      </c>
    </row>
    <row r="280" spans="6:18" ht="33.75" thickBot="1">
      <c r="F280" s="193">
        <v>74</v>
      </c>
      <c r="G280" s="184" t="s">
        <v>520</v>
      </c>
      <c r="H280" s="184" t="s">
        <v>520</v>
      </c>
      <c r="I280" s="184" t="s">
        <v>68</v>
      </c>
      <c r="J280" s="195">
        <v>308149731060</v>
      </c>
      <c r="K280" s="472">
        <v>46037</v>
      </c>
      <c r="L280" s="185" t="s">
        <v>525</v>
      </c>
      <c r="M280" s="185" t="s">
        <v>522</v>
      </c>
      <c r="N280" s="186">
        <v>970884</v>
      </c>
      <c r="O280" s="187">
        <v>46038</v>
      </c>
      <c r="P280" s="188" t="s">
        <v>523</v>
      </c>
      <c r="Q280" s="189">
        <v>500</v>
      </c>
      <c r="R280" s="184" t="s">
        <v>808</v>
      </c>
    </row>
    <row r="281" spans="6:18" ht="33.75" thickBot="1">
      <c r="F281" s="192">
        <v>75</v>
      </c>
      <c r="G281" s="178" t="s">
        <v>520</v>
      </c>
      <c r="H281" s="178" t="s">
        <v>520</v>
      </c>
      <c r="I281" s="178" t="s">
        <v>68</v>
      </c>
      <c r="J281" s="486">
        <v>308149628640</v>
      </c>
      <c r="K281" s="473">
        <v>46036</v>
      </c>
      <c r="L281" s="179" t="s">
        <v>525</v>
      </c>
      <c r="M281" s="179" t="s">
        <v>522</v>
      </c>
      <c r="N281" s="180">
        <v>970883</v>
      </c>
      <c r="O281" s="181">
        <v>46038</v>
      </c>
      <c r="P281" s="182" t="s">
        <v>523</v>
      </c>
      <c r="Q281" s="183">
        <v>500</v>
      </c>
      <c r="R281" s="178" t="s">
        <v>809</v>
      </c>
    </row>
    <row r="282" spans="6:18" ht="33.75" thickBot="1">
      <c r="F282" s="193">
        <v>76</v>
      </c>
      <c r="G282" s="184" t="s">
        <v>520</v>
      </c>
      <c r="H282" s="184" t="s">
        <v>520</v>
      </c>
      <c r="I282" s="184" t="s">
        <v>68</v>
      </c>
      <c r="J282" s="195">
        <v>308149766800</v>
      </c>
      <c r="K282" s="472">
        <v>46037</v>
      </c>
      <c r="L282" s="185" t="s">
        <v>525</v>
      </c>
      <c r="M282" s="185" t="s">
        <v>522</v>
      </c>
      <c r="N282" s="186">
        <v>970879</v>
      </c>
      <c r="O282" s="187">
        <v>46038</v>
      </c>
      <c r="P282" s="188" t="s">
        <v>523</v>
      </c>
      <c r="Q282" s="189">
        <v>500</v>
      </c>
      <c r="R282" s="184" t="s">
        <v>810</v>
      </c>
    </row>
    <row r="283" spans="6:18" ht="33.75" thickBot="1">
      <c r="F283" s="192">
        <v>77</v>
      </c>
      <c r="G283" s="178" t="s">
        <v>520</v>
      </c>
      <c r="H283" s="178" t="s">
        <v>520</v>
      </c>
      <c r="I283" s="178" t="s">
        <v>68</v>
      </c>
      <c r="J283" s="486">
        <v>107892277840</v>
      </c>
      <c r="K283" s="473">
        <v>46037</v>
      </c>
      <c r="L283" s="179" t="s">
        <v>521</v>
      </c>
      <c r="M283" s="179" t="s">
        <v>522</v>
      </c>
      <c r="N283" s="180">
        <v>970125</v>
      </c>
      <c r="O283" s="181">
        <v>46038</v>
      </c>
      <c r="P283" s="182" t="s">
        <v>523</v>
      </c>
      <c r="Q283" s="183">
        <v>500</v>
      </c>
      <c r="R283" s="178" t="s">
        <v>811</v>
      </c>
    </row>
    <row r="284" spans="6:18" ht="33.75" thickBot="1">
      <c r="F284" s="193">
        <v>78</v>
      </c>
      <c r="G284" s="184" t="s">
        <v>520</v>
      </c>
      <c r="H284" s="184" t="s">
        <v>520</v>
      </c>
      <c r="I284" s="184" t="s">
        <v>68</v>
      </c>
      <c r="J284" s="195">
        <v>308150053060</v>
      </c>
      <c r="K284" s="472">
        <v>46037</v>
      </c>
      <c r="L284" s="185" t="s">
        <v>525</v>
      </c>
      <c r="M284" s="185" t="s">
        <v>522</v>
      </c>
      <c r="N284" s="186">
        <v>968814</v>
      </c>
      <c r="O284" s="187">
        <v>46037</v>
      </c>
      <c r="P284" s="188" t="s">
        <v>523</v>
      </c>
      <c r="Q284" s="189">
        <v>500</v>
      </c>
      <c r="R284" s="184" t="s">
        <v>812</v>
      </c>
    </row>
    <row r="285" spans="6:18" ht="33.75" thickBot="1">
      <c r="F285" s="192">
        <v>79</v>
      </c>
      <c r="G285" s="178" t="s">
        <v>520</v>
      </c>
      <c r="H285" s="178" t="s">
        <v>520</v>
      </c>
      <c r="I285" s="178" t="s">
        <v>68</v>
      </c>
      <c r="J285" s="486">
        <v>308144860130</v>
      </c>
      <c r="K285" s="473">
        <v>46036</v>
      </c>
      <c r="L285" s="179" t="s">
        <v>525</v>
      </c>
      <c r="M285" s="179" t="s">
        <v>522</v>
      </c>
      <c r="N285" s="180">
        <v>966059</v>
      </c>
      <c r="O285" s="181">
        <v>46037</v>
      </c>
      <c r="P285" s="182" t="s">
        <v>523</v>
      </c>
      <c r="Q285" s="183">
        <v>250</v>
      </c>
      <c r="R285" s="178" t="s">
        <v>813</v>
      </c>
    </row>
    <row r="286" spans="6:18" ht="33.75" thickBot="1">
      <c r="F286" s="193">
        <v>80</v>
      </c>
      <c r="G286" s="184" t="s">
        <v>520</v>
      </c>
      <c r="H286" s="184" t="s">
        <v>520</v>
      </c>
      <c r="I286" s="184" t="s">
        <v>68</v>
      </c>
      <c r="J286" s="195">
        <v>308144845320</v>
      </c>
      <c r="K286" s="472">
        <v>46036</v>
      </c>
      <c r="L286" s="185" t="s">
        <v>525</v>
      </c>
      <c r="M286" s="185" t="s">
        <v>522</v>
      </c>
      <c r="N286" s="186">
        <v>966050</v>
      </c>
      <c r="O286" s="187">
        <v>46037</v>
      </c>
      <c r="P286" s="188" t="s">
        <v>523</v>
      </c>
      <c r="Q286" s="189">
        <v>250</v>
      </c>
      <c r="R286" s="184" t="s">
        <v>814</v>
      </c>
    </row>
    <row r="287" spans="6:18" ht="33.75" thickBot="1">
      <c r="F287" s="192">
        <v>81</v>
      </c>
      <c r="G287" s="178" t="s">
        <v>520</v>
      </c>
      <c r="H287" s="178" t="s">
        <v>520</v>
      </c>
      <c r="I287" s="178" t="s">
        <v>68</v>
      </c>
      <c r="J287" s="486">
        <v>308144850000</v>
      </c>
      <c r="K287" s="473">
        <v>46035</v>
      </c>
      <c r="L287" s="179" t="s">
        <v>525</v>
      </c>
      <c r="M287" s="179" t="s">
        <v>522</v>
      </c>
      <c r="N287" s="180">
        <v>966041</v>
      </c>
      <c r="O287" s="181">
        <v>46037</v>
      </c>
      <c r="P287" s="182" t="s">
        <v>523</v>
      </c>
      <c r="Q287" s="183">
        <v>500</v>
      </c>
      <c r="R287" s="178" t="s">
        <v>815</v>
      </c>
    </row>
    <row r="288" spans="6:18" ht="33.75" thickBot="1">
      <c r="F288" s="193">
        <v>82</v>
      </c>
      <c r="G288" s="184" t="s">
        <v>520</v>
      </c>
      <c r="H288" s="184" t="s">
        <v>520</v>
      </c>
      <c r="I288" s="184" t="s">
        <v>68</v>
      </c>
      <c r="J288" s="195">
        <v>308144855120</v>
      </c>
      <c r="K288" s="472">
        <v>46035</v>
      </c>
      <c r="L288" s="185" t="s">
        <v>525</v>
      </c>
      <c r="M288" s="185" t="s">
        <v>522</v>
      </c>
      <c r="N288" s="186">
        <v>966030</v>
      </c>
      <c r="O288" s="187">
        <v>46037</v>
      </c>
      <c r="P288" s="188" t="s">
        <v>523</v>
      </c>
      <c r="Q288" s="189">
        <v>500</v>
      </c>
      <c r="R288" s="184" t="s">
        <v>816</v>
      </c>
    </row>
    <row r="289" spans="5:18" ht="33.75" thickBot="1">
      <c r="F289" s="192">
        <v>83</v>
      </c>
      <c r="G289" s="178" t="s">
        <v>520</v>
      </c>
      <c r="H289" s="178" t="s">
        <v>520</v>
      </c>
      <c r="I289" s="178" t="s">
        <v>68</v>
      </c>
      <c r="J289" s="486">
        <v>308144833200</v>
      </c>
      <c r="K289" s="473">
        <v>46035</v>
      </c>
      <c r="L289" s="179" t="s">
        <v>525</v>
      </c>
      <c r="M289" s="179" t="s">
        <v>522</v>
      </c>
      <c r="N289" s="180">
        <v>966026</v>
      </c>
      <c r="O289" s="181">
        <v>46037</v>
      </c>
      <c r="P289" s="182" t="s">
        <v>523</v>
      </c>
      <c r="Q289" s="183">
        <v>500</v>
      </c>
      <c r="R289" s="178" t="s">
        <v>817</v>
      </c>
    </row>
    <row r="290" spans="5:18" ht="33.75" thickBot="1">
      <c r="F290" s="193">
        <v>84</v>
      </c>
      <c r="G290" s="184" t="s">
        <v>520</v>
      </c>
      <c r="H290" s="184" t="s">
        <v>520</v>
      </c>
      <c r="I290" s="184" t="s">
        <v>68</v>
      </c>
      <c r="J290" s="195">
        <v>308144863850</v>
      </c>
      <c r="K290" s="472">
        <v>46036</v>
      </c>
      <c r="L290" s="185" t="s">
        <v>525</v>
      </c>
      <c r="M290" s="185" t="s">
        <v>526</v>
      </c>
      <c r="N290" s="186">
        <v>611041</v>
      </c>
      <c r="O290" s="187">
        <v>46037</v>
      </c>
      <c r="P290" s="188" t="s">
        <v>523</v>
      </c>
      <c r="Q290" s="189">
        <v>500</v>
      </c>
      <c r="R290" s="184" t="s">
        <v>818</v>
      </c>
    </row>
    <row r="291" spans="5:18" ht="33.75" thickBot="1">
      <c r="F291" s="192">
        <v>85</v>
      </c>
      <c r="G291" s="178" t="s">
        <v>520</v>
      </c>
      <c r="H291" s="178" t="s">
        <v>520</v>
      </c>
      <c r="I291" s="178" t="s">
        <v>68</v>
      </c>
      <c r="J291" s="486">
        <v>308149996360</v>
      </c>
      <c r="K291" s="473">
        <v>46037</v>
      </c>
      <c r="L291" s="179" t="s">
        <v>525</v>
      </c>
      <c r="M291" s="179" t="s">
        <v>522</v>
      </c>
      <c r="N291" s="180">
        <v>964630</v>
      </c>
      <c r="O291" s="181">
        <v>46037</v>
      </c>
      <c r="P291" s="182" t="s">
        <v>523</v>
      </c>
      <c r="Q291" s="183">
        <v>500</v>
      </c>
      <c r="R291" s="178" t="s">
        <v>819</v>
      </c>
    </row>
    <row r="292" spans="5:18" ht="33.75" thickBot="1">
      <c r="F292" s="193">
        <v>86</v>
      </c>
      <c r="G292" s="184" t="s">
        <v>520</v>
      </c>
      <c r="H292" s="184" t="s">
        <v>520</v>
      </c>
      <c r="I292" s="184" t="s">
        <v>68</v>
      </c>
      <c r="J292" s="195">
        <v>308144804610</v>
      </c>
      <c r="K292" s="472">
        <v>46035</v>
      </c>
      <c r="L292" s="185" t="s">
        <v>525</v>
      </c>
      <c r="M292" s="185" t="s">
        <v>526</v>
      </c>
      <c r="N292" s="186">
        <v>609583</v>
      </c>
      <c r="O292" s="187">
        <v>46036</v>
      </c>
      <c r="P292" s="188" t="s">
        <v>523</v>
      </c>
      <c r="Q292" s="189">
        <v>500</v>
      </c>
      <c r="R292" s="184" t="s">
        <v>820</v>
      </c>
    </row>
    <row r="293" spans="5:18" ht="33.75" thickBot="1">
      <c r="F293" s="192">
        <v>87</v>
      </c>
      <c r="G293" s="178" t="s">
        <v>520</v>
      </c>
      <c r="H293" s="178" t="s">
        <v>520</v>
      </c>
      <c r="I293" s="178" t="s">
        <v>68</v>
      </c>
      <c r="J293" s="486">
        <v>308144702630</v>
      </c>
      <c r="K293" s="473">
        <v>46035</v>
      </c>
      <c r="L293" s="179" t="s">
        <v>525</v>
      </c>
      <c r="M293" s="179" t="s">
        <v>526</v>
      </c>
      <c r="N293" s="180">
        <v>609581</v>
      </c>
      <c r="O293" s="181">
        <v>46036</v>
      </c>
      <c r="P293" s="182" t="s">
        <v>523</v>
      </c>
      <c r="Q293" s="183">
        <v>500</v>
      </c>
      <c r="R293" s="178" t="s">
        <v>821</v>
      </c>
    </row>
    <row r="294" spans="5:18" ht="33.75" thickBot="1">
      <c r="F294" s="193">
        <v>88</v>
      </c>
      <c r="G294" s="184" t="s">
        <v>520</v>
      </c>
      <c r="H294" s="184" t="s">
        <v>520</v>
      </c>
      <c r="I294" s="184" t="s">
        <v>68</v>
      </c>
      <c r="J294" s="195">
        <v>308144815660</v>
      </c>
      <c r="K294" s="472">
        <v>46036</v>
      </c>
      <c r="L294" s="185" t="s">
        <v>525</v>
      </c>
      <c r="M294" s="185" t="s">
        <v>526</v>
      </c>
      <c r="N294" s="186">
        <v>609580</v>
      </c>
      <c r="O294" s="187">
        <v>46036</v>
      </c>
      <c r="P294" s="188" t="s">
        <v>523</v>
      </c>
      <c r="Q294" s="189">
        <v>500</v>
      </c>
      <c r="R294" s="184" t="s">
        <v>822</v>
      </c>
    </row>
    <row r="295" spans="5:18" ht="33.75" thickBot="1">
      <c r="F295" s="192">
        <v>89</v>
      </c>
      <c r="G295" s="178" t="s">
        <v>520</v>
      </c>
      <c r="H295" s="178" t="s">
        <v>520</v>
      </c>
      <c r="I295" s="178" t="s">
        <v>68</v>
      </c>
      <c r="J295" s="486">
        <v>308144798160</v>
      </c>
      <c r="K295" s="473">
        <v>46035</v>
      </c>
      <c r="L295" s="179" t="s">
        <v>525</v>
      </c>
      <c r="M295" s="179" t="s">
        <v>526</v>
      </c>
      <c r="N295" s="180">
        <v>609575</v>
      </c>
      <c r="O295" s="181">
        <v>46036</v>
      </c>
      <c r="P295" s="182" t="s">
        <v>523</v>
      </c>
      <c r="Q295" s="183">
        <v>500</v>
      </c>
      <c r="R295" s="178" t="s">
        <v>823</v>
      </c>
    </row>
    <row r="296" spans="5:18" ht="33.75" thickBot="1">
      <c r="F296" s="193">
        <v>90</v>
      </c>
      <c r="G296" s="184" t="s">
        <v>520</v>
      </c>
      <c r="H296" s="184" t="s">
        <v>520</v>
      </c>
      <c r="I296" s="184" t="s">
        <v>68</v>
      </c>
      <c r="J296" s="195">
        <v>107875224660</v>
      </c>
      <c r="K296" s="472">
        <v>46035</v>
      </c>
      <c r="L296" s="185" t="s">
        <v>521</v>
      </c>
      <c r="M296" s="185" t="s">
        <v>526</v>
      </c>
      <c r="N296" s="186">
        <v>609565</v>
      </c>
      <c r="O296" s="187">
        <v>46036</v>
      </c>
      <c r="P296" s="188" t="s">
        <v>523</v>
      </c>
      <c r="Q296" s="189">
        <v>250</v>
      </c>
      <c r="R296" s="184" t="s">
        <v>824</v>
      </c>
    </row>
    <row r="297" spans="5:18" ht="33.75" thickBot="1">
      <c r="F297" s="192">
        <v>91</v>
      </c>
      <c r="G297" s="178" t="s">
        <v>520</v>
      </c>
      <c r="H297" s="178" t="s">
        <v>520</v>
      </c>
      <c r="I297" s="178" t="s">
        <v>68</v>
      </c>
      <c r="J297" s="486">
        <v>107862462740</v>
      </c>
      <c r="K297" s="473">
        <v>46027</v>
      </c>
      <c r="L297" s="179" t="s">
        <v>521</v>
      </c>
      <c r="M297" s="179" t="s">
        <v>522</v>
      </c>
      <c r="N297" s="180">
        <v>961052</v>
      </c>
      <c r="O297" s="181">
        <v>46036</v>
      </c>
      <c r="P297" s="182" t="s">
        <v>523</v>
      </c>
      <c r="Q297" s="183">
        <v>24.398</v>
      </c>
      <c r="R297" s="178" t="s">
        <v>825</v>
      </c>
    </row>
    <row r="298" spans="5:18" ht="33.75" thickBot="1">
      <c r="F298" s="193">
        <v>92</v>
      </c>
      <c r="G298" s="184" t="s">
        <v>520</v>
      </c>
      <c r="H298" s="184" t="s">
        <v>520</v>
      </c>
      <c r="I298" s="184" t="s">
        <v>68</v>
      </c>
      <c r="J298" s="195">
        <v>308144873910</v>
      </c>
      <c r="K298" s="472">
        <v>46036</v>
      </c>
      <c r="L298" s="185" t="s">
        <v>525</v>
      </c>
      <c r="M298" s="185" t="s">
        <v>522</v>
      </c>
      <c r="N298" s="186">
        <v>961047</v>
      </c>
      <c r="O298" s="187">
        <v>46036</v>
      </c>
      <c r="P298" s="188" t="s">
        <v>523</v>
      </c>
      <c r="Q298" s="189">
        <v>500</v>
      </c>
      <c r="R298" s="184" t="s">
        <v>826</v>
      </c>
    </row>
    <row r="299" spans="5:18" ht="33.75" thickBot="1">
      <c r="F299" s="192">
        <v>93</v>
      </c>
      <c r="G299" s="178" t="s">
        <v>520</v>
      </c>
      <c r="H299" s="178" t="s">
        <v>520</v>
      </c>
      <c r="I299" s="178" t="s">
        <v>68</v>
      </c>
      <c r="J299" s="486">
        <v>308144878330</v>
      </c>
      <c r="K299" s="473">
        <v>46036</v>
      </c>
      <c r="L299" s="179" t="s">
        <v>525</v>
      </c>
      <c r="M299" s="179" t="s">
        <v>526</v>
      </c>
      <c r="N299" s="180">
        <v>608986</v>
      </c>
      <c r="O299" s="181">
        <v>46036</v>
      </c>
      <c r="P299" s="182" t="s">
        <v>523</v>
      </c>
      <c r="Q299" s="183">
        <v>500</v>
      </c>
      <c r="R299" s="178" t="s">
        <v>827</v>
      </c>
    </row>
    <row r="300" spans="5:18" ht="33.75" thickBot="1">
      <c r="F300" s="193">
        <v>94</v>
      </c>
      <c r="G300" s="184" t="s">
        <v>520</v>
      </c>
      <c r="H300" s="184" t="s">
        <v>520</v>
      </c>
      <c r="I300" s="184" t="s">
        <v>68</v>
      </c>
      <c r="J300" s="195">
        <v>308140389450</v>
      </c>
      <c r="K300" s="472">
        <v>46034</v>
      </c>
      <c r="L300" s="185" t="s">
        <v>525</v>
      </c>
      <c r="M300" s="185" t="s">
        <v>522</v>
      </c>
      <c r="N300" s="186">
        <v>960143</v>
      </c>
      <c r="O300" s="187">
        <v>46036</v>
      </c>
      <c r="P300" s="188" t="s">
        <v>523</v>
      </c>
      <c r="Q300" s="189">
        <v>500</v>
      </c>
      <c r="R300" s="184" t="s">
        <v>828</v>
      </c>
    </row>
    <row r="301" spans="5:18" ht="33.75" thickBot="1">
      <c r="F301" s="192">
        <v>95</v>
      </c>
      <c r="G301" s="178" t="s">
        <v>520</v>
      </c>
      <c r="H301" s="178" t="s">
        <v>520</v>
      </c>
      <c r="I301" s="178" t="s">
        <v>68</v>
      </c>
      <c r="J301" s="486">
        <v>308144867940</v>
      </c>
      <c r="K301" s="473">
        <v>46035</v>
      </c>
      <c r="L301" s="179" t="s">
        <v>525</v>
      </c>
      <c r="M301" s="179" t="s">
        <v>526</v>
      </c>
      <c r="N301" s="180">
        <v>608985</v>
      </c>
      <c r="O301" s="181">
        <v>46036</v>
      </c>
      <c r="P301" s="182" t="s">
        <v>523</v>
      </c>
      <c r="Q301" s="183">
        <v>500</v>
      </c>
      <c r="R301" s="178" t="s">
        <v>829</v>
      </c>
    </row>
    <row r="302" spans="5:18" ht="50.25" thickBot="1">
      <c r="F302" s="190" t="s">
        <v>9</v>
      </c>
      <c r="G302" s="191" t="s">
        <v>66</v>
      </c>
      <c r="H302" s="191" t="s">
        <v>67</v>
      </c>
      <c r="I302" s="191" t="s">
        <v>68</v>
      </c>
      <c r="J302" s="194" t="s">
        <v>69</v>
      </c>
      <c r="K302" s="191" t="s">
        <v>70</v>
      </c>
      <c r="L302" s="191" t="s">
        <v>71</v>
      </c>
      <c r="M302" s="191" t="s">
        <v>72</v>
      </c>
      <c r="N302" s="191" t="s">
        <v>73</v>
      </c>
      <c r="O302" s="191" t="s">
        <v>74</v>
      </c>
      <c r="P302" s="191" t="s">
        <v>75</v>
      </c>
      <c r="Q302" s="191" t="s">
        <v>76</v>
      </c>
      <c r="R302" s="191" t="s">
        <v>77</v>
      </c>
    </row>
    <row r="303" spans="5:18" ht="33.75" thickBot="1">
      <c r="F303" s="192">
        <v>1</v>
      </c>
      <c r="G303" s="178" t="s">
        <v>520</v>
      </c>
      <c r="H303" s="178" t="s">
        <v>520</v>
      </c>
      <c r="I303" s="178" t="s">
        <v>68</v>
      </c>
      <c r="J303" s="486">
        <v>308252174810</v>
      </c>
      <c r="K303" s="473">
        <v>46064</v>
      </c>
      <c r="L303" s="179" t="s">
        <v>525</v>
      </c>
      <c r="M303" s="179" t="s">
        <v>526</v>
      </c>
      <c r="N303" s="180">
        <v>652790</v>
      </c>
      <c r="O303" s="181">
        <v>46064</v>
      </c>
      <c r="P303" s="182" t="s">
        <v>523</v>
      </c>
      <c r="Q303" s="183">
        <v>500</v>
      </c>
      <c r="R303" s="178" t="s">
        <v>888</v>
      </c>
    </row>
    <row r="304" spans="5:18" ht="33.75" thickBot="1">
      <c r="E304">
        <v>4</v>
      </c>
      <c r="F304" s="193">
        <v>2</v>
      </c>
      <c r="G304" s="184" t="s">
        <v>520</v>
      </c>
      <c r="H304" s="184" t="s">
        <v>520</v>
      </c>
      <c r="I304" s="184" t="s">
        <v>68</v>
      </c>
      <c r="J304" s="195">
        <v>308247417020</v>
      </c>
      <c r="K304" s="472">
        <v>46064</v>
      </c>
      <c r="L304" s="185" t="s">
        <v>525</v>
      </c>
      <c r="M304" s="185" t="s">
        <v>526</v>
      </c>
      <c r="N304" s="186">
        <v>652787</v>
      </c>
      <c r="O304" s="187">
        <v>46064</v>
      </c>
      <c r="P304" s="188" t="s">
        <v>523</v>
      </c>
      <c r="Q304" s="189">
        <v>250</v>
      </c>
      <c r="R304" s="184" t="s">
        <v>889</v>
      </c>
    </row>
    <row r="305" spans="6:18" ht="33.75" thickBot="1">
      <c r="F305" s="192">
        <v>3</v>
      </c>
      <c r="G305" s="178" t="s">
        <v>520</v>
      </c>
      <c r="H305" s="178" t="s">
        <v>520</v>
      </c>
      <c r="I305" s="178" t="s">
        <v>68</v>
      </c>
      <c r="J305" s="486">
        <v>107979473930</v>
      </c>
      <c r="K305" s="473">
        <v>46063</v>
      </c>
      <c r="L305" s="179" t="s">
        <v>521</v>
      </c>
      <c r="M305" s="179" t="s">
        <v>526</v>
      </c>
      <c r="N305" s="180">
        <v>652786</v>
      </c>
      <c r="O305" s="181">
        <v>46064</v>
      </c>
      <c r="P305" s="182" t="s">
        <v>523</v>
      </c>
      <c r="Q305" s="183" t="s">
        <v>692</v>
      </c>
      <c r="R305" s="178" t="s">
        <v>890</v>
      </c>
    </row>
    <row r="306" spans="6:18" ht="33.75" thickBot="1">
      <c r="F306" s="193">
        <v>4</v>
      </c>
      <c r="G306" s="184" t="s">
        <v>520</v>
      </c>
      <c r="H306" s="184" t="s">
        <v>520</v>
      </c>
      <c r="I306" s="184" t="s">
        <v>68</v>
      </c>
      <c r="J306" s="195">
        <v>308247339210</v>
      </c>
      <c r="K306" s="472">
        <v>46063</v>
      </c>
      <c r="L306" s="185" t="s">
        <v>525</v>
      </c>
      <c r="M306" s="185" t="s">
        <v>526</v>
      </c>
      <c r="N306" s="186">
        <v>652781</v>
      </c>
      <c r="O306" s="187">
        <v>46064</v>
      </c>
      <c r="P306" s="188" t="s">
        <v>523</v>
      </c>
      <c r="Q306" s="189">
        <v>500</v>
      </c>
      <c r="R306" s="184" t="s">
        <v>891</v>
      </c>
    </row>
    <row r="307" spans="6:18" ht="33.75" thickBot="1">
      <c r="F307" s="192">
        <v>5</v>
      </c>
      <c r="G307" s="178" t="s">
        <v>520</v>
      </c>
      <c r="H307" s="178" t="s">
        <v>520</v>
      </c>
      <c r="I307" s="178" t="s">
        <v>68</v>
      </c>
      <c r="J307" s="486">
        <v>308240536830</v>
      </c>
      <c r="K307" s="473">
        <v>46063</v>
      </c>
      <c r="L307" s="179" t="s">
        <v>525</v>
      </c>
      <c r="M307" s="179" t="s">
        <v>526</v>
      </c>
      <c r="N307" s="180">
        <v>652780</v>
      </c>
      <c r="O307" s="181">
        <v>46064</v>
      </c>
      <c r="P307" s="182" t="s">
        <v>523</v>
      </c>
      <c r="Q307" s="183">
        <v>500</v>
      </c>
      <c r="R307" s="178" t="s">
        <v>892</v>
      </c>
    </row>
    <row r="308" spans="6:18" ht="33.75" thickBot="1">
      <c r="F308" s="193">
        <v>6</v>
      </c>
      <c r="G308" s="184" t="s">
        <v>520</v>
      </c>
      <c r="H308" s="184" t="s">
        <v>520</v>
      </c>
      <c r="I308" s="184" t="s">
        <v>68</v>
      </c>
      <c r="J308" s="195">
        <v>308247267000</v>
      </c>
      <c r="K308" s="472">
        <v>46064</v>
      </c>
      <c r="L308" s="185" t="s">
        <v>525</v>
      </c>
      <c r="M308" s="185" t="s">
        <v>526</v>
      </c>
      <c r="N308" s="186">
        <v>652779</v>
      </c>
      <c r="O308" s="187">
        <v>46064</v>
      </c>
      <c r="P308" s="188" t="s">
        <v>523</v>
      </c>
      <c r="Q308" s="189">
        <v>500</v>
      </c>
      <c r="R308" s="184" t="s">
        <v>893</v>
      </c>
    </row>
    <row r="309" spans="6:18" ht="33.75" thickBot="1">
      <c r="F309" s="192">
        <v>7</v>
      </c>
      <c r="G309" s="178" t="s">
        <v>520</v>
      </c>
      <c r="H309" s="178" t="s">
        <v>520</v>
      </c>
      <c r="I309" s="178" t="s">
        <v>68</v>
      </c>
      <c r="J309" s="486">
        <v>308247380730</v>
      </c>
      <c r="K309" s="473">
        <v>46064</v>
      </c>
      <c r="L309" s="179" t="s">
        <v>525</v>
      </c>
      <c r="M309" s="179" t="s">
        <v>526</v>
      </c>
      <c r="N309" s="180">
        <v>652778</v>
      </c>
      <c r="O309" s="181">
        <v>46064</v>
      </c>
      <c r="P309" s="182" t="s">
        <v>523</v>
      </c>
      <c r="Q309" s="183">
        <v>250</v>
      </c>
      <c r="R309" s="178" t="s">
        <v>894</v>
      </c>
    </row>
    <row r="310" spans="6:18" ht="33.75" thickBot="1">
      <c r="F310" s="193">
        <v>8</v>
      </c>
      <c r="G310" s="184" t="s">
        <v>520</v>
      </c>
      <c r="H310" s="184" t="s">
        <v>520</v>
      </c>
      <c r="I310" s="184" t="s">
        <v>68</v>
      </c>
      <c r="J310" s="195">
        <v>308240533000</v>
      </c>
      <c r="K310" s="472">
        <v>46062</v>
      </c>
      <c r="L310" s="185" t="s">
        <v>525</v>
      </c>
      <c r="M310" s="185" t="s">
        <v>526</v>
      </c>
      <c r="N310" s="186">
        <v>652777</v>
      </c>
      <c r="O310" s="187">
        <v>46064</v>
      </c>
      <c r="P310" s="188" t="s">
        <v>523</v>
      </c>
      <c r="Q310" s="189">
        <v>500</v>
      </c>
      <c r="R310" s="184" t="s">
        <v>895</v>
      </c>
    </row>
    <row r="311" spans="6:18" ht="33.75" thickBot="1">
      <c r="F311" s="192">
        <v>9</v>
      </c>
      <c r="G311" s="178" t="s">
        <v>520</v>
      </c>
      <c r="H311" s="178" t="s">
        <v>520</v>
      </c>
      <c r="I311" s="178" t="s">
        <v>68</v>
      </c>
      <c r="J311" s="486">
        <v>308247738320</v>
      </c>
      <c r="K311" s="473">
        <v>46063</v>
      </c>
      <c r="L311" s="179" t="s">
        <v>525</v>
      </c>
      <c r="M311" s="179" t="s">
        <v>522</v>
      </c>
      <c r="N311" s="180">
        <v>1087627</v>
      </c>
      <c r="O311" s="181">
        <v>46064</v>
      </c>
      <c r="P311" s="182" t="s">
        <v>523</v>
      </c>
      <c r="Q311" s="183">
        <v>500</v>
      </c>
      <c r="R311" s="178" t="s">
        <v>896</v>
      </c>
    </row>
    <row r="312" spans="6:18" ht="33.75" thickBot="1">
      <c r="F312" s="193">
        <v>10</v>
      </c>
      <c r="G312" s="184" t="s">
        <v>520</v>
      </c>
      <c r="H312" s="184" t="s">
        <v>520</v>
      </c>
      <c r="I312" s="184" t="s">
        <v>68</v>
      </c>
      <c r="J312" s="195">
        <v>308246968210</v>
      </c>
      <c r="K312" s="472">
        <v>46063</v>
      </c>
      <c r="L312" s="185" t="s">
        <v>525</v>
      </c>
      <c r="M312" s="185" t="s">
        <v>526</v>
      </c>
      <c r="N312" s="186">
        <v>651477</v>
      </c>
      <c r="O312" s="187">
        <v>46064</v>
      </c>
      <c r="P312" s="188" t="s">
        <v>523</v>
      </c>
      <c r="Q312" s="189">
        <v>250</v>
      </c>
      <c r="R312" s="184" t="s">
        <v>897</v>
      </c>
    </row>
    <row r="313" spans="6:18" ht="33.75" thickBot="1">
      <c r="F313" s="192">
        <v>11</v>
      </c>
      <c r="G313" s="178" t="s">
        <v>520</v>
      </c>
      <c r="H313" s="178" t="s">
        <v>520</v>
      </c>
      <c r="I313" s="178" t="s">
        <v>68</v>
      </c>
      <c r="J313" s="486">
        <v>308246996800</v>
      </c>
      <c r="K313" s="473">
        <v>46063</v>
      </c>
      <c r="L313" s="179" t="s">
        <v>525</v>
      </c>
      <c r="M313" s="179" t="s">
        <v>526</v>
      </c>
      <c r="N313" s="180">
        <v>651475</v>
      </c>
      <c r="O313" s="181">
        <v>46064</v>
      </c>
      <c r="P313" s="182" t="s">
        <v>523</v>
      </c>
      <c r="Q313" s="183">
        <v>500</v>
      </c>
      <c r="R313" s="178" t="s">
        <v>898</v>
      </c>
    </row>
    <row r="314" spans="6:18" ht="33.75" thickBot="1">
      <c r="F314" s="193">
        <v>12</v>
      </c>
      <c r="G314" s="184" t="s">
        <v>520</v>
      </c>
      <c r="H314" s="184" t="s">
        <v>520</v>
      </c>
      <c r="I314" s="184" t="s">
        <v>68</v>
      </c>
      <c r="J314" s="195">
        <v>308249689700</v>
      </c>
      <c r="K314" s="472">
        <v>46064</v>
      </c>
      <c r="L314" s="185" t="s">
        <v>525</v>
      </c>
      <c r="M314" s="185" t="s">
        <v>522</v>
      </c>
      <c r="N314" s="186">
        <v>1086458</v>
      </c>
      <c r="O314" s="187">
        <v>46064</v>
      </c>
      <c r="P314" s="188" t="s">
        <v>523</v>
      </c>
      <c r="Q314" s="189">
        <v>500</v>
      </c>
      <c r="R314" s="184" t="s">
        <v>899</v>
      </c>
    </row>
    <row r="315" spans="6:18" ht="33.75" thickBot="1">
      <c r="F315" s="192">
        <v>13</v>
      </c>
      <c r="G315" s="178" t="s">
        <v>520</v>
      </c>
      <c r="H315" s="178" t="s">
        <v>520</v>
      </c>
      <c r="I315" s="178" t="s">
        <v>68</v>
      </c>
      <c r="J315" s="486">
        <v>308229221660</v>
      </c>
      <c r="K315" s="473">
        <v>46059</v>
      </c>
      <c r="L315" s="179" t="s">
        <v>525</v>
      </c>
      <c r="M315" s="179" t="s">
        <v>522</v>
      </c>
      <c r="N315" s="180">
        <v>1086417</v>
      </c>
      <c r="O315" s="181">
        <v>46064</v>
      </c>
      <c r="P315" s="182" t="s">
        <v>523</v>
      </c>
      <c r="Q315" s="183">
        <v>63.756999999999998</v>
      </c>
      <c r="R315" s="178" t="s">
        <v>900</v>
      </c>
    </row>
    <row r="316" spans="6:18" ht="33.75" thickBot="1">
      <c r="F316" s="193">
        <v>14</v>
      </c>
      <c r="G316" s="184" t="s">
        <v>520</v>
      </c>
      <c r="H316" s="184" t="s">
        <v>520</v>
      </c>
      <c r="I316" s="184" t="s">
        <v>68</v>
      </c>
      <c r="J316" s="195">
        <v>308203927160</v>
      </c>
      <c r="K316" s="472">
        <v>46051</v>
      </c>
      <c r="L316" s="185" t="s">
        <v>525</v>
      </c>
      <c r="M316" s="185" t="s">
        <v>522</v>
      </c>
      <c r="N316" s="186">
        <v>1086400</v>
      </c>
      <c r="O316" s="187">
        <v>46064</v>
      </c>
      <c r="P316" s="188" t="s">
        <v>523</v>
      </c>
      <c r="Q316" s="189">
        <v>26.971</v>
      </c>
      <c r="R316" s="184" t="s">
        <v>901</v>
      </c>
    </row>
    <row r="317" spans="6:18" ht="33.75" thickBot="1">
      <c r="F317" s="192">
        <v>15</v>
      </c>
      <c r="G317" s="178" t="s">
        <v>520</v>
      </c>
      <c r="H317" s="178" t="s">
        <v>520</v>
      </c>
      <c r="I317" s="178" t="s">
        <v>68</v>
      </c>
      <c r="J317" s="486">
        <v>107973124450</v>
      </c>
      <c r="K317" s="473">
        <v>46062</v>
      </c>
      <c r="L317" s="179" t="s">
        <v>521</v>
      </c>
      <c r="M317" s="179" t="s">
        <v>522</v>
      </c>
      <c r="N317" s="180">
        <v>1083328</v>
      </c>
      <c r="O317" s="181">
        <v>46063</v>
      </c>
      <c r="P317" s="182" t="s">
        <v>523</v>
      </c>
      <c r="Q317" s="183">
        <v>500</v>
      </c>
      <c r="R317" s="178" t="s">
        <v>524</v>
      </c>
    </row>
    <row r="318" spans="6:18" ht="33.75" thickBot="1">
      <c r="F318" s="193">
        <v>16</v>
      </c>
      <c r="G318" s="184" t="s">
        <v>520</v>
      </c>
      <c r="H318" s="184" t="s">
        <v>520</v>
      </c>
      <c r="I318" s="184" t="s">
        <v>68</v>
      </c>
      <c r="J318" s="195">
        <v>308233036000</v>
      </c>
      <c r="K318" s="472">
        <v>46059</v>
      </c>
      <c r="L318" s="185" t="s">
        <v>525</v>
      </c>
      <c r="M318" s="185" t="s">
        <v>526</v>
      </c>
      <c r="N318" s="186">
        <v>650607</v>
      </c>
      <c r="O318" s="187">
        <v>46063</v>
      </c>
      <c r="P318" s="188" t="s">
        <v>523</v>
      </c>
      <c r="Q318" s="189">
        <v>250</v>
      </c>
      <c r="R318" s="184" t="s">
        <v>527</v>
      </c>
    </row>
    <row r="319" spans="6:18" ht="33.75" thickBot="1">
      <c r="F319" s="192">
        <v>17</v>
      </c>
      <c r="G319" s="178" t="s">
        <v>520</v>
      </c>
      <c r="H319" s="178" t="s">
        <v>520</v>
      </c>
      <c r="I319" s="178" t="s">
        <v>68</v>
      </c>
      <c r="J319" s="486">
        <v>308244872630</v>
      </c>
      <c r="K319" s="473">
        <v>46063</v>
      </c>
      <c r="L319" s="179" t="s">
        <v>525</v>
      </c>
      <c r="M319" s="179" t="s">
        <v>526</v>
      </c>
      <c r="N319" s="180">
        <v>650603</v>
      </c>
      <c r="O319" s="181">
        <v>46063</v>
      </c>
      <c r="P319" s="182" t="s">
        <v>523</v>
      </c>
      <c r="Q319" s="183">
        <v>500</v>
      </c>
      <c r="R319" s="178" t="s">
        <v>528</v>
      </c>
    </row>
    <row r="320" spans="6:18" ht="33.75" thickBot="1">
      <c r="F320" s="193">
        <v>18</v>
      </c>
      <c r="G320" s="184" t="s">
        <v>520</v>
      </c>
      <c r="H320" s="184" t="s">
        <v>520</v>
      </c>
      <c r="I320" s="184" t="s">
        <v>68</v>
      </c>
      <c r="J320" s="195">
        <v>308240538230</v>
      </c>
      <c r="K320" s="472">
        <v>46063</v>
      </c>
      <c r="L320" s="185" t="s">
        <v>525</v>
      </c>
      <c r="M320" s="185" t="s">
        <v>526</v>
      </c>
      <c r="N320" s="186">
        <v>650602</v>
      </c>
      <c r="O320" s="187">
        <v>46063</v>
      </c>
      <c r="P320" s="188" t="s">
        <v>523</v>
      </c>
      <c r="Q320" s="189">
        <v>500</v>
      </c>
      <c r="R320" s="184" t="s">
        <v>529</v>
      </c>
    </row>
    <row r="321" spans="6:18" ht="33.75" thickBot="1">
      <c r="F321" s="192">
        <v>19</v>
      </c>
      <c r="G321" s="178" t="s">
        <v>520</v>
      </c>
      <c r="H321" s="178" t="s">
        <v>520</v>
      </c>
      <c r="I321" s="178" t="s">
        <v>68</v>
      </c>
      <c r="J321" s="486">
        <v>308240529460</v>
      </c>
      <c r="K321" s="473">
        <v>46063</v>
      </c>
      <c r="L321" s="179" t="s">
        <v>525</v>
      </c>
      <c r="M321" s="179" t="s">
        <v>526</v>
      </c>
      <c r="N321" s="180">
        <v>650601</v>
      </c>
      <c r="O321" s="181">
        <v>46063</v>
      </c>
      <c r="P321" s="182" t="s">
        <v>523</v>
      </c>
      <c r="Q321" s="183">
        <v>250</v>
      </c>
      <c r="R321" s="178" t="s">
        <v>530</v>
      </c>
    </row>
    <row r="322" spans="6:18" ht="33.75" thickBot="1">
      <c r="F322" s="193">
        <v>20</v>
      </c>
      <c r="G322" s="184" t="s">
        <v>520</v>
      </c>
      <c r="H322" s="184" t="s">
        <v>520</v>
      </c>
      <c r="I322" s="184" t="s">
        <v>68</v>
      </c>
      <c r="J322" s="195">
        <v>308228536360</v>
      </c>
      <c r="K322" s="472">
        <v>46059</v>
      </c>
      <c r="L322" s="185" t="s">
        <v>525</v>
      </c>
      <c r="M322" s="185" t="s">
        <v>526</v>
      </c>
      <c r="N322" s="186">
        <v>650595</v>
      </c>
      <c r="O322" s="187">
        <v>46063</v>
      </c>
      <c r="P322" s="188" t="s">
        <v>523</v>
      </c>
      <c r="Q322" s="189">
        <v>250</v>
      </c>
      <c r="R322" s="184" t="s">
        <v>531</v>
      </c>
    </row>
    <row r="323" spans="6:18" ht="33.75" thickBot="1">
      <c r="F323" s="192">
        <v>21</v>
      </c>
      <c r="G323" s="178" t="s">
        <v>520</v>
      </c>
      <c r="H323" s="178" t="s">
        <v>520</v>
      </c>
      <c r="I323" s="178" t="s">
        <v>68</v>
      </c>
      <c r="J323" s="486">
        <v>308240528100</v>
      </c>
      <c r="K323" s="473">
        <v>46063</v>
      </c>
      <c r="L323" s="179" t="s">
        <v>525</v>
      </c>
      <c r="M323" s="179" t="s">
        <v>526</v>
      </c>
      <c r="N323" s="180">
        <v>650591</v>
      </c>
      <c r="O323" s="181">
        <v>46063</v>
      </c>
      <c r="P323" s="182" t="s">
        <v>523</v>
      </c>
      <c r="Q323" s="183">
        <v>250</v>
      </c>
      <c r="R323" s="178" t="s">
        <v>532</v>
      </c>
    </row>
    <row r="324" spans="6:18" ht="33.75" thickBot="1">
      <c r="F324" s="193">
        <v>22</v>
      </c>
      <c r="G324" s="184" t="s">
        <v>520</v>
      </c>
      <c r="H324" s="184" t="s">
        <v>520</v>
      </c>
      <c r="I324" s="184" t="s">
        <v>68</v>
      </c>
      <c r="J324" s="195">
        <v>308240517600</v>
      </c>
      <c r="K324" s="472">
        <v>46062</v>
      </c>
      <c r="L324" s="185" t="s">
        <v>525</v>
      </c>
      <c r="M324" s="185" t="s">
        <v>526</v>
      </c>
      <c r="N324" s="186">
        <v>650542</v>
      </c>
      <c r="O324" s="187">
        <v>46063</v>
      </c>
      <c r="P324" s="188" t="s">
        <v>523</v>
      </c>
      <c r="Q324" s="189">
        <v>500</v>
      </c>
      <c r="R324" s="184" t="s">
        <v>533</v>
      </c>
    </row>
    <row r="325" spans="6:18" ht="33.75" thickBot="1">
      <c r="F325" s="192">
        <v>23</v>
      </c>
      <c r="G325" s="178" t="s">
        <v>520</v>
      </c>
      <c r="H325" s="178" t="s">
        <v>520</v>
      </c>
      <c r="I325" s="178" t="s">
        <v>68</v>
      </c>
      <c r="J325" s="486">
        <v>308240523640</v>
      </c>
      <c r="K325" s="473">
        <v>46063</v>
      </c>
      <c r="L325" s="179" t="s">
        <v>525</v>
      </c>
      <c r="M325" s="179" t="s">
        <v>522</v>
      </c>
      <c r="N325" s="180">
        <v>1081478</v>
      </c>
      <c r="O325" s="181">
        <v>46063</v>
      </c>
      <c r="P325" s="182" t="s">
        <v>523</v>
      </c>
      <c r="Q325" s="183">
        <v>500</v>
      </c>
      <c r="R325" s="178" t="s">
        <v>534</v>
      </c>
    </row>
    <row r="326" spans="6:18" ht="33.75" thickBot="1">
      <c r="F326" s="193">
        <v>24</v>
      </c>
      <c r="G326" s="184" t="s">
        <v>520</v>
      </c>
      <c r="H326" s="184" t="s">
        <v>520</v>
      </c>
      <c r="I326" s="184" t="s">
        <v>68</v>
      </c>
      <c r="J326" s="195">
        <v>308240526000</v>
      </c>
      <c r="K326" s="472">
        <v>46063</v>
      </c>
      <c r="L326" s="185" t="s">
        <v>525</v>
      </c>
      <c r="M326" s="185" t="s">
        <v>522</v>
      </c>
      <c r="N326" s="186">
        <v>1081472</v>
      </c>
      <c r="O326" s="187">
        <v>46063</v>
      </c>
      <c r="P326" s="188" t="s">
        <v>523</v>
      </c>
      <c r="Q326" s="189">
        <v>500</v>
      </c>
      <c r="R326" s="184" t="s">
        <v>535</v>
      </c>
    </row>
    <row r="327" spans="6:18" ht="33.75" thickBot="1">
      <c r="F327" s="192">
        <v>25</v>
      </c>
      <c r="G327" s="178" t="s">
        <v>520</v>
      </c>
      <c r="H327" s="178" t="s">
        <v>520</v>
      </c>
      <c r="I327" s="178" t="s">
        <v>68</v>
      </c>
      <c r="J327" s="486">
        <v>308237816300</v>
      </c>
      <c r="K327" s="473">
        <v>46061</v>
      </c>
      <c r="L327" s="179" t="s">
        <v>525</v>
      </c>
      <c r="M327" s="179" t="s">
        <v>522</v>
      </c>
      <c r="N327" s="180">
        <v>1081063</v>
      </c>
      <c r="O327" s="181">
        <v>46063</v>
      </c>
      <c r="P327" s="182" t="s">
        <v>523</v>
      </c>
      <c r="Q327" s="183">
        <v>500</v>
      </c>
      <c r="R327" s="178" t="s">
        <v>536</v>
      </c>
    </row>
    <row r="328" spans="6:18" ht="33.75" thickBot="1">
      <c r="F328" s="193">
        <v>26</v>
      </c>
      <c r="G328" s="184" t="s">
        <v>520</v>
      </c>
      <c r="H328" s="184" t="s">
        <v>520</v>
      </c>
      <c r="I328" s="184" t="s">
        <v>68</v>
      </c>
      <c r="J328" s="195">
        <v>308237561720</v>
      </c>
      <c r="K328" s="472">
        <v>46060</v>
      </c>
      <c r="L328" s="185" t="s">
        <v>525</v>
      </c>
      <c r="M328" s="185" t="s">
        <v>522</v>
      </c>
      <c r="N328" s="186">
        <v>1081058</v>
      </c>
      <c r="O328" s="187">
        <v>46063</v>
      </c>
      <c r="P328" s="188" t="s">
        <v>523</v>
      </c>
      <c r="Q328" s="189">
        <v>500</v>
      </c>
      <c r="R328" s="184" t="s">
        <v>537</v>
      </c>
    </row>
    <row r="329" spans="6:18" ht="33.75" thickBot="1">
      <c r="F329" s="192">
        <v>27</v>
      </c>
      <c r="G329" s="178" t="s">
        <v>520</v>
      </c>
      <c r="H329" s="178" t="s">
        <v>520</v>
      </c>
      <c r="I329" s="178" t="s">
        <v>68</v>
      </c>
      <c r="J329" s="486">
        <v>308237780450</v>
      </c>
      <c r="K329" s="473">
        <v>46061</v>
      </c>
      <c r="L329" s="179" t="s">
        <v>525</v>
      </c>
      <c r="M329" s="179" t="s">
        <v>522</v>
      </c>
      <c r="N329" s="180">
        <v>1081056</v>
      </c>
      <c r="O329" s="181">
        <v>46063</v>
      </c>
      <c r="P329" s="182" t="s">
        <v>523</v>
      </c>
      <c r="Q329" s="183">
        <v>500</v>
      </c>
      <c r="R329" s="178" t="s">
        <v>538</v>
      </c>
    </row>
    <row r="330" spans="6:18" ht="33.75" thickBot="1">
      <c r="F330" s="193">
        <v>28</v>
      </c>
      <c r="G330" s="184" t="s">
        <v>520</v>
      </c>
      <c r="H330" s="184" t="s">
        <v>520</v>
      </c>
      <c r="I330" s="184" t="s">
        <v>68</v>
      </c>
      <c r="J330" s="195">
        <v>107975068500</v>
      </c>
      <c r="K330" s="472">
        <v>46062</v>
      </c>
      <c r="L330" s="185" t="s">
        <v>539</v>
      </c>
      <c r="M330" s="185" t="s">
        <v>526</v>
      </c>
      <c r="N330" s="186">
        <v>649411</v>
      </c>
      <c r="O330" s="187">
        <v>46063</v>
      </c>
      <c r="P330" s="188" t="s">
        <v>523</v>
      </c>
      <c r="Q330" s="189" t="s">
        <v>540</v>
      </c>
      <c r="R330" s="184" t="s">
        <v>541</v>
      </c>
    </row>
    <row r="331" spans="6:18" ht="15.75" thickBot="1">
      <c r="F331" s="434"/>
      <c r="G331" s="178"/>
      <c r="H331" s="178"/>
      <c r="I331" s="178"/>
      <c r="J331" s="481"/>
      <c r="K331" s="435"/>
      <c r="L331" s="435"/>
      <c r="M331" s="435"/>
      <c r="N331" s="436"/>
      <c r="O331" s="437"/>
      <c r="P331" s="438"/>
      <c r="Q331" s="439"/>
      <c r="R331" s="178"/>
    </row>
    <row r="332" spans="6:18" ht="50.25" thickBot="1">
      <c r="F332" s="190" t="s">
        <v>9</v>
      </c>
      <c r="G332" s="191" t="s">
        <v>66</v>
      </c>
      <c r="H332" s="191" t="s">
        <v>67</v>
      </c>
      <c r="I332" s="191" t="s">
        <v>68</v>
      </c>
      <c r="J332" s="194" t="s">
        <v>69</v>
      </c>
      <c r="K332" s="191" t="s">
        <v>70</v>
      </c>
      <c r="L332" s="191" t="s">
        <v>71</v>
      </c>
      <c r="M332" s="191" t="s">
        <v>72</v>
      </c>
      <c r="N332" s="191" t="s">
        <v>73</v>
      </c>
      <c r="O332" s="191" t="s">
        <v>74</v>
      </c>
      <c r="P332" s="191" t="s">
        <v>75</v>
      </c>
      <c r="Q332" s="191" t="s">
        <v>76</v>
      </c>
      <c r="R332" s="191" t="s">
        <v>77</v>
      </c>
    </row>
    <row r="333" spans="6:18" ht="33.75" thickBot="1">
      <c r="F333" s="192">
        <v>1</v>
      </c>
      <c r="G333" s="178" t="s">
        <v>520</v>
      </c>
      <c r="H333" s="178" t="s">
        <v>520</v>
      </c>
      <c r="I333" s="178" t="s">
        <v>68</v>
      </c>
      <c r="J333" s="486">
        <v>308241499330</v>
      </c>
      <c r="K333" s="473">
        <v>46063</v>
      </c>
      <c r="L333" s="179" t="s">
        <v>525</v>
      </c>
      <c r="M333" s="179" t="s">
        <v>522</v>
      </c>
      <c r="N333" s="180">
        <v>1097736</v>
      </c>
      <c r="O333" s="181">
        <v>46065</v>
      </c>
      <c r="P333" s="182" t="s">
        <v>523</v>
      </c>
      <c r="Q333" s="183">
        <v>18.693999999999999</v>
      </c>
      <c r="R333" s="178" t="s">
        <v>902</v>
      </c>
    </row>
    <row r="334" spans="6:18" ht="33.75" thickBot="1">
      <c r="F334" s="193">
        <v>2</v>
      </c>
      <c r="G334" s="184" t="s">
        <v>520</v>
      </c>
      <c r="H334" s="184" t="s">
        <v>520</v>
      </c>
      <c r="I334" s="184" t="s">
        <v>68</v>
      </c>
      <c r="J334" s="195">
        <v>308247764220</v>
      </c>
      <c r="K334" s="472">
        <v>46064</v>
      </c>
      <c r="L334" s="185" t="s">
        <v>525</v>
      </c>
      <c r="M334" s="185" t="s">
        <v>522</v>
      </c>
      <c r="N334" s="186">
        <v>1097732</v>
      </c>
      <c r="O334" s="187">
        <v>46065</v>
      </c>
      <c r="P334" s="188" t="s">
        <v>523</v>
      </c>
      <c r="Q334" s="189">
        <v>18.099</v>
      </c>
      <c r="R334" s="184" t="s">
        <v>903</v>
      </c>
    </row>
    <row r="335" spans="6:18" ht="33.75" thickBot="1">
      <c r="F335" s="192">
        <v>3</v>
      </c>
      <c r="G335" s="178" t="s">
        <v>520</v>
      </c>
      <c r="H335" s="178" t="s">
        <v>520</v>
      </c>
      <c r="I335" s="178" t="s">
        <v>68</v>
      </c>
      <c r="J335" s="486">
        <v>308241609340</v>
      </c>
      <c r="K335" s="473">
        <v>46063</v>
      </c>
      <c r="L335" s="179" t="s">
        <v>525</v>
      </c>
      <c r="M335" s="179" t="s">
        <v>522</v>
      </c>
      <c r="N335" s="180">
        <v>1097724</v>
      </c>
      <c r="O335" s="181">
        <v>46065</v>
      </c>
      <c r="P335" s="182" t="s">
        <v>523</v>
      </c>
      <c r="Q335" s="183">
        <v>44.951999999999998</v>
      </c>
      <c r="R335" s="178" t="s">
        <v>904</v>
      </c>
    </row>
    <row r="336" spans="6:18" ht="33.75" thickBot="1">
      <c r="F336" s="193">
        <v>4</v>
      </c>
      <c r="G336" s="184" t="s">
        <v>520</v>
      </c>
      <c r="H336" s="184" t="s">
        <v>520</v>
      </c>
      <c r="I336" s="184" t="s">
        <v>68</v>
      </c>
      <c r="J336" s="195">
        <v>308247743660</v>
      </c>
      <c r="K336" s="472">
        <v>46063</v>
      </c>
      <c r="L336" s="185" t="s">
        <v>525</v>
      </c>
      <c r="M336" s="185" t="s">
        <v>522</v>
      </c>
      <c r="N336" s="186">
        <v>1097715</v>
      </c>
      <c r="O336" s="187">
        <v>46065</v>
      </c>
      <c r="P336" s="188" t="s">
        <v>523</v>
      </c>
      <c r="Q336" s="189">
        <v>27.013999999999999</v>
      </c>
      <c r="R336" s="184" t="s">
        <v>905</v>
      </c>
    </row>
    <row r="337" spans="6:18" ht="33.75" thickBot="1">
      <c r="F337" s="192">
        <v>5</v>
      </c>
      <c r="G337" s="178" t="s">
        <v>520</v>
      </c>
      <c r="H337" s="178" t="s">
        <v>520</v>
      </c>
      <c r="I337" s="178" t="s">
        <v>68</v>
      </c>
      <c r="J337" s="486">
        <v>308254657230</v>
      </c>
      <c r="K337" s="473">
        <v>46065</v>
      </c>
      <c r="L337" s="179" t="s">
        <v>525</v>
      </c>
      <c r="M337" s="179" t="s">
        <v>522</v>
      </c>
      <c r="N337" s="180">
        <v>1097713</v>
      </c>
      <c r="O337" s="181">
        <v>46065</v>
      </c>
      <c r="P337" s="182" t="s">
        <v>523</v>
      </c>
      <c r="Q337" s="183">
        <v>27.149000000000001</v>
      </c>
      <c r="R337" s="178" t="s">
        <v>906</v>
      </c>
    </row>
    <row r="338" spans="6:18" ht="33.75" thickBot="1">
      <c r="F338" s="193">
        <v>6</v>
      </c>
      <c r="G338" s="184" t="s">
        <v>520</v>
      </c>
      <c r="H338" s="184" t="s">
        <v>520</v>
      </c>
      <c r="I338" s="184" t="s">
        <v>68</v>
      </c>
      <c r="J338" s="195">
        <v>308205033860</v>
      </c>
      <c r="K338" s="472">
        <v>46051</v>
      </c>
      <c r="L338" s="185" t="s">
        <v>788</v>
      </c>
      <c r="M338" s="185" t="s">
        <v>522</v>
      </c>
      <c r="N338" s="186">
        <v>1097708</v>
      </c>
      <c r="O338" s="187">
        <v>46065</v>
      </c>
      <c r="P338" s="188" t="s">
        <v>523</v>
      </c>
      <c r="Q338" s="189">
        <v>18.88</v>
      </c>
      <c r="R338" s="184" t="s">
        <v>907</v>
      </c>
    </row>
    <row r="339" spans="6:18" ht="33.75" thickBot="1">
      <c r="F339" s="192">
        <v>7</v>
      </c>
      <c r="G339" s="178" t="s">
        <v>520</v>
      </c>
      <c r="H339" s="178" t="s">
        <v>520</v>
      </c>
      <c r="I339" s="178" t="s">
        <v>68</v>
      </c>
      <c r="J339" s="486">
        <v>308178442850</v>
      </c>
      <c r="K339" s="473">
        <v>46045</v>
      </c>
      <c r="L339" s="179" t="s">
        <v>788</v>
      </c>
      <c r="M339" s="179" t="s">
        <v>522</v>
      </c>
      <c r="N339" s="180">
        <v>1097705</v>
      </c>
      <c r="O339" s="181">
        <v>46065</v>
      </c>
      <c r="P339" s="182" t="s">
        <v>523</v>
      </c>
      <c r="Q339" s="183">
        <v>37.76</v>
      </c>
      <c r="R339" s="178" t="s">
        <v>908</v>
      </c>
    </row>
    <row r="340" spans="6:18" ht="33.75" thickBot="1">
      <c r="F340" s="193">
        <v>8</v>
      </c>
      <c r="G340" s="184" t="s">
        <v>520</v>
      </c>
      <c r="H340" s="184" t="s">
        <v>520</v>
      </c>
      <c r="I340" s="184" t="s">
        <v>68</v>
      </c>
      <c r="J340" s="195">
        <v>308233870400</v>
      </c>
      <c r="K340" s="472">
        <v>46059</v>
      </c>
      <c r="L340" s="185" t="s">
        <v>788</v>
      </c>
      <c r="M340" s="185" t="s">
        <v>522</v>
      </c>
      <c r="N340" s="186">
        <v>1097700</v>
      </c>
      <c r="O340" s="187">
        <v>46065</v>
      </c>
      <c r="P340" s="188" t="s">
        <v>523</v>
      </c>
      <c r="Q340" s="189">
        <v>56.64</v>
      </c>
      <c r="R340" s="184" t="s">
        <v>909</v>
      </c>
    </row>
    <row r="341" spans="6:18" ht="33.75" thickBot="1">
      <c r="F341" s="192">
        <v>9</v>
      </c>
      <c r="G341" s="178" t="s">
        <v>520</v>
      </c>
      <c r="H341" s="178" t="s">
        <v>520</v>
      </c>
      <c r="I341" s="178" t="s">
        <v>68</v>
      </c>
      <c r="J341" s="486">
        <v>308253007110</v>
      </c>
      <c r="K341" s="473">
        <v>46065</v>
      </c>
      <c r="L341" s="179" t="s">
        <v>525</v>
      </c>
      <c r="M341" s="179" t="s">
        <v>522</v>
      </c>
      <c r="N341" s="180">
        <v>1096507</v>
      </c>
      <c r="O341" s="181">
        <v>46065</v>
      </c>
      <c r="P341" s="182" t="s">
        <v>523</v>
      </c>
      <c r="Q341" s="183">
        <v>500</v>
      </c>
      <c r="R341" s="178" t="s">
        <v>910</v>
      </c>
    </row>
    <row r="342" spans="6:18" ht="33.75" thickBot="1">
      <c r="F342" s="193">
        <v>10</v>
      </c>
      <c r="G342" s="184" t="s">
        <v>520</v>
      </c>
      <c r="H342" s="184" t="s">
        <v>520</v>
      </c>
      <c r="I342" s="184" t="s">
        <v>68</v>
      </c>
      <c r="J342" s="195">
        <v>308252236150</v>
      </c>
      <c r="K342" s="472">
        <v>46064</v>
      </c>
      <c r="L342" s="185" t="s">
        <v>525</v>
      </c>
      <c r="M342" s="185" t="s">
        <v>526</v>
      </c>
      <c r="N342" s="186">
        <v>654737</v>
      </c>
      <c r="O342" s="187">
        <v>46065</v>
      </c>
      <c r="P342" s="188" t="s">
        <v>523</v>
      </c>
      <c r="Q342" s="189">
        <v>500</v>
      </c>
      <c r="R342" s="184" t="s">
        <v>911</v>
      </c>
    </row>
    <row r="343" spans="6:18" ht="33.75" thickBot="1">
      <c r="F343" s="192">
        <v>11</v>
      </c>
      <c r="G343" s="178" t="s">
        <v>520</v>
      </c>
      <c r="H343" s="178" t="s">
        <v>520</v>
      </c>
      <c r="I343" s="178" t="s">
        <v>68</v>
      </c>
      <c r="J343" s="486">
        <v>308246788160</v>
      </c>
      <c r="K343" s="473">
        <v>46064</v>
      </c>
      <c r="L343" s="179" t="s">
        <v>525</v>
      </c>
      <c r="M343" s="179" t="s">
        <v>522</v>
      </c>
      <c r="N343" s="180">
        <v>1094725</v>
      </c>
      <c r="O343" s="181">
        <v>46065</v>
      </c>
      <c r="P343" s="182" t="s">
        <v>523</v>
      </c>
      <c r="Q343" s="183">
        <v>500</v>
      </c>
      <c r="R343" s="178" t="s">
        <v>912</v>
      </c>
    </row>
    <row r="344" spans="6:18" ht="33.75" thickBot="1">
      <c r="F344" s="193">
        <v>12</v>
      </c>
      <c r="G344" s="184" t="s">
        <v>520</v>
      </c>
      <c r="H344" s="184" t="s">
        <v>520</v>
      </c>
      <c r="I344" s="184" t="s">
        <v>68</v>
      </c>
      <c r="J344" s="195">
        <v>308160148130</v>
      </c>
      <c r="K344" s="472">
        <v>46039</v>
      </c>
      <c r="L344" s="185" t="s">
        <v>525</v>
      </c>
      <c r="M344" s="185" t="s">
        <v>522</v>
      </c>
      <c r="N344" s="186">
        <v>1094724</v>
      </c>
      <c r="O344" s="187">
        <v>46065</v>
      </c>
      <c r="P344" s="188" t="s">
        <v>523</v>
      </c>
      <c r="Q344" s="189">
        <v>500</v>
      </c>
      <c r="R344" s="184" t="s">
        <v>913</v>
      </c>
    </row>
    <row r="345" spans="6:18" ht="33.75" thickBot="1">
      <c r="F345" s="192">
        <v>13</v>
      </c>
      <c r="G345" s="178" t="s">
        <v>520</v>
      </c>
      <c r="H345" s="178" t="s">
        <v>520</v>
      </c>
      <c r="I345" s="178" t="s">
        <v>68</v>
      </c>
      <c r="J345" s="486">
        <v>308160121750</v>
      </c>
      <c r="K345" s="473">
        <v>46039</v>
      </c>
      <c r="L345" s="179" t="s">
        <v>525</v>
      </c>
      <c r="M345" s="179" t="s">
        <v>522</v>
      </c>
      <c r="N345" s="180">
        <v>1094709</v>
      </c>
      <c r="O345" s="181">
        <v>46065</v>
      </c>
      <c r="P345" s="182" t="s">
        <v>523</v>
      </c>
      <c r="Q345" s="183">
        <v>500</v>
      </c>
      <c r="R345" s="178" t="s">
        <v>914</v>
      </c>
    </row>
    <row r="346" spans="6:18" ht="33.75" thickBot="1">
      <c r="F346" s="193">
        <v>14</v>
      </c>
      <c r="G346" s="184" t="s">
        <v>520</v>
      </c>
      <c r="H346" s="184" t="s">
        <v>520</v>
      </c>
      <c r="I346" s="184" t="s">
        <v>68</v>
      </c>
      <c r="J346" s="195">
        <v>308160083620</v>
      </c>
      <c r="K346" s="472">
        <v>46039</v>
      </c>
      <c r="L346" s="185" t="s">
        <v>525</v>
      </c>
      <c r="M346" s="185" t="s">
        <v>522</v>
      </c>
      <c r="N346" s="186">
        <v>1094702</v>
      </c>
      <c r="O346" s="187">
        <v>46065</v>
      </c>
      <c r="P346" s="188" t="s">
        <v>523</v>
      </c>
      <c r="Q346" s="189">
        <v>500</v>
      </c>
      <c r="R346" s="184" t="s">
        <v>915</v>
      </c>
    </row>
    <row r="347" spans="6:18" ht="33.75" thickBot="1">
      <c r="F347" s="192">
        <v>15</v>
      </c>
      <c r="G347" s="178" t="s">
        <v>520</v>
      </c>
      <c r="H347" s="178" t="s">
        <v>520</v>
      </c>
      <c r="I347" s="178" t="s">
        <v>68</v>
      </c>
      <c r="J347" s="486">
        <v>308254046020</v>
      </c>
      <c r="K347" s="473">
        <v>46065</v>
      </c>
      <c r="L347" s="179" t="s">
        <v>525</v>
      </c>
      <c r="M347" s="179" t="s">
        <v>522</v>
      </c>
      <c r="N347" s="180">
        <v>1093758</v>
      </c>
      <c r="O347" s="181">
        <v>46065</v>
      </c>
      <c r="P347" s="182" t="s">
        <v>523</v>
      </c>
      <c r="Q347" s="183">
        <v>500</v>
      </c>
      <c r="R347" s="178" t="s">
        <v>916</v>
      </c>
    </row>
    <row r="348" spans="6:18" ht="33.75" thickBot="1">
      <c r="F348" s="193">
        <v>16</v>
      </c>
      <c r="G348" s="184" t="s">
        <v>520</v>
      </c>
      <c r="H348" s="184" t="s">
        <v>520</v>
      </c>
      <c r="I348" s="184" t="s">
        <v>68</v>
      </c>
      <c r="J348" s="195">
        <v>308252039120</v>
      </c>
      <c r="K348" s="472">
        <v>46065</v>
      </c>
      <c r="L348" s="185" t="s">
        <v>525</v>
      </c>
      <c r="M348" s="185" t="s">
        <v>526</v>
      </c>
      <c r="N348" s="186">
        <v>654058</v>
      </c>
      <c r="O348" s="187">
        <v>46065</v>
      </c>
      <c r="P348" s="188" t="s">
        <v>523</v>
      </c>
      <c r="Q348" s="189">
        <v>500</v>
      </c>
      <c r="R348" s="184" t="s">
        <v>917</v>
      </c>
    </row>
    <row r="349" spans="6:18" ht="33.75" thickBot="1">
      <c r="F349" s="192">
        <v>17</v>
      </c>
      <c r="G349" s="178" t="s">
        <v>520</v>
      </c>
      <c r="H349" s="178" t="s">
        <v>520</v>
      </c>
      <c r="I349" s="178" t="s">
        <v>68</v>
      </c>
      <c r="J349" s="486">
        <v>308240537530</v>
      </c>
      <c r="K349" s="473">
        <v>46062</v>
      </c>
      <c r="L349" s="179" t="s">
        <v>525</v>
      </c>
      <c r="M349" s="179" t="s">
        <v>526</v>
      </c>
      <c r="N349" s="180">
        <v>654052</v>
      </c>
      <c r="O349" s="181">
        <v>46065</v>
      </c>
      <c r="P349" s="182" t="s">
        <v>523</v>
      </c>
      <c r="Q349" s="183">
        <v>250</v>
      </c>
      <c r="R349" s="178" t="s">
        <v>918</v>
      </c>
    </row>
    <row r="350" spans="6:18" ht="33.75" thickBot="1">
      <c r="F350" s="193">
        <v>18</v>
      </c>
      <c r="G350" s="184" t="s">
        <v>520</v>
      </c>
      <c r="H350" s="184" t="s">
        <v>520</v>
      </c>
      <c r="I350" s="184" t="s">
        <v>68</v>
      </c>
      <c r="J350" s="195">
        <v>308252111440</v>
      </c>
      <c r="K350" s="472">
        <v>46064</v>
      </c>
      <c r="L350" s="185" t="s">
        <v>525</v>
      </c>
      <c r="M350" s="185" t="s">
        <v>526</v>
      </c>
      <c r="N350" s="186">
        <v>654047</v>
      </c>
      <c r="O350" s="187">
        <v>46065</v>
      </c>
      <c r="P350" s="188" t="s">
        <v>523</v>
      </c>
      <c r="Q350" s="189">
        <v>500</v>
      </c>
      <c r="R350" s="184" t="s">
        <v>919</v>
      </c>
    </row>
    <row r="351" spans="6:18" ht="33.75" thickBot="1">
      <c r="F351" s="192">
        <v>19</v>
      </c>
      <c r="G351" s="178" t="s">
        <v>520</v>
      </c>
      <c r="H351" s="178" t="s">
        <v>520</v>
      </c>
      <c r="I351" s="178" t="s">
        <v>68</v>
      </c>
      <c r="J351" s="486">
        <v>308249638450</v>
      </c>
      <c r="K351" s="473">
        <v>46065</v>
      </c>
      <c r="L351" s="179" t="s">
        <v>525</v>
      </c>
      <c r="M351" s="179" t="s">
        <v>526</v>
      </c>
      <c r="N351" s="180">
        <v>654045</v>
      </c>
      <c r="O351" s="181">
        <v>46065</v>
      </c>
      <c r="P351" s="182" t="s">
        <v>523</v>
      </c>
      <c r="Q351" s="183">
        <v>500</v>
      </c>
      <c r="R351" s="178" t="s">
        <v>920</v>
      </c>
    </row>
    <row r="352" spans="6:18" ht="33.75" thickBot="1">
      <c r="F352" s="193">
        <v>20</v>
      </c>
      <c r="G352" s="184" t="s">
        <v>520</v>
      </c>
      <c r="H352" s="184" t="s">
        <v>520</v>
      </c>
      <c r="I352" s="184" t="s">
        <v>68</v>
      </c>
      <c r="J352" s="195">
        <v>308253318130</v>
      </c>
      <c r="K352" s="472">
        <v>46065</v>
      </c>
      <c r="L352" s="185" t="s">
        <v>525</v>
      </c>
      <c r="M352" s="185" t="s">
        <v>522</v>
      </c>
      <c r="N352" s="186">
        <v>1093184</v>
      </c>
      <c r="O352" s="187">
        <v>46065</v>
      </c>
      <c r="P352" s="188" t="s">
        <v>523</v>
      </c>
      <c r="Q352" s="189">
        <v>500</v>
      </c>
      <c r="R352" s="184" t="s">
        <v>921</v>
      </c>
    </row>
    <row r="353" spans="6:18" ht="33.75" thickBot="1">
      <c r="F353" s="192">
        <v>21</v>
      </c>
      <c r="G353" s="178" t="s">
        <v>520</v>
      </c>
      <c r="H353" s="178" t="s">
        <v>520</v>
      </c>
      <c r="I353" s="178" t="s">
        <v>68</v>
      </c>
      <c r="J353" s="486">
        <v>308254397050</v>
      </c>
      <c r="K353" s="473">
        <v>46065</v>
      </c>
      <c r="L353" s="179" t="s">
        <v>525</v>
      </c>
      <c r="M353" s="179" t="s">
        <v>522</v>
      </c>
      <c r="N353" s="180">
        <v>1093172</v>
      </c>
      <c r="O353" s="181">
        <v>46065</v>
      </c>
      <c r="P353" s="182" t="s">
        <v>523</v>
      </c>
      <c r="Q353" s="183">
        <v>500</v>
      </c>
      <c r="R353" s="178" t="s">
        <v>922</v>
      </c>
    </row>
    <row r="354" spans="6:18" ht="33.75" thickBot="1">
      <c r="F354" s="193">
        <v>22</v>
      </c>
      <c r="G354" s="184" t="s">
        <v>520</v>
      </c>
      <c r="H354" s="184" t="s">
        <v>520</v>
      </c>
      <c r="I354" s="184" t="s">
        <v>68</v>
      </c>
      <c r="J354" s="195">
        <v>308252174810</v>
      </c>
      <c r="K354" s="472">
        <v>46064</v>
      </c>
      <c r="L354" s="185" t="s">
        <v>525</v>
      </c>
      <c r="M354" s="185" t="s">
        <v>526</v>
      </c>
      <c r="N354" s="186">
        <v>652790</v>
      </c>
      <c r="O354" s="187">
        <v>46064</v>
      </c>
      <c r="P354" s="188" t="s">
        <v>523</v>
      </c>
      <c r="Q354" s="189">
        <v>500</v>
      </c>
      <c r="R354" s="184" t="s">
        <v>888</v>
      </c>
    </row>
    <row r="355" spans="6:18" ht="33.75" thickBot="1">
      <c r="F355" s="192">
        <v>23</v>
      </c>
      <c r="G355" s="178" t="s">
        <v>520</v>
      </c>
      <c r="H355" s="178" t="s">
        <v>520</v>
      </c>
      <c r="I355" s="178" t="s">
        <v>68</v>
      </c>
      <c r="J355" s="486">
        <v>308247417020</v>
      </c>
      <c r="K355" s="473">
        <v>46064</v>
      </c>
      <c r="L355" s="179" t="s">
        <v>525</v>
      </c>
      <c r="M355" s="179" t="s">
        <v>526</v>
      </c>
      <c r="N355" s="180">
        <v>652787</v>
      </c>
      <c r="O355" s="181">
        <v>46064</v>
      </c>
      <c r="P355" s="182" t="s">
        <v>523</v>
      </c>
      <c r="Q355" s="183">
        <v>250</v>
      </c>
      <c r="R355" s="178" t="s">
        <v>889</v>
      </c>
    </row>
    <row r="356" spans="6:18" ht="33.75" thickBot="1">
      <c r="F356" s="193">
        <v>24</v>
      </c>
      <c r="G356" s="184" t="s">
        <v>520</v>
      </c>
      <c r="H356" s="184" t="s">
        <v>520</v>
      </c>
      <c r="I356" s="184" t="s">
        <v>68</v>
      </c>
      <c r="J356" s="195">
        <v>107979473930</v>
      </c>
      <c r="K356" s="472">
        <v>46063</v>
      </c>
      <c r="L356" s="185" t="s">
        <v>521</v>
      </c>
      <c r="M356" s="185" t="s">
        <v>526</v>
      </c>
      <c r="N356" s="186">
        <v>652786</v>
      </c>
      <c r="O356" s="187">
        <v>46064</v>
      </c>
      <c r="P356" s="188" t="s">
        <v>523</v>
      </c>
      <c r="Q356" s="189" t="s">
        <v>692</v>
      </c>
      <c r="R356" s="184" t="s">
        <v>890</v>
      </c>
    </row>
    <row r="357" spans="6:18" ht="33.75" thickBot="1">
      <c r="F357" s="192">
        <v>25</v>
      </c>
      <c r="G357" s="178" t="s">
        <v>520</v>
      </c>
      <c r="H357" s="178" t="s">
        <v>520</v>
      </c>
      <c r="I357" s="178" t="s">
        <v>68</v>
      </c>
      <c r="J357" s="486">
        <v>308247339210</v>
      </c>
      <c r="K357" s="473">
        <v>46063</v>
      </c>
      <c r="L357" s="179" t="s">
        <v>525</v>
      </c>
      <c r="M357" s="179" t="s">
        <v>526</v>
      </c>
      <c r="N357" s="180">
        <v>652781</v>
      </c>
      <c r="O357" s="181">
        <v>46064</v>
      </c>
      <c r="P357" s="182" t="s">
        <v>523</v>
      </c>
      <c r="Q357" s="183">
        <v>500</v>
      </c>
      <c r="R357" s="178" t="s">
        <v>891</v>
      </c>
    </row>
    <row r="358" spans="6:18" ht="33.75" thickBot="1">
      <c r="F358" s="193">
        <v>26</v>
      </c>
      <c r="G358" s="184" t="s">
        <v>520</v>
      </c>
      <c r="H358" s="184" t="s">
        <v>520</v>
      </c>
      <c r="I358" s="184" t="s">
        <v>68</v>
      </c>
      <c r="J358" s="195">
        <v>308240536830</v>
      </c>
      <c r="K358" s="472">
        <v>46063</v>
      </c>
      <c r="L358" s="185" t="s">
        <v>525</v>
      </c>
      <c r="M358" s="185" t="s">
        <v>526</v>
      </c>
      <c r="N358" s="186">
        <v>652780</v>
      </c>
      <c r="O358" s="187">
        <v>46064</v>
      </c>
      <c r="P358" s="188" t="s">
        <v>523</v>
      </c>
      <c r="Q358" s="189">
        <v>500</v>
      </c>
      <c r="R358" s="184" t="s">
        <v>892</v>
      </c>
    </row>
    <row r="359" spans="6:18" ht="33.75" thickBot="1">
      <c r="F359" s="192">
        <v>27</v>
      </c>
      <c r="G359" s="178" t="s">
        <v>520</v>
      </c>
      <c r="H359" s="178" t="s">
        <v>520</v>
      </c>
      <c r="I359" s="178" t="s">
        <v>68</v>
      </c>
      <c r="J359" s="486">
        <v>308247267000</v>
      </c>
      <c r="K359" s="473">
        <v>46064</v>
      </c>
      <c r="L359" s="179" t="s">
        <v>525</v>
      </c>
      <c r="M359" s="179" t="s">
        <v>526</v>
      </c>
      <c r="N359" s="180">
        <v>652779</v>
      </c>
      <c r="O359" s="181">
        <v>46064</v>
      </c>
      <c r="P359" s="182" t="s">
        <v>523</v>
      </c>
      <c r="Q359" s="183">
        <v>500</v>
      </c>
      <c r="R359" s="178" t="s">
        <v>893</v>
      </c>
    </row>
    <row r="360" spans="6:18" ht="33.75" thickBot="1">
      <c r="F360" s="193">
        <v>28</v>
      </c>
      <c r="G360" s="184" t="s">
        <v>520</v>
      </c>
      <c r="H360" s="184" t="s">
        <v>520</v>
      </c>
      <c r="I360" s="184" t="s">
        <v>68</v>
      </c>
      <c r="J360" s="195">
        <v>308247380730</v>
      </c>
      <c r="K360" s="472">
        <v>46064</v>
      </c>
      <c r="L360" s="185" t="s">
        <v>525</v>
      </c>
      <c r="M360" s="185" t="s">
        <v>526</v>
      </c>
      <c r="N360" s="186">
        <v>652778</v>
      </c>
      <c r="O360" s="187">
        <v>46064</v>
      </c>
      <c r="P360" s="188" t="s">
        <v>523</v>
      </c>
      <c r="Q360" s="189">
        <v>250</v>
      </c>
      <c r="R360" s="184" t="s">
        <v>894</v>
      </c>
    </row>
    <row r="361" spans="6:18" ht="33.75" thickBot="1">
      <c r="F361" s="192">
        <v>29</v>
      </c>
      <c r="G361" s="178" t="s">
        <v>520</v>
      </c>
      <c r="H361" s="178" t="s">
        <v>520</v>
      </c>
      <c r="I361" s="178" t="s">
        <v>68</v>
      </c>
      <c r="J361" s="486">
        <v>308240533000</v>
      </c>
      <c r="K361" s="473">
        <v>46062</v>
      </c>
      <c r="L361" s="179" t="s">
        <v>525</v>
      </c>
      <c r="M361" s="179" t="s">
        <v>526</v>
      </c>
      <c r="N361" s="180">
        <v>652777</v>
      </c>
      <c r="O361" s="181">
        <v>46064</v>
      </c>
      <c r="P361" s="182" t="s">
        <v>523</v>
      </c>
      <c r="Q361" s="183">
        <v>500</v>
      </c>
      <c r="R361" s="178" t="s">
        <v>895</v>
      </c>
    </row>
    <row r="362" spans="6:18" ht="33.75" thickBot="1">
      <c r="F362" s="193">
        <v>30</v>
      </c>
      <c r="G362" s="184" t="s">
        <v>520</v>
      </c>
      <c r="H362" s="184" t="s">
        <v>520</v>
      </c>
      <c r="I362" s="184" t="s">
        <v>68</v>
      </c>
      <c r="J362" s="195">
        <v>308247738320</v>
      </c>
      <c r="K362" s="472">
        <v>46063</v>
      </c>
      <c r="L362" s="185" t="s">
        <v>525</v>
      </c>
      <c r="M362" s="185" t="s">
        <v>522</v>
      </c>
      <c r="N362" s="186">
        <v>1087627</v>
      </c>
      <c r="O362" s="187">
        <v>46064</v>
      </c>
      <c r="P362" s="188" t="s">
        <v>523</v>
      </c>
      <c r="Q362" s="189">
        <v>500</v>
      </c>
      <c r="R362" s="184" t="s">
        <v>896</v>
      </c>
    </row>
    <row r="363" spans="6:18" ht="33.75" thickBot="1">
      <c r="F363" s="192">
        <v>31</v>
      </c>
      <c r="G363" s="178" t="s">
        <v>520</v>
      </c>
      <c r="H363" s="178" t="s">
        <v>520</v>
      </c>
      <c r="I363" s="178" t="s">
        <v>68</v>
      </c>
      <c r="J363" s="486">
        <v>308246968210</v>
      </c>
      <c r="K363" s="473">
        <v>46063</v>
      </c>
      <c r="L363" s="179" t="s">
        <v>525</v>
      </c>
      <c r="M363" s="179" t="s">
        <v>526</v>
      </c>
      <c r="N363" s="180">
        <v>651477</v>
      </c>
      <c r="O363" s="181">
        <v>46064</v>
      </c>
      <c r="P363" s="182" t="s">
        <v>523</v>
      </c>
      <c r="Q363" s="183">
        <v>250</v>
      </c>
      <c r="R363" s="178" t="s">
        <v>897</v>
      </c>
    </row>
    <row r="364" spans="6:18" ht="33.75" thickBot="1">
      <c r="F364" s="193">
        <v>32</v>
      </c>
      <c r="G364" s="184" t="s">
        <v>520</v>
      </c>
      <c r="H364" s="184" t="s">
        <v>520</v>
      </c>
      <c r="I364" s="184" t="s">
        <v>68</v>
      </c>
      <c r="J364" s="195">
        <v>308246996800</v>
      </c>
      <c r="K364" s="472">
        <v>46063</v>
      </c>
      <c r="L364" s="185" t="s">
        <v>525</v>
      </c>
      <c r="M364" s="185" t="s">
        <v>526</v>
      </c>
      <c r="N364" s="186">
        <v>651475</v>
      </c>
      <c r="O364" s="187">
        <v>46064</v>
      </c>
      <c r="P364" s="188" t="s">
        <v>523</v>
      </c>
      <c r="Q364" s="189">
        <v>500</v>
      </c>
      <c r="R364" s="184" t="s">
        <v>898</v>
      </c>
    </row>
    <row r="365" spans="6:18" ht="33.75" thickBot="1">
      <c r="F365" s="192">
        <v>33</v>
      </c>
      <c r="G365" s="178" t="s">
        <v>520</v>
      </c>
      <c r="H365" s="178" t="s">
        <v>520</v>
      </c>
      <c r="I365" s="178" t="s">
        <v>68</v>
      </c>
      <c r="J365" s="486">
        <v>308249689700</v>
      </c>
      <c r="K365" s="473">
        <v>46064</v>
      </c>
      <c r="L365" s="179" t="s">
        <v>525</v>
      </c>
      <c r="M365" s="179" t="s">
        <v>522</v>
      </c>
      <c r="N365" s="180">
        <v>1086458</v>
      </c>
      <c r="O365" s="181">
        <v>46064</v>
      </c>
      <c r="P365" s="182" t="s">
        <v>523</v>
      </c>
      <c r="Q365" s="183">
        <v>500</v>
      </c>
      <c r="R365" s="178" t="s">
        <v>899</v>
      </c>
    </row>
    <row r="366" spans="6:18" ht="33.75" thickBot="1">
      <c r="F366" s="193">
        <v>34</v>
      </c>
      <c r="G366" s="184" t="s">
        <v>520</v>
      </c>
      <c r="H366" s="184" t="s">
        <v>520</v>
      </c>
      <c r="I366" s="184" t="s">
        <v>68</v>
      </c>
      <c r="J366" s="195">
        <v>308229221660</v>
      </c>
      <c r="K366" s="472">
        <v>46059</v>
      </c>
      <c r="L366" s="185" t="s">
        <v>525</v>
      </c>
      <c r="M366" s="185" t="s">
        <v>522</v>
      </c>
      <c r="N366" s="186">
        <v>1086417</v>
      </c>
      <c r="O366" s="187">
        <v>46064</v>
      </c>
      <c r="P366" s="188" t="s">
        <v>523</v>
      </c>
      <c r="Q366" s="189">
        <v>63.756999999999998</v>
      </c>
      <c r="R366" s="184" t="s">
        <v>900</v>
      </c>
    </row>
    <row r="367" spans="6:18" ht="33.75" thickBot="1">
      <c r="F367" s="192">
        <v>35</v>
      </c>
      <c r="G367" s="178" t="s">
        <v>520</v>
      </c>
      <c r="H367" s="178" t="s">
        <v>520</v>
      </c>
      <c r="I367" s="178" t="s">
        <v>68</v>
      </c>
      <c r="J367" s="486">
        <v>308203927160</v>
      </c>
      <c r="K367" s="473">
        <v>46051</v>
      </c>
      <c r="L367" s="179" t="s">
        <v>525</v>
      </c>
      <c r="M367" s="179" t="s">
        <v>522</v>
      </c>
      <c r="N367" s="180">
        <v>1086400</v>
      </c>
      <c r="O367" s="181">
        <v>46064</v>
      </c>
      <c r="P367" s="182" t="s">
        <v>523</v>
      </c>
      <c r="Q367" s="183">
        <v>26.971</v>
      </c>
      <c r="R367" s="178" t="s">
        <v>901</v>
      </c>
    </row>
    <row r="368" spans="6:18" ht="33.75" thickBot="1">
      <c r="F368" s="207">
        <v>1</v>
      </c>
      <c r="G368" s="208" t="s">
        <v>520</v>
      </c>
      <c r="H368" s="208" t="s">
        <v>520</v>
      </c>
      <c r="I368" s="208" t="s">
        <v>68</v>
      </c>
      <c r="J368" s="209">
        <v>308246921200</v>
      </c>
      <c r="K368" s="449">
        <v>46064</v>
      </c>
      <c r="L368" s="209" t="s">
        <v>525</v>
      </c>
      <c r="M368" s="209" t="s">
        <v>526</v>
      </c>
      <c r="N368" s="210">
        <v>657183</v>
      </c>
      <c r="O368" s="211">
        <v>46076</v>
      </c>
      <c r="P368" s="212" t="s">
        <v>523</v>
      </c>
      <c r="Q368" s="213">
        <v>500</v>
      </c>
      <c r="R368" s="208" t="s">
        <v>946</v>
      </c>
    </row>
    <row r="369" spans="6:18" ht="33.75" thickBot="1">
      <c r="F369" s="207">
        <v>1</v>
      </c>
      <c r="G369" s="208" t="s">
        <v>520</v>
      </c>
      <c r="H369" s="208" t="s">
        <v>520</v>
      </c>
      <c r="I369" s="208" t="s">
        <v>68</v>
      </c>
      <c r="J369" s="209">
        <v>308252801420</v>
      </c>
      <c r="K369" s="449">
        <v>46065</v>
      </c>
      <c r="L369" s="209" t="s">
        <v>525</v>
      </c>
      <c r="M369" s="209" t="s">
        <v>526</v>
      </c>
      <c r="N369" s="210">
        <v>657184</v>
      </c>
      <c r="O369" s="211">
        <v>46076</v>
      </c>
      <c r="P369" s="212" t="s">
        <v>523</v>
      </c>
      <c r="Q369" s="213">
        <v>500</v>
      </c>
      <c r="R369" s="208" t="s">
        <v>947</v>
      </c>
    </row>
    <row r="370" spans="6:18" ht="33.75" thickBot="1">
      <c r="F370" s="207">
        <v>1</v>
      </c>
      <c r="G370" s="208" t="s">
        <v>520</v>
      </c>
      <c r="H370" s="208" t="s">
        <v>520</v>
      </c>
      <c r="I370" s="208" t="s">
        <v>68</v>
      </c>
      <c r="J370" s="209">
        <v>308252076440</v>
      </c>
      <c r="K370" s="449">
        <v>46064</v>
      </c>
      <c r="L370" s="209" t="s">
        <v>525</v>
      </c>
      <c r="M370" s="209" t="s">
        <v>526</v>
      </c>
      <c r="N370" s="210">
        <v>657160</v>
      </c>
      <c r="O370" s="211">
        <v>46076</v>
      </c>
      <c r="P370" s="212" t="s">
        <v>523</v>
      </c>
      <c r="Q370" s="213">
        <v>500</v>
      </c>
      <c r="R370" s="208" t="s">
        <v>948</v>
      </c>
    </row>
    <row r="371" spans="6:18" ht="33.75" thickBot="1">
      <c r="F371" s="207">
        <v>1</v>
      </c>
      <c r="G371" s="208" t="s">
        <v>520</v>
      </c>
      <c r="H371" s="208" t="s">
        <v>520</v>
      </c>
      <c r="I371" s="208" t="s">
        <v>68</v>
      </c>
      <c r="J371" s="209">
        <v>308247130830</v>
      </c>
      <c r="K371" s="449">
        <v>46064</v>
      </c>
      <c r="L371" s="209" t="s">
        <v>525</v>
      </c>
      <c r="M371" s="209" t="s">
        <v>526</v>
      </c>
      <c r="N371" s="210">
        <v>657167</v>
      </c>
      <c r="O371" s="211">
        <v>46076</v>
      </c>
      <c r="P371" s="212" t="s">
        <v>523</v>
      </c>
      <c r="Q371" s="213">
        <v>250</v>
      </c>
      <c r="R371" s="208" t="s">
        <v>949</v>
      </c>
    </row>
    <row r="372" spans="6:18" ht="33.75" thickBot="1">
      <c r="F372" s="207">
        <v>1</v>
      </c>
      <c r="G372" s="208" t="s">
        <v>520</v>
      </c>
      <c r="H372" s="208" t="s">
        <v>520</v>
      </c>
      <c r="I372" s="208" t="s">
        <v>68</v>
      </c>
      <c r="J372" s="209">
        <v>308252746230</v>
      </c>
      <c r="K372" s="449">
        <v>46065</v>
      </c>
      <c r="L372" s="209" t="s">
        <v>525</v>
      </c>
      <c r="M372" s="209" t="s">
        <v>526</v>
      </c>
      <c r="N372" s="210">
        <v>657168</v>
      </c>
      <c r="O372" s="211">
        <v>46076</v>
      </c>
      <c r="P372" s="212" t="s">
        <v>523</v>
      </c>
      <c r="Q372" s="213">
        <v>250</v>
      </c>
      <c r="R372" s="208" t="s">
        <v>950</v>
      </c>
    </row>
    <row r="373" spans="6:18" ht="15.75" thickBot="1">
      <c r="F373" s="434"/>
      <c r="G373" s="178"/>
      <c r="H373" s="178"/>
      <c r="I373" s="178"/>
      <c r="J373" s="481"/>
      <c r="K373" s="435"/>
      <c r="L373" s="435"/>
      <c r="M373" s="435"/>
      <c r="N373" s="436"/>
      <c r="O373" s="437"/>
      <c r="P373" s="438"/>
      <c r="Q373" s="439"/>
      <c r="R373" s="178"/>
    </row>
    <row r="374" spans="6:18" ht="15.75" thickBot="1">
      <c r="F374" s="428"/>
      <c r="G374" s="184"/>
      <c r="H374" s="184"/>
      <c r="I374" s="184"/>
      <c r="J374" s="482"/>
      <c r="K374" s="429"/>
      <c r="L374" s="429"/>
      <c r="M374" s="429"/>
      <c r="N374" s="430"/>
      <c r="O374" s="431"/>
      <c r="P374" s="432"/>
      <c r="Q374" s="433"/>
      <c r="R374" s="184"/>
    </row>
    <row r="375" spans="6:18" ht="15.75" thickBot="1">
      <c r="F375" s="434"/>
      <c r="G375" s="178"/>
      <c r="H375" s="178"/>
      <c r="I375" s="178"/>
      <c r="J375" s="481"/>
      <c r="K375" s="435"/>
      <c r="L375" s="435"/>
      <c r="M375" s="435"/>
      <c r="N375" s="436"/>
      <c r="O375" s="437"/>
      <c r="P375" s="438"/>
      <c r="Q375" s="439"/>
      <c r="R375" s="178"/>
    </row>
    <row r="376" spans="6:18" ht="15.75" thickBot="1">
      <c r="F376" s="428"/>
      <c r="G376" s="184"/>
      <c r="H376" s="184"/>
      <c r="I376" s="184"/>
      <c r="J376" s="482"/>
      <c r="K376" s="429"/>
      <c r="L376" s="429"/>
      <c r="M376" s="429"/>
      <c r="N376" s="430"/>
      <c r="O376" s="431"/>
      <c r="P376" s="432"/>
      <c r="Q376" s="433"/>
      <c r="R376" s="184"/>
    </row>
    <row r="377" spans="6:18" ht="15.75" thickBot="1">
      <c r="F377" s="434"/>
      <c r="G377" s="178"/>
      <c r="H377" s="178"/>
      <c r="I377" s="178"/>
      <c r="J377" s="481"/>
      <c r="K377" s="435"/>
      <c r="L377" s="435"/>
      <c r="M377" s="435"/>
      <c r="N377" s="436"/>
      <c r="O377" s="437"/>
      <c r="P377" s="438"/>
      <c r="Q377" s="439"/>
      <c r="R377" s="178"/>
    </row>
    <row r="378" spans="6:18" ht="15.75" thickBot="1">
      <c r="F378" s="428"/>
      <c r="G378" s="184"/>
      <c r="H378" s="184"/>
      <c r="I378" s="184"/>
      <c r="J378" s="482"/>
      <c r="K378" s="429"/>
      <c r="L378" s="429"/>
      <c r="M378" s="429"/>
      <c r="N378" s="430"/>
      <c r="O378" s="431"/>
      <c r="P378" s="432"/>
      <c r="Q378" s="433"/>
      <c r="R378" s="184"/>
    </row>
    <row r="379" spans="6:18" ht="15.75" thickBot="1">
      <c r="F379" s="434"/>
      <c r="G379" s="178"/>
      <c r="H379" s="178"/>
      <c r="I379" s="178"/>
      <c r="J379" s="481"/>
      <c r="K379" s="435"/>
      <c r="L379" s="435"/>
      <c r="M379" s="435"/>
      <c r="N379" s="436"/>
      <c r="O379" s="437"/>
      <c r="P379" s="438"/>
      <c r="Q379" s="439"/>
      <c r="R379" s="178"/>
    </row>
    <row r="380" spans="6:18" ht="15.75" thickBot="1">
      <c r="F380" s="428"/>
      <c r="G380" s="184"/>
      <c r="H380" s="184"/>
      <c r="I380" s="184"/>
      <c r="J380" s="482"/>
      <c r="K380" s="429"/>
      <c r="L380" s="429"/>
      <c r="M380" s="429"/>
      <c r="N380" s="430"/>
      <c r="O380" s="431"/>
      <c r="P380" s="432"/>
      <c r="Q380" s="433"/>
      <c r="R380" s="184"/>
    </row>
    <row r="381" spans="6:18" ht="15.75" thickBot="1">
      <c r="F381" s="434"/>
      <c r="G381" s="178"/>
      <c r="H381" s="178"/>
      <c r="I381" s="178"/>
      <c r="J381" s="481"/>
      <c r="K381" s="435"/>
      <c r="L381" s="435"/>
      <c r="M381" s="435"/>
      <c r="N381" s="436"/>
      <c r="O381" s="437"/>
      <c r="P381" s="438"/>
      <c r="Q381" s="439"/>
      <c r="R381" s="178"/>
    </row>
    <row r="382" spans="6:18" ht="15.75" thickBot="1">
      <c r="F382" s="428"/>
      <c r="G382" s="184"/>
      <c r="H382" s="184"/>
      <c r="I382" s="184"/>
      <c r="J382" s="482"/>
      <c r="K382" s="429"/>
      <c r="L382" s="429"/>
      <c r="M382" s="429"/>
      <c r="N382" s="430"/>
      <c r="O382" s="431"/>
      <c r="P382" s="432"/>
      <c r="Q382" s="433"/>
      <c r="R382" s="184"/>
    </row>
    <row r="383" spans="6:18" ht="15.75" thickBot="1">
      <c r="F383" s="434"/>
      <c r="G383" s="178"/>
      <c r="H383" s="178"/>
      <c r="I383" s="178"/>
      <c r="J383" s="481"/>
      <c r="K383" s="435"/>
      <c r="L383" s="435"/>
      <c r="M383" s="435"/>
      <c r="N383" s="436"/>
      <c r="O383" s="437"/>
      <c r="P383" s="438"/>
      <c r="Q383" s="439"/>
      <c r="R383" s="178"/>
    </row>
    <row r="384" spans="6:18" ht="15.75" thickBot="1">
      <c r="F384" s="428"/>
      <c r="G384" s="184"/>
      <c r="H384" s="184"/>
      <c r="I384" s="184"/>
      <c r="J384" s="482"/>
      <c r="K384" s="429"/>
      <c r="L384" s="429"/>
      <c r="M384" s="429"/>
      <c r="N384" s="430"/>
      <c r="O384" s="431"/>
      <c r="P384" s="432"/>
      <c r="Q384" s="433"/>
      <c r="R384" s="184"/>
    </row>
    <row r="385" spans="6:18" ht="15.75" thickBot="1">
      <c r="F385" s="434"/>
      <c r="G385" s="178"/>
      <c r="H385" s="178"/>
      <c r="I385" s="178"/>
      <c r="J385" s="481"/>
      <c r="K385" s="435"/>
      <c r="L385" s="435"/>
      <c r="M385" s="435"/>
      <c r="N385" s="436"/>
      <c r="O385" s="437"/>
      <c r="P385" s="438"/>
      <c r="Q385" s="439"/>
      <c r="R385" s="178"/>
    </row>
    <row r="386" spans="6:18" ht="15.75" thickBot="1">
      <c r="F386" s="428"/>
      <c r="G386" s="184"/>
      <c r="H386" s="184"/>
      <c r="I386" s="184"/>
      <c r="J386" s="482"/>
      <c r="K386" s="429"/>
      <c r="L386" s="429"/>
      <c r="M386" s="429"/>
      <c r="N386" s="430"/>
      <c r="O386" s="431"/>
      <c r="P386" s="432"/>
      <c r="Q386" s="433"/>
      <c r="R386" s="184"/>
    </row>
    <row r="387" spans="6:18" ht="15.75" thickBot="1">
      <c r="F387" s="434"/>
      <c r="G387" s="178"/>
      <c r="H387" s="178"/>
      <c r="I387" s="178"/>
      <c r="J387" s="481"/>
      <c r="K387" s="435"/>
      <c r="L387" s="435"/>
      <c r="M387" s="435"/>
      <c r="N387" s="436"/>
      <c r="O387" s="437"/>
      <c r="P387" s="438"/>
      <c r="Q387" s="439"/>
      <c r="R387" s="178"/>
    </row>
    <row r="388" spans="6:18" ht="15.75" thickBot="1">
      <c r="F388" s="428"/>
      <c r="G388" s="184"/>
      <c r="H388" s="184"/>
      <c r="I388" s="184"/>
      <c r="J388" s="482"/>
      <c r="K388" s="429"/>
      <c r="L388" s="429"/>
      <c r="M388" s="429"/>
      <c r="N388" s="430"/>
      <c r="O388" s="431"/>
      <c r="P388" s="432"/>
      <c r="Q388" s="433"/>
      <c r="R388" s="184"/>
    </row>
    <row r="389" spans="6:18" ht="15.75" thickBot="1">
      <c r="F389" s="434"/>
      <c r="G389" s="178"/>
      <c r="H389" s="178"/>
      <c r="I389" s="178"/>
      <c r="J389" s="481"/>
      <c r="K389" s="435"/>
      <c r="L389" s="435"/>
      <c r="M389" s="435"/>
      <c r="N389" s="436"/>
      <c r="O389" s="437"/>
      <c r="P389" s="438"/>
      <c r="Q389" s="439"/>
      <c r="R389" s="178"/>
    </row>
    <row r="390" spans="6:18" ht="15.75" thickBot="1">
      <c r="F390" s="428"/>
      <c r="G390" s="184"/>
      <c r="H390" s="184"/>
      <c r="I390" s="184"/>
      <c r="J390" s="482"/>
      <c r="K390" s="441"/>
      <c r="L390" s="429"/>
      <c r="M390" s="429"/>
      <c r="N390" s="430"/>
      <c r="O390" s="431"/>
      <c r="P390" s="432"/>
      <c r="Q390" s="433"/>
      <c r="R390" s="184"/>
    </row>
    <row r="391" spans="6:18" ht="15.75" thickBot="1">
      <c r="F391" s="434"/>
      <c r="G391" s="178"/>
      <c r="H391" s="178"/>
      <c r="I391" s="178"/>
      <c r="J391" s="481"/>
      <c r="K391" s="435"/>
      <c r="L391" s="435"/>
      <c r="M391" s="435"/>
      <c r="N391" s="436"/>
      <c r="O391" s="437"/>
      <c r="P391" s="438"/>
      <c r="Q391" s="439"/>
      <c r="R391" s="178"/>
    </row>
    <row r="392" spans="6:18" ht="15.75" thickBot="1">
      <c r="F392" s="428"/>
      <c r="G392" s="184"/>
      <c r="H392" s="184"/>
      <c r="I392" s="184"/>
      <c r="J392" s="482"/>
      <c r="K392" s="429"/>
      <c r="L392" s="429"/>
      <c r="M392" s="429"/>
      <c r="N392" s="430"/>
      <c r="O392" s="431"/>
      <c r="P392" s="432"/>
      <c r="Q392" s="433"/>
      <c r="R392" s="184"/>
    </row>
    <row r="393" spans="6:18" ht="15.75" thickBot="1">
      <c r="F393" s="434"/>
      <c r="G393" s="178"/>
      <c r="H393" s="178"/>
      <c r="I393" s="178"/>
      <c r="J393" s="481"/>
      <c r="K393" s="435"/>
      <c r="L393" s="435"/>
      <c r="M393" s="435"/>
      <c r="N393" s="436"/>
      <c r="O393" s="437"/>
      <c r="P393" s="438"/>
      <c r="Q393" s="439"/>
      <c r="R393" s="178"/>
    </row>
    <row r="394" spans="6:18" ht="15.75" thickBot="1">
      <c r="F394" s="428"/>
      <c r="G394" s="184"/>
      <c r="H394" s="184"/>
      <c r="I394" s="184"/>
      <c r="J394" s="482"/>
      <c r="K394" s="429"/>
      <c r="L394" s="429"/>
      <c r="M394" s="429"/>
      <c r="N394" s="430"/>
      <c r="O394" s="431"/>
      <c r="P394" s="432"/>
      <c r="Q394" s="433"/>
      <c r="R394" s="184"/>
    </row>
    <row r="395" spans="6:18" ht="15.75" thickBot="1">
      <c r="F395" s="434"/>
      <c r="G395" s="178"/>
      <c r="H395" s="178"/>
      <c r="I395" s="178"/>
      <c r="J395" s="481"/>
      <c r="K395" s="435"/>
      <c r="L395" s="435"/>
      <c r="M395" s="435"/>
      <c r="N395" s="436"/>
      <c r="O395" s="437"/>
      <c r="P395" s="438"/>
      <c r="Q395" s="439"/>
      <c r="R395" s="178"/>
    </row>
    <row r="396" spans="6:18" ht="15.75" thickBot="1">
      <c r="F396" s="428"/>
      <c r="G396" s="184"/>
      <c r="H396" s="184"/>
      <c r="I396" s="184"/>
      <c r="J396" s="482"/>
      <c r="K396" s="429"/>
      <c r="L396" s="429"/>
      <c r="M396" s="429"/>
      <c r="N396" s="430"/>
      <c r="O396" s="431"/>
      <c r="P396" s="432"/>
      <c r="Q396" s="433"/>
      <c r="R396" s="184"/>
    </row>
    <row r="397" spans="6:18" ht="15.75" thickBot="1">
      <c r="F397" s="434"/>
      <c r="G397" s="178"/>
      <c r="H397" s="178"/>
      <c r="I397" s="178"/>
      <c r="J397" s="481"/>
      <c r="K397" s="435"/>
      <c r="L397" s="435"/>
      <c r="M397" s="435"/>
      <c r="N397" s="436"/>
      <c r="O397" s="437"/>
      <c r="P397" s="438"/>
      <c r="Q397" s="439"/>
      <c r="R397" s="178"/>
    </row>
    <row r="398" spans="6:18" ht="15.75" thickBot="1">
      <c r="F398" s="428"/>
      <c r="G398" s="184"/>
      <c r="H398" s="184"/>
      <c r="I398" s="184"/>
      <c r="J398" s="482"/>
      <c r="K398" s="429"/>
      <c r="L398" s="429"/>
      <c r="M398" s="429"/>
      <c r="N398" s="430"/>
      <c r="O398" s="431"/>
      <c r="P398" s="432"/>
      <c r="Q398" s="433"/>
      <c r="R398" s="184"/>
    </row>
    <row r="399" spans="6:18" ht="15.75" thickBot="1">
      <c r="F399" s="434"/>
      <c r="G399" s="178"/>
      <c r="H399" s="178"/>
      <c r="I399" s="178"/>
      <c r="J399" s="481"/>
      <c r="K399" s="435"/>
      <c r="L399" s="435"/>
      <c r="M399" s="435"/>
      <c r="N399" s="436"/>
      <c r="O399" s="437"/>
      <c r="P399" s="438"/>
      <c r="Q399" s="439"/>
      <c r="R399" s="178"/>
    </row>
    <row r="400" spans="6:18" ht="15.75" thickBot="1">
      <c r="F400" s="428"/>
      <c r="G400" s="184"/>
      <c r="H400" s="184"/>
      <c r="I400" s="184"/>
      <c r="J400" s="482"/>
      <c r="K400" s="429"/>
      <c r="L400" s="429"/>
      <c r="M400" s="429"/>
      <c r="N400" s="430"/>
      <c r="O400" s="431"/>
      <c r="P400" s="432"/>
      <c r="Q400" s="433"/>
      <c r="R400" s="184"/>
    </row>
    <row r="401" spans="6:18" ht="15.75" thickBot="1">
      <c r="F401" s="434"/>
      <c r="G401" s="178"/>
      <c r="H401" s="178"/>
      <c r="I401" s="178"/>
      <c r="J401" s="481"/>
      <c r="K401" s="435"/>
      <c r="L401" s="435"/>
      <c r="M401" s="435"/>
      <c r="N401" s="436"/>
      <c r="O401" s="437"/>
      <c r="P401" s="438"/>
      <c r="Q401" s="439"/>
      <c r="R401" s="178"/>
    </row>
    <row r="402" spans="6:18" ht="15.75" thickBot="1">
      <c r="F402" s="428"/>
      <c r="G402" s="184"/>
      <c r="H402" s="184"/>
      <c r="I402" s="184"/>
      <c r="J402" s="482"/>
      <c r="K402" s="429"/>
      <c r="L402" s="429"/>
      <c r="M402" s="429"/>
      <c r="N402" s="430"/>
      <c r="O402" s="431"/>
      <c r="P402" s="432"/>
      <c r="Q402" s="433"/>
      <c r="R402" s="184"/>
    </row>
    <row r="403" spans="6:18" ht="15.75" thickBot="1">
      <c r="F403" s="434"/>
      <c r="G403" s="178"/>
      <c r="H403" s="178"/>
      <c r="I403" s="178"/>
      <c r="J403" s="481"/>
      <c r="K403" s="435"/>
      <c r="L403" s="435"/>
      <c r="M403" s="435"/>
      <c r="N403" s="436"/>
      <c r="O403" s="437"/>
      <c r="P403" s="438"/>
      <c r="Q403" s="439"/>
      <c r="R403" s="178"/>
    </row>
    <row r="404" spans="6:18" ht="15.75" thickBot="1">
      <c r="F404" s="428"/>
      <c r="G404" s="184"/>
      <c r="H404" s="184"/>
      <c r="I404" s="184"/>
      <c r="J404" s="482"/>
      <c r="K404" s="429"/>
      <c r="L404" s="429"/>
      <c r="M404" s="429"/>
      <c r="N404" s="430"/>
      <c r="O404" s="431"/>
      <c r="P404" s="432"/>
      <c r="Q404" s="433"/>
      <c r="R404" s="184"/>
    </row>
    <row r="405" spans="6:18" ht="15.75" thickBot="1">
      <c r="F405" s="422"/>
      <c r="G405" s="208"/>
      <c r="H405" s="208"/>
      <c r="I405" s="208"/>
      <c r="J405" s="483"/>
      <c r="K405" s="446"/>
      <c r="L405" s="423"/>
      <c r="M405" s="423"/>
      <c r="N405" s="424"/>
      <c r="O405" s="425"/>
      <c r="P405" s="426"/>
      <c r="Q405" s="427"/>
      <c r="R405" s="208"/>
    </row>
    <row r="406" spans="6:18" ht="15.75" thickBot="1">
      <c r="F406" s="428"/>
      <c r="G406" s="184"/>
      <c r="H406" s="184"/>
      <c r="I406" s="184"/>
      <c r="J406" s="482"/>
      <c r="K406" s="429"/>
      <c r="L406" s="429"/>
      <c r="M406" s="429"/>
      <c r="N406" s="430"/>
      <c r="O406" s="431"/>
      <c r="P406" s="432"/>
      <c r="Q406" s="433"/>
      <c r="R406" s="184"/>
    </row>
    <row r="407" spans="6:18" ht="15.75" thickBot="1">
      <c r="F407" s="434"/>
      <c r="G407" s="178"/>
      <c r="H407" s="178"/>
      <c r="I407" s="178"/>
      <c r="J407" s="481"/>
      <c r="K407" s="440"/>
      <c r="L407" s="435"/>
      <c r="M407" s="435"/>
      <c r="N407" s="436"/>
      <c r="O407" s="437"/>
      <c r="P407" s="438"/>
      <c r="Q407" s="439"/>
      <c r="R407" s="178"/>
    </row>
    <row r="408" spans="6:18" ht="15.75" thickBot="1">
      <c r="F408" s="428"/>
      <c r="G408" s="184"/>
      <c r="H408" s="184"/>
      <c r="I408" s="184"/>
      <c r="J408" s="482"/>
      <c r="K408" s="429"/>
      <c r="L408" s="429"/>
      <c r="M408" s="429"/>
      <c r="N408" s="430"/>
      <c r="O408" s="431"/>
      <c r="P408" s="432"/>
      <c r="Q408" s="433"/>
      <c r="R408" s="184"/>
    </row>
    <row r="409" spans="6:18" ht="15.75" thickBot="1">
      <c r="F409" s="434"/>
      <c r="G409" s="178"/>
      <c r="H409" s="178"/>
      <c r="I409" s="178"/>
      <c r="J409" s="481"/>
      <c r="K409" s="440"/>
      <c r="L409" s="435"/>
      <c r="M409" s="435"/>
      <c r="N409" s="436"/>
      <c r="O409" s="437"/>
      <c r="P409" s="438"/>
      <c r="Q409" s="439"/>
      <c r="R409" s="178"/>
    </row>
    <row r="410" spans="6:18" ht="15.75" thickBot="1">
      <c r="F410" s="428"/>
      <c r="G410" s="184"/>
      <c r="H410" s="184"/>
      <c r="I410" s="184"/>
      <c r="J410" s="482"/>
      <c r="K410" s="441"/>
      <c r="L410" s="429"/>
      <c r="M410" s="429"/>
      <c r="N410" s="430"/>
      <c r="O410" s="431"/>
      <c r="P410" s="432"/>
      <c r="Q410" s="433"/>
      <c r="R410" s="184"/>
    </row>
    <row r="411" spans="6:18" ht="15.75" thickBot="1">
      <c r="F411" s="434"/>
      <c r="G411" s="178"/>
      <c r="H411" s="178"/>
      <c r="I411" s="178"/>
      <c r="J411" s="481"/>
      <c r="K411" s="440"/>
      <c r="L411" s="435"/>
      <c r="M411" s="435"/>
      <c r="N411" s="436"/>
      <c r="O411" s="437"/>
      <c r="P411" s="438"/>
      <c r="Q411" s="439"/>
      <c r="R411" s="178"/>
    </row>
    <row r="412" spans="6:18" ht="15.75" thickBot="1">
      <c r="F412" s="428"/>
      <c r="G412" s="184"/>
      <c r="H412" s="184"/>
      <c r="I412" s="184"/>
      <c r="J412" s="482"/>
      <c r="K412" s="441"/>
      <c r="L412" s="429"/>
      <c r="M412" s="429"/>
      <c r="N412" s="430"/>
      <c r="O412" s="431"/>
      <c r="P412" s="432"/>
      <c r="Q412" s="433"/>
      <c r="R412" s="184"/>
    </row>
    <row r="413" spans="6:18" ht="15.75" thickBot="1">
      <c r="F413" s="434"/>
      <c r="G413" s="178"/>
      <c r="H413" s="178"/>
      <c r="I413" s="178"/>
      <c r="J413" s="481"/>
      <c r="K413" s="440"/>
      <c r="L413" s="435"/>
      <c r="M413" s="435"/>
      <c r="N413" s="436"/>
      <c r="O413" s="437"/>
      <c r="P413" s="438"/>
      <c r="Q413" s="439"/>
      <c r="R413" s="178"/>
    </row>
    <row r="414" spans="6:18" ht="15.75" thickBot="1">
      <c r="F414" s="428"/>
      <c r="G414" s="184"/>
      <c r="H414" s="184"/>
      <c r="I414" s="184"/>
      <c r="J414" s="482"/>
      <c r="K414" s="441"/>
      <c r="L414" s="429"/>
      <c r="M414" s="429"/>
      <c r="N414" s="430"/>
      <c r="O414" s="431"/>
      <c r="P414" s="432"/>
      <c r="Q414" s="433"/>
      <c r="R414" s="184"/>
    </row>
    <row r="415" spans="6:18" ht="15.75" thickBot="1">
      <c r="F415" s="434"/>
      <c r="G415" s="178"/>
      <c r="H415" s="178"/>
      <c r="I415" s="178"/>
      <c r="J415" s="481"/>
      <c r="K415" s="440"/>
      <c r="L415" s="435"/>
      <c r="M415" s="435"/>
      <c r="N415" s="436"/>
      <c r="O415" s="437"/>
      <c r="P415" s="438"/>
      <c r="Q415" s="439"/>
      <c r="R415" s="178"/>
    </row>
    <row r="416" spans="6:18" ht="15.75" thickBot="1">
      <c r="F416" s="428"/>
      <c r="G416" s="184"/>
      <c r="H416" s="184"/>
      <c r="I416" s="184"/>
      <c r="J416" s="482"/>
      <c r="K416" s="441"/>
      <c r="L416" s="429"/>
      <c r="M416" s="429"/>
      <c r="N416" s="430"/>
      <c r="O416" s="431"/>
      <c r="P416" s="432"/>
      <c r="Q416" s="433"/>
      <c r="R416" s="184"/>
    </row>
    <row r="417" spans="6:18" ht="15.75" thickBot="1">
      <c r="F417" s="434"/>
      <c r="G417" s="178"/>
      <c r="H417" s="178"/>
      <c r="I417" s="178"/>
      <c r="J417" s="481"/>
      <c r="K417" s="440"/>
      <c r="L417" s="435"/>
      <c r="M417" s="435"/>
      <c r="N417" s="436"/>
      <c r="O417" s="437"/>
      <c r="P417" s="438"/>
      <c r="Q417" s="439"/>
      <c r="R417" s="178"/>
    </row>
    <row r="418" spans="6:18" ht="15.75" thickBot="1">
      <c r="F418" s="428"/>
      <c r="G418" s="184"/>
      <c r="H418" s="184"/>
      <c r="I418" s="184"/>
      <c r="J418" s="482"/>
      <c r="K418" s="441"/>
      <c r="L418" s="429"/>
      <c r="M418" s="429"/>
      <c r="N418" s="430"/>
      <c r="O418" s="431"/>
      <c r="P418" s="432"/>
      <c r="Q418" s="433"/>
      <c r="R418" s="184"/>
    </row>
    <row r="419" spans="6:18" ht="15.75" thickBot="1">
      <c r="F419" s="434"/>
      <c r="G419" s="178"/>
      <c r="H419" s="178"/>
      <c r="I419" s="178"/>
      <c r="J419" s="481"/>
      <c r="K419" s="435"/>
      <c r="L419" s="435"/>
      <c r="M419" s="435"/>
      <c r="N419" s="436"/>
      <c r="O419" s="437"/>
      <c r="P419" s="438"/>
      <c r="Q419" s="439"/>
      <c r="R419" s="178"/>
    </row>
    <row r="420" spans="6:18" ht="15.75" thickBot="1">
      <c r="F420" s="428"/>
      <c r="G420" s="184"/>
      <c r="H420" s="184"/>
      <c r="I420" s="184"/>
      <c r="J420" s="482"/>
      <c r="K420" s="441"/>
      <c r="L420" s="429"/>
      <c r="M420" s="429"/>
      <c r="N420" s="430"/>
      <c r="O420" s="431"/>
      <c r="P420" s="432"/>
      <c r="Q420" s="433"/>
      <c r="R420" s="184"/>
    </row>
    <row r="421" spans="6:18" ht="15.75" thickBot="1">
      <c r="F421" s="434"/>
      <c r="G421" s="178"/>
      <c r="H421" s="178"/>
      <c r="I421" s="178"/>
      <c r="J421" s="481"/>
      <c r="K421" s="435"/>
      <c r="L421" s="435"/>
      <c r="M421" s="435"/>
      <c r="N421" s="436"/>
      <c r="O421" s="437"/>
      <c r="P421" s="438"/>
      <c r="Q421" s="439"/>
      <c r="R421" s="178"/>
    </row>
    <row r="422" spans="6:18" ht="15.75" thickBot="1">
      <c r="F422" s="428"/>
      <c r="G422" s="184"/>
      <c r="H422" s="184"/>
      <c r="I422" s="184"/>
      <c r="J422" s="482"/>
      <c r="K422" s="441"/>
      <c r="L422" s="429"/>
      <c r="M422" s="429"/>
      <c r="N422" s="430"/>
      <c r="O422" s="431"/>
      <c r="P422" s="432"/>
      <c r="Q422" s="433"/>
      <c r="R422" s="184"/>
    </row>
    <row r="423" spans="6:18" ht="15.75" thickBot="1">
      <c r="F423" s="434"/>
      <c r="G423" s="178"/>
      <c r="H423" s="178"/>
      <c r="I423" s="178"/>
      <c r="J423" s="481"/>
      <c r="K423" s="440"/>
      <c r="L423" s="435"/>
      <c r="M423" s="435"/>
      <c r="N423" s="436"/>
      <c r="O423" s="437"/>
      <c r="P423" s="438"/>
      <c r="Q423" s="439"/>
      <c r="R423" s="178"/>
    </row>
    <row r="424" spans="6:18" ht="15.75" thickBot="1">
      <c r="F424" s="428"/>
      <c r="G424" s="184"/>
      <c r="H424" s="184"/>
      <c r="I424" s="184"/>
      <c r="J424" s="482"/>
      <c r="K424" s="441"/>
      <c r="L424" s="429"/>
      <c r="M424" s="429"/>
      <c r="N424" s="430"/>
      <c r="O424" s="431"/>
      <c r="P424" s="432"/>
      <c r="Q424" s="433"/>
      <c r="R424" s="184"/>
    </row>
    <row r="425" spans="6:18" ht="15.75" thickBot="1">
      <c r="F425" s="434"/>
      <c r="G425" s="178"/>
      <c r="H425" s="178"/>
      <c r="I425" s="178"/>
      <c r="J425" s="481"/>
      <c r="K425" s="440"/>
      <c r="L425" s="435"/>
      <c r="M425" s="435"/>
      <c r="N425" s="436"/>
      <c r="O425" s="437"/>
      <c r="P425" s="438"/>
      <c r="Q425" s="439"/>
      <c r="R425" s="178"/>
    </row>
    <row r="426" spans="6:18" ht="15.75" thickBot="1">
      <c r="F426" s="428"/>
      <c r="G426" s="184"/>
      <c r="H426" s="184"/>
      <c r="I426" s="184"/>
      <c r="J426" s="482"/>
      <c r="K426" s="441"/>
      <c r="L426" s="429"/>
      <c r="M426" s="429"/>
      <c r="N426" s="430"/>
      <c r="O426" s="431"/>
      <c r="P426" s="432"/>
      <c r="Q426" s="433"/>
      <c r="R426" s="184"/>
    </row>
    <row r="427" spans="6:18" ht="15.75" thickBot="1">
      <c r="F427" s="434"/>
      <c r="G427" s="178"/>
      <c r="H427" s="178"/>
      <c r="I427" s="178"/>
      <c r="J427" s="481"/>
      <c r="K427" s="442"/>
      <c r="L427" s="435"/>
      <c r="M427" s="435"/>
      <c r="N427" s="436"/>
      <c r="O427" s="443"/>
      <c r="P427" s="438"/>
      <c r="Q427" s="439"/>
      <c r="R427" s="178"/>
    </row>
    <row r="428" spans="6:18" ht="15.75" thickBot="1">
      <c r="F428" s="428"/>
      <c r="G428" s="184"/>
      <c r="H428" s="184"/>
      <c r="I428" s="184"/>
      <c r="J428" s="482"/>
      <c r="K428" s="444"/>
      <c r="L428" s="429"/>
      <c r="M428" s="429"/>
      <c r="N428" s="430"/>
      <c r="O428" s="445"/>
      <c r="P428" s="432"/>
      <c r="Q428" s="433"/>
      <c r="R428" s="184"/>
    </row>
    <row r="429" spans="6:18" ht="15.75" thickBot="1">
      <c r="F429" s="434"/>
      <c r="G429" s="178"/>
      <c r="H429" s="178"/>
      <c r="I429" s="178"/>
      <c r="J429" s="481"/>
      <c r="K429" s="442"/>
      <c r="L429" s="435"/>
      <c r="M429" s="435"/>
      <c r="N429" s="436"/>
      <c r="O429" s="443"/>
      <c r="P429" s="438"/>
      <c r="Q429" s="439"/>
      <c r="R429" s="178"/>
    </row>
    <row r="430" spans="6:18" ht="15.75" thickBot="1">
      <c r="F430" s="428"/>
      <c r="G430" s="184"/>
      <c r="H430" s="184"/>
      <c r="I430" s="184"/>
      <c r="J430" s="482"/>
      <c r="K430" s="444"/>
      <c r="L430" s="429"/>
      <c r="M430" s="429"/>
      <c r="N430" s="430"/>
      <c r="O430" s="445"/>
      <c r="P430" s="432"/>
      <c r="Q430" s="433"/>
      <c r="R430" s="184"/>
    </row>
    <row r="431" spans="6:18" ht="15.75" thickBot="1">
      <c r="F431" s="434"/>
      <c r="G431" s="178"/>
      <c r="H431" s="178"/>
      <c r="I431" s="178"/>
      <c r="J431" s="481"/>
      <c r="K431" s="442"/>
      <c r="L431" s="435"/>
      <c r="M431" s="435"/>
      <c r="N431" s="436"/>
      <c r="O431" s="443"/>
      <c r="P431" s="438"/>
      <c r="Q431" s="439"/>
      <c r="R431" s="178"/>
    </row>
    <row r="432" spans="6:18" ht="15.75" thickBot="1">
      <c r="F432" s="428"/>
      <c r="G432" s="184"/>
      <c r="H432" s="184"/>
      <c r="I432" s="184"/>
      <c r="J432" s="482"/>
      <c r="K432" s="444"/>
      <c r="L432" s="429"/>
      <c r="M432" s="429"/>
      <c r="N432" s="430"/>
      <c r="O432" s="445"/>
      <c r="P432" s="432"/>
      <c r="Q432" s="433"/>
      <c r="R432" s="184"/>
    </row>
    <row r="433" spans="6:18" ht="15.75" thickBot="1">
      <c r="F433" s="434"/>
      <c r="G433" s="178"/>
      <c r="H433" s="178"/>
      <c r="I433" s="178"/>
      <c r="J433" s="481"/>
      <c r="K433" s="442"/>
      <c r="L433" s="435"/>
      <c r="M433" s="435"/>
      <c r="N433" s="436"/>
      <c r="O433" s="443"/>
      <c r="P433" s="438"/>
      <c r="Q433" s="439"/>
      <c r="R433" s="178"/>
    </row>
    <row r="434" spans="6:18" ht="15.75" thickBot="1">
      <c r="F434" s="428"/>
      <c r="G434" s="184"/>
      <c r="H434" s="184"/>
      <c r="I434" s="184"/>
      <c r="J434" s="482"/>
      <c r="K434" s="444"/>
      <c r="L434" s="429"/>
      <c r="M434" s="429"/>
      <c r="N434" s="430"/>
      <c r="O434" s="445"/>
      <c r="P434" s="432"/>
      <c r="Q434" s="433"/>
      <c r="R434" s="184"/>
    </row>
    <row r="435" spans="6:18" ht="15.75" thickBot="1">
      <c r="F435" s="434"/>
      <c r="G435" s="178"/>
      <c r="H435" s="178"/>
      <c r="I435" s="178"/>
      <c r="J435" s="481"/>
      <c r="K435" s="442"/>
      <c r="L435" s="435"/>
      <c r="M435" s="435"/>
      <c r="N435" s="436"/>
      <c r="O435" s="443"/>
      <c r="P435" s="438"/>
      <c r="Q435" s="439"/>
      <c r="R435" s="178"/>
    </row>
    <row r="436" spans="6:18" ht="15.75" thickBot="1">
      <c r="F436" s="428"/>
      <c r="G436" s="184"/>
      <c r="H436" s="184"/>
      <c r="I436" s="184"/>
      <c r="J436" s="482"/>
      <c r="K436" s="444"/>
      <c r="L436" s="429"/>
      <c r="M436" s="429"/>
      <c r="N436" s="430"/>
      <c r="O436" s="445"/>
      <c r="P436" s="432"/>
      <c r="Q436" s="433"/>
      <c r="R436" s="184"/>
    </row>
    <row r="437" spans="6:18" ht="15.75" thickBot="1">
      <c r="F437" s="434"/>
      <c r="G437" s="178"/>
      <c r="H437" s="178"/>
      <c r="I437" s="178"/>
      <c r="J437" s="481"/>
      <c r="K437" s="442"/>
      <c r="L437" s="435"/>
      <c r="M437" s="435"/>
      <c r="N437" s="436"/>
      <c r="O437" s="443"/>
      <c r="P437" s="438"/>
      <c r="Q437" s="439"/>
      <c r="R437" s="178"/>
    </row>
    <row r="438" spans="6:18" ht="15.75" thickBot="1">
      <c r="F438" s="428"/>
      <c r="G438" s="184"/>
      <c r="H438" s="184"/>
      <c r="I438" s="184"/>
      <c r="J438" s="482"/>
      <c r="K438" s="444"/>
      <c r="L438" s="429"/>
      <c r="M438" s="429"/>
      <c r="N438" s="430"/>
      <c r="O438" s="445"/>
      <c r="P438" s="432"/>
      <c r="Q438" s="433"/>
      <c r="R438" s="184"/>
    </row>
    <row r="439" spans="6:18" ht="15.75" thickBot="1">
      <c r="F439" s="434"/>
      <c r="G439" s="178"/>
      <c r="H439" s="178"/>
      <c r="I439" s="178"/>
      <c r="J439" s="481"/>
      <c r="K439" s="440"/>
      <c r="L439" s="435"/>
      <c r="M439" s="435"/>
      <c r="N439" s="436"/>
      <c r="O439" s="443"/>
      <c r="P439" s="438"/>
      <c r="Q439" s="439"/>
      <c r="R439" s="178"/>
    </row>
    <row r="440" spans="6:18" ht="15.75" thickBot="1">
      <c r="F440" s="428"/>
      <c r="G440" s="184"/>
      <c r="H440" s="184"/>
      <c r="I440" s="184"/>
      <c r="J440" s="482"/>
      <c r="K440" s="441"/>
      <c r="L440" s="429"/>
      <c r="M440" s="429"/>
      <c r="N440" s="430"/>
      <c r="O440" s="445"/>
      <c r="P440" s="432"/>
      <c r="Q440" s="433"/>
      <c r="R440" s="184"/>
    </row>
    <row r="441" spans="6:18" ht="15.75" thickBot="1">
      <c r="F441" s="434"/>
      <c r="G441" s="178"/>
      <c r="H441" s="178"/>
      <c r="I441" s="178"/>
      <c r="J441" s="481"/>
      <c r="K441" s="440"/>
      <c r="L441" s="435"/>
      <c r="M441" s="435"/>
      <c r="N441" s="436"/>
      <c r="O441" s="443"/>
      <c r="P441" s="438"/>
      <c r="Q441" s="439"/>
      <c r="R441" s="178"/>
    </row>
    <row r="442" spans="6:18" ht="15.75" thickBot="1">
      <c r="F442" s="428"/>
      <c r="G442" s="184"/>
      <c r="H442" s="184"/>
      <c r="I442" s="184"/>
      <c r="J442" s="482"/>
      <c r="K442" s="441"/>
      <c r="L442" s="429"/>
      <c r="M442" s="429"/>
      <c r="N442" s="430"/>
      <c r="O442" s="445"/>
      <c r="P442" s="432"/>
      <c r="Q442" s="433"/>
      <c r="R442" s="184"/>
    </row>
    <row r="443" spans="6:18" ht="15.75" thickBot="1">
      <c r="F443" s="434"/>
      <c r="G443" s="178"/>
      <c r="H443" s="178"/>
      <c r="I443" s="178"/>
      <c r="J443" s="481"/>
      <c r="K443" s="440"/>
      <c r="L443" s="435"/>
      <c r="M443" s="435"/>
      <c r="N443" s="436"/>
      <c r="O443" s="443"/>
      <c r="P443" s="438"/>
      <c r="Q443" s="439"/>
      <c r="R443" s="178"/>
    </row>
    <row r="444" spans="6:18" ht="15.75" thickBot="1">
      <c r="F444" s="428"/>
      <c r="G444" s="184"/>
      <c r="H444" s="184"/>
      <c r="I444" s="184"/>
      <c r="J444" s="482"/>
      <c r="K444" s="441"/>
      <c r="L444" s="429"/>
      <c r="M444" s="429"/>
      <c r="N444" s="430"/>
      <c r="O444" s="445"/>
      <c r="P444" s="432"/>
      <c r="Q444" s="433"/>
      <c r="R444" s="184"/>
    </row>
    <row r="445" spans="6:18" ht="15.75" thickBot="1">
      <c r="F445" s="434"/>
      <c r="G445" s="178"/>
      <c r="H445" s="178"/>
      <c r="I445" s="178"/>
      <c r="J445" s="481"/>
      <c r="K445" s="440"/>
      <c r="L445" s="435"/>
      <c r="M445" s="435"/>
      <c r="N445" s="436"/>
      <c r="O445" s="443"/>
      <c r="P445" s="438"/>
      <c r="Q445" s="439"/>
      <c r="R445" s="178"/>
    </row>
    <row r="446" spans="6:18" ht="15.75" thickBot="1">
      <c r="F446" s="428"/>
      <c r="G446" s="184"/>
      <c r="H446" s="184"/>
      <c r="I446" s="184"/>
      <c r="J446" s="482"/>
      <c r="K446" s="441"/>
      <c r="L446" s="429"/>
      <c r="M446" s="429"/>
      <c r="N446" s="430"/>
      <c r="O446" s="445"/>
      <c r="P446" s="432"/>
      <c r="Q446" s="433"/>
      <c r="R446" s="184"/>
    </row>
    <row r="447" spans="6:18" ht="15.75" thickBot="1">
      <c r="F447" s="434"/>
      <c r="G447" s="178"/>
      <c r="H447" s="178"/>
      <c r="I447" s="178"/>
      <c r="J447" s="481"/>
      <c r="K447" s="440"/>
      <c r="L447" s="435"/>
      <c r="M447" s="435"/>
      <c r="N447" s="436"/>
      <c r="O447" s="443"/>
      <c r="P447" s="438"/>
      <c r="Q447" s="439"/>
      <c r="R447" s="178"/>
    </row>
    <row r="448" spans="6:18" ht="15.75" thickBot="1">
      <c r="F448" s="428"/>
      <c r="G448" s="184"/>
      <c r="H448" s="184"/>
      <c r="I448" s="184"/>
      <c r="J448" s="482"/>
      <c r="K448" s="441"/>
      <c r="L448" s="429"/>
      <c r="M448" s="429"/>
      <c r="N448" s="430"/>
      <c r="O448" s="445"/>
      <c r="P448" s="432"/>
      <c r="Q448" s="433"/>
      <c r="R448" s="184"/>
    </row>
    <row r="449" spans="6:18" ht="15.75" thickBot="1">
      <c r="F449" s="434"/>
      <c r="G449" s="178"/>
      <c r="H449" s="178"/>
      <c r="I449" s="178"/>
      <c r="J449" s="481"/>
      <c r="K449" s="440"/>
      <c r="L449" s="435"/>
      <c r="M449" s="435"/>
      <c r="N449" s="436"/>
      <c r="O449" s="443"/>
      <c r="P449" s="438"/>
      <c r="Q449" s="439"/>
      <c r="R449" s="178"/>
    </row>
    <row r="450" spans="6:18" ht="15.75" thickBot="1">
      <c r="F450" s="428"/>
      <c r="G450" s="184"/>
      <c r="H450" s="184"/>
      <c r="I450" s="184"/>
      <c r="J450" s="482"/>
      <c r="K450" s="441"/>
      <c r="L450" s="429"/>
      <c r="M450" s="429"/>
      <c r="N450" s="430"/>
      <c r="O450" s="445"/>
      <c r="P450" s="432"/>
      <c r="Q450" s="433"/>
      <c r="R450" s="184"/>
    </row>
    <row r="451" spans="6:18" ht="15.75" thickBot="1">
      <c r="F451" s="434"/>
      <c r="G451" s="178"/>
      <c r="H451" s="178"/>
      <c r="I451" s="178"/>
      <c r="J451" s="481"/>
      <c r="K451" s="440"/>
      <c r="L451" s="435"/>
      <c r="M451" s="435"/>
      <c r="N451" s="436"/>
      <c r="O451" s="443"/>
      <c r="P451" s="438"/>
      <c r="Q451" s="439"/>
      <c r="R451" s="178"/>
    </row>
    <row r="452" spans="6:18" ht="15.75" thickBot="1">
      <c r="F452" s="428"/>
      <c r="G452" s="184"/>
      <c r="H452" s="184"/>
      <c r="I452" s="184"/>
      <c r="J452" s="482"/>
      <c r="K452" s="441"/>
      <c r="L452" s="429"/>
      <c r="M452" s="429"/>
      <c r="N452" s="430"/>
      <c r="O452" s="445"/>
      <c r="P452" s="432"/>
      <c r="Q452" s="433"/>
      <c r="R452" s="184"/>
    </row>
    <row r="453" spans="6:18" ht="15.75" thickBot="1">
      <c r="F453" s="434"/>
      <c r="G453" s="178"/>
      <c r="H453" s="178"/>
      <c r="I453" s="178"/>
      <c r="J453" s="481"/>
      <c r="K453" s="440"/>
      <c r="L453" s="435"/>
      <c r="M453" s="435"/>
      <c r="N453" s="436"/>
      <c r="O453" s="443"/>
      <c r="P453" s="438"/>
      <c r="Q453" s="439"/>
      <c r="R453" s="178"/>
    </row>
    <row r="454" spans="6:18" ht="15.75" thickBot="1">
      <c r="F454" s="428"/>
      <c r="G454" s="184"/>
      <c r="H454" s="184"/>
      <c r="I454" s="184"/>
      <c r="J454" s="482"/>
      <c r="K454" s="441"/>
      <c r="L454" s="429"/>
      <c r="M454" s="429"/>
      <c r="N454" s="430"/>
      <c r="O454" s="445"/>
      <c r="P454" s="432"/>
      <c r="Q454" s="433"/>
      <c r="R454" s="184"/>
    </row>
    <row r="455" spans="6:18" ht="15.75" thickBot="1">
      <c r="F455" s="434"/>
      <c r="G455" s="178"/>
      <c r="H455" s="178"/>
      <c r="I455" s="178"/>
      <c r="J455" s="481"/>
      <c r="K455" s="440"/>
      <c r="L455" s="435"/>
      <c r="M455" s="435"/>
      <c r="N455" s="436"/>
      <c r="O455" s="443"/>
      <c r="P455" s="438"/>
      <c r="Q455" s="439"/>
      <c r="R455" s="178"/>
    </row>
    <row r="456" spans="6:18" ht="15.75" thickBot="1">
      <c r="F456" s="428"/>
      <c r="G456" s="184"/>
      <c r="H456" s="184"/>
      <c r="I456" s="184"/>
      <c r="J456" s="482"/>
      <c r="K456" s="441"/>
      <c r="L456" s="429"/>
      <c r="M456" s="429"/>
      <c r="N456" s="430"/>
      <c r="O456" s="445"/>
      <c r="P456" s="432"/>
      <c r="Q456" s="433"/>
      <c r="R456" s="184"/>
    </row>
    <row r="457" spans="6:18" ht="15.75" thickBot="1">
      <c r="F457" s="434"/>
      <c r="G457" s="178"/>
      <c r="H457" s="178"/>
      <c r="I457" s="178"/>
      <c r="J457" s="481"/>
      <c r="K457" s="440"/>
      <c r="L457" s="435"/>
      <c r="M457" s="435"/>
      <c r="N457" s="436"/>
      <c r="O457" s="443"/>
      <c r="P457" s="438"/>
      <c r="Q457" s="439"/>
      <c r="R457" s="178"/>
    </row>
    <row r="458" spans="6:18" ht="15.75" thickBot="1">
      <c r="F458" s="428"/>
      <c r="G458" s="184"/>
      <c r="H458" s="184"/>
      <c r="I458" s="184"/>
      <c r="J458" s="482"/>
      <c r="K458" s="441"/>
      <c r="L458" s="429"/>
      <c r="M458" s="429"/>
      <c r="N458" s="430"/>
      <c r="O458" s="445"/>
      <c r="P458" s="432"/>
      <c r="Q458" s="433"/>
      <c r="R458" s="184"/>
    </row>
    <row r="459" spans="6:18" ht="15.75" thickBot="1">
      <c r="F459" s="434"/>
      <c r="G459" s="178"/>
      <c r="H459" s="178"/>
      <c r="I459" s="178"/>
      <c r="J459" s="481"/>
      <c r="K459" s="440"/>
      <c r="L459" s="435"/>
      <c r="M459" s="435"/>
      <c r="N459" s="436"/>
      <c r="O459" s="443"/>
      <c r="P459" s="438"/>
      <c r="Q459" s="439"/>
      <c r="R459" s="178"/>
    </row>
    <row r="460" spans="6:18" ht="15.75" thickBot="1">
      <c r="F460" s="428"/>
      <c r="G460" s="184"/>
      <c r="H460" s="184"/>
      <c r="I460" s="184"/>
      <c r="J460" s="482"/>
      <c r="K460" s="441"/>
      <c r="L460" s="429"/>
      <c r="M460" s="429"/>
      <c r="N460" s="430"/>
      <c r="O460" s="445"/>
      <c r="P460" s="432"/>
      <c r="Q460" s="433"/>
      <c r="R460" s="184"/>
    </row>
    <row r="461" spans="6:18" ht="15.75" thickBot="1">
      <c r="F461" s="434"/>
      <c r="G461" s="178"/>
      <c r="H461" s="178"/>
      <c r="I461" s="178"/>
      <c r="J461" s="481"/>
      <c r="K461" s="440"/>
      <c r="L461" s="435"/>
      <c r="M461" s="435"/>
      <c r="N461" s="436"/>
      <c r="O461" s="443"/>
      <c r="P461" s="438"/>
      <c r="Q461" s="439"/>
      <c r="R461" s="178"/>
    </row>
    <row r="462" spans="6:18" ht="15.75" thickBot="1">
      <c r="F462" s="428"/>
      <c r="G462" s="184"/>
      <c r="H462" s="184"/>
      <c r="I462" s="184"/>
      <c r="J462" s="482"/>
      <c r="K462" s="444"/>
      <c r="L462" s="429"/>
      <c r="M462" s="429"/>
      <c r="N462" s="430"/>
      <c r="O462" s="445"/>
      <c r="P462" s="432"/>
      <c r="Q462" s="433"/>
      <c r="R462" s="184"/>
    </row>
    <row r="463" spans="6:18" ht="15.75" thickBot="1">
      <c r="F463" s="434"/>
      <c r="G463" s="178"/>
      <c r="H463" s="178"/>
      <c r="I463" s="178"/>
      <c r="J463" s="481"/>
      <c r="K463" s="442"/>
      <c r="L463" s="435"/>
      <c r="M463" s="435"/>
      <c r="N463" s="436"/>
      <c r="O463" s="443"/>
      <c r="P463" s="438"/>
      <c r="Q463" s="439"/>
      <c r="R463" s="178"/>
    </row>
    <row r="464" spans="6:18" ht="17.25" thickBot="1">
      <c r="F464" s="207"/>
      <c r="G464" s="208"/>
      <c r="H464" s="208"/>
      <c r="I464" s="208"/>
      <c r="J464" s="478"/>
      <c r="K464" s="449"/>
      <c r="L464" s="209"/>
      <c r="M464" s="209"/>
      <c r="N464" s="210"/>
      <c r="O464" s="211"/>
      <c r="P464" s="212"/>
      <c r="Q464" s="213"/>
      <c r="R464" s="208"/>
    </row>
    <row r="465" spans="6:18" ht="17.25" thickBot="1">
      <c r="F465" s="207"/>
      <c r="G465" s="208"/>
      <c r="H465" s="208"/>
      <c r="I465" s="208"/>
      <c r="J465" s="478"/>
      <c r="K465" s="449"/>
      <c r="L465" s="209"/>
      <c r="M465" s="209"/>
      <c r="N465" s="210"/>
      <c r="O465" s="211"/>
      <c r="P465" s="212"/>
      <c r="Q465" s="213"/>
      <c r="R465" s="208"/>
    </row>
    <row r="466" spans="6:18" ht="17.25" thickBot="1">
      <c r="F466" s="207"/>
      <c r="G466" s="208"/>
      <c r="H466" s="208"/>
      <c r="I466" s="208"/>
      <c r="J466" s="478"/>
      <c r="K466" s="449"/>
      <c r="L466" s="209"/>
      <c r="M466" s="209"/>
      <c r="N466" s="210"/>
      <c r="O466" s="211"/>
      <c r="P466" s="212"/>
      <c r="Q466" s="213"/>
      <c r="R466" s="208"/>
    </row>
    <row r="467" spans="6:18" ht="17.25" thickBot="1">
      <c r="F467" s="193"/>
      <c r="G467" s="184"/>
      <c r="H467" s="184"/>
      <c r="I467" s="184"/>
      <c r="J467" s="479"/>
      <c r="K467" s="250"/>
      <c r="L467" s="185"/>
      <c r="M467" s="185"/>
      <c r="N467" s="186"/>
      <c r="O467" s="250"/>
      <c r="P467" s="188"/>
      <c r="Q467" s="189"/>
      <c r="R467" s="184"/>
    </row>
    <row r="468" spans="6:18" ht="17.25" thickBot="1">
      <c r="F468" s="192"/>
      <c r="G468" s="178"/>
      <c r="H468" s="178"/>
      <c r="I468" s="178"/>
      <c r="J468" s="480"/>
      <c r="K468" s="251"/>
      <c r="L468" s="179"/>
      <c r="M468" s="179"/>
      <c r="N468" s="180"/>
      <c r="O468" s="251"/>
      <c r="P468" s="182"/>
      <c r="Q468" s="183"/>
      <c r="R468" s="178"/>
    </row>
    <row r="469" spans="6:18" ht="17.25" thickBot="1">
      <c r="F469" s="193"/>
      <c r="G469" s="184"/>
      <c r="H469" s="184"/>
      <c r="I469" s="184"/>
      <c r="J469" s="479"/>
      <c r="K469" s="250"/>
      <c r="L469" s="185"/>
      <c r="M469" s="185"/>
      <c r="N469" s="186"/>
      <c r="O469" s="250"/>
      <c r="P469" s="188"/>
      <c r="Q469" s="189"/>
      <c r="R469" s="184"/>
    </row>
    <row r="470" spans="6:18" ht="17.25" thickBot="1">
      <c r="F470" s="192"/>
      <c r="G470" s="178"/>
      <c r="H470" s="178"/>
      <c r="I470" s="178"/>
      <c r="J470" s="480"/>
      <c r="K470" s="251"/>
      <c r="L470" s="179"/>
      <c r="M470" s="179"/>
      <c r="N470" s="180"/>
      <c r="O470" s="251"/>
      <c r="P470" s="182"/>
      <c r="Q470" s="183"/>
      <c r="R470" s="178"/>
    </row>
    <row r="471" spans="6:18" ht="17.25" thickBot="1">
      <c r="F471" s="193"/>
      <c r="G471" s="184"/>
      <c r="H471" s="184"/>
      <c r="I471" s="184"/>
      <c r="J471" s="479"/>
      <c r="K471" s="250"/>
      <c r="L471" s="185"/>
      <c r="M471" s="185"/>
      <c r="N471" s="186"/>
      <c r="O471" s="250"/>
      <c r="P471" s="188"/>
      <c r="Q471" s="189"/>
      <c r="R471" s="184"/>
    </row>
    <row r="472" spans="6:18" ht="17.25" thickBot="1">
      <c r="F472" s="192"/>
      <c r="G472" s="178"/>
      <c r="H472" s="178"/>
      <c r="I472" s="178"/>
      <c r="J472" s="480"/>
      <c r="K472" s="251"/>
      <c r="L472" s="179"/>
      <c r="M472" s="179"/>
      <c r="N472" s="180"/>
      <c r="O472" s="251"/>
      <c r="P472" s="182"/>
      <c r="Q472" s="183"/>
      <c r="R472" s="178"/>
    </row>
    <row r="473" spans="6:18" ht="17.25" thickBot="1">
      <c r="F473" s="193"/>
      <c r="G473" s="184"/>
      <c r="H473" s="184"/>
      <c r="I473" s="184"/>
      <c r="J473" s="479"/>
      <c r="K473" s="250"/>
      <c r="L473" s="185"/>
      <c r="M473" s="185"/>
      <c r="N473" s="186"/>
      <c r="O473" s="250"/>
      <c r="P473" s="188"/>
      <c r="Q473" s="189"/>
      <c r="R473" s="184"/>
    </row>
    <row r="474" spans="6:18" ht="17.25" thickBot="1">
      <c r="F474" s="192"/>
      <c r="G474" s="178"/>
      <c r="H474" s="178"/>
      <c r="I474" s="178"/>
      <c r="J474" s="480"/>
      <c r="K474" s="251"/>
      <c r="L474" s="179"/>
      <c r="M474" s="179"/>
      <c r="N474" s="180"/>
      <c r="O474" s="251"/>
      <c r="P474" s="182"/>
      <c r="Q474" s="183"/>
      <c r="R474" s="178"/>
    </row>
    <row r="475" spans="6:18" ht="17.25" thickBot="1">
      <c r="F475" s="193"/>
      <c r="G475" s="184"/>
      <c r="H475" s="184"/>
      <c r="I475" s="184"/>
      <c r="J475" s="479"/>
      <c r="K475" s="250"/>
      <c r="L475" s="185"/>
      <c r="M475" s="185"/>
      <c r="N475" s="186"/>
      <c r="O475" s="250"/>
      <c r="P475" s="188"/>
      <c r="Q475" s="189"/>
      <c r="R475" s="184"/>
    </row>
    <row r="476" spans="6:18" ht="17.25" thickBot="1">
      <c r="F476" s="192"/>
      <c r="G476" s="178"/>
      <c r="H476" s="178"/>
      <c r="I476" s="178"/>
      <c r="J476" s="480"/>
      <c r="K476" s="251"/>
      <c r="L476" s="179"/>
      <c r="M476" s="179"/>
      <c r="N476" s="180"/>
      <c r="O476" s="251"/>
      <c r="P476" s="182"/>
      <c r="Q476" s="183"/>
      <c r="R476" s="178"/>
    </row>
    <row r="477" spans="6:18" ht="17.25" thickBot="1">
      <c r="F477" s="193"/>
      <c r="G477" s="184"/>
      <c r="H477" s="184"/>
      <c r="I477" s="184"/>
      <c r="J477" s="479"/>
      <c r="K477" s="250"/>
      <c r="L477" s="185"/>
      <c r="M477" s="185"/>
      <c r="N477" s="186"/>
      <c r="O477" s="250"/>
      <c r="P477" s="188"/>
      <c r="Q477" s="189"/>
      <c r="R477" s="184"/>
    </row>
    <row r="478" spans="6:18" ht="17.25" thickBot="1">
      <c r="F478" s="192"/>
      <c r="G478" s="178"/>
      <c r="H478" s="178"/>
      <c r="I478" s="178"/>
      <c r="J478" s="480"/>
      <c r="K478" s="251"/>
      <c r="L478" s="179"/>
      <c r="M478" s="179"/>
      <c r="N478" s="180"/>
      <c r="O478" s="251"/>
      <c r="P478" s="182"/>
      <c r="Q478" s="183"/>
      <c r="R478" s="178"/>
    </row>
    <row r="479" spans="6:18" ht="17.25" thickBot="1">
      <c r="F479" s="193"/>
      <c r="G479" s="184"/>
      <c r="H479" s="184"/>
      <c r="I479" s="184"/>
      <c r="J479" s="479"/>
      <c r="K479" s="250"/>
      <c r="L479" s="185"/>
      <c r="M479" s="185"/>
      <c r="N479" s="186"/>
      <c r="O479" s="250"/>
      <c r="P479" s="188"/>
      <c r="Q479" s="189"/>
      <c r="R479" s="184"/>
    </row>
    <row r="480" spans="6:18" ht="17.25" thickBot="1">
      <c r="F480" s="192"/>
      <c r="G480" s="178"/>
      <c r="H480" s="178"/>
      <c r="I480" s="178"/>
      <c r="J480" s="480"/>
      <c r="K480" s="251"/>
      <c r="L480" s="179"/>
      <c r="M480" s="179"/>
      <c r="N480" s="180"/>
      <c r="O480" s="251"/>
      <c r="P480" s="182"/>
      <c r="Q480" s="183"/>
      <c r="R480" s="178"/>
    </row>
    <row r="481" spans="6:18" ht="17.25" thickBot="1">
      <c r="F481" s="193"/>
      <c r="G481" s="184"/>
      <c r="H481" s="184"/>
      <c r="I481" s="184"/>
      <c r="J481" s="479"/>
      <c r="K481" s="250"/>
      <c r="L481" s="185"/>
      <c r="M481" s="185"/>
      <c r="N481" s="186"/>
      <c r="O481" s="250"/>
      <c r="P481" s="188"/>
      <c r="Q481" s="189"/>
      <c r="R481" s="184"/>
    </row>
    <row r="482" spans="6:18" ht="17.25" thickBot="1">
      <c r="F482" s="192"/>
      <c r="G482" s="178"/>
      <c r="H482" s="178"/>
      <c r="I482" s="178"/>
      <c r="J482" s="480"/>
      <c r="K482" s="251"/>
      <c r="L482" s="179"/>
      <c r="M482" s="179"/>
      <c r="N482" s="180"/>
      <c r="O482" s="251"/>
      <c r="P482" s="182"/>
      <c r="Q482" s="183"/>
      <c r="R482" s="178"/>
    </row>
    <row r="483" spans="6:18" ht="17.25" thickBot="1">
      <c r="F483" s="193"/>
      <c r="G483" s="184"/>
      <c r="H483" s="184"/>
      <c r="I483" s="184"/>
      <c r="J483" s="479"/>
      <c r="K483" s="250"/>
      <c r="L483" s="185"/>
      <c r="M483" s="185"/>
      <c r="N483" s="186"/>
      <c r="O483" s="250"/>
      <c r="P483" s="188"/>
      <c r="Q483" s="189"/>
      <c r="R483" s="184"/>
    </row>
    <row r="484" spans="6:18" ht="17.25" thickBot="1">
      <c r="F484" s="192"/>
      <c r="G484" s="178"/>
      <c r="H484" s="178"/>
      <c r="I484" s="178"/>
      <c r="J484" s="480"/>
      <c r="K484" s="251"/>
      <c r="L484" s="179"/>
      <c r="M484" s="179"/>
      <c r="N484" s="180"/>
      <c r="O484" s="251"/>
      <c r="P484" s="182"/>
      <c r="Q484" s="183"/>
      <c r="R484" s="178"/>
    </row>
    <row r="485" spans="6:18" ht="17.25" thickBot="1">
      <c r="F485" s="193"/>
      <c r="G485" s="184"/>
      <c r="H485" s="184"/>
      <c r="I485" s="184"/>
      <c r="J485" s="479"/>
      <c r="K485" s="250"/>
      <c r="L485" s="185"/>
      <c r="M485" s="185"/>
      <c r="N485" s="186"/>
      <c r="O485" s="250"/>
      <c r="P485" s="188"/>
      <c r="Q485" s="189"/>
      <c r="R485" s="184"/>
    </row>
    <row r="486" spans="6:18" ht="17.25" thickBot="1">
      <c r="F486" s="192"/>
      <c r="G486" s="178"/>
      <c r="H486" s="178"/>
      <c r="I486" s="178"/>
      <c r="J486" s="480"/>
      <c r="K486" s="251"/>
      <c r="L486" s="179"/>
      <c r="M486" s="179"/>
      <c r="N486" s="180"/>
      <c r="O486" s="251"/>
      <c r="P486" s="182"/>
      <c r="Q486" s="183"/>
      <c r="R486" s="178"/>
    </row>
    <row r="487" spans="6:18" ht="17.25" thickBot="1">
      <c r="F487" s="193"/>
      <c r="G487" s="184"/>
      <c r="H487" s="184"/>
      <c r="I487" s="184"/>
      <c r="J487" s="479"/>
      <c r="K487" s="250"/>
      <c r="L487" s="185"/>
      <c r="M487" s="185"/>
      <c r="N487" s="186"/>
      <c r="O487" s="250"/>
      <c r="P487" s="188"/>
      <c r="Q487" s="189"/>
      <c r="R487" s="184"/>
    </row>
    <row r="488" spans="6:18" ht="17.25" thickBot="1">
      <c r="F488" s="192"/>
      <c r="G488" s="178"/>
      <c r="H488" s="178"/>
      <c r="I488" s="178"/>
      <c r="J488" s="480"/>
      <c r="K488" s="251"/>
      <c r="L488" s="179"/>
      <c r="M488" s="179"/>
      <c r="N488" s="180"/>
      <c r="O488" s="251"/>
      <c r="P488" s="182"/>
      <c r="Q488" s="183"/>
      <c r="R488" s="178"/>
    </row>
    <row r="489" spans="6:18" ht="17.25" thickBot="1">
      <c r="F489" s="193"/>
      <c r="G489" s="184"/>
      <c r="H489" s="184"/>
      <c r="I489" s="184"/>
      <c r="J489" s="479"/>
      <c r="K489" s="250"/>
      <c r="L489" s="185"/>
      <c r="M489" s="185"/>
      <c r="N489" s="186"/>
      <c r="O489" s="250"/>
      <c r="P489" s="188"/>
      <c r="Q489" s="189"/>
      <c r="R489" s="184"/>
    </row>
    <row r="490" spans="6:18" ht="17.25" thickBot="1">
      <c r="F490" s="192"/>
      <c r="G490" s="178"/>
      <c r="H490" s="178"/>
      <c r="I490" s="178"/>
      <c r="J490" s="480"/>
      <c r="K490" s="251"/>
      <c r="L490" s="179"/>
      <c r="M490" s="179"/>
      <c r="N490" s="180"/>
      <c r="O490" s="251"/>
      <c r="P490" s="182"/>
      <c r="Q490" s="183"/>
      <c r="R490" s="178"/>
    </row>
    <row r="491" spans="6:18" ht="17.25" thickBot="1">
      <c r="F491" s="193"/>
      <c r="G491" s="184"/>
      <c r="H491" s="184"/>
      <c r="I491" s="184"/>
      <c r="J491" s="479"/>
      <c r="K491" s="250"/>
      <c r="L491" s="185"/>
      <c r="M491" s="185"/>
      <c r="N491" s="186"/>
      <c r="O491" s="250"/>
      <c r="P491" s="188"/>
      <c r="Q491" s="189"/>
      <c r="R491" s="184"/>
    </row>
    <row r="492" spans="6:18" ht="17.25" thickBot="1">
      <c r="F492" s="192"/>
      <c r="G492" s="178"/>
      <c r="H492" s="178"/>
      <c r="I492" s="178"/>
      <c r="J492" s="480"/>
      <c r="K492" s="251"/>
      <c r="L492" s="179"/>
      <c r="M492" s="179"/>
      <c r="N492" s="180"/>
      <c r="O492" s="251"/>
      <c r="P492" s="182"/>
      <c r="Q492" s="183"/>
      <c r="R492" s="178"/>
    </row>
    <row r="493" spans="6:18" ht="17.25" thickBot="1">
      <c r="F493" s="193"/>
      <c r="G493" s="184"/>
      <c r="H493" s="184"/>
      <c r="I493" s="184"/>
      <c r="J493" s="479"/>
      <c r="K493" s="250"/>
      <c r="L493" s="185"/>
      <c r="M493" s="185"/>
      <c r="N493" s="186"/>
      <c r="O493" s="250"/>
      <c r="P493" s="188"/>
      <c r="Q493" s="189"/>
      <c r="R493" s="184"/>
    </row>
    <row r="494" spans="6:18" ht="17.25" thickBot="1">
      <c r="F494" s="192"/>
      <c r="G494" s="178"/>
      <c r="H494" s="178"/>
      <c r="I494" s="178"/>
      <c r="J494" s="480"/>
      <c r="K494" s="251"/>
      <c r="L494" s="179"/>
      <c r="M494" s="179"/>
      <c r="N494" s="180"/>
      <c r="O494" s="251"/>
      <c r="P494" s="182"/>
      <c r="Q494" s="183"/>
      <c r="R494" s="178"/>
    </row>
    <row r="495" spans="6:18" ht="17.25" thickBot="1">
      <c r="F495" s="193"/>
      <c r="G495" s="184"/>
      <c r="H495" s="184"/>
      <c r="I495" s="184"/>
      <c r="J495" s="479"/>
      <c r="K495" s="250"/>
      <c r="L495" s="185"/>
      <c r="M495" s="185"/>
      <c r="N495" s="186"/>
      <c r="O495" s="250"/>
      <c r="P495" s="188"/>
      <c r="Q495" s="189"/>
      <c r="R495" s="184"/>
    </row>
    <row r="496" spans="6:18" ht="17.25" thickBot="1">
      <c r="F496" s="192"/>
      <c r="G496" s="178"/>
      <c r="H496" s="178"/>
      <c r="I496" s="178"/>
      <c r="J496" s="480"/>
      <c r="K496" s="251"/>
      <c r="L496" s="179"/>
      <c r="M496" s="179"/>
      <c r="N496" s="180"/>
      <c r="O496" s="251"/>
      <c r="P496" s="182"/>
      <c r="Q496" s="183"/>
      <c r="R496" s="178"/>
    </row>
    <row r="497" spans="6:18" ht="17.25" thickBot="1">
      <c r="F497" s="193"/>
      <c r="G497" s="184"/>
      <c r="H497" s="184"/>
      <c r="I497" s="184"/>
      <c r="J497" s="479"/>
      <c r="K497" s="250"/>
      <c r="L497" s="185"/>
      <c r="M497" s="185"/>
      <c r="N497" s="186"/>
      <c r="O497" s="250"/>
      <c r="P497" s="188"/>
      <c r="Q497" s="189"/>
      <c r="R497" s="184"/>
    </row>
    <row r="498" spans="6:18" ht="17.25" thickBot="1">
      <c r="F498" s="192"/>
      <c r="G498" s="178"/>
      <c r="H498" s="178"/>
      <c r="I498" s="178"/>
      <c r="J498" s="480"/>
      <c r="K498" s="251"/>
      <c r="L498" s="179"/>
      <c r="M498" s="179"/>
      <c r="N498" s="180"/>
      <c r="O498" s="251"/>
      <c r="P498" s="182"/>
      <c r="Q498" s="183"/>
      <c r="R498" s="178"/>
    </row>
    <row r="499" spans="6:18" ht="17.25" thickBot="1">
      <c r="F499" s="193"/>
      <c r="G499" s="184"/>
      <c r="H499" s="184"/>
      <c r="I499" s="184"/>
      <c r="J499" s="479"/>
      <c r="K499" s="250"/>
      <c r="L499" s="185"/>
      <c r="M499" s="185"/>
      <c r="N499" s="186"/>
      <c r="O499" s="250"/>
      <c r="P499" s="188"/>
      <c r="Q499" s="189"/>
      <c r="R499" s="184"/>
    </row>
    <row r="500" spans="6:18" ht="17.25" thickBot="1">
      <c r="F500" s="192"/>
      <c r="G500" s="178"/>
      <c r="H500" s="178"/>
      <c r="I500" s="178"/>
      <c r="J500" s="480"/>
      <c r="K500" s="251"/>
      <c r="L500" s="179"/>
      <c r="M500" s="179"/>
      <c r="N500" s="180"/>
      <c r="O500" s="251"/>
      <c r="P500" s="182"/>
      <c r="Q500" s="183"/>
      <c r="R500" s="178"/>
    </row>
    <row r="501" spans="6:18" ht="17.25" thickBot="1">
      <c r="F501" s="193"/>
      <c r="G501" s="184"/>
      <c r="H501" s="184"/>
      <c r="I501" s="184"/>
      <c r="J501" s="479"/>
      <c r="K501" s="250"/>
      <c r="L501" s="185"/>
      <c r="M501" s="185"/>
      <c r="N501" s="186"/>
      <c r="O501" s="250"/>
      <c r="P501" s="188"/>
      <c r="Q501" s="189"/>
      <c r="R501" s="184"/>
    </row>
    <row r="502" spans="6:18" ht="17.25" thickBot="1">
      <c r="F502" s="207"/>
      <c r="G502" s="208"/>
      <c r="H502" s="208"/>
      <c r="I502" s="208"/>
      <c r="J502" s="478"/>
      <c r="K502" s="249"/>
      <c r="L502" s="209"/>
      <c r="M502" s="209"/>
      <c r="N502" s="210"/>
      <c r="O502" s="249"/>
      <c r="P502" s="212"/>
      <c r="Q502" s="213"/>
      <c r="R502" s="208"/>
    </row>
    <row r="503" spans="6:18" ht="17.25" thickBot="1">
      <c r="F503" s="193"/>
      <c r="G503" s="184"/>
      <c r="H503" s="184"/>
      <c r="I503" s="184"/>
      <c r="J503" s="479"/>
      <c r="K503" s="250"/>
      <c r="L503" s="185"/>
      <c r="M503" s="185"/>
      <c r="N503" s="186"/>
      <c r="O503" s="250"/>
      <c r="P503" s="188"/>
      <c r="Q503" s="189"/>
      <c r="R503" s="184"/>
    </row>
    <row r="504" spans="6:18" ht="17.25" thickBot="1">
      <c r="F504" s="192"/>
      <c r="G504" s="178"/>
      <c r="H504" s="178"/>
      <c r="I504" s="178"/>
      <c r="J504" s="480"/>
      <c r="K504" s="251"/>
      <c r="L504" s="179"/>
      <c r="M504" s="179"/>
      <c r="N504" s="180"/>
      <c r="O504" s="251"/>
      <c r="P504" s="182"/>
      <c r="Q504" s="183"/>
      <c r="R504" s="178"/>
    </row>
    <row r="505" spans="6:18" ht="17.25" thickBot="1">
      <c r="F505" s="193"/>
      <c r="G505" s="184"/>
      <c r="H505" s="184"/>
      <c r="I505" s="184"/>
      <c r="J505" s="479"/>
      <c r="K505" s="250"/>
      <c r="L505" s="185"/>
      <c r="M505" s="185"/>
      <c r="N505" s="186"/>
      <c r="O505" s="250"/>
      <c r="P505" s="188"/>
      <c r="Q505" s="189"/>
      <c r="R505" s="184"/>
    </row>
    <row r="506" spans="6:18" ht="17.25" thickBot="1">
      <c r="F506" s="192"/>
      <c r="G506" s="178"/>
      <c r="H506" s="178"/>
      <c r="I506" s="178"/>
      <c r="J506" s="480"/>
      <c r="K506" s="181"/>
      <c r="L506" s="179"/>
      <c r="M506" s="179"/>
      <c r="N506" s="180"/>
      <c r="O506" s="251"/>
      <c r="P506" s="182"/>
      <c r="Q506" s="183"/>
      <c r="R506" s="178"/>
    </row>
    <row r="507" spans="6:18" ht="17.25" thickBot="1">
      <c r="F507" s="193"/>
      <c r="G507" s="184"/>
      <c r="H507" s="184"/>
      <c r="I507" s="184"/>
      <c r="J507" s="479"/>
      <c r="K507" s="250"/>
      <c r="L507" s="185"/>
      <c r="M507" s="185"/>
      <c r="N507" s="186"/>
      <c r="O507" s="250"/>
      <c r="P507" s="188"/>
      <c r="Q507" s="189"/>
      <c r="R507" s="184"/>
    </row>
    <row r="508" spans="6:18" ht="17.25" thickBot="1">
      <c r="F508" s="192"/>
      <c r="G508" s="178"/>
      <c r="H508" s="178"/>
      <c r="I508" s="178"/>
      <c r="J508" s="480"/>
      <c r="K508" s="251"/>
      <c r="L508" s="179"/>
      <c r="M508" s="179"/>
      <c r="N508" s="180"/>
      <c r="O508" s="251"/>
      <c r="P508" s="182"/>
      <c r="Q508" s="183"/>
      <c r="R508" s="178"/>
    </row>
    <row r="509" spans="6:18" ht="17.25" thickBot="1">
      <c r="F509" s="193"/>
      <c r="G509" s="184"/>
      <c r="H509" s="184"/>
      <c r="I509" s="184"/>
      <c r="J509" s="479"/>
      <c r="K509" s="250"/>
      <c r="L509" s="185"/>
      <c r="M509" s="185"/>
      <c r="N509" s="186"/>
      <c r="O509" s="250"/>
      <c r="P509" s="188"/>
      <c r="Q509" s="189"/>
      <c r="R509" s="184"/>
    </row>
    <row r="510" spans="6:18" ht="17.25" thickBot="1">
      <c r="F510" s="192"/>
      <c r="G510" s="178"/>
      <c r="H510" s="178"/>
      <c r="I510" s="178"/>
      <c r="J510" s="480"/>
      <c r="K510" s="251"/>
      <c r="L510" s="179"/>
      <c r="M510" s="179"/>
      <c r="N510" s="180"/>
      <c r="O510" s="251"/>
      <c r="P510" s="182"/>
      <c r="Q510" s="183"/>
      <c r="R510" s="178"/>
    </row>
    <row r="511" spans="6:18" ht="17.25" thickBot="1">
      <c r="F511" s="193"/>
      <c r="G511" s="184"/>
      <c r="H511" s="184"/>
      <c r="I511" s="184"/>
      <c r="J511" s="479"/>
      <c r="K511" s="250"/>
      <c r="L511" s="185"/>
      <c r="M511" s="185"/>
      <c r="N511" s="186"/>
      <c r="O511" s="250"/>
      <c r="P511" s="188"/>
      <c r="Q511" s="189"/>
      <c r="R511" s="184"/>
    </row>
    <row r="512" spans="6:18" ht="17.25" thickBot="1">
      <c r="F512" s="192"/>
      <c r="G512" s="178"/>
      <c r="H512" s="178"/>
      <c r="I512" s="178"/>
      <c r="J512" s="480"/>
      <c r="K512" s="251"/>
      <c r="L512" s="179"/>
      <c r="M512" s="179"/>
      <c r="N512" s="180"/>
      <c r="O512" s="251"/>
      <c r="P512" s="182"/>
      <c r="Q512" s="183"/>
      <c r="R512" s="178"/>
    </row>
    <row r="513" spans="6:18" ht="17.25" thickBot="1">
      <c r="F513" s="193"/>
      <c r="G513" s="184"/>
      <c r="H513" s="184"/>
      <c r="I513" s="184"/>
      <c r="J513" s="479"/>
      <c r="K513" s="250"/>
      <c r="L513" s="185"/>
      <c r="M513" s="185"/>
      <c r="N513" s="186"/>
      <c r="O513" s="250"/>
      <c r="P513" s="188"/>
      <c r="Q513" s="189"/>
      <c r="R513" s="184"/>
    </row>
    <row r="514" spans="6:18" ht="17.25" thickBot="1">
      <c r="F514" s="192"/>
      <c r="G514" s="257"/>
      <c r="H514" s="208"/>
      <c r="I514" s="208"/>
      <c r="J514" s="478"/>
      <c r="K514" s="211"/>
      <c r="L514" s="209"/>
      <c r="M514" s="209"/>
      <c r="N514" s="210"/>
      <c r="O514" s="211"/>
      <c r="P514" s="212"/>
      <c r="Q514" s="213"/>
      <c r="R514" s="208"/>
    </row>
    <row r="515" spans="6:18" ht="17.25" thickBot="1">
      <c r="F515" s="193"/>
      <c r="G515" s="257"/>
      <c r="H515" s="208"/>
      <c r="I515" s="208"/>
      <c r="J515" s="478"/>
      <c r="K515" s="211"/>
      <c r="L515" s="209"/>
      <c r="M515" s="209"/>
      <c r="N515" s="210"/>
      <c r="O515" s="211"/>
      <c r="P515" s="212"/>
      <c r="Q515" s="213"/>
      <c r="R515" s="208"/>
    </row>
    <row r="516" spans="6:18" ht="17.25" thickBot="1">
      <c r="F516" s="192"/>
      <c r="G516" s="257"/>
      <c r="H516" s="208"/>
      <c r="I516" s="208"/>
      <c r="J516" s="478"/>
      <c r="K516" s="211"/>
      <c r="L516" s="209"/>
      <c r="M516" s="209"/>
      <c r="N516" s="210"/>
      <c r="O516" s="211"/>
      <c r="P516" s="212"/>
      <c r="Q516" s="213"/>
      <c r="R516" s="208"/>
    </row>
    <row r="517" spans="6:18" ht="17.25" thickBot="1">
      <c r="F517" s="193"/>
      <c r="G517" s="257"/>
      <c r="H517" s="208"/>
      <c r="I517" s="208"/>
      <c r="J517" s="478"/>
      <c r="K517" s="211"/>
      <c r="L517" s="209"/>
      <c r="M517" s="209"/>
      <c r="N517" s="210"/>
      <c r="O517" s="211"/>
      <c r="P517" s="212"/>
      <c r="Q517" s="213"/>
      <c r="R517" s="208"/>
    </row>
    <row r="518" spans="6:18" ht="17.25" thickBot="1">
      <c r="F518" s="192"/>
      <c r="G518" s="257"/>
      <c r="H518" s="208"/>
      <c r="I518" s="208"/>
      <c r="J518" s="478"/>
      <c r="K518" s="211"/>
      <c r="L518" s="209"/>
      <c r="M518" s="209"/>
      <c r="N518" s="210"/>
      <c r="O518" s="211"/>
      <c r="P518" s="212"/>
      <c r="Q518" s="213"/>
      <c r="R518" s="208"/>
    </row>
    <row r="519" spans="6:18" ht="19.5" thickBot="1">
      <c r="F519" s="193"/>
      <c r="G519" s="184"/>
      <c r="H519" s="184"/>
      <c r="I519" s="184"/>
      <c r="J519" s="329"/>
      <c r="K519" s="250"/>
      <c r="L519" s="185"/>
      <c r="M519" s="185"/>
      <c r="N519" s="186"/>
      <c r="O519" s="250"/>
      <c r="P519" s="188"/>
      <c r="Q519" s="189"/>
      <c r="R519" s="184"/>
    </row>
    <row r="520" spans="6:18" ht="19.5" thickBot="1">
      <c r="F520" s="192"/>
      <c r="G520" s="178"/>
      <c r="H520" s="178"/>
      <c r="I520" s="178"/>
      <c r="J520" s="329"/>
      <c r="K520" s="251"/>
      <c r="L520" s="179"/>
      <c r="M520" s="179"/>
      <c r="N520" s="180"/>
      <c r="O520" s="251"/>
      <c r="P520" s="182"/>
      <c r="Q520" s="183"/>
      <c r="R520" s="178"/>
    </row>
    <row r="521" spans="6:18" ht="19.5" thickBot="1">
      <c r="F521" s="193"/>
      <c r="G521" s="184"/>
      <c r="H521" s="184"/>
      <c r="I521" s="184"/>
      <c r="J521" s="329"/>
      <c r="K521" s="250"/>
      <c r="L521" s="185"/>
      <c r="M521" s="185"/>
      <c r="N521" s="186"/>
      <c r="O521" s="250"/>
      <c r="P521" s="188"/>
      <c r="Q521" s="189"/>
      <c r="R521" s="184"/>
    </row>
    <row r="522" spans="6:18" ht="17.25" thickBot="1">
      <c r="F522" s="192"/>
      <c r="G522" s="257"/>
      <c r="H522" s="208"/>
      <c r="I522" s="208"/>
      <c r="J522" s="478"/>
      <c r="K522" s="211"/>
      <c r="L522" s="209"/>
      <c r="M522" s="209"/>
      <c r="N522" s="210"/>
      <c r="O522" s="211"/>
      <c r="P522" s="212"/>
      <c r="Q522" s="213"/>
      <c r="R522" s="208"/>
    </row>
    <row r="523" spans="6:18" ht="17.25" thickBot="1">
      <c r="F523" s="193"/>
      <c r="G523" s="257"/>
      <c r="H523" s="208"/>
      <c r="I523" s="208"/>
      <c r="J523" s="478"/>
      <c r="K523" s="211"/>
      <c r="L523" s="209"/>
      <c r="M523" s="209"/>
      <c r="N523" s="210"/>
      <c r="O523" s="211"/>
      <c r="P523" s="212"/>
      <c r="Q523" s="213"/>
      <c r="R523" s="208"/>
    </row>
    <row r="524" spans="6:18" ht="17.25" thickBot="1">
      <c r="F524" s="192"/>
      <c r="G524" s="257"/>
      <c r="H524" s="208"/>
      <c r="I524" s="208"/>
      <c r="J524" s="478"/>
      <c r="K524" s="211"/>
      <c r="L524" s="209"/>
      <c r="M524" s="209"/>
      <c r="N524" s="210"/>
      <c r="O524" s="211"/>
      <c r="P524" s="212"/>
      <c r="Q524" s="213"/>
      <c r="R524" s="208"/>
    </row>
    <row r="525" spans="6:18" ht="17.25" thickBot="1">
      <c r="F525" s="193"/>
      <c r="G525" s="257"/>
      <c r="H525" s="208"/>
      <c r="I525" s="208"/>
      <c r="J525" s="478"/>
      <c r="K525" s="211"/>
      <c r="L525" s="209"/>
      <c r="M525" s="209"/>
      <c r="N525" s="210"/>
      <c r="O525" s="211"/>
      <c r="P525" s="212"/>
      <c r="Q525" s="213"/>
      <c r="R525" s="208"/>
    </row>
    <row r="526" spans="6:18" ht="17.25" thickBot="1">
      <c r="F526" s="192"/>
      <c r="G526" s="178"/>
      <c r="H526" s="178"/>
      <c r="I526" s="178"/>
      <c r="J526" s="480"/>
      <c r="K526" s="251"/>
      <c r="L526" s="179"/>
      <c r="M526" s="179"/>
      <c r="N526" s="180"/>
      <c r="O526" s="251"/>
      <c r="P526" s="182"/>
      <c r="Q526" s="183"/>
      <c r="R526" s="178"/>
    </row>
    <row r="527" spans="6:18" ht="17.25" thickBot="1">
      <c r="F527" s="193"/>
      <c r="G527" s="184"/>
      <c r="H527" s="184"/>
      <c r="I527" s="184"/>
      <c r="J527" s="479"/>
      <c r="K527" s="187"/>
      <c r="L527" s="185"/>
      <c r="M527" s="185"/>
      <c r="N527" s="186"/>
      <c r="O527" s="250"/>
      <c r="P527" s="188"/>
      <c r="Q527" s="189"/>
      <c r="R527" s="184"/>
    </row>
    <row r="528" spans="6:18" ht="17.25" thickBot="1">
      <c r="F528" s="192"/>
      <c r="G528" s="178"/>
      <c r="H528" s="178"/>
      <c r="I528" s="178"/>
      <c r="J528" s="480"/>
      <c r="K528" s="181"/>
      <c r="L528" s="179"/>
      <c r="M528" s="179"/>
      <c r="N528" s="180"/>
      <c r="O528" s="251"/>
      <c r="P528" s="182"/>
      <c r="Q528" s="183"/>
      <c r="R528" s="178"/>
    </row>
    <row r="529" spans="6:18" ht="17.25" thickBot="1">
      <c r="F529" s="193"/>
      <c r="G529" s="184"/>
      <c r="H529" s="184"/>
      <c r="I529" s="184"/>
      <c r="J529" s="479"/>
      <c r="K529" s="250"/>
      <c r="L529" s="185"/>
      <c r="M529" s="185"/>
      <c r="N529" s="186"/>
      <c r="O529" s="250"/>
      <c r="P529" s="188"/>
      <c r="Q529" s="189"/>
      <c r="R529" s="184"/>
    </row>
    <row r="530" spans="6:18" ht="17.25" thickBot="1">
      <c r="F530" s="192"/>
      <c r="G530" s="178"/>
      <c r="H530" s="178"/>
      <c r="I530" s="178"/>
      <c r="J530" s="480"/>
      <c r="K530" s="181"/>
      <c r="L530" s="179"/>
      <c r="M530" s="179"/>
      <c r="N530" s="180"/>
      <c r="O530" s="251"/>
      <c r="P530" s="182"/>
      <c r="Q530" s="183"/>
      <c r="R530" s="178"/>
    </row>
    <row r="531" spans="6:18" ht="17.25" thickBot="1">
      <c r="F531" s="193"/>
      <c r="G531" s="184"/>
      <c r="H531" s="184"/>
      <c r="I531" s="184"/>
      <c r="J531" s="479"/>
      <c r="K531" s="250"/>
      <c r="L531" s="185"/>
      <c r="M531" s="185"/>
      <c r="N531" s="186"/>
      <c r="O531" s="250"/>
      <c r="P531" s="188"/>
      <c r="Q531" s="189"/>
      <c r="R531" s="184"/>
    </row>
    <row r="532" spans="6:18" ht="17.25" thickBot="1">
      <c r="F532" s="192"/>
      <c r="G532" s="178"/>
      <c r="H532" s="178"/>
      <c r="I532" s="178"/>
      <c r="J532" s="480"/>
      <c r="K532" s="251"/>
      <c r="L532" s="179"/>
      <c r="M532" s="179"/>
      <c r="N532" s="180"/>
      <c r="O532" s="251"/>
      <c r="P532" s="182"/>
      <c r="Q532" s="183"/>
      <c r="R532" s="178"/>
    </row>
    <row r="533" spans="6:18" ht="17.25" thickBot="1">
      <c r="F533" s="193"/>
      <c r="G533" s="184"/>
      <c r="H533" s="184"/>
      <c r="I533" s="184"/>
      <c r="J533" s="479"/>
      <c r="K533" s="250"/>
      <c r="L533" s="185"/>
      <c r="M533" s="185"/>
      <c r="N533" s="186"/>
      <c r="O533" s="250"/>
      <c r="P533" s="188"/>
      <c r="Q533" s="189"/>
      <c r="R533" s="184"/>
    </row>
    <row r="534" spans="6:18" ht="17.25" thickBot="1">
      <c r="F534" s="192"/>
      <c r="G534" s="178"/>
      <c r="H534" s="178"/>
      <c r="I534" s="178"/>
      <c r="J534" s="480"/>
      <c r="K534" s="251"/>
      <c r="L534" s="179"/>
      <c r="M534" s="179"/>
      <c r="N534" s="180"/>
      <c r="O534" s="251"/>
      <c r="P534" s="182"/>
      <c r="Q534" s="183"/>
      <c r="R534" s="178"/>
    </row>
    <row r="535" spans="6:18" ht="17.25" thickBot="1">
      <c r="F535" s="193"/>
      <c r="G535" s="184"/>
      <c r="H535" s="184"/>
      <c r="I535" s="184"/>
      <c r="J535" s="479"/>
      <c r="K535" s="250"/>
      <c r="L535" s="185"/>
      <c r="M535" s="185"/>
      <c r="N535" s="186"/>
      <c r="O535" s="250"/>
      <c r="P535" s="188"/>
      <c r="Q535" s="189"/>
      <c r="R535" s="184"/>
    </row>
    <row r="536" spans="6:18" ht="17.25" thickBot="1">
      <c r="F536" s="192"/>
      <c r="G536" s="178"/>
      <c r="H536" s="178"/>
      <c r="I536" s="178"/>
      <c r="J536" s="480"/>
      <c r="K536" s="251"/>
      <c r="L536" s="179"/>
      <c r="M536" s="179"/>
      <c r="N536" s="180"/>
      <c r="O536" s="251"/>
      <c r="P536" s="182"/>
      <c r="Q536" s="183"/>
      <c r="R536" s="178"/>
    </row>
    <row r="537" spans="6:18" ht="17.25" thickBot="1">
      <c r="F537" s="193"/>
      <c r="G537" s="184"/>
      <c r="H537" s="184"/>
      <c r="I537" s="184"/>
      <c r="J537" s="479"/>
      <c r="K537" s="250"/>
      <c r="L537" s="185"/>
      <c r="M537" s="185"/>
      <c r="N537" s="186"/>
      <c r="O537" s="250"/>
      <c r="P537" s="188"/>
      <c r="Q537" s="189"/>
      <c r="R537" s="184"/>
    </row>
    <row r="538" spans="6:18" ht="17.25" thickBot="1">
      <c r="F538" s="192"/>
      <c r="G538" s="178"/>
      <c r="H538" s="178"/>
      <c r="I538" s="178"/>
      <c r="J538" s="480"/>
      <c r="K538" s="251"/>
      <c r="L538" s="179"/>
      <c r="M538" s="179"/>
      <c r="N538" s="180"/>
      <c r="O538" s="251"/>
      <c r="P538" s="182"/>
      <c r="Q538" s="183"/>
      <c r="R538" s="178"/>
    </row>
    <row r="539" spans="6:18" ht="17.25" thickBot="1">
      <c r="F539" s="193"/>
      <c r="G539" s="184"/>
      <c r="H539" s="184"/>
      <c r="I539" s="184"/>
      <c r="J539" s="479"/>
      <c r="K539" s="250"/>
      <c r="L539" s="185"/>
      <c r="M539" s="185"/>
      <c r="N539" s="186"/>
      <c r="O539" s="250"/>
      <c r="P539" s="188"/>
      <c r="Q539" s="189"/>
      <c r="R539" s="184"/>
    </row>
    <row r="540" spans="6:18" ht="17.25" thickBot="1">
      <c r="F540" s="192"/>
      <c r="G540" s="178"/>
      <c r="H540" s="178"/>
      <c r="I540" s="178"/>
      <c r="J540" s="480"/>
      <c r="K540" s="251"/>
      <c r="L540" s="179"/>
      <c r="M540" s="179"/>
      <c r="N540" s="180"/>
      <c r="O540" s="251"/>
      <c r="P540" s="182"/>
      <c r="Q540" s="183"/>
      <c r="R540" s="178"/>
    </row>
    <row r="541" spans="6:18" ht="17.25" thickBot="1">
      <c r="F541" s="193"/>
      <c r="G541" s="184"/>
      <c r="H541" s="184"/>
      <c r="I541" s="184"/>
      <c r="J541" s="479"/>
      <c r="K541" s="250"/>
      <c r="L541" s="185"/>
      <c r="M541" s="185"/>
      <c r="N541" s="186"/>
      <c r="O541" s="250"/>
      <c r="P541" s="188"/>
      <c r="Q541" s="189"/>
      <c r="R541" s="184"/>
    </row>
    <row r="542" spans="6:18" ht="17.25" thickBot="1">
      <c r="F542" s="192"/>
      <c r="G542" s="178"/>
      <c r="H542" s="178"/>
      <c r="I542" s="178"/>
      <c r="J542" s="480"/>
      <c r="K542" s="251"/>
      <c r="L542" s="179"/>
      <c r="M542" s="179"/>
      <c r="N542" s="180"/>
      <c r="O542" s="251"/>
      <c r="P542" s="182"/>
      <c r="Q542" s="183"/>
      <c r="R542" s="178"/>
    </row>
    <row r="543" spans="6:18" ht="17.25" thickBot="1">
      <c r="F543" s="193"/>
      <c r="G543" s="184"/>
      <c r="H543" s="184"/>
      <c r="I543" s="184"/>
      <c r="J543" s="479"/>
      <c r="K543" s="250"/>
      <c r="L543" s="185"/>
      <c r="M543" s="185"/>
      <c r="N543" s="186"/>
      <c r="O543" s="250"/>
      <c r="P543" s="188"/>
      <c r="Q543" s="189"/>
      <c r="R543" s="184"/>
    </row>
    <row r="544" spans="6:18" ht="17.25" thickBot="1">
      <c r="F544" s="192"/>
      <c r="G544" s="178"/>
      <c r="H544" s="178"/>
      <c r="I544" s="178"/>
      <c r="J544" s="480"/>
      <c r="K544" s="251"/>
      <c r="L544" s="179"/>
      <c r="M544" s="179"/>
      <c r="N544" s="180"/>
      <c r="O544" s="251"/>
      <c r="P544" s="182"/>
      <c r="Q544" s="183"/>
      <c r="R544" s="178"/>
    </row>
    <row r="545" spans="6:18" ht="17.25" thickBot="1">
      <c r="F545" s="193"/>
      <c r="G545" s="184"/>
      <c r="H545" s="184"/>
      <c r="I545" s="184"/>
      <c r="J545" s="479"/>
      <c r="K545" s="250"/>
      <c r="L545" s="185"/>
      <c r="M545" s="185"/>
      <c r="N545" s="186"/>
      <c r="O545" s="250"/>
      <c r="P545" s="188"/>
      <c r="Q545" s="189"/>
      <c r="R545" s="184"/>
    </row>
    <row r="546" spans="6:18" ht="17.25" thickBot="1">
      <c r="F546" s="192"/>
      <c r="G546" s="178"/>
      <c r="H546" s="178"/>
      <c r="I546" s="178"/>
      <c r="J546" s="480"/>
      <c r="K546" s="251"/>
      <c r="L546" s="179"/>
      <c r="M546" s="179"/>
      <c r="N546" s="180"/>
      <c r="O546" s="251"/>
      <c r="P546" s="182"/>
      <c r="Q546" s="183"/>
      <c r="R546" s="178"/>
    </row>
    <row r="547" spans="6:18" ht="17.25" thickBot="1">
      <c r="F547" s="193"/>
      <c r="G547" s="184"/>
      <c r="H547" s="184"/>
      <c r="I547" s="184"/>
      <c r="J547" s="479"/>
      <c r="K547" s="250"/>
      <c r="L547" s="185"/>
      <c r="M547" s="185"/>
      <c r="N547" s="186"/>
      <c r="O547" s="250"/>
      <c r="P547" s="188"/>
      <c r="Q547" s="189"/>
      <c r="R547" s="184"/>
    </row>
    <row r="548" spans="6:18" ht="17.25" thickBot="1">
      <c r="F548" s="192"/>
      <c r="G548" s="178"/>
      <c r="H548" s="178"/>
      <c r="I548" s="178"/>
      <c r="J548" s="480"/>
      <c r="K548" s="251"/>
      <c r="L548" s="179"/>
      <c r="M548" s="179"/>
      <c r="N548" s="180"/>
      <c r="O548" s="251"/>
      <c r="P548" s="182"/>
      <c r="Q548" s="183"/>
      <c r="R548" s="178"/>
    </row>
    <row r="549" spans="6:18" ht="17.25" thickBot="1">
      <c r="F549" s="193"/>
      <c r="G549" s="184"/>
      <c r="H549" s="184"/>
      <c r="I549" s="184"/>
      <c r="J549" s="479"/>
      <c r="K549" s="250"/>
      <c r="L549" s="185"/>
      <c r="M549" s="185"/>
      <c r="N549" s="186"/>
      <c r="O549" s="250"/>
      <c r="P549" s="188"/>
      <c r="Q549" s="189"/>
      <c r="R549" s="184"/>
    </row>
    <row r="550" spans="6:18" ht="17.25" thickBot="1">
      <c r="F550" s="192"/>
      <c r="G550" s="178"/>
      <c r="H550" s="178"/>
      <c r="I550" s="178"/>
      <c r="J550" s="480"/>
      <c r="K550" s="251"/>
      <c r="L550" s="179"/>
      <c r="M550" s="179"/>
      <c r="N550" s="180"/>
      <c r="O550" s="251"/>
      <c r="P550" s="182"/>
      <c r="Q550" s="183"/>
      <c r="R550" s="178"/>
    </row>
    <row r="551" spans="6:18" ht="17.25" thickBot="1">
      <c r="F551" s="193"/>
      <c r="G551" s="184"/>
      <c r="H551" s="184"/>
      <c r="I551" s="184"/>
      <c r="J551" s="479"/>
      <c r="K551" s="250"/>
      <c r="L551" s="185"/>
      <c r="M551" s="185"/>
      <c r="N551" s="186"/>
      <c r="O551" s="250"/>
      <c r="P551" s="188"/>
      <c r="Q551" s="189"/>
      <c r="R551" s="184"/>
    </row>
    <row r="552" spans="6:18" ht="17.25" thickBot="1">
      <c r="F552" s="192"/>
      <c r="G552" s="178"/>
      <c r="H552" s="178"/>
      <c r="I552" s="178"/>
      <c r="J552" s="480"/>
      <c r="K552" s="251"/>
      <c r="L552" s="179"/>
      <c r="M552" s="179"/>
      <c r="N552" s="180"/>
      <c r="O552" s="251"/>
      <c r="P552" s="182"/>
      <c r="Q552" s="183"/>
      <c r="R552" s="178"/>
    </row>
    <row r="553" spans="6:18" ht="17.25" thickBot="1">
      <c r="F553" s="193"/>
      <c r="G553" s="184"/>
      <c r="H553" s="184"/>
      <c r="I553" s="184"/>
      <c r="J553" s="479"/>
      <c r="K553" s="250"/>
      <c r="L553" s="185"/>
      <c r="M553" s="185"/>
      <c r="N553" s="186"/>
      <c r="O553" s="250"/>
      <c r="P553" s="188"/>
      <c r="Q553" s="189"/>
      <c r="R553" s="184"/>
    </row>
    <row r="554" spans="6:18" ht="17.25" thickBot="1">
      <c r="F554" s="192"/>
      <c r="G554" s="178"/>
      <c r="H554" s="178"/>
      <c r="I554" s="178"/>
      <c r="J554" s="480"/>
      <c r="K554" s="251"/>
      <c r="L554" s="179"/>
      <c r="M554" s="179"/>
      <c r="N554" s="180"/>
      <c r="O554" s="251"/>
      <c r="P554" s="182"/>
      <c r="Q554" s="183"/>
      <c r="R554" s="178"/>
    </row>
    <row r="555" spans="6:18" ht="17.25" thickBot="1">
      <c r="F555" s="192"/>
      <c r="G555" s="257"/>
      <c r="H555" s="208"/>
      <c r="I555" s="208"/>
      <c r="J555" s="478"/>
      <c r="K555" s="211"/>
      <c r="L555" s="209"/>
      <c r="M555" s="209"/>
      <c r="N555" s="210"/>
      <c r="O555" s="211"/>
      <c r="P555" s="212"/>
      <c r="Q555" s="213"/>
      <c r="R555" s="208"/>
    </row>
    <row r="556" spans="6:18" ht="17.25" thickBot="1">
      <c r="F556" s="193"/>
      <c r="G556" s="257"/>
      <c r="H556" s="208"/>
      <c r="I556" s="208"/>
      <c r="J556" s="478"/>
      <c r="K556" s="211"/>
      <c r="L556" s="209"/>
      <c r="M556" s="209"/>
      <c r="N556" s="210"/>
      <c r="O556" s="211"/>
      <c r="P556" s="212"/>
      <c r="Q556" s="213"/>
      <c r="R556" s="208"/>
    </row>
    <row r="557" spans="6:18" ht="17.25" thickBot="1">
      <c r="F557" s="192"/>
      <c r="G557" s="257"/>
      <c r="H557" s="208"/>
      <c r="I557" s="208"/>
      <c r="J557" s="478"/>
      <c r="K557" s="211"/>
      <c r="L557" s="209"/>
      <c r="M557" s="209"/>
      <c r="N557" s="210"/>
      <c r="O557" s="211"/>
      <c r="P557" s="212"/>
      <c r="Q557" s="213"/>
      <c r="R557" s="208"/>
    </row>
    <row r="558" spans="6:18" ht="17.25" thickBot="1">
      <c r="F558" s="193"/>
      <c r="G558" s="184"/>
      <c r="H558" s="184"/>
      <c r="I558" s="184"/>
      <c r="J558" s="479"/>
      <c r="K558" s="187"/>
      <c r="L558" s="185"/>
      <c r="M558" s="185"/>
      <c r="N558" s="186"/>
      <c r="O558" s="187"/>
      <c r="P558" s="188"/>
      <c r="Q558" s="189"/>
      <c r="R558" s="184"/>
    </row>
    <row r="559" spans="6:18" ht="17.25" thickBot="1">
      <c r="F559" s="192"/>
      <c r="G559" s="178"/>
      <c r="H559" s="178"/>
      <c r="I559" s="178"/>
      <c r="J559" s="480"/>
      <c r="K559" s="181"/>
      <c r="L559" s="179"/>
      <c r="M559" s="179"/>
      <c r="N559" s="180"/>
      <c r="O559" s="181"/>
      <c r="P559" s="182"/>
      <c r="Q559" s="183"/>
      <c r="R559" s="178"/>
    </row>
    <row r="560" spans="6:18" ht="17.25" thickBot="1">
      <c r="F560" s="193"/>
      <c r="G560" s="184"/>
      <c r="H560" s="184"/>
      <c r="I560" s="184"/>
      <c r="J560" s="479"/>
      <c r="K560" s="187"/>
      <c r="L560" s="185"/>
      <c r="M560" s="185"/>
      <c r="N560" s="186"/>
      <c r="O560" s="187"/>
      <c r="P560" s="188"/>
      <c r="Q560" s="189"/>
      <c r="R560" s="184"/>
    </row>
    <row r="561" spans="6:18" ht="17.25" thickBot="1">
      <c r="F561" s="192"/>
      <c r="G561" s="178"/>
      <c r="H561" s="178"/>
      <c r="I561" s="178"/>
      <c r="J561" s="480"/>
      <c r="K561" s="181"/>
      <c r="L561" s="179"/>
      <c r="M561" s="179"/>
      <c r="N561" s="180"/>
      <c r="O561" s="181"/>
      <c r="P561" s="182"/>
      <c r="Q561" s="183"/>
      <c r="R561" s="178"/>
    </row>
    <row r="562" spans="6:18" ht="17.25" thickBot="1">
      <c r="F562" s="193"/>
      <c r="G562" s="184"/>
      <c r="H562" s="184"/>
      <c r="I562" s="184"/>
      <c r="J562" s="479"/>
      <c r="K562" s="187"/>
      <c r="L562" s="185"/>
      <c r="M562" s="185"/>
      <c r="N562" s="186"/>
      <c r="O562" s="187"/>
      <c r="P562" s="188"/>
      <c r="Q562" s="189"/>
      <c r="R562" s="184"/>
    </row>
    <row r="563" spans="6:18" ht="17.25" thickBot="1">
      <c r="F563" s="192"/>
      <c r="G563" s="178"/>
      <c r="H563" s="178"/>
      <c r="I563" s="178"/>
      <c r="J563" s="480"/>
      <c r="K563" s="181"/>
      <c r="L563" s="179"/>
      <c r="M563" s="179"/>
      <c r="N563" s="180"/>
      <c r="O563" s="181"/>
      <c r="P563" s="182"/>
      <c r="Q563" s="183"/>
      <c r="R563" s="178"/>
    </row>
    <row r="564" spans="6:18" ht="17.25" thickBot="1">
      <c r="F564" s="193"/>
      <c r="G564" s="184"/>
      <c r="H564" s="184"/>
      <c r="I564" s="184"/>
      <c r="J564" s="479"/>
      <c r="K564" s="187"/>
      <c r="L564" s="185"/>
      <c r="M564" s="185"/>
      <c r="N564" s="186"/>
      <c r="O564" s="187"/>
      <c r="P564" s="188"/>
      <c r="Q564" s="189"/>
      <c r="R564" s="184"/>
    </row>
    <row r="565" spans="6:18" ht="17.25" thickBot="1">
      <c r="F565" s="192"/>
      <c r="G565" s="178"/>
      <c r="H565" s="178"/>
      <c r="I565" s="178"/>
      <c r="J565" s="480"/>
      <c r="K565" s="181"/>
      <c r="L565" s="179"/>
      <c r="M565" s="179"/>
      <c r="N565" s="180"/>
      <c r="O565" s="181"/>
      <c r="P565" s="182"/>
      <c r="Q565" s="183"/>
      <c r="R565" s="178"/>
    </row>
    <row r="566" spans="6:18" ht="17.25" thickBot="1">
      <c r="F566" s="193"/>
      <c r="G566" s="184"/>
      <c r="H566" s="184"/>
      <c r="I566" s="184"/>
      <c r="J566" s="479"/>
      <c r="K566" s="187"/>
      <c r="L566" s="185"/>
      <c r="M566" s="185"/>
      <c r="N566" s="186"/>
      <c r="O566" s="187"/>
      <c r="P566" s="188"/>
      <c r="Q566" s="189"/>
      <c r="R566" s="184"/>
    </row>
    <row r="567" spans="6:18" ht="17.25" thickBot="1">
      <c r="F567" s="192"/>
      <c r="G567" s="178"/>
      <c r="H567" s="178"/>
      <c r="I567" s="178"/>
      <c r="J567" s="480"/>
      <c r="K567" s="181"/>
      <c r="L567" s="179"/>
      <c r="M567" s="179"/>
      <c r="N567" s="180"/>
      <c r="O567" s="181"/>
      <c r="P567" s="182"/>
      <c r="Q567" s="183"/>
      <c r="R567" s="178"/>
    </row>
    <row r="568" spans="6:18" ht="17.25" thickBot="1">
      <c r="F568" s="193"/>
      <c r="G568" s="184"/>
      <c r="H568" s="184"/>
      <c r="I568" s="184"/>
      <c r="J568" s="479"/>
      <c r="K568" s="187"/>
      <c r="L568" s="185"/>
      <c r="M568" s="185"/>
      <c r="N568" s="186"/>
      <c r="O568" s="187"/>
      <c r="P568" s="188"/>
      <c r="Q568" s="189"/>
      <c r="R568" s="184"/>
    </row>
    <row r="569" spans="6:18" ht="17.25" thickBot="1">
      <c r="F569" s="192"/>
      <c r="G569" s="178"/>
      <c r="H569" s="178"/>
      <c r="I569" s="178"/>
      <c r="J569" s="480"/>
      <c r="K569" s="181"/>
      <c r="L569" s="179"/>
      <c r="M569" s="179"/>
      <c r="N569" s="180"/>
      <c r="O569" s="181"/>
      <c r="P569" s="182"/>
      <c r="Q569" s="183"/>
      <c r="R569" s="178"/>
    </row>
    <row r="570" spans="6:18" ht="17.25" thickBot="1">
      <c r="F570" s="193"/>
      <c r="G570" s="184"/>
      <c r="H570" s="184"/>
      <c r="I570" s="184"/>
      <c r="J570" s="479"/>
      <c r="K570" s="187"/>
      <c r="L570" s="185"/>
      <c r="M570" s="185"/>
      <c r="N570" s="186"/>
      <c r="O570" s="187"/>
      <c r="P570" s="188"/>
      <c r="Q570" s="189"/>
      <c r="R570" s="184"/>
    </row>
    <row r="571" spans="6:18" ht="17.25" thickBot="1">
      <c r="F571" s="192"/>
      <c r="G571" s="178"/>
      <c r="H571" s="178"/>
      <c r="I571" s="178"/>
      <c r="J571" s="480"/>
      <c r="K571" s="181"/>
      <c r="L571" s="179"/>
      <c r="M571" s="179"/>
      <c r="N571" s="180"/>
      <c r="O571" s="181"/>
      <c r="P571" s="182"/>
      <c r="Q571" s="183"/>
      <c r="R571" s="178"/>
    </row>
    <row r="572" spans="6:18" ht="17.25" thickBot="1">
      <c r="F572" s="193"/>
      <c r="G572" s="184"/>
      <c r="H572" s="184"/>
      <c r="I572" s="184"/>
      <c r="J572" s="479"/>
      <c r="K572" s="187"/>
      <c r="L572" s="185"/>
      <c r="M572" s="185"/>
      <c r="N572" s="186"/>
      <c r="O572" s="187"/>
      <c r="P572" s="188"/>
      <c r="Q572" s="189"/>
      <c r="R572" s="184"/>
    </row>
    <row r="573" spans="6:18" ht="17.25" thickBot="1">
      <c r="F573" s="192"/>
      <c r="G573" s="178"/>
      <c r="H573" s="178"/>
      <c r="I573" s="178"/>
      <c r="J573" s="480"/>
      <c r="K573" s="181"/>
      <c r="L573" s="179"/>
      <c r="M573" s="179"/>
      <c r="N573" s="180"/>
      <c r="O573" s="181"/>
      <c r="P573" s="182"/>
      <c r="Q573" s="183"/>
      <c r="R573" s="178"/>
    </row>
    <row r="574" spans="6:18" ht="17.25" thickBot="1">
      <c r="F574" s="193"/>
      <c r="G574" s="184"/>
      <c r="H574" s="184"/>
      <c r="I574" s="184"/>
      <c r="J574" s="479"/>
      <c r="K574" s="187"/>
      <c r="L574" s="185"/>
      <c r="M574" s="185"/>
      <c r="N574" s="186"/>
      <c r="O574" s="187"/>
      <c r="P574" s="188"/>
      <c r="Q574" s="189"/>
      <c r="R574" s="184"/>
    </row>
    <row r="575" spans="6:18" ht="17.25" thickBot="1">
      <c r="F575" s="192"/>
      <c r="G575" s="178"/>
      <c r="H575" s="178"/>
      <c r="I575" s="178"/>
      <c r="J575" s="480"/>
      <c r="K575" s="181"/>
      <c r="L575" s="179"/>
      <c r="M575" s="179"/>
      <c r="N575" s="180"/>
      <c r="O575" s="181"/>
      <c r="P575" s="182"/>
      <c r="Q575" s="183"/>
      <c r="R575" s="178"/>
    </row>
    <row r="576" spans="6:18" ht="17.25" thickBot="1">
      <c r="F576" s="193"/>
      <c r="G576" s="184"/>
      <c r="H576" s="184"/>
      <c r="I576" s="184"/>
      <c r="J576" s="479"/>
      <c r="K576" s="187"/>
      <c r="L576" s="185"/>
      <c r="M576" s="185"/>
      <c r="N576" s="186"/>
      <c r="O576" s="187"/>
      <c r="P576" s="188"/>
      <c r="Q576" s="189"/>
      <c r="R576" s="184"/>
    </row>
    <row r="577" spans="6:18" ht="17.25" thickBot="1">
      <c r="F577" s="192"/>
      <c r="G577" s="178"/>
      <c r="H577" s="178"/>
      <c r="I577" s="178"/>
      <c r="J577" s="480"/>
      <c r="K577" s="181"/>
      <c r="L577" s="179"/>
      <c r="M577" s="179"/>
      <c r="N577" s="180"/>
      <c r="O577" s="181"/>
      <c r="P577" s="182"/>
      <c r="Q577" s="183"/>
      <c r="R577" s="178"/>
    </row>
    <row r="578" spans="6:18" ht="17.25" thickBot="1">
      <c r="F578" s="193"/>
      <c r="G578" s="184"/>
      <c r="H578" s="184"/>
      <c r="I578" s="184"/>
      <c r="J578" s="479"/>
      <c r="K578" s="187"/>
      <c r="L578" s="185"/>
      <c r="M578" s="185"/>
      <c r="N578" s="186"/>
      <c r="O578" s="187"/>
      <c r="P578" s="188"/>
      <c r="Q578" s="189"/>
      <c r="R578" s="184"/>
    </row>
    <row r="579" spans="6:18" ht="17.25" thickBot="1">
      <c r="F579" s="192"/>
      <c r="G579" s="178"/>
      <c r="H579" s="178"/>
      <c r="I579" s="178"/>
      <c r="J579" s="480"/>
      <c r="K579" s="181"/>
      <c r="L579" s="179"/>
      <c r="M579" s="179"/>
      <c r="N579" s="180"/>
      <c r="O579" s="181"/>
      <c r="P579" s="182"/>
      <c r="Q579" s="183"/>
      <c r="R579" s="178"/>
    </row>
    <row r="580" spans="6:18" ht="17.25" thickBot="1">
      <c r="F580" s="193"/>
      <c r="G580" s="184"/>
      <c r="H580" s="184"/>
      <c r="I580" s="184"/>
      <c r="J580" s="479"/>
      <c r="K580" s="187"/>
      <c r="L580" s="185"/>
      <c r="M580" s="185"/>
      <c r="N580" s="186"/>
      <c r="O580" s="187"/>
      <c r="P580" s="188"/>
      <c r="Q580" s="189"/>
      <c r="R580" s="184"/>
    </row>
    <row r="581" spans="6:18" ht="17.25" thickBot="1">
      <c r="F581" s="192"/>
      <c r="G581" s="178"/>
      <c r="H581" s="178"/>
      <c r="I581" s="178"/>
      <c r="J581" s="480"/>
      <c r="K581" s="181"/>
      <c r="L581" s="179"/>
      <c r="M581" s="179"/>
      <c r="N581" s="180"/>
      <c r="O581" s="181"/>
      <c r="P581" s="182"/>
      <c r="Q581" s="183"/>
      <c r="R581" s="178"/>
    </row>
    <row r="582" spans="6:18" ht="17.25" thickBot="1">
      <c r="F582" s="193"/>
      <c r="G582" s="184"/>
      <c r="H582" s="184"/>
      <c r="I582" s="184"/>
      <c r="J582" s="479"/>
      <c r="K582" s="187"/>
      <c r="L582" s="185"/>
      <c r="M582" s="185"/>
      <c r="N582" s="186"/>
      <c r="O582" s="187"/>
      <c r="P582" s="188"/>
      <c r="Q582" s="189"/>
      <c r="R582" s="184"/>
    </row>
    <row r="583" spans="6:18" ht="17.25" thickBot="1">
      <c r="F583" s="192"/>
      <c r="G583" s="178"/>
      <c r="H583" s="178"/>
      <c r="I583" s="178"/>
      <c r="J583" s="480"/>
      <c r="K583" s="181"/>
      <c r="L583" s="179"/>
      <c r="M583" s="179"/>
      <c r="N583" s="180"/>
      <c r="O583" s="181"/>
      <c r="P583" s="182"/>
      <c r="Q583" s="183"/>
      <c r="R583" s="178"/>
    </row>
    <row r="584" spans="6:18" ht="17.25" thickBot="1">
      <c r="F584" s="193"/>
      <c r="G584" s="184"/>
      <c r="H584" s="184"/>
      <c r="I584" s="184"/>
      <c r="J584" s="479"/>
      <c r="K584" s="187"/>
      <c r="L584" s="185"/>
      <c r="M584" s="185"/>
      <c r="N584" s="186"/>
      <c r="O584" s="187"/>
      <c r="P584" s="188"/>
      <c r="Q584" s="189"/>
      <c r="R584" s="184"/>
    </row>
    <row r="585" spans="6:18" ht="17.25" thickBot="1">
      <c r="F585" s="192"/>
      <c r="G585" s="178"/>
      <c r="H585" s="178"/>
      <c r="I585" s="178"/>
      <c r="J585" s="480"/>
      <c r="K585" s="181"/>
      <c r="L585" s="179"/>
      <c r="M585" s="179"/>
      <c r="N585" s="180"/>
      <c r="O585" s="181"/>
      <c r="P585" s="182"/>
      <c r="Q585" s="183"/>
      <c r="R585" s="178"/>
    </row>
    <row r="586" spans="6:18" ht="17.25" thickBot="1">
      <c r="F586" s="193"/>
      <c r="G586" s="184"/>
      <c r="H586" s="184"/>
      <c r="I586" s="184"/>
      <c r="J586" s="479"/>
      <c r="K586" s="187"/>
      <c r="L586" s="185"/>
      <c r="M586" s="185"/>
      <c r="N586" s="186"/>
      <c r="O586" s="187"/>
      <c r="P586" s="188"/>
      <c r="Q586" s="189"/>
      <c r="R586" s="184"/>
    </row>
    <row r="587" spans="6:18" ht="17.25" thickBot="1">
      <c r="F587" s="192"/>
      <c r="G587" s="178"/>
      <c r="H587" s="178"/>
      <c r="I587" s="178"/>
      <c r="J587" s="480"/>
      <c r="K587" s="181"/>
      <c r="L587" s="179"/>
      <c r="M587" s="179"/>
      <c r="N587" s="180"/>
      <c r="O587" s="181"/>
      <c r="P587" s="182"/>
      <c r="Q587" s="183"/>
      <c r="R587" s="178"/>
    </row>
    <row r="588" spans="6:18" ht="17.25" thickBot="1">
      <c r="F588" s="193"/>
      <c r="G588" s="184"/>
      <c r="H588" s="184"/>
      <c r="I588" s="184"/>
      <c r="J588" s="479"/>
      <c r="K588" s="187"/>
      <c r="L588" s="185"/>
      <c r="M588" s="185"/>
      <c r="N588" s="186"/>
      <c r="O588" s="187"/>
      <c r="P588" s="188"/>
      <c r="Q588" s="189"/>
      <c r="R588" s="184"/>
    </row>
    <row r="589" spans="6:18" ht="17.25" thickBot="1">
      <c r="F589" s="192"/>
      <c r="G589" s="178"/>
      <c r="H589" s="178"/>
      <c r="I589" s="178"/>
      <c r="J589" s="480"/>
      <c r="K589" s="181"/>
      <c r="L589" s="179"/>
      <c r="M589" s="179"/>
      <c r="N589" s="180"/>
      <c r="O589" s="181"/>
      <c r="P589" s="182"/>
      <c r="Q589" s="183"/>
      <c r="R589" s="178"/>
    </row>
    <row r="590" spans="6:18" ht="17.25" thickBot="1">
      <c r="F590" s="193"/>
      <c r="G590" s="184"/>
      <c r="H590" s="184"/>
      <c r="I590" s="184"/>
      <c r="J590" s="479"/>
      <c r="K590" s="187"/>
      <c r="L590" s="185"/>
      <c r="M590" s="185"/>
      <c r="N590" s="186"/>
      <c r="O590" s="187"/>
      <c r="P590" s="188"/>
      <c r="Q590" s="189"/>
      <c r="R590" s="184"/>
    </row>
    <row r="591" spans="6:18" ht="17.25" thickBot="1">
      <c r="F591" s="192"/>
      <c r="G591" s="178"/>
      <c r="H591" s="178"/>
      <c r="I591" s="178"/>
      <c r="J591" s="480"/>
      <c r="K591" s="181"/>
      <c r="L591" s="179"/>
      <c r="M591" s="179"/>
      <c r="N591" s="180"/>
      <c r="O591" s="181"/>
      <c r="P591" s="182"/>
      <c r="Q591" s="183"/>
      <c r="R591" s="178"/>
    </row>
    <row r="592" spans="6:18" ht="17.25" thickBot="1">
      <c r="F592" s="193"/>
      <c r="G592" s="184"/>
      <c r="H592" s="184"/>
      <c r="I592" s="184"/>
      <c r="J592" s="479"/>
      <c r="K592" s="187"/>
      <c r="L592" s="185"/>
      <c r="M592" s="185"/>
      <c r="N592" s="186"/>
      <c r="O592" s="187"/>
      <c r="P592" s="188"/>
      <c r="Q592" s="189"/>
      <c r="R592" s="184"/>
    </row>
    <row r="593" spans="6:18" ht="17.25" thickBot="1">
      <c r="F593" s="192"/>
      <c r="G593" s="178"/>
      <c r="H593" s="178"/>
      <c r="I593" s="178"/>
      <c r="J593" s="480"/>
      <c r="K593" s="181"/>
      <c r="L593" s="179"/>
      <c r="M593" s="179"/>
      <c r="N593" s="180"/>
      <c r="O593" s="181"/>
      <c r="P593" s="182"/>
      <c r="Q593" s="183"/>
      <c r="R593" s="178"/>
    </row>
    <row r="594" spans="6:18" ht="17.25" thickBot="1">
      <c r="F594" s="193"/>
      <c r="G594" s="184"/>
      <c r="H594" s="184"/>
      <c r="I594" s="184"/>
      <c r="J594" s="479"/>
      <c r="K594" s="187"/>
      <c r="L594" s="185"/>
      <c r="M594" s="185"/>
      <c r="N594" s="186"/>
      <c r="O594" s="187"/>
      <c r="P594" s="188"/>
      <c r="Q594" s="189"/>
      <c r="R594" s="184"/>
    </row>
    <row r="595" spans="6:18" ht="17.25" thickBot="1">
      <c r="F595" s="192"/>
      <c r="G595" s="178"/>
      <c r="H595" s="178"/>
      <c r="I595" s="178"/>
      <c r="J595" s="480"/>
      <c r="K595" s="181"/>
      <c r="L595" s="179"/>
      <c r="M595" s="179"/>
      <c r="N595" s="180"/>
      <c r="O595" s="181"/>
      <c r="P595" s="182"/>
      <c r="Q595" s="183"/>
      <c r="R595" s="178"/>
    </row>
    <row r="596" spans="6:18" ht="17.25" thickBot="1">
      <c r="F596" s="193"/>
      <c r="G596" s="184"/>
      <c r="H596" s="184"/>
      <c r="I596" s="184"/>
      <c r="J596" s="479"/>
      <c r="K596" s="187"/>
      <c r="L596" s="185"/>
      <c r="M596" s="185"/>
      <c r="N596" s="186"/>
      <c r="O596" s="187"/>
      <c r="P596" s="188"/>
      <c r="Q596" s="189"/>
      <c r="R596" s="184"/>
    </row>
    <row r="597" spans="6:18" ht="17.25" thickBot="1">
      <c r="F597" s="192"/>
      <c r="G597" s="178"/>
      <c r="H597" s="178"/>
      <c r="I597" s="178"/>
      <c r="J597" s="480"/>
      <c r="K597" s="181"/>
      <c r="L597" s="179"/>
      <c r="M597" s="179"/>
      <c r="N597" s="180"/>
      <c r="O597" s="181"/>
      <c r="P597" s="182"/>
      <c r="Q597" s="183"/>
      <c r="R597" s="178"/>
    </row>
    <row r="598" spans="6:18" ht="17.25" thickBot="1">
      <c r="F598" s="193"/>
      <c r="G598" s="184"/>
      <c r="H598" s="184"/>
      <c r="I598" s="184"/>
      <c r="J598" s="479"/>
      <c r="K598" s="187"/>
      <c r="L598" s="185"/>
      <c r="M598" s="185"/>
      <c r="N598" s="186"/>
      <c r="O598" s="187"/>
      <c r="P598" s="188"/>
      <c r="Q598" s="189"/>
      <c r="R598" s="184"/>
    </row>
    <row r="599" spans="6:18" ht="17.25" thickBot="1">
      <c r="F599" s="192"/>
      <c r="G599" s="178"/>
      <c r="H599" s="178"/>
      <c r="I599" s="178"/>
      <c r="J599" s="480"/>
      <c r="K599" s="181"/>
      <c r="L599" s="179"/>
      <c r="M599" s="179"/>
      <c r="N599" s="180"/>
      <c r="O599" s="181"/>
      <c r="P599" s="182"/>
      <c r="Q599" s="183"/>
      <c r="R599" s="178"/>
    </row>
    <row r="600" spans="6:18" ht="17.25" thickBot="1">
      <c r="F600" s="193"/>
      <c r="G600" s="184"/>
      <c r="H600" s="184"/>
      <c r="I600" s="184"/>
      <c r="J600" s="479"/>
      <c r="K600" s="187"/>
      <c r="L600" s="185"/>
      <c r="M600" s="185"/>
      <c r="N600" s="186"/>
      <c r="O600" s="187"/>
      <c r="P600" s="188"/>
      <c r="Q600" s="189"/>
      <c r="R600" s="184"/>
    </row>
    <row r="601" spans="6:18" ht="17.25" thickBot="1">
      <c r="F601" s="192"/>
      <c r="G601" s="178"/>
      <c r="H601" s="178"/>
      <c r="I601" s="178"/>
      <c r="J601" s="480"/>
      <c r="K601" s="181"/>
      <c r="L601" s="179"/>
      <c r="M601" s="179"/>
      <c r="N601" s="180"/>
      <c r="O601" s="181"/>
      <c r="P601" s="182"/>
      <c r="Q601" s="183"/>
      <c r="R601" s="178"/>
    </row>
    <row r="602" spans="6:18" ht="17.25" thickBot="1">
      <c r="F602" s="193"/>
      <c r="G602" s="184"/>
      <c r="H602" s="184"/>
      <c r="I602" s="184"/>
      <c r="J602" s="479"/>
      <c r="K602" s="187"/>
      <c r="L602" s="185"/>
      <c r="M602" s="185"/>
      <c r="N602" s="186"/>
      <c r="O602" s="187"/>
      <c r="P602" s="188"/>
      <c r="Q602" s="189"/>
      <c r="R602" s="184"/>
    </row>
    <row r="603" spans="6:18" ht="17.25" thickBot="1">
      <c r="F603" s="192"/>
      <c r="G603" s="178"/>
      <c r="H603" s="178"/>
      <c r="I603" s="178"/>
      <c r="J603" s="480"/>
      <c r="K603" s="181"/>
      <c r="L603" s="179"/>
      <c r="M603" s="179"/>
      <c r="N603" s="180"/>
      <c r="O603" s="181"/>
      <c r="P603" s="182"/>
      <c r="Q603" s="183"/>
      <c r="R603" s="178"/>
    </row>
    <row r="604" spans="6:18" ht="17.25" thickBot="1">
      <c r="F604" s="193"/>
      <c r="G604" s="184"/>
      <c r="H604" s="184"/>
      <c r="I604" s="184"/>
      <c r="J604" s="479"/>
      <c r="K604" s="187"/>
      <c r="L604" s="185"/>
      <c r="M604" s="185"/>
      <c r="N604" s="186"/>
      <c r="O604" s="187"/>
      <c r="P604" s="188"/>
      <c r="Q604" s="189"/>
      <c r="R604" s="184"/>
    </row>
    <row r="605" spans="6:18" ht="17.25" thickBot="1">
      <c r="F605" s="192"/>
      <c r="G605" s="178"/>
      <c r="H605" s="178"/>
      <c r="I605" s="178"/>
      <c r="J605" s="480"/>
      <c r="K605" s="181"/>
      <c r="L605" s="179"/>
      <c r="M605" s="179"/>
      <c r="N605" s="180"/>
      <c r="O605" s="181"/>
      <c r="P605" s="182"/>
      <c r="Q605" s="183"/>
      <c r="R605" s="178"/>
    </row>
    <row r="606" spans="6:18" ht="17.25" thickBot="1">
      <c r="F606" s="193"/>
      <c r="G606" s="184"/>
      <c r="H606" s="184"/>
      <c r="I606" s="184"/>
      <c r="J606" s="479"/>
      <c r="K606" s="187"/>
      <c r="L606" s="185"/>
      <c r="M606" s="185"/>
      <c r="N606" s="186"/>
      <c r="O606" s="187"/>
      <c r="P606" s="188"/>
      <c r="Q606" s="189"/>
      <c r="R606" s="184"/>
    </row>
    <row r="607" spans="6:18" ht="17.25" thickBot="1">
      <c r="F607" s="190"/>
      <c r="G607" s="191"/>
      <c r="H607" s="191"/>
      <c r="I607" s="191"/>
      <c r="J607" s="194"/>
      <c r="K607" s="191"/>
      <c r="L607" s="191"/>
      <c r="M607" s="191"/>
      <c r="N607" s="191"/>
      <c r="O607" s="191"/>
      <c r="P607" s="191"/>
      <c r="Q607" s="191"/>
      <c r="R607" s="191"/>
    </row>
    <row r="608" spans="6:18" ht="17.25" thickBot="1">
      <c r="F608" s="192"/>
      <c r="G608" s="178"/>
      <c r="H608" s="178"/>
      <c r="I608" s="178"/>
      <c r="J608" s="480"/>
      <c r="K608" s="181"/>
      <c r="L608" s="179"/>
      <c r="M608" s="179"/>
      <c r="N608" s="180"/>
      <c r="O608" s="181"/>
      <c r="P608" s="182"/>
      <c r="Q608" s="183"/>
      <c r="R608" s="178"/>
    </row>
    <row r="609" spans="6:18" ht="17.25" thickBot="1">
      <c r="F609" s="193"/>
      <c r="G609" s="184"/>
      <c r="H609" s="184"/>
      <c r="I609" s="184"/>
      <c r="J609" s="479"/>
      <c r="K609" s="187"/>
      <c r="L609" s="185"/>
      <c r="M609" s="185"/>
      <c r="N609" s="186"/>
      <c r="O609" s="187"/>
      <c r="P609" s="188"/>
      <c r="Q609" s="189"/>
      <c r="R609" s="184"/>
    </row>
    <row r="610" spans="6:18" ht="17.25" thickBot="1">
      <c r="F610" s="192"/>
      <c r="G610" s="178"/>
      <c r="H610" s="178"/>
      <c r="I610" s="178"/>
      <c r="J610" s="480"/>
      <c r="K610" s="181"/>
      <c r="L610" s="179"/>
      <c r="M610" s="179"/>
      <c r="N610" s="180"/>
      <c r="O610" s="181"/>
      <c r="P610" s="182"/>
      <c r="Q610" s="183"/>
      <c r="R610" s="178"/>
    </row>
    <row r="611" spans="6:18" ht="17.25" thickBot="1">
      <c r="F611" s="193"/>
      <c r="G611" s="184"/>
      <c r="H611" s="184"/>
      <c r="I611" s="184"/>
      <c r="J611" s="479"/>
      <c r="K611" s="187"/>
      <c r="L611" s="185"/>
      <c r="M611" s="185"/>
      <c r="N611" s="186"/>
      <c r="O611" s="187"/>
      <c r="P611" s="188"/>
      <c r="Q611" s="189"/>
      <c r="R611" s="184"/>
    </row>
    <row r="612" spans="6:18" ht="17.25" thickBot="1">
      <c r="F612" s="192"/>
      <c r="G612" s="178"/>
      <c r="H612" s="178"/>
      <c r="I612" s="178"/>
      <c r="J612" s="480"/>
      <c r="K612" s="181"/>
      <c r="L612" s="179"/>
      <c r="M612" s="179"/>
      <c r="N612" s="180"/>
      <c r="O612" s="181"/>
      <c r="P612" s="182"/>
      <c r="Q612" s="183"/>
      <c r="R612" s="178"/>
    </row>
    <row r="613" spans="6:18" ht="17.25" thickBot="1">
      <c r="F613" s="193"/>
      <c r="G613" s="184"/>
      <c r="H613" s="184"/>
      <c r="I613" s="184"/>
      <c r="J613" s="479"/>
      <c r="K613" s="187"/>
      <c r="L613" s="185"/>
      <c r="M613" s="185"/>
      <c r="N613" s="186"/>
      <c r="O613" s="187"/>
      <c r="P613" s="188"/>
      <c r="Q613" s="189"/>
      <c r="R613" s="184"/>
    </row>
    <row r="614" spans="6:18" ht="17.25" thickBot="1">
      <c r="F614" s="192"/>
      <c r="G614" s="178"/>
      <c r="H614" s="178"/>
      <c r="I614" s="178"/>
      <c r="J614" s="480"/>
      <c r="K614" s="181"/>
      <c r="L614" s="179"/>
      <c r="M614" s="179"/>
      <c r="N614" s="180"/>
      <c r="O614" s="181"/>
      <c r="P614" s="182"/>
      <c r="Q614" s="183"/>
      <c r="R614" s="178"/>
    </row>
    <row r="615" spans="6:18" ht="17.25" thickBot="1">
      <c r="F615" s="193"/>
      <c r="G615" s="184"/>
      <c r="H615" s="184"/>
      <c r="I615" s="184"/>
      <c r="J615" s="479"/>
      <c r="K615" s="187"/>
      <c r="L615" s="185"/>
      <c r="M615" s="185"/>
      <c r="N615" s="186"/>
      <c r="O615" s="187"/>
      <c r="P615" s="188"/>
      <c r="Q615" s="189"/>
      <c r="R615" s="184"/>
    </row>
    <row r="616" spans="6:18" ht="17.25" thickBot="1">
      <c r="F616" s="192"/>
      <c r="G616" s="178"/>
      <c r="H616" s="178"/>
      <c r="I616" s="178"/>
      <c r="J616" s="480"/>
      <c r="K616" s="181"/>
      <c r="L616" s="179"/>
      <c r="M616" s="179"/>
      <c r="N616" s="180"/>
      <c r="O616" s="181"/>
      <c r="P616" s="182"/>
      <c r="Q616" s="183"/>
      <c r="R616" s="178"/>
    </row>
    <row r="617" spans="6:18" ht="17.25" thickBot="1">
      <c r="F617" s="193"/>
      <c r="G617" s="184"/>
      <c r="H617" s="184"/>
      <c r="I617" s="184"/>
      <c r="J617" s="479"/>
      <c r="K617" s="187"/>
      <c r="L617" s="185"/>
      <c r="M617" s="185"/>
      <c r="N617" s="186"/>
      <c r="O617" s="187"/>
      <c r="P617" s="188"/>
      <c r="Q617" s="189"/>
      <c r="R617" s="184"/>
    </row>
    <row r="618" spans="6:18" ht="17.25" thickBot="1">
      <c r="F618" s="192"/>
      <c r="G618" s="178"/>
      <c r="H618" s="178"/>
      <c r="I618" s="178"/>
      <c r="J618" s="480"/>
      <c r="K618" s="181"/>
      <c r="L618" s="179"/>
      <c r="M618" s="179"/>
      <c r="N618" s="180"/>
      <c r="O618" s="181"/>
      <c r="P618" s="182"/>
      <c r="Q618" s="183"/>
      <c r="R618" s="178"/>
    </row>
    <row r="619" spans="6:18" ht="17.25" thickBot="1">
      <c r="F619" s="193"/>
      <c r="G619" s="184"/>
      <c r="H619" s="184"/>
      <c r="I619" s="184"/>
      <c r="J619" s="479"/>
      <c r="K619" s="187"/>
      <c r="L619" s="185"/>
      <c r="M619" s="185"/>
      <c r="N619" s="186"/>
      <c r="O619" s="187"/>
      <c r="P619" s="188"/>
      <c r="Q619" s="189"/>
      <c r="R619" s="184"/>
    </row>
    <row r="620" spans="6:18" ht="17.25" thickBot="1">
      <c r="F620" s="192"/>
      <c r="G620" s="178"/>
      <c r="H620" s="178"/>
      <c r="I620" s="178"/>
      <c r="J620" s="480"/>
      <c r="K620" s="181"/>
      <c r="L620" s="179"/>
      <c r="M620" s="179"/>
      <c r="N620" s="180"/>
      <c r="O620" s="181"/>
      <c r="P620" s="182"/>
      <c r="Q620" s="183"/>
      <c r="R620" s="178"/>
    </row>
    <row r="621" spans="6:18" ht="17.25" thickBot="1">
      <c r="F621" s="193"/>
      <c r="G621" s="184"/>
      <c r="H621" s="184"/>
      <c r="I621" s="184"/>
      <c r="J621" s="479"/>
      <c r="K621" s="187"/>
      <c r="L621" s="185"/>
      <c r="M621" s="185"/>
      <c r="N621" s="186"/>
      <c r="O621" s="187"/>
      <c r="P621" s="188"/>
      <c r="Q621" s="189"/>
      <c r="R621" s="184"/>
    </row>
    <row r="622" spans="6:18" ht="17.25" thickBot="1">
      <c r="F622" s="192"/>
      <c r="G622" s="178"/>
      <c r="H622" s="178"/>
      <c r="I622" s="178"/>
      <c r="J622" s="480"/>
      <c r="K622" s="181"/>
      <c r="L622" s="179"/>
      <c r="M622" s="179"/>
      <c r="N622" s="180"/>
      <c r="O622" s="181"/>
      <c r="P622" s="182"/>
      <c r="Q622" s="183"/>
      <c r="R622" s="178"/>
    </row>
    <row r="623" spans="6:18" ht="17.25" thickBot="1">
      <c r="F623" s="193"/>
      <c r="G623" s="184"/>
      <c r="H623" s="184"/>
      <c r="I623" s="184"/>
      <c r="J623" s="479"/>
      <c r="K623" s="187"/>
      <c r="L623" s="185"/>
      <c r="M623" s="185"/>
      <c r="N623" s="186"/>
      <c r="O623" s="187"/>
      <c r="P623" s="188"/>
      <c r="Q623" s="189"/>
      <c r="R623" s="184"/>
    </row>
    <row r="624" spans="6:18" ht="17.25" thickBot="1">
      <c r="F624" s="192"/>
      <c r="G624" s="178"/>
      <c r="H624" s="178"/>
      <c r="I624" s="178"/>
      <c r="J624" s="480"/>
      <c r="K624" s="181"/>
      <c r="L624" s="179"/>
      <c r="M624" s="179"/>
      <c r="N624" s="180"/>
      <c r="O624" s="181"/>
      <c r="P624" s="182"/>
      <c r="Q624" s="183"/>
      <c r="R624" s="178"/>
    </row>
    <row r="625" spans="6:18" ht="17.25" thickBot="1">
      <c r="F625" s="193"/>
      <c r="G625" s="184"/>
      <c r="H625" s="184"/>
      <c r="I625" s="184"/>
      <c r="J625" s="479"/>
      <c r="K625" s="187"/>
      <c r="L625" s="185"/>
      <c r="M625" s="185"/>
      <c r="N625" s="186"/>
      <c r="O625" s="187"/>
      <c r="P625" s="188"/>
      <c r="Q625" s="189"/>
      <c r="R625" s="184"/>
    </row>
    <row r="626" spans="6:18" ht="17.25" thickBot="1">
      <c r="F626" s="192"/>
      <c r="G626" s="178"/>
      <c r="H626" s="178"/>
      <c r="I626" s="178"/>
      <c r="J626" s="480"/>
      <c r="K626" s="181"/>
      <c r="L626" s="179"/>
      <c r="M626" s="179"/>
      <c r="N626" s="180"/>
      <c r="O626" s="181"/>
      <c r="P626" s="182"/>
      <c r="Q626" s="183"/>
      <c r="R626" s="178"/>
    </row>
    <row r="627" spans="6:18" ht="17.25" thickBot="1">
      <c r="F627" s="193"/>
      <c r="G627" s="184"/>
      <c r="H627" s="184"/>
      <c r="I627" s="184"/>
      <c r="J627" s="479"/>
      <c r="K627" s="187"/>
      <c r="L627" s="185"/>
      <c r="M627" s="185"/>
      <c r="N627" s="186"/>
      <c r="O627" s="187"/>
      <c r="P627" s="188"/>
      <c r="Q627" s="189"/>
      <c r="R627" s="184"/>
    </row>
    <row r="628" spans="6:18" ht="17.25" thickBot="1">
      <c r="F628" s="192"/>
      <c r="G628" s="178"/>
      <c r="H628" s="178"/>
      <c r="I628" s="178"/>
      <c r="J628" s="480"/>
      <c r="K628" s="181"/>
      <c r="L628" s="179"/>
      <c r="M628" s="179"/>
      <c r="N628" s="180"/>
      <c r="O628" s="181"/>
      <c r="P628" s="182"/>
      <c r="Q628" s="183"/>
      <c r="R628" s="178"/>
    </row>
  </sheetData>
  <autoFilter ref="F3:R628"/>
  <conditionalFormatting sqref="J558:J1048576 J1:J3">
    <cfRule type="duplicateValues" dxfId="13" priority="14"/>
    <cfRule type="duplicateValues" dxfId="12" priority="15"/>
  </conditionalFormatting>
  <conditionalFormatting sqref="J558:J1048576 J1:J3">
    <cfRule type="duplicateValues" dxfId="11" priority="13"/>
  </conditionalFormatting>
  <conditionalFormatting sqref="J558:J1048576">
    <cfRule type="duplicateValues" dxfId="10" priority="12"/>
  </conditionalFormatting>
  <conditionalFormatting sqref="J526:J554">
    <cfRule type="duplicateValues" dxfId="9" priority="10"/>
    <cfRule type="duplicateValues" dxfId="8" priority="11"/>
  </conditionalFormatting>
  <conditionalFormatting sqref="T253">
    <cfRule type="duplicateValues" dxfId="7" priority="8"/>
    <cfRule type="duplicateValues" dxfId="6" priority="9"/>
  </conditionalFormatting>
  <conditionalFormatting sqref="J519:J521">
    <cfRule type="duplicateValues" dxfId="5" priority="7"/>
  </conditionalFormatting>
  <conditionalFormatting sqref="J1:J4 J467:J1048576">
    <cfRule type="duplicateValues" dxfId="4" priority="6"/>
  </conditionalFormatting>
  <conditionalFormatting sqref="J1:J4 J467:J1048576">
    <cfRule type="duplicateValues" dxfId="3" priority="5"/>
  </conditionalFormatting>
  <conditionalFormatting sqref="N1:N4 N467:N1048576">
    <cfRule type="duplicateValues" dxfId="2" priority="4"/>
  </conditionalFormatting>
  <conditionalFormatting sqref="J1:J4 J467:J1048576">
    <cfRule type="duplicateValues" dxfId="1" priority="3"/>
  </conditionalFormatting>
  <conditionalFormatting sqref="J1:J4 J331 J373:J1048576">
    <cfRule type="duplicateValues" dxfId="0" priority="2"/>
  </conditionalFormatting>
  <hyperlinks>
    <hyperlink ref="G5" r:id="rId1" display="http://113.160.97.58:8224/Viewer/HoaDonViewer.aspx?mhd=9d803f1b-a51c-4d42-a354-179ab2ffa871"/>
    <hyperlink ref="H5" r:id="rId2" display="http://113.160.97.58:8224/Viewer/HoaDonViewer.aspx?mhd=9d803f1b-a51c-4d42-a354-179ab2ffa871&amp;iscd=1"/>
    <hyperlink ref="I5" r:id="rId3" display="http://113.160.97.58:8224/Viewer/Downloadfile.aspx?mhd=9d803f1b-a51c-4d42-a354-179ab2ffa871"/>
    <hyperlink ref="R5" r:id="rId4" display="https://thuphi.haiphong.gov.vn:8222/tra-cuu-bien-lai-dien-tu?ma_tracuu=L2RHXYCU5P"/>
    <hyperlink ref="G6" r:id="rId5" display="http://113.160.97.58:8224/Viewer/HoaDonViewer.aspx?mhd=abfe3efe-b6cd-491c-ae39-977fddf52186"/>
    <hyperlink ref="H6" r:id="rId6" display="http://113.160.97.58:8224/Viewer/HoaDonViewer.aspx?mhd=abfe3efe-b6cd-491c-ae39-977fddf52186&amp;iscd=1"/>
    <hyperlink ref="I6" r:id="rId7" display="http://113.160.97.58:8224/Viewer/Downloadfile.aspx?mhd=abfe3efe-b6cd-491c-ae39-977fddf52186"/>
    <hyperlink ref="R6" r:id="rId8" display="https://thuphi.haiphong.gov.vn:8222/tra-cuu-bien-lai-dien-tu?ma_tracuu=CYI4CP1U5V"/>
    <hyperlink ref="G7" r:id="rId9" display="http://113.160.97.58:8224/Viewer/HoaDonViewer.aspx?mhd=7b3c0fec-48b9-4cdc-85d1-60c3844bee45"/>
    <hyperlink ref="H7" r:id="rId10" display="http://113.160.97.58:8224/Viewer/HoaDonViewer.aspx?mhd=7b3c0fec-48b9-4cdc-85d1-60c3844bee45&amp;iscd=1"/>
    <hyperlink ref="I7" r:id="rId11" display="http://113.160.97.58:8224/Viewer/Downloadfile.aspx?mhd=7b3c0fec-48b9-4cdc-85d1-60c3844bee45"/>
    <hyperlink ref="R7" r:id="rId12" display="https://thuphi.haiphong.gov.vn:8222/tra-cuu-bien-lai-dien-tu?ma_tracuu=PZQLH4AU5L"/>
    <hyperlink ref="G8" r:id="rId13" display="http://113.160.97.58:8224/Viewer/HoaDonViewer.aspx?mhd=6d7e17f0-3ba0-4e97-bfe6-1ccf48fa1489"/>
    <hyperlink ref="H8" r:id="rId14" display="http://113.160.97.58:8224/Viewer/HoaDonViewer.aspx?mhd=6d7e17f0-3ba0-4e97-bfe6-1ccf48fa1489&amp;iscd=1"/>
    <hyperlink ref="I8" r:id="rId15" display="http://113.160.97.58:8224/Viewer/Downloadfile.aspx?mhd=6d7e17f0-3ba0-4e97-bfe6-1ccf48fa1489"/>
    <hyperlink ref="R8" r:id="rId16" display="https://thuphi.haiphong.gov.vn:8222/tra-cuu-bien-lai-dien-tu?ma_tracuu=MN8HXCQU5J"/>
    <hyperlink ref="G9" r:id="rId17" display="http://113.160.97.58:8224/Viewer/HoaDonViewer.aspx?mhd=ecb3994c-876d-4dac-ac03-172281686dcc"/>
    <hyperlink ref="H9" r:id="rId18" display="http://113.160.97.58:8224/Viewer/HoaDonViewer.aspx?mhd=ecb3994c-876d-4dac-ac03-172281686dcc&amp;iscd=1"/>
    <hyperlink ref="I9" r:id="rId19" display="http://113.160.97.58:8224/Viewer/Downloadfile.aspx?mhd=ecb3994c-876d-4dac-ac03-172281686dcc"/>
    <hyperlink ref="R9" r:id="rId20" display="https://thuphi.haiphong.gov.vn:8222/tra-cuu-bien-lai-dien-tu?ma_tracuu=L2QLJZQU54"/>
    <hyperlink ref="G10" r:id="rId21" display="http://113.160.97.58:8224/Viewer/HoaDonViewer.aspx?mhd=7ca53f91-1d01-4d4d-b3ed-bca483428193"/>
    <hyperlink ref="H10" r:id="rId22" display="http://113.160.97.58:8224/Viewer/HoaDonViewer.aspx?mhd=7ca53f91-1d01-4d4d-b3ed-bca483428193&amp;iscd=1"/>
    <hyperlink ref="I10" r:id="rId23" display="http://113.160.97.58:8224/Viewer/Downloadfile.aspx?mhd=7ca53f91-1d01-4d4d-b3ed-bca483428193"/>
    <hyperlink ref="R10" r:id="rId24" display="https://thuphi.haiphong.gov.vn:8222/tra-cuu-bien-lai-dien-tu?ma_tracuu=U559GMAU5I"/>
    <hyperlink ref="G11" r:id="rId25" display="http://113.160.97.58:8224/Viewer/HoaDonViewer.aspx?mhd=847aa2fa-8ba0-4e05-84a5-9cf00536f9a6"/>
    <hyperlink ref="H11" r:id="rId26" display="http://113.160.97.58:8224/Viewer/HoaDonViewer.aspx?mhd=847aa2fa-8ba0-4e05-84a5-9cf00536f9a6&amp;iscd=1"/>
    <hyperlink ref="I11" r:id="rId27" display="http://113.160.97.58:8224/Viewer/Downloadfile.aspx?mhd=847aa2fa-8ba0-4e05-84a5-9cf00536f9a6"/>
    <hyperlink ref="R11" r:id="rId28" display="https://thuphi.haiphong.gov.vn:8222/tra-cuu-bien-lai-dien-tu?ma_tracuu=ACCC27QU5W"/>
    <hyperlink ref="G12" r:id="rId29" display="http://113.160.97.58:8224/Viewer/HoaDonViewer.aspx?mhd=b7922478-c335-4bd0-8bba-ff57e9c82928"/>
    <hyperlink ref="H12" r:id="rId30" display="http://113.160.97.58:8224/Viewer/HoaDonViewer.aspx?mhd=b7922478-c335-4bd0-8bba-ff57e9c82928&amp;iscd=1"/>
    <hyperlink ref="I12" r:id="rId31" display="http://113.160.97.58:8224/Viewer/Downloadfile.aspx?mhd=b7922478-c335-4bd0-8bba-ff57e9c82928"/>
    <hyperlink ref="R12" r:id="rId32" display="https://thuphi.haiphong.gov.vn:8222/tra-cuu-bien-lai-dien-tu?ma_tracuu=785R41975A"/>
    <hyperlink ref="G13" r:id="rId33" display="http://113.160.97.58:8224/Viewer/HoaDonViewer.aspx?mhd=160d5b4c-4c77-4206-910f-699b6df177c1"/>
    <hyperlink ref="H13" r:id="rId34" display="http://113.160.97.58:8224/Viewer/HoaDonViewer.aspx?mhd=160d5b4c-4c77-4206-910f-699b6df177c1&amp;iscd=1"/>
    <hyperlink ref="I13" r:id="rId35" display="http://113.160.97.58:8224/Viewer/Downloadfile.aspx?mhd=160d5b4c-4c77-4206-910f-699b6df177c1"/>
    <hyperlink ref="R13" r:id="rId36" display="https://thuphi.haiphong.gov.vn:8222/tra-cuu-bien-lai-dien-tu?ma_tracuu=0UTWP9EN5W"/>
    <hyperlink ref="G14" r:id="rId37" display="http://113.160.97.58:8224/Viewer/HoaDonViewer.aspx?mhd=a76b921d-da9a-49d9-a19c-c8aa6cd55153"/>
    <hyperlink ref="H14" r:id="rId38" display="http://113.160.97.58:8224/Viewer/HoaDonViewer.aspx?mhd=a76b921d-da9a-49d9-a19c-c8aa6cd55153&amp;iscd=1"/>
    <hyperlink ref="I14" r:id="rId39" display="http://113.160.97.58:8224/Viewer/Downloadfile.aspx?mhd=a76b921d-da9a-49d9-a19c-c8aa6cd55153"/>
    <hyperlink ref="R14" r:id="rId40" display="https://thuphi.haiphong.gov.vn:8222/tra-cuu-bien-lai-dien-tu?ma_tracuu=5V8BC7EN5H"/>
    <hyperlink ref="G15" r:id="rId41" display="http://113.160.97.58:8224/Viewer/HoaDonViewer.aspx?mhd=6bed33cd-ba30-47ac-82b5-4aeb9b8f2591"/>
    <hyperlink ref="H15" r:id="rId42" display="http://113.160.97.58:8224/Viewer/HoaDonViewer.aspx?mhd=6bed33cd-ba30-47ac-82b5-4aeb9b8f2591&amp;iscd=1"/>
    <hyperlink ref="I15" r:id="rId43" display="http://113.160.97.58:8224/Viewer/Downloadfile.aspx?mhd=6bed33cd-ba30-47ac-82b5-4aeb9b8f2591"/>
    <hyperlink ref="R15" r:id="rId44" display="https://thuphi.haiphong.gov.vn:8222/tra-cuu-bien-lai-dien-tu?ma_tracuu=UQH4MWGH5X"/>
    <hyperlink ref="G16" r:id="rId45" display="http://113.160.97.58:8224/Viewer/HoaDonViewer.aspx?mhd=72c3a870-6e34-4e51-9946-5d73c1264d79"/>
    <hyperlink ref="H16" r:id="rId46" display="http://113.160.97.58:8224/Viewer/HoaDonViewer.aspx?mhd=72c3a870-6e34-4e51-9946-5d73c1264d79&amp;iscd=1"/>
    <hyperlink ref="I16" r:id="rId47" display="http://113.160.97.58:8224/Viewer/Downloadfile.aspx?mhd=72c3a870-6e34-4e51-9946-5d73c1264d79"/>
    <hyperlink ref="R16" r:id="rId48" display="https://thuphi.haiphong.gov.vn:8222/tra-cuu-bien-lai-dien-tu?ma_tracuu=FPGRR7BH5X"/>
    <hyperlink ref="G17" r:id="rId49" display="http://113.160.97.58:8224/Viewer/HoaDonViewer.aspx?mhd=adf63ed6-a4ae-4922-ae87-a385bc176345"/>
    <hyperlink ref="H17" r:id="rId50" display="http://113.160.97.58:8224/Viewer/HoaDonViewer.aspx?mhd=adf63ed6-a4ae-4922-ae87-a385bc176345&amp;iscd=1"/>
    <hyperlink ref="I17" r:id="rId51" display="http://113.160.97.58:8224/Viewer/Downloadfile.aspx?mhd=adf63ed6-a4ae-4922-ae87-a385bc176345"/>
    <hyperlink ref="R17" r:id="rId52" display="https://thuphi.haiphong.gov.vn:8222/tra-cuu-bien-lai-dien-tu?ma_tracuu=62EL0WBH53"/>
    <hyperlink ref="G18" r:id="rId53" display="http://113.160.97.58:8224/Viewer/HoaDonViewer.aspx?mhd=a15c3686-685b-4fce-8f1f-1292a3266cc6"/>
    <hyperlink ref="H18" r:id="rId54" display="http://113.160.97.58:8224/Viewer/HoaDonViewer.aspx?mhd=a15c3686-685b-4fce-8f1f-1292a3266cc6&amp;iscd=1"/>
    <hyperlink ref="I18" r:id="rId55" display="http://113.160.97.58:8224/Viewer/Downloadfile.aspx?mhd=a15c3686-685b-4fce-8f1f-1292a3266cc6"/>
    <hyperlink ref="R18" r:id="rId56" display="https://thuphi.haiphong.gov.vn:8222/tra-cuu-bien-lai-dien-tu?ma_tracuu=IZQTUATY5Q"/>
    <hyperlink ref="G19" r:id="rId57" display="http://113.160.97.58:8224/Viewer/HoaDonViewer.aspx?mhd=9fcbc40f-4218-42d1-a740-2009cc103b58"/>
    <hyperlink ref="H19" r:id="rId58" display="http://113.160.97.58:8224/Viewer/HoaDonViewer.aspx?mhd=9fcbc40f-4218-42d1-a740-2009cc103b58&amp;iscd=1"/>
    <hyperlink ref="I19" r:id="rId59" display="http://113.160.97.58:8224/Viewer/Downloadfile.aspx?mhd=9fcbc40f-4218-42d1-a740-2009cc103b58"/>
    <hyperlink ref="R19" r:id="rId60" display="https://thuphi.haiphong.gov.vn:8222/tra-cuu-bien-lai-dien-tu?ma_tracuu=04WBSDJ45A"/>
    <hyperlink ref="G20" r:id="rId61" display="http://113.160.97.58:8224/Viewer/HoaDonViewer.aspx?mhd=f02b5a39-8b4e-49b4-99b3-df687860350a"/>
    <hyperlink ref="H20" r:id="rId62" display="http://113.160.97.58:8224/Viewer/HoaDonViewer.aspx?mhd=f02b5a39-8b4e-49b4-99b3-df687860350a&amp;iscd=1"/>
    <hyperlink ref="I20" r:id="rId63" display="http://113.160.97.58:8224/Viewer/Downloadfile.aspx?mhd=f02b5a39-8b4e-49b4-99b3-df687860350a"/>
    <hyperlink ref="R20" r:id="rId64" display="https://thuphi.haiphong.gov.vn:8222/tra-cuu-bien-lai-dien-tu?ma_tracuu=4FVXTE3C5B"/>
    <hyperlink ref="G21" r:id="rId65" display="http://113.160.97.58:8224/Viewer/HoaDonViewer.aspx?mhd=56329dea-1017-4b1a-9a28-b7466edadd0e"/>
    <hyperlink ref="H21" r:id="rId66" display="http://113.160.97.58:8224/Viewer/HoaDonViewer.aspx?mhd=56329dea-1017-4b1a-9a28-b7466edadd0e&amp;iscd=1"/>
    <hyperlink ref="I21" r:id="rId67" display="http://113.160.97.58:8224/Viewer/Downloadfile.aspx?mhd=56329dea-1017-4b1a-9a28-b7466edadd0e"/>
    <hyperlink ref="R21" r:id="rId68" display="https://thuphi.haiphong.gov.vn:8222/tra-cuu-bien-lai-dien-tu?ma_tracuu=FJ5K6C3C52"/>
    <hyperlink ref="G22" r:id="rId69" display="http://113.160.97.58:8224/Viewer/HoaDonViewer.aspx?mhd=edbfe2d7-6dc0-46be-8e26-acab7701add6"/>
    <hyperlink ref="H22" r:id="rId70" display="http://113.160.97.58:8224/Viewer/HoaDonViewer.aspx?mhd=edbfe2d7-6dc0-46be-8e26-acab7701add6&amp;iscd=1"/>
    <hyperlink ref="I22" r:id="rId71" display="http://113.160.97.58:8224/Viewer/Downloadfile.aspx?mhd=edbfe2d7-6dc0-46be-8e26-acab7701add6"/>
    <hyperlink ref="R22" r:id="rId72" display="https://thuphi.haiphong.gov.vn:8222/tra-cuu-bien-lai-dien-tu?ma_tracuu=UYF1V2EC5M"/>
    <hyperlink ref="G23" r:id="rId73" display="http://113.160.97.58:8224/Viewer/HoaDonViewer.aspx?mhd=f7c00b33-ff9d-49a5-8983-931371b53543"/>
    <hyperlink ref="H23" r:id="rId74" display="http://113.160.97.58:8224/Viewer/HoaDonViewer.aspx?mhd=f7c00b33-ff9d-49a5-8983-931371b53543&amp;iscd=1"/>
    <hyperlink ref="I23" r:id="rId75" display="http://113.160.97.58:8224/Viewer/Downloadfile.aspx?mhd=f7c00b33-ff9d-49a5-8983-931371b53543"/>
    <hyperlink ref="R23" r:id="rId76" display="https://thuphi.haiphong.gov.vn:8222/tra-cuu-bien-lai-dien-tu?ma_tracuu=5EEJWP8D5N"/>
    <hyperlink ref="G24" r:id="rId77" display="http://113.160.97.58:8224/Viewer/HoaDonViewer.aspx?mhd=a60c5af1-388d-49e2-a18b-1b7387d7d7e9"/>
    <hyperlink ref="H24" r:id="rId78" display="http://113.160.97.58:8224/Viewer/HoaDonViewer.aspx?mhd=a60c5af1-388d-49e2-a18b-1b7387d7d7e9&amp;iscd=1"/>
    <hyperlink ref="I24" r:id="rId79" display="http://113.160.97.58:8224/Viewer/Downloadfile.aspx?mhd=a60c5af1-388d-49e2-a18b-1b7387d7d7e9"/>
    <hyperlink ref="R24" r:id="rId80" display="https://thuphi.haiphong.gov.vn:8222/tra-cuu-bien-lai-dien-tu?ma_tracuu=FIGJN28D5H"/>
    <hyperlink ref="G25" r:id="rId81" display="http://113.160.97.58:8224/Viewer/HoaDonViewer.aspx?mhd=797321e1-3a46-4bf9-9bf0-2f9bc1bf762f"/>
    <hyperlink ref="H25" r:id="rId82" display="http://113.160.97.58:8224/Viewer/HoaDonViewer.aspx?mhd=797321e1-3a46-4bf9-9bf0-2f9bc1bf762f&amp;iscd=1"/>
    <hyperlink ref="I25" r:id="rId83" display="http://113.160.97.58:8224/Viewer/Downloadfile.aspx?mhd=797321e1-3a46-4bf9-9bf0-2f9bc1bf762f"/>
    <hyperlink ref="R25" r:id="rId84" display="https://thuphi.haiphong.gov.vn:8222/tra-cuu-bien-lai-dien-tu?ma_tracuu=8HRKMU8D50"/>
    <hyperlink ref="G26" r:id="rId85" display="http://113.160.97.58:8224/Viewer/HoaDonViewer.aspx?mhd=0e5cb23c-502c-4434-83c6-5cd50fed0370"/>
    <hyperlink ref="H26" r:id="rId86" display="http://113.160.97.58:8224/Viewer/HoaDonViewer.aspx?mhd=0e5cb23c-502c-4434-83c6-5cd50fed0370&amp;iscd=1"/>
    <hyperlink ref="I26" r:id="rId87" display="http://113.160.97.58:8224/Viewer/Downloadfile.aspx?mhd=0e5cb23c-502c-4434-83c6-5cd50fed0370"/>
    <hyperlink ref="R26" r:id="rId88" display="https://thuphi.haiphong.gov.vn:8222/tra-cuu-bien-lai-dien-tu?ma_tracuu=E6PWKDBE5D"/>
    <hyperlink ref="G27" r:id="rId89" display="http://113.160.97.58:8224/Viewer/HoaDonViewer.aspx?mhd=0fcc6745-4aa2-417a-b40f-f6b78812b749"/>
    <hyperlink ref="H27" r:id="rId90" display="http://113.160.97.58:8224/Viewer/HoaDonViewer.aspx?mhd=0fcc6745-4aa2-417a-b40f-f6b78812b749&amp;iscd=1"/>
    <hyperlink ref="I27" r:id="rId91" display="http://113.160.97.58:8224/Viewer/Downloadfile.aspx?mhd=0fcc6745-4aa2-417a-b40f-f6b78812b749"/>
    <hyperlink ref="R27" r:id="rId92" display="https://thuphi.haiphong.gov.vn:8222/tra-cuu-bien-lai-dien-tu?ma_tracuu=5H4G4QTE53"/>
    <hyperlink ref="G28" r:id="rId93" display="http://113.160.97.58:8224/Viewer/HoaDonViewer.aspx?mhd=7b163e74-8fc4-47d2-9191-07e38e5ef25e"/>
    <hyperlink ref="H28" r:id="rId94" display="http://113.160.97.58:8224/Viewer/HoaDonViewer.aspx?mhd=7b163e74-8fc4-47d2-9191-07e38e5ef25e&amp;iscd=1"/>
    <hyperlink ref="I28" r:id="rId95" display="http://113.160.97.58:8224/Viewer/Downloadfile.aspx?mhd=7b163e74-8fc4-47d2-9191-07e38e5ef25e"/>
    <hyperlink ref="R28" r:id="rId96" display="https://thuphi.haiphong.gov.vn:8222/tra-cuu-bien-lai-dien-tu?ma_tracuu=CPJ862BE5J"/>
    <hyperlink ref="G29" r:id="rId97" display="http://113.160.97.58:8224/Viewer/HoaDonViewer.aspx?mhd=6cc65e25-6ea3-41d6-b38f-8e6759a70e7e"/>
    <hyperlink ref="H29" r:id="rId98" display="http://113.160.97.58:8224/Viewer/HoaDonViewer.aspx?mhd=6cc65e25-6ea3-41d6-b38f-8e6759a70e7e&amp;iscd=1"/>
    <hyperlink ref="I29" r:id="rId99" display="http://113.160.97.58:8224/Viewer/Downloadfile.aspx?mhd=6cc65e25-6ea3-41d6-b38f-8e6759a70e7e"/>
    <hyperlink ref="R29" r:id="rId100" display="https://thuphi.haiphong.gov.vn:8222/tra-cuu-bien-lai-dien-tu?ma_tracuu=P8SNN9GE5B"/>
    <hyperlink ref="G30" r:id="rId101" display="http://113.160.97.58:8224/Viewer/HoaDonViewer.aspx?mhd=895fbdf4-69af-41c1-9e49-d02005087eb7"/>
    <hyperlink ref="H30" r:id="rId102" display="http://113.160.97.58:8224/Viewer/HoaDonViewer.aspx?mhd=895fbdf4-69af-41c1-9e49-d02005087eb7&amp;iscd=1"/>
    <hyperlink ref="I30" r:id="rId103" display="http://113.160.97.58:8224/Viewer/Downloadfile.aspx?mhd=895fbdf4-69af-41c1-9e49-d02005087eb7"/>
    <hyperlink ref="R30" r:id="rId104" display="https://thuphi.haiphong.gov.vn:8222/tra-cuu-bien-lai-dien-tu?ma_tracuu=XFWITPTE5I"/>
    <hyperlink ref="G31" r:id="rId105" display="http://113.160.97.58:8224/Viewer/HoaDonViewer.aspx?mhd=85bd3546-6edd-417b-b72c-56a14d2e58c8"/>
    <hyperlink ref="H31" r:id="rId106" display="http://113.160.97.58:8224/Viewer/HoaDonViewer.aspx?mhd=85bd3546-6edd-417b-b72c-56a14d2e58c8&amp;iscd=1"/>
    <hyperlink ref="I31" r:id="rId107" display="http://113.160.97.58:8224/Viewer/Downloadfile.aspx?mhd=85bd3546-6edd-417b-b72c-56a14d2e58c8"/>
    <hyperlink ref="R31" r:id="rId108" display="https://thuphi.haiphong.gov.vn:8222/tra-cuu-bien-lai-dien-tu?ma_tracuu=W05MUVTE5J"/>
    <hyperlink ref="G32" r:id="rId109" display="http://113.160.97.58:8224/Viewer/HoaDonViewer.aspx?mhd=4bda66c6-0649-4220-a620-0e5a18c36940"/>
    <hyperlink ref="H32" r:id="rId110" display="http://113.160.97.58:8224/Viewer/HoaDonViewer.aspx?mhd=4bda66c6-0649-4220-a620-0e5a18c36940&amp;iscd=1"/>
    <hyperlink ref="I32" r:id="rId111" display="http://113.160.97.58:8224/Viewer/Downloadfile.aspx?mhd=4bda66c6-0649-4220-a620-0e5a18c36940"/>
    <hyperlink ref="R32" r:id="rId112" display="https://thuphi.haiphong.gov.vn:8222/tra-cuu-bien-lai-dien-tu?ma_tracuu=7W3NQSGE5F"/>
    <hyperlink ref="G33" r:id="rId113" display="http://113.160.97.58:8224/Viewer/HoaDonViewer.aspx?mhd=f8b8ea0c-7da3-4e21-9b6a-3994a5e3e091"/>
    <hyperlink ref="H33" r:id="rId114" display="http://113.160.97.58:8224/Viewer/HoaDonViewer.aspx?mhd=f8b8ea0c-7da3-4e21-9b6a-3994a5e3e091&amp;iscd=1"/>
    <hyperlink ref="I33" r:id="rId115" display="http://113.160.97.58:8224/Viewer/Downloadfile.aspx?mhd=f8b8ea0c-7da3-4e21-9b6a-3994a5e3e091"/>
    <hyperlink ref="R33" r:id="rId116" display="https://thuphi.haiphong.gov.vn:8222/tra-cuu-bien-lai-dien-tu?ma_tracuu=Z7C5I05E5H"/>
    <hyperlink ref="G34" r:id="rId117" display="http://113.160.97.58:8224/Viewer/HoaDonViewer.aspx?mhd=a1ac71e4-5b53-4300-8bf0-d3a930508528"/>
    <hyperlink ref="H34" r:id="rId118" display="http://113.160.97.58:8224/Viewer/HoaDonViewer.aspx?mhd=a1ac71e4-5b53-4300-8bf0-d3a930508528&amp;iscd=1"/>
    <hyperlink ref="I34" r:id="rId119" display="http://113.160.97.58:8224/Viewer/Downloadfile.aspx?mhd=a1ac71e4-5b53-4300-8bf0-d3a930508528"/>
    <hyperlink ref="R34" r:id="rId120" display="https://thuphi.haiphong.gov.vn:8222/tra-cuu-bien-lai-dien-tu?ma_tracuu=VDHEI2TE59"/>
    <hyperlink ref="G35" r:id="rId121" display="http://113.160.97.58:8224/Viewer/HoaDonViewer.aspx?mhd=f4b1c50d-3f16-4529-a3ad-b08dad0827a6"/>
    <hyperlink ref="H35" r:id="rId122" display="http://113.160.97.58:8224/Viewer/HoaDonViewer.aspx?mhd=f4b1c50d-3f16-4529-a3ad-b08dad0827a6&amp;iscd=1"/>
    <hyperlink ref="I35" r:id="rId123" display="http://113.160.97.58:8224/Viewer/Downloadfile.aspx?mhd=f4b1c50d-3f16-4529-a3ad-b08dad0827a6"/>
    <hyperlink ref="R35" r:id="rId124" display="https://thuphi.haiphong.gov.vn:8222/tra-cuu-bien-lai-dien-tu?ma_tracuu=VH6ACEBE5E"/>
    <hyperlink ref="G36" r:id="rId125" display="http://113.160.97.58:8224/Viewer/HoaDonViewer.aspx?mhd=bab9ca7c-02fc-42e8-a729-a1fc612fb597"/>
    <hyperlink ref="H36" r:id="rId126" display="http://113.160.97.58:8224/Viewer/HoaDonViewer.aspx?mhd=bab9ca7c-02fc-42e8-a729-a1fc612fb597&amp;iscd=1"/>
    <hyperlink ref="I36" r:id="rId127" display="http://113.160.97.58:8224/Viewer/Downloadfile.aspx?mhd=bab9ca7c-02fc-42e8-a729-a1fc612fb597"/>
    <hyperlink ref="R36" r:id="rId128" display="https://thuphi.haiphong.gov.vn:8222/tra-cuu-bien-lai-dien-tu?ma_tracuu=46YRM3GE5S"/>
    <hyperlink ref="G37" r:id="rId129" display="http://113.160.97.58:8224/Viewer/HoaDonViewer.aspx?mhd=36349a8a-dcfd-44ec-afe9-4149d6c1026a"/>
    <hyperlink ref="H37" r:id="rId130" display="http://113.160.97.58:8224/Viewer/HoaDonViewer.aspx?mhd=36349a8a-dcfd-44ec-afe9-4149d6c1026a&amp;iscd=1"/>
    <hyperlink ref="I37" r:id="rId131" display="http://113.160.97.58:8224/Viewer/Downloadfile.aspx?mhd=36349a8a-dcfd-44ec-afe9-4149d6c1026a"/>
    <hyperlink ref="R37" r:id="rId132" display="https://thuphi.haiphong.gov.vn:8222/tra-cuu-bien-lai-dien-tu?ma_tracuu=N5PX79SE5Z"/>
    <hyperlink ref="G38" r:id="rId133" display="http://113.160.97.58:8224/Viewer/HoaDonViewer.aspx?mhd=84b3a21a-35a8-48c1-90e0-1ef4211fea3d"/>
    <hyperlink ref="H38" r:id="rId134" display="http://113.160.97.58:8224/Viewer/HoaDonViewer.aspx?mhd=84b3a21a-35a8-48c1-90e0-1ef4211fea3d&amp;iscd=1"/>
    <hyperlink ref="I38" r:id="rId135" display="http://113.160.97.58:8224/Viewer/Downloadfile.aspx?mhd=84b3a21a-35a8-48c1-90e0-1ef4211fea3d"/>
    <hyperlink ref="R38" r:id="rId136" display="https://thuphi.haiphong.gov.vn:8222/tra-cuu-bien-lai-dien-tu?ma_tracuu=7TN6TCAE5J"/>
    <hyperlink ref="G39" r:id="rId137" display="http://113.160.97.58:8224/Viewer/HoaDonViewer.aspx?mhd=90781c7d-fc62-4d27-855c-28a5b38ba43c"/>
    <hyperlink ref="H39" r:id="rId138" display="http://113.160.97.58:8224/Viewer/HoaDonViewer.aspx?mhd=90781c7d-fc62-4d27-855c-28a5b38ba43c&amp;iscd=1"/>
    <hyperlink ref="I39" r:id="rId139" display="http://113.160.97.58:8224/Viewer/Downloadfile.aspx?mhd=90781c7d-fc62-4d27-855c-28a5b38ba43c"/>
    <hyperlink ref="R39" r:id="rId140" display="https://thuphi.haiphong.gov.vn:8222/tra-cuu-bien-lai-dien-tu?ma_tracuu=GESNHMU359"/>
    <hyperlink ref="G40" r:id="rId141" display="http://113.160.97.58:8224/Viewer/HoaDonViewer.aspx?mhd=c5709791-985c-4ed5-a2af-9dec56e3199a"/>
    <hyperlink ref="H40" r:id="rId142" display="http://113.160.97.58:8224/Viewer/HoaDonViewer.aspx?mhd=c5709791-985c-4ed5-a2af-9dec56e3199a&amp;iscd=1"/>
    <hyperlink ref="I40" r:id="rId143" display="http://113.160.97.58:8224/Viewer/Downloadfile.aspx?mhd=c5709791-985c-4ed5-a2af-9dec56e3199a"/>
    <hyperlink ref="R40" r:id="rId144" display="https://thuphi.haiphong.gov.vn:8222/tra-cuu-bien-lai-dien-tu?ma_tracuu=IJ6AXQU35Z"/>
    <hyperlink ref="G41" r:id="rId145" display="http://113.160.97.58:8224/Viewer/HoaDonViewer.aspx?mhd=58d3c0db-ff5c-4388-a06c-9dd5aac3c6e2"/>
    <hyperlink ref="H41" r:id="rId146" display="http://113.160.97.58:8224/Viewer/HoaDonViewer.aspx?mhd=58d3c0db-ff5c-4388-a06c-9dd5aac3c6e2&amp;iscd=1"/>
    <hyperlink ref="I41" r:id="rId147" display="http://113.160.97.58:8224/Viewer/Downloadfile.aspx?mhd=58d3c0db-ff5c-4388-a06c-9dd5aac3c6e2"/>
    <hyperlink ref="R41" r:id="rId148" display="https://thuphi.haiphong.gov.vn:8222/tra-cuu-bien-lai-dien-tu?ma_tracuu=YTDGQVU352"/>
    <hyperlink ref="G42" r:id="rId149" display="http://113.160.97.58:8224/Viewer/HoaDonViewer.aspx?mhd=4e79ad26-3fe8-40c9-b73a-eaee4749e229"/>
    <hyperlink ref="H42" r:id="rId150" display="http://113.160.97.58:8224/Viewer/HoaDonViewer.aspx?mhd=4e79ad26-3fe8-40c9-b73a-eaee4749e229&amp;iscd=1"/>
    <hyperlink ref="I42" r:id="rId151" display="http://113.160.97.58:8224/Viewer/Downloadfile.aspx?mhd=4e79ad26-3fe8-40c9-b73a-eaee4749e229"/>
    <hyperlink ref="R42" r:id="rId152" display="https://thuphi.haiphong.gov.vn:8222/tra-cuu-bien-lai-dien-tu?ma_tracuu=1I312H735R"/>
    <hyperlink ref="G43" r:id="rId153" display="http://113.160.97.58:8224/Viewer/HoaDonViewer.aspx?mhd=d46a5e68-f003-49d6-97d8-5daa3789b3b8"/>
    <hyperlink ref="H43" r:id="rId154" display="http://113.160.97.58:8224/Viewer/HoaDonViewer.aspx?mhd=d46a5e68-f003-49d6-97d8-5daa3789b3b8&amp;iscd=1"/>
    <hyperlink ref="I43" r:id="rId155" display="http://113.160.97.58:8224/Viewer/Downloadfile.aspx?mhd=d46a5e68-f003-49d6-97d8-5daa3789b3b8"/>
    <hyperlink ref="R43" r:id="rId156" display="https://thuphi.haiphong.gov.vn:8222/tra-cuu-bien-lai-dien-tu?ma_tracuu=JS42Q8MX55"/>
    <hyperlink ref="G44" r:id="rId157" display="http://113.160.97.58:8224/Viewer/HoaDonViewer.aspx?mhd=7f7cd91a-c941-46a8-b566-3407a4d51a36"/>
    <hyperlink ref="H44" r:id="rId158" display="http://113.160.97.58:8224/Viewer/HoaDonViewer.aspx?mhd=7f7cd91a-c941-46a8-b566-3407a4d51a36&amp;iscd=1"/>
    <hyperlink ref="I44" r:id="rId159" display="http://113.160.97.58:8224/Viewer/Downloadfile.aspx?mhd=7f7cd91a-c941-46a8-b566-3407a4d51a36"/>
    <hyperlink ref="R44" r:id="rId160" display="https://thuphi.haiphong.gov.vn:8222/tra-cuu-bien-lai-dien-tu?ma_tracuu=HD2W5TMX5R"/>
    <hyperlink ref="G45" r:id="rId161" display="http://113.160.97.58:8224/Viewer/HoaDonViewer.aspx?mhd=275d00e5-0077-4e32-bdc1-985929e43b9e"/>
    <hyperlink ref="H45" r:id="rId162" display="http://113.160.97.58:8224/Viewer/HoaDonViewer.aspx?mhd=275d00e5-0077-4e32-bdc1-985929e43b9e&amp;iscd=1"/>
    <hyperlink ref="I45" r:id="rId163" display="http://113.160.97.58:8224/Viewer/Downloadfile.aspx?mhd=275d00e5-0077-4e32-bdc1-985929e43b9e"/>
    <hyperlink ref="R45" r:id="rId164" display="https://thuphi.haiphong.gov.vn:8222/tra-cuu-bien-lai-dien-tu?ma_tracuu=9X4KKFUX5B"/>
    <hyperlink ref="G46" r:id="rId165" display="http://113.160.97.58:8224/Viewer/HoaDonViewer.aspx?mhd=b053466f-825a-4957-8f1b-922c41e00d15"/>
    <hyperlink ref="H46" r:id="rId166" display="http://113.160.97.58:8224/Viewer/HoaDonViewer.aspx?mhd=b053466f-825a-4957-8f1b-922c41e00d15&amp;iscd=1"/>
    <hyperlink ref="I46" r:id="rId167" display="http://113.160.97.58:8224/Viewer/Downloadfile.aspx?mhd=b053466f-825a-4957-8f1b-922c41e00d15"/>
    <hyperlink ref="R46" r:id="rId168" display="https://thuphi.haiphong.gov.vn:8222/tra-cuu-bien-lai-dien-tu?ma_tracuu=6IV039NKVZ"/>
    <hyperlink ref="G47" r:id="rId169" display="http://113.160.97.58:8224/Viewer/HoaDonViewer.aspx?mhd=0f486266-2990-4da0-a104-7ead4d5d3d6d"/>
    <hyperlink ref="H47" r:id="rId170" display="http://113.160.97.58:8224/Viewer/HoaDonViewer.aspx?mhd=0f486266-2990-4da0-a104-7ead4d5d3d6d&amp;iscd=1"/>
    <hyperlink ref="I47" r:id="rId171" display="http://113.160.97.58:8224/Viewer/Downloadfile.aspx?mhd=0f486266-2990-4da0-a104-7ead4d5d3d6d"/>
    <hyperlink ref="R47" r:id="rId172" display="https://thuphi.haiphong.gov.vn:8222/tra-cuu-bien-lai-dien-tu?ma_tracuu=DX633W36VP"/>
    <hyperlink ref="G48" r:id="rId173" display="http://113.160.97.58:8224/Viewer/HoaDonViewer.aspx?mhd=0c893a9a-2db7-474a-a308-2aa1acaf0399"/>
    <hyperlink ref="H48" r:id="rId174" display="http://113.160.97.58:8224/Viewer/HoaDonViewer.aspx?mhd=0c893a9a-2db7-474a-a308-2aa1acaf0399&amp;iscd=1"/>
    <hyperlink ref="I48" r:id="rId175" display="http://113.160.97.58:8224/Viewer/Downloadfile.aspx?mhd=0c893a9a-2db7-474a-a308-2aa1acaf0399"/>
    <hyperlink ref="R48" r:id="rId176" display="https://thuphi.haiphong.gov.vn:8222/tra-cuu-bien-lai-dien-tu?ma_tracuu=5MB5UEDBVV"/>
    <hyperlink ref="G49" r:id="rId177" display="http://113.160.97.58:8224/Viewer/HoaDonViewer.aspx?mhd=72d89159-9c56-48ef-8910-c861b59fb5b3"/>
    <hyperlink ref="H49" r:id="rId178" display="http://113.160.97.58:8224/Viewer/HoaDonViewer.aspx?mhd=72d89159-9c56-48ef-8910-c861b59fb5b3&amp;iscd=1"/>
    <hyperlink ref="I49" r:id="rId179" display="http://113.160.97.58:8224/Viewer/Downloadfile.aspx?mhd=72d89159-9c56-48ef-8910-c861b59fb5b3"/>
    <hyperlink ref="R49" r:id="rId180" display="https://thuphi.haiphong.gov.vn:8222/tra-cuu-bien-lai-dien-tu?ma_tracuu=PZB4BTGTV4"/>
    <hyperlink ref="G50" r:id="rId181" display="http://113.160.97.58:8224/Viewer/HoaDonViewer.aspx?mhd=5fa641a8-21c6-45dc-8efe-7bfbeec5b3b2"/>
    <hyperlink ref="H50" r:id="rId182" display="http://113.160.97.58:8224/Viewer/HoaDonViewer.aspx?mhd=5fa641a8-21c6-45dc-8efe-7bfbeec5b3b2&amp;iscd=1"/>
    <hyperlink ref="I50" r:id="rId183" display="http://113.160.97.58:8224/Viewer/Downloadfile.aspx?mhd=5fa641a8-21c6-45dc-8efe-7bfbeec5b3b2"/>
    <hyperlink ref="R50" r:id="rId184" display="https://thuphi.haiphong.gov.vn:8222/tra-cuu-bien-lai-dien-tu?ma_tracuu=4R47H0TTVY"/>
    <hyperlink ref="G51" r:id="rId185" display="http://113.160.97.58:8224/Viewer/HoaDonViewer.aspx?mhd=ef2af903-5b60-4d0f-8fd9-44c59da2e245"/>
    <hyperlink ref="H51" r:id="rId186" display="http://113.160.97.58:8224/Viewer/HoaDonViewer.aspx?mhd=ef2af903-5b60-4d0f-8fd9-44c59da2e245&amp;iscd=1"/>
    <hyperlink ref="I51" r:id="rId187" display="http://113.160.97.58:8224/Viewer/Downloadfile.aspx?mhd=ef2af903-5b60-4d0f-8fd9-44c59da2e245"/>
    <hyperlink ref="R51" r:id="rId188" display="https://thuphi.haiphong.gov.vn:8222/tra-cuu-bien-lai-dien-tu?ma_tracuu=GVFMPW0XV9"/>
    <hyperlink ref="G52" r:id="rId189" display="http://113.160.97.58:8224/Viewer/HoaDonViewer.aspx?mhd=f7839817-21ba-40c4-bbba-6d049b78978c"/>
    <hyperlink ref="H52" r:id="rId190" display="http://113.160.97.58:8224/Viewer/HoaDonViewer.aspx?mhd=f7839817-21ba-40c4-bbba-6d049b78978c&amp;iscd=1"/>
    <hyperlink ref="I52" r:id="rId191" display="http://113.160.97.58:8224/Viewer/Downloadfile.aspx?mhd=f7839817-21ba-40c4-bbba-6d049b78978c"/>
    <hyperlink ref="R52" r:id="rId192" display="https://thuphi.haiphong.gov.vn:8222/tra-cuu-bien-lai-dien-tu?ma_tracuu=IUB0MY5WV2"/>
    <hyperlink ref="G53" r:id="rId193" display="http://113.160.97.58:8224/Viewer/HoaDonViewer.aspx?mhd=a7424874-ff94-4eef-ad82-3b1a3a667366"/>
    <hyperlink ref="H53" r:id="rId194" display="http://113.160.97.58:8224/Viewer/HoaDonViewer.aspx?mhd=a7424874-ff94-4eef-ad82-3b1a3a667366&amp;iscd=1"/>
    <hyperlink ref="I53" r:id="rId195" display="http://113.160.97.58:8224/Viewer/Downloadfile.aspx?mhd=a7424874-ff94-4eef-ad82-3b1a3a667366"/>
    <hyperlink ref="R53" r:id="rId196" display="https://thuphi.haiphong.gov.vn:8222/tra-cuu-bien-lai-dien-tu?ma_tracuu=5UZE8FTWVE"/>
    <hyperlink ref="G54" r:id="rId197" display="http://113.160.97.58:8224/Viewer/HoaDonViewer.aspx?mhd=8e6eea0d-b854-4b24-9c58-052ee0a441da"/>
    <hyperlink ref="H54" r:id="rId198" display="http://113.160.97.58:8224/Viewer/HoaDonViewer.aspx?mhd=8e6eea0d-b854-4b24-9c58-052ee0a441da&amp;iscd=1"/>
    <hyperlink ref="I54" r:id="rId199" display="http://113.160.97.58:8224/Viewer/Downloadfile.aspx?mhd=8e6eea0d-b854-4b24-9c58-052ee0a441da"/>
    <hyperlink ref="R54" r:id="rId200" display="https://thuphi.haiphong.gov.vn:8222/tra-cuu-bien-lai-dien-tu?ma_tracuu=6HF3S65WVS"/>
    <hyperlink ref="G55" r:id="rId201" display="http://113.160.97.58:8224/Viewer/HoaDonViewer.aspx?mhd=008f3a2b-9dbe-4097-972d-f3fb299829c9"/>
    <hyperlink ref="H55" r:id="rId202" display="http://113.160.97.58:8224/Viewer/HoaDonViewer.aspx?mhd=008f3a2b-9dbe-4097-972d-f3fb299829c9&amp;iscd=1"/>
    <hyperlink ref="I55" r:id="rId203" display="http://113.160.97.58:8224/Viewer/Downloadfile.aspx?mhd=008f3a2b-9dbe-4097-972d-f3fb299829c9"/>
    <hyperlink ref="R55" r:id="rId204" display="https://thuphi.haiphong.gov.vn:8222/tra-cuu-bien-lai-dien-tu?ma_tracuu=DYPX4Z58FP"/>
    <hyperlink ref="G56" r:id="rId205" display="http://113.160.97.58:8224/Viewer/HoaDonViewer.aspx?mhd=67297fde-9a31-4662-9aa7-c837feade523"/>
    <hyperlink ref="H56" r:id="rId206" display="http://113.160.97.58:8224/Viewer/HoaDonViewer.aspx?mhd=67297fde-9a31-4662-9aa7-c837feade523&amp;iscd=1"/>
    <hyperlink ref="I56" r:id="rId207" display="http://113.160.97.58:8224/Viewer/Downloadfile.aspx?mhd=67297fde-9a31-4662-9aa7-c837feade523"/>
    <hyperlink ref="R56" r:id="rId208" display="https://thuphi.haiphong.gov.vn:8222/tra-cuu-bien-lai-dien-tu?ma_tracuu=0SP97TV8FU"/>
    <hyperlink ref="G57" r:id="rId209" display="http://113.160.97.58:8224/Viewer/HoaDonViewer.aspx?mhd=505733db-af82-4691-9486-b17659f1b8f1"/>
    <hyperlink ref="H57" r:id="rId210" display="http://113.160.97.58:8224/Viewer/HoaDonViewer.aspx?mhd=505733db-af82-4691-9486-b17659f1b8f1&amp;iscd=1"/>
    <hyperlink ref="I57" r:id="rId211" display="http://113.160.97.58:8224/Viewer/Downloadfile.aspx?mhd=505733db-af82-4691-9486-b17659f1b8f1"/>
    <hyperlink ref="R57" r:id="rId212" display="https://thuphi.haiphong.gov.vn:8222/tra-cuu-bien-lai-dien-tu?ma_tracuu=P2DRCS28F2"/>
    <hyperlink ref="G58" r:id="rId213" display="http://113.160.97.58:8224/Viewer/HoaDonViewer.aspx?mhd=02301255-fc63-406a-bfdd-8946586f5f89"/>
    <hyperlink ref="H58" r:id="rId214" display="http://113.160.97.58:8224/Viewer/HoaDonViewer.aspx?mhd=02301255-fc63-406a-bfdd-8946586f5f89&amp;iscd=1"/>
    <hyperlink ref="I58" r:id="rId215" display="http://113.160.97.58:8224/Viewer/Downloadfile.aspx?mhd=02301255-fc63-406a-bfdd-8946586f5f89"/>
    <hyperlink ref="R58" r:id="rId216" display="https://thuphi.haiphong.gov.vn:8222/tra-cuu-bien-lai-dien-tu?ma_tracuu=S2Y0G928FD"/>
    <hyperlink ref="G59" r:id="rId217" display="http://113.160.97.58:8224/Viewer/HoaDonViewer.aspx?mhd=2e368ab7-6f77-4fe1-b8ea-9cf059ec2ced"/>
    <hyperlink ref="H59" r:id="rId218" display="http://113.160.97.58:8224/Viewer/HoaDonViewer.aspx?mhd=2e368ab7-6f77-4fe1-b8ea-9cf059ec2ced&amp;iscd=1"/>
    <hyperlink ref="I59" r:id="rId219" display="http://113.160.97.58:8224/Viewer/Downloadfile.aspx?mhd=2e368ab7-6f77-4fe1-b8ea-9cf059ec2ced"/>
    <hyperlink ref="R59" r:id="rId220" display="https://thuphi.haiphong.gov.vn:8222/tra-cuu-bien-lai-dien-tu?ma_tracuu=I5UYFI28FE"/>
    <hyperlink ref="G60" r:id="rId221" display="http://113.160.97.58:8224/Viewer/HoaDonViewer.aspx?mhd=a6125be0-9651-4e20-80fa-951bf7acd102"/>
    <hyperlink ref="H60" r:id="rId222" display="http://113.160.97.58:8224/Viewer/HoaDonViewer.aspx?mhd=a6125be0-9651-4e20-80fa-951bf7acd102&amp;iscd=1"/>
    <hyperlink ref="I60" r:id="rId223" display="http://113.160.97.58:8224/Viewer/Downloadfile.aspx?mhd=a6125be0-9651-4e20-80fa-951bf7acd102"/>
    <hyperlink ref="R60" r:id="rId224" display="https://thuphi.haiphong.gov.vn:8222/tra-cuu-bien-lai-dien-tu?ma_tracuu=QRXVVIZ8FR"/>
    <hyperlink ref="G61" r:id="rId225" display="http://113.160.97.58:8224/Viewer/HoaDonViewer.aspx?mhd=511dd0df-4de2-4868-868a-6af515c36e06"/>
    <hyperlink ref="H61" r:id="rId226" display="http://113.160.97.58:8224/Viewer/HoaDonViewer.aspx?mhd=511dd0df-4de2-4868-868a-6af515c36e06&amp;iscd=1"/>
    <hyperlink ref="I61" r:id="rId227" display="http://113.160.97.58:8224/Viewer/Downloadfile.aspx?mhd=511dd0df-4de2-4868-868a-6af515c36e06"/>
    <hyperlink ref="R61" r:id="rId228" display="https://thuphi.haiphong.gov.vn:8222/tra-cuu-bien-lai-dien-tu?ma_tracuu=Q15WENZ8F6"/>
    <hyperlink ref="G62" r:id="rId229" display="http://113.160.97.58:8224/Viewer/HoaDonViewer.aspx?mhd=6a0309b4-f65f-4439-a431-e698a2c0e0c2"/>
    <hyperlink ref="H62" r:id="rId230" display="http://113.160.97.58:8224/Viewer/HoaDonViewer.aspx?mhd=6a0309b4-f65f-4439-a431-e698a2c0e0c2&amp;iscd=1"/>
    <hyperlink ref="I62" r:id="rId231" display="http://113.160.97.58:8224/Viewer/Downloadfile.aspx?mhd=6a0309b4-f65f-4439-a431-e698a2c0e0c2"/>
    <hyperlink ref="R62" r:id="rId232" display="https://thuphi.haiphong.gov.vn:8222/tra-cuu-bien-lai-dien-tu?ma_tracuu=ZFZF9J28FR"/>
    <hyperlink ref="G63" r:id="rId233" display="http://113.160.97.58:8224/Viewer/HoaDonViewer.aspx?mhd=ba01724b-ee91-4d65-84f0-5a6d679867aa"/>
    <hyperlink ref="H63" r:id="rId234" display="http://113.160.97.58:8224/Viewer/HoaDonViewer.aspx?mhd=ba01724b-ee91-4d65-84f0-5a6d679867aa&amp;iscd=1"/>
    <hyperlink ref="I63" r:id="rId235" display="http://113.160.97.58:8224/Viewer/Downloadfile.aspx?mhd=ba01724b-ee91-4d65-84f0-5a6d679867aa"/>
    <hyperlink ref="R63" r:id="rId236" display="https://thuphi.haiphong.gov.vn:8222/tra-cuu-bien-lai-dien-tu?ma_tracuu=V9EQIBZ8F2"/>
    <hyperlink ref="G64" r:id="rId237" display="http://113.160.97.58:8224/Viewer/HoaDonViewer.aspx?mhd=2a8aa12a-72c8-42ea-b161-51fe2738d8fa"/>
    <hyperlink ref="H64" r:id="rId238" display="http://113.160.97.58:8224/Viewer/HoaDonViewer.aspx?mhd=2a8aa12a-72c8-42ea-b161-51fe2738d8fa&amp;iscd=1"/>
    <hyperlink ref="I64" r:id="rId239" display="http://113.160.97.58:8224/Viewer/Downloadfile.aspx?mhd=2a8aa12a-72c8-42ea-b161-51fe2738d8fa"/>
    <hyperlink ref="R64" r:id="rId240" display="https://thuphi.haiphong.gov.vn:8222/tra-cuu-bien-lai-dien-tu?ma_tracuu=41FPIXUJF2"/>
    <hyperlink ref="G65" r:id="rId241" display="http://113.160.97.58:8224/Viewer/HoaDonViewer.aspx?mhd=c79064f9-da0e-4c54-a292-680e91f3c357"/>
    <hyperlink ref="H65" r:id="rId242" display="http://113.160.97.58:8224/Viewer/HoaDonViewer.aspx?mhd=c79064f9-da0e-4c54-a292-680e91f3c357&amp;iscd=1"/>
    <hyperlink ref="I65" r:id="rId243" display="http://113.160.97.58:8224/Viewer/Downloadfile.aspx?mhd=c79064f9-da0e-4c54-a292-680e91f3c357"/>
    <hyperlink ref="R65" r:id="rId244" display="https://thuphi.haiphong.gov.vn:8222/tra-cuu-bien-lai-dien-tu?ma_tracuu=MHH2A9TJFH"/>
    <hyperlink ref="G66" r:id="rId245" display="http://113.160.97.58:8224/Viewer/HoaDonViewer.aspx?mhd=dbcce418-e3b3-4681-8bd0-c0c7b601ebf3"/>
    <hyperlink ref="H66" r:id="rId246" display="http://113.160.97.58:8224/Viewer/HoaDonViewer.aspx?mhd=dbcce418-e3b3-4681-8bd0-c0c7b601ebf3&amp;iscd=1"/>
    <hyperlink ref="I66" r:id="rId247" display="http://113.160.97.58:8224/Viewer/Downloadfile.aspx?mhd=dbcce418-e3b3-4681-8bd0-c0c7b601ebf3"/>
    <hyperlink ref="R66" r:id="rId248" display="https://thuphi.haiphong.gov.vn:8222/tra-cuu-bien-lai-dien-tu?ma_tracuu=9HDPU7GJFY"/>
    <hyperlink ref="G67" r:id="rId249" display="http://113.160.97.58:8224/Viewer/HoaDonViewer.aspx?mhd=a9ede311-e57d-4d19-b295-2accecf02cad"/>
    <hyperlink ref="H67" r:id="rId250" display="http://113.160.97.58:8224/Viewer/HoaDonViewer.aspx?mhd=a9ede311-e57d-4d19-b295-2accecf02cad&amp;iscd=1"/>
    <hyperlink ref="I67" r:id="rId251" display="http://113.160.97.58:8224/Viewer/Downloadfile.aspx?mhd=a9ede311-e57d-4d19-b295-2accecf02cad"/>
    <hyperlink ref="R67" r:id="rId252" display="https://thuphi.haiphong.gov.vn:8222/tra-cuu-bien-lai-dien-tu?ma_tracuu=TBEFSGTJFL"/>
    <hyperlink ref="G68" r:id="rId253" display="http://113.160.97.58:8224/Viewer/HoaDonViewer.aspx?mhd=dc61d3aa-1718-48be-bc94-0071d147ef14"/>
    <hyperlink ref="H68" r:id="rId254" display="http://113.160.97.58:8224/Viewer/HoaDonViewer.aspx?mhd=dc61d3aa-1718-48be-bc94-0071d147ef14&amp;iscd=1"/>
    <hyperlink ref="I68" r:id="rId255" display="http://113.160.97.58:8224/Viewer/Downloadfile.aspx?mhd=dc61d3aa-1718-48be-bc94-0071d147ef14"/>
    <hyperlink ref="R68" r:id="rId256" display="https://thuphi.haiphong.gov.vn:8222/tra-cuu-bien-lai-dien-tu?ma_tracuu=T6A3FCGJFF"/>
    <hyperlink ref="G69" r:id="rId257" display="http://113.160.97.58:8224/Viewer/HoaDonViewer.aspx?mhd=23acd6da-3543-4b3e-9675-dc7c346def81"/>
    <hyperlink ref="H69" r:id="rId258" display="http://113.160.97.58:8224/Viewer/HoaDonViewer.aspx?mhd=23acd6da-3543-4b3e-9675-dc7c346def81&amp;iscd=1"/>
    <hyperlink ref="I69" r:id="rId259" display="http://113.160.97.58:8224/Viewer/Downloadfile.aspx?mhd=23acd6da-3543-4b3e-9675-dc7c346def81"/>
    <hyperlink ref="R69" r:id="rId260" display="https://thuphi.haiphong.gov.vn:8222/tra-cuu-bien-lai-dien-tu?ma_tracuu=MM2VPDQJFX"/>
    <hyperlink ref="G70" r:id="rId261" display="http://113.160.97.58:8224/Viewer/HoaDonViewer.aspx?mhd=79052034-1b24-4db3-9e4d-2a066070d390"/>
    <hyperlink ref="H70" r:id="rId262" display="http://113.160.97.58:8224/Viewer/HoaDonViewer.aspx?mhd=79052034-1b24-4db3-9e4d-2a066070d390&amp;iscd=1"/>
    <hyperlink ref="I70" r:id="rId263" display="http://113.160.97.58:8224/Viewer/Downloadfile.aspx?mhd=79052034-1b24-4db3-9e4d-2a066070d390"/>
    <hyperlink ref="R70" r:id="rId264" display="https://thuphi.haiphong.gov.vn:8222/tra-cuu-bien-lai-dien-tu?ma_tracuu=JIWJQK1JFE"/>
    <hyperlink ref="G71" r:id="rId265" display="http://113.160.97.58:8224/Viewer/HoaDonViewer.aspx?mhd=c5689646-9355-445f-aa71-57ec294f57ea"/>
    <hyperlink ref="H71" r:id="rId266" display="http://113.160.97.58:8224/Viewer/HoaDonViewer.aspx?mhd=c5689646-9355-445f-aa71-57ec294f57ea&amp;iscd=1"/>
    <hyperlink ref="I71" r:id="rId267" display="http://113.160.97.58:8224/Viewer/Downloadfile.aspx?mhd=c5689646-9355-445f-aa71-57ec294f57ea"/>
    <hyperlink ref="R71" r:id="rId268" display="https://thuphi.haiphong.gov.vn:8222/tra-cuu-bien-lai-dien-tu?ma_tracuu=1RJGFU1JFD"/>
    <hyperlink ref="G72" r:id="rId269" display="http://113.160.97.58:8224/Viewer/HoaDonViewer.aspx?mhd=c1496207-e1ea-4b2c-8100-86f7bb894478"/>
    <hyperlink ref="H72" r:id="rId270" display="http://113.160.97.58:8224/Viewer/HoaDonViewer.aspx?mhd=c1496207-e1ea-4b2c-8100-86f7bb894478&amp;iscd=1"/>
    <hyperlink ref="I72" r:id="rId271" display="http://113.160.97.58:8224/Viewer/Downloadfile.aspx?mhd=c1496207-e1ea-4b2c-8100-86f7bb894478"/>
    <hyperlink ref="R72" r:id="rId272" display="https://thuphi.haiphong.gov.vn:8222/tra-cuu-bien-lai-dien-tu?ma_tracuu=P35N9F1JF1"/>
    <hyperlink ref="G73" r:id="rId273" display="http://113.160.97.58:8224/Viewer/HoaDonViewer.aspx?mhd=125d1ca1-5ac4-4801-93c2-735f664312d6"/>
    <hyperlink ref="H73" r:id="rId274" display="http://113.160.97.58:8224/Viewer/HoaDonViewer.aspx?mhd=125d1ca1-5ac4-4801-93c2-735f664312d6&amp;iscd=1"/>
    <hyperlink ref="I73" r:id="rId275" display="http://113.160.97.58:8224/Viewer/Downloadfile.aspx?mhd=125d1ca1-5ac4-4801-93c2-735f664312d6"/>
    <hyperlink ref="R73" r:id="rId276" display="https://thuphi.haiphong.gov.vn:8222/tra-cuu-bien-lai-dien-tu?ma_tracuu=WPN96Y0UFZ"/>
    <hyperlink ref="G74" r:id="rId277" display="http://113.160.97.58:8224/Viewer/HoaDonViewer.aspx?mhd=41cafa4a-0332-4a84-97af-83572d72e59b"/>
    <hyperlink ref="H74" r:id="rId278" display="http://113.160.97.58:8224/Viewer/HoaDonViewer.aspx?mhd=41cafa4a-0332-4a84-97af-83572d72e59b&amp;iscd=1"/>
    <hyperlink ref="I74" r:id="rId279" display="http://113.160.97.58:8224/Viewer/Downloadfile.aspx?mhd=41cafa4a-0332-4a84-97af-83572d72e59b"/>
    <hyperlink ref="R74" r:id="rId280" display="https://thuphi.haiphong.gov.vn:8222/tra-cuu-bien-lai-dien-tu?ma_tracuu=1TD0GI0UFX"/>
    <hyperlink ref="G75" r:id="rId281" display="http://113.160.97.58:8224/Viewer/HoaDonViewer.aspx?mhd=beaeccbc-9a3f-4d13-8700-171228ddc7b7"/>
    <hyperlink ref="H75" r:id="rId282" display="http://113.160.97.58:8224/Viewer/HoaDonViewer.aspx?mhd=beaeccbc-9a3f-4d13-8700-171228ddc7b7&amp;iscd=1"/>
    <hyperlink ref="I75" r:id="rId283" display="http://113.160.97.58:8224/Viewer/Downloadfile.aspx?mhd=beaeccbc-9a3f-4d13-8700-171228ddc7b7"/>
    <hyperlink ref="R75" r:id="rId284" display="https://thuphi.haiphong.gov.vn:8222/tra-cuu-bien-lai-dien-tu?ma_tracuu=24HE2ALUFB"/>
    <hyperlink ref="G76" r:id="rId285" display="http://113.160.97.58:8224/Viewer/HoaDonViewer.aspx?mhd=2d5fdf70-21c8-46ff-ac43-5ef20f052e98"/>
    <hyperlink ref="H76" r:id="rId286" display="http://113.160.97.58:8224/Viewer/HoaDonViewer.aspx?mhd=2d5fdf70-21c8-46ff-ac43-5ef20f052e98&amp;iscd=1"/>
    <hyperlink ref="I76" r:id="rId287" display="http://113.160.97.58:8224/Viewer/Downloadfile.aspx?mhd=2d5fdf70-21c8-46ff-ac43-5ef20f052e98"/>
    <hyperlink ref="R76" r:id="rId288" display="https://thuphi.haiphong.gov.vn:8222/tra-cuu-bien-lai-dien-tu?ma_tracuu=EFHX5TLUFI"/>
    <hyperlink ref="G77" r:id="rId289" display="http://113.160.97.58:8224/Viewer/HoaDonViewer.aspx?mhd=b8c9f72b-6507-4aef-acae-e8318ff3c9af"/>
    <hyperlink ref="H77" r:id="rId290" display="http://113.160.97.58:8224/Viewer/HoaDonViewer.aspx?mhd=b8c9f72b-6507-4aef-acae-e8318ff3c9af&amp;iscd=1"/>
    <hyperlink ref="I77" r:id="rId291" display="http://113.160.97.58:8224/Viewer/Downloadfile.aspx?mhd=b8c9f72b-6507-4aef-acae-e8318ff3c9af"/>
    <hyperlink ref="R77" r:id="rId292" display="https://thuphi.haiphong.gov.vn:8222/tra-cuu-bien-lai-dien-tu?ma_tracuu=8SZUMYHUF6"/>
    <hyperlink ref="G78" r:id="rId293" display="http://113.160.97.58:8224/Viewer/HoaDonViewer.aspx?mhd=27b84260-40be-46ad-ac64-15b80a951379"/>
    <hyperlink ref="H78" r:id="rId294" display="http://113.160.97.58:8224/Viewer/HoaDonViewer.aspx?mhd=27b84260-40be-46ad-ac64-15b80a951379&amp;iscd=1"/>
    <hyperlink ref="I78" r:id="rId295" display="http://113.160.97.58:8224/Viewer/Downloadfile.aspx?mhd=27b84260-40be-46ad-ac64-15b80a951379"/>
    <hyperlink ref="R78" r:id="rId296" display="https://thuphi.haiphong.gov.vn:8222/tra-cuu-bien-lai-dien-tu?ma_tracuu=HH583KYUFV"/>
    <hyperlink ref="G79" r:id="rId297" display="http://113.160.97.58:8224/Viewer/HoaDonViewer.aspx?mhd=f800f6d5-e100-42ed-8af5-4738ea656977"/>
    <hyperlink ref="H79" r:id="rId298" display="http://113.160.97.58:8224/Viewer/HoaDonViewer.aspx?mhd=f800f6d5-e100-42ed-8af5-4738ea656977&amp;iscd=1"/>
    <hyperlink ref="I79" r:id="rId299" display="http://113.160.97.58:8224/Viewer/Downloadfile.aspx?mhd=f800f6d5-e100-42ed-8af5-4738ea656977"/>
    <hyperlink ref="R79" r:id="rId300" display="https://thuphi.haiphong.gov.vn:8222/tra-cuu-bien-lai-dien-tu?ma_tracuu=Y4HB9SN7FR"/>
    <hyperlink ref="G80" r:id="rId301" display="http://113.160.97.58:8224/Viewer/HoaDonViewer.aspx?mhd=89d427f9-335b-49fa-9bae-191fdc5c8933"/>
    <hyperlink ref="H80" r:id="rId302" display="http://113.160.97.58:8224/Viewer/HoaDonViewer.aspx?mhd=89d427f9-335b-49fa-9bae-191fdc5c8933&amp;iscd=1"/>
    <hyperlink ref="I80" r:id="rId303" display="http://113.160.97.58:8224/Viewer/Downloadfile.aspx?mhd=89d427f9-335b-49fa-9bae-191fdc5c8933"/>
    <hyperlink ref="R80" r:id="rId304" display="https://thuphi.haiphong.gov.vn:8222/tra-cuu-bien-lai-dien-tu?ma_tracuu=UBT6KMN7F3"/>
    <hyperlink ref="G81" r:id="rId305" display="http://113.160.97.58:8224/Viewer/HoaDonViewer.aspx?mhd=54f6dd9c-8e1a-476e-a437-9f4df6b13e4b"/>
    <hyperlink ref="H81" r:id="rId306" display="http://113.160.97.58:8224/Viewer/HoaDonViewer.aspx?mhd=54f6dd9c-8e1a-476e-a437-9f4df6b13e4b&amp;iscd=1"/>
    <hyperlink ref="I81" r:id="rId307" display="http://113.160.97.58:8224/Viewer/Downloadfile.aspx?mhd=54f6dd9c-8e1a-476e-a437-9f4df6b13e4b"/>
    <hyperlink ref="R81" r:id="rId308" display="https://thuphi.haiphong.gov.vn:8222/tra-cuu-bien-lai-dien-tu?ma_tracuu=9N2SXRH7FY"/>
    <hyperlink ref="G82" r:id="rId309" display="http://113.160.97.58:8224/Viewer/HoaDonViewer.aspx?mhd=d2e8511a-6e4f-4296-8ece-cd76cd81ad13"/>
    <hyperlink ref="H82" r:id="rId310" display="http://113.160.97.58:8224/Viewer/HoaDonViewer.aspx?mhd=d2e8511a-6e4f-4296-8ece-cd76cd81ad13&amp;iscd=1"/>
    <hyperlink ref="I82" r:id="rId311" display="http://113.160.97.58:8224/Viewer/Downloadfile.aspx?mhd=d2e8511a-6e4f-4296-8ece-cd76cd81ad13"/>
    <hyperlink ref="R82" r:id="rId312" display="https://thuphi.haiphong.gov.vn:8222/tra-cuu-bien-lai-dien-tu?ma_tracuu=ANY2RU37FL"/>
    <hyperlink ref="G83" r:id="rId313" display="http://113.160.97.58:8224/Viewer/HoaDonViewer.aspx?mhd=bc5298a8-c4a5-430d-8d84-7a6c0b902af7"/>
    <hyperlink ref="H83" r:id="rId314" display="http://113.160.97.58:8224/Viewer/HoaDonViewer.aspx?mhd=bc5298a8-c4a5-430d-8d84-7a6c0b902af7&amp;iscd=1"/>
    <hyperlink ref="I83" r:id="rId315" display="http://113.160.97.58:8224/Viewer/Downloadfile.aspx?mhd=bc5298a8-c4a5-430d-8d84-7a6c0b902af7"/>
    <hyperlink ref="R83" r:id="rId316" display="https://thuphi.haiphong.gov.vn:8222/tra-cuu-bien-lai-dien-tu?ma_tracuu=Q543S6E7FX"/>
    <hyperlink ref="G84" r:id="rId317" display="http://113.160.97.58:8224/Viewer/HoaDonViewer.aspx?mhd=29d50d30-8d3e-41d8-bd3a-cb557c6ea8dc"/>
    <hyperlink ref="H84" r:id="rId318" display="http://113.160.97.58:8224/Viewer/HoaDonViewer.aspx?mhd=29d50d30-8d3e-41d8-bd3a-cb557c6ea8dc&amp;iscd=1"/>
    <hyperlink ref="I84" r:id="rId319" display="http://113.160.97.58:8224/Viewer/Downloadfile.aspx?mhd=29d50d30-8d3e-41d8-bd3a-cb557c6ea8dc"/>
    <hyperlink ref="R84" r:id="rId320" display="https://thuphi.haiphong.gov.vn:8222/tra-cuu-bien-lai-dien-tu?ma_tracuu=Y0FNYB37F0"/>
    <hyperlink ref="G85" r:id="rId321" display="http://113.160.97.58:8224/Viewer/HoaDonViewer.aspx?mhd=bea0dfcd-8722-4d70-b2fd-ebfe9c6e2567"/>
    <hyperlink ref="H85" r:id="rId322" display="http://113.160.97.58:8224/Viewer/HoaDonViewer.aspx?mhd=bea0dfcd-8722-4d70-b2fd-ebfe9c6e2567&amp;iscd=1"/>
    <hyperlink ref="I85" r:id="rId323" display="http://113.160.97.58:8224/Viewer/Downloadfile.aspx?mhd=bea0dfcd-8722-4d70-b2fd-ebfe9c6e2567"/>
    <hyperlink ref="R85" r:id="rId324" display="https://thuphi.haiphong.gov.vn:8222/tra-cuu-bien-lai-dien-tu?ma_tracuu=ZGAET937FC"/>
    <hyperlink ref="G86" r:id="rId325" display="http://113.160.97.58:8224/Viewer/HoaDonViewer.aspx?mhd=adc99489-9ef9-4e64-8b6e-ce6f01ef5b62"/>
    <hyperlink ref="H86" r:id="rId326" display="http://113.160.97.58:8224/Viewer/HoaDonViewer.aspx?mhd=adc99489-9ef9-4e64-8b6e-ce6f01ef5b62&amp;iscd=1"/>
    <hyperlink ref="I86" r:id="rId327" display="http://113.160.97.58:8224/Viewer/Downloadfile.aspx?mhd=adc99489-9ef9-4e64-8b6e-ce6f01ef5b62"/>
    <hyperlink ref="R86" r:id="rId328" display="https://thuphi.haiphong.gov.vn:8222/tra-cuu-bien-lai-dien-tu?ma_tracuu=XH84HI37F2"/>
    <hyperlink ref="G87" r:id="rId329" display="http://113.160.97.58:8224/Viewer/HoaDonViewer.aspx?mhd=9ca16921-9e64-4222-a529-5a78fff42b2f"/>
    <hyperlink ref="H87" r:id="rId330" display="http://113.160.97.58:8224/Viewer/HoaDonViewer.aspx?mhd=9ca16921-9e64-4222-a529-5a78fff42b2f&amp;iscd=1"/>
    <hyperlink ref="I87" r:id="rId331" display="http://113.160.97.58:8224/Viewer/Downloadfile.aspx?mhd=9ca16921-9e64-4222-a529-5a78fff42b2f"/>
    <hyperlink ref="R87" r:id="rId332" display="https://thuphi.haiphong.gov.vn:8222/tra-cuu-bien-lai-dien-tu?ma_tracuu=8AMT1FLNFP"/>
    <hyperlink ref="G88" r:id="rId333" display="http://113.160.97.58:8224/Viewer/HoaDonViewer.aspx?mhd=f3605b4f-e8b8-4862-8b11-e7ffaf2fdd85"/>
    <hyperlink ref="H88" r:id="rId334" display="http://113.160.97.58:8224/Viewer/HoaDonViewer.aspx?mhd=f3605b4f-e8b8-4862-8b11-e7ffaf2fdd85&amp;iscd=1"/>
    <hyperlink ref="I88" r:id="rId335" display="http://113.160.97.58:8224/Viewer/Downloadfile.aspx?mhd=f3605b4f-e8b8-4862-8b11-e7ffaf2fdd85"/>
    <hyperlink ref="R88" r:id="rId336" display="https://thuphi.haiphong.gov.vn:8222/tra-cuu-bien-lai-dien-tu?ma_tracuu=3G21H7ZVFA"/>
    <hyperlink ref="G89" r:id="rId337" display="http://113.160.97.58:8224/Viewer/HoaDonViewer.aspx?mhd=b9ea1ef5-69ac-4605-8c71-5d4c0c503358"/>
    <hyperlink ref="H89" r:id="rId338" display="http://113.160.97.58:8224/Viewer/HoaDonViewer.aspx?mhd=b9ea1ef5-69ac-4605-8c71-5d4c0c503358&amp;iscd=1"/>
    <hyperlink ref="I89" r:id="rId339" display="http://113.160.97.58:8224/Viewer/Downloadfile.aspx?mhd=b9ea1ef5-69ac-4605-8c71-5d4c0c503358"/>
    <hyperlink ref="R89" r:id="rId340" display="https://thuphi.haiphong.gov.vn:8222/tra-cuu-bien-lai-dien-tu?ma_tracuu=9N31S4W4F8"/>
    <hyperlink ref="G90" r:id="rId341" display="http://113.160.97.58:8224/Viewer/HoaDonViewer.aspx?mhd=84bdab38-4763-4b4c-9525-32ada773fbee"/>
    <hyperlink ref="H90" r:id="rId342" display="http://113.160.97.58:8224/Viewer/HoaDonViewer.aspx?mhd=84bdab38-4763-4b4c-9525-32ada773fbee&amp;iscd=1"/>
    <hyperlink ref="I90" r:id="rId343" display="http://113.160.97.58:8224/Viewer/Downloadfile.aspx?mhd=84bdab38-4763-4b4c-9525-32ada773fbee"/>
    <hyperlink ref="R90" r:id="rId344" display="https://thuphi.haiphong.gov.vn:8222/tra-cuu-bien-lai-dien-tu?ma_tracuu=MKI8ZNYDFD"/>
    <hyperlink ref="G91" r:id="rId345" display="http://113.160.97.58:8224/Viewer/HoaDonViewer.aspx?mhd=ca822dcb-1cc3-4537-b10a-17fbb08da10d"/>
    <hyperlink ref="H91" r:id="rId346" display="http://113.160.97.58:8224/Viewer/HoaDonViewer.aspx?mhd=ca822dcb-1cc3-4537-b10a-17fbb08da10d&amp;iscd=1"/>
    <hyperlink ref="I91" r:id="rId347" display="http://113.160.97.58:8224/Viewer/Downloadfile.aspx?mhd=ca822dcb-1cc3-4537-b10a-17fbb08da10d"/>
    <hyperlink ref="R91" r:id="rId348" display="https://thuphi.haiphong.gov.vn:8222/tra-cuu-bien-lai-dien-tu?ma_tracuu=T4N3XV6DFJ"/>
    <hyperlink ref="G92" r:id="rId349" display="http://113.160.97.58:8224/Viewer/HoaDonViewer.aspx?mhd=e4bb34cc-410c-49f9-b4f3-b0fc9792be9d"/>
    <hyperlink ref="H92" r:id="rId350" display="http://113.160.97.58:8224/Viewer/HoaDonViewer.aspx?mhd=e4bb34cc-410c-49f9-b4f3-b0fc9792be9d&amp;iscd=1"/>
    <hyperlink ref="I92" r:id="rId351" display="http://113.160.97.58:8224/Viewer/Downloadfile.aspx?mhd=e4bb34cc-410c-49f9-b4f3-b0fc9792be9d"/>
    <hyperlink ref="R92" r:id="rId352" display="https://thuphi.haiphong.gov.vn:8222/tra-cuu-bien-lai-dien-tu?ma_tracuu=Y0KU8N8PR1"/>
    <hyperlink ref="G93" r:id="rId353" display="http://113.160.97.58:8224/Viewer/HoaDonViewer.aspx?mhd=602d1b24-cc7d-46f5-8eb9-0744a5d1a2cb"/>
    <hyperlink ref="H93" r:id="rId354" display="http://113.160.97.58:8224/Viewer/HoaDonViewer.aspx?mhd=602d1b24-cc7d-46f5-8eb9-0744a5d1a2cb&amp;iscd=1"/>
    <hyperlink ref="I93" r:id="rId355" display="http://113.160.97.58:8224/Viewer/Downloadfile.aspx?mhd=602d1b24-cc7d-46f5-8eb9-0744a5d1a2cb"/>
    <hyperlink ref="R93" r:id="rId356" display="https://thuphi.haiphong.gov.vn:8222/tra-cuu-bien-lai-dien-tu?ma_tracuu=TVQSZ1XPRI"/>
    <hyperlink ref="G94" r:id="rId357" display="http://113.160.97.58:8224/Viewer/HoaDonViewer.aspx?mhd=d570d55c-b25b-42e6-8774-bef02dc47c8f"/>
    <hyperlink ref="H94" r:id="rId358" display="http://113.160.97.58:8224/Viewer/HoaDonViewer.aspx?mhd=d570d55c-b25b-42e6-8774-bef02dc47c8f&amp;iscd=1"/>
    <hyperlink ref="I94" r:id="rId359" display="http://113.160.97.58:8224/Viewer/Downloadfile.aspx?mhd=d570d55c-b25b-42e6-8774-bef02dc47c8f"/>
    <hyperlink ref="R94" r:id="rId360" display="https://thuphi.haiphong.gov.vn:8222/tra-cuu-bien-lai-dien-tu?ma_tracuu=E3YQHXSPRF"/>
    <hyperlink ref="G95" r:id="rId361" display="http://113.160.97.58:8224/Viewer/HoaDonViewer.aspx?mhd=2200aaba-8199-4a3c-aabe-f3bc8d936841"/>
    <hyperlink ref="H95" r:id="rId362" display="http://113.160.97.58:8224/Viewer/HoaDonViewer.aspx?mhd=2200aaba-8199-4a3c-aabe-f3bc8d936841&amp;iscd=1"/>
    <hyperlink ref="I95" r:id="rId363" display="http://113.160.97.58:8224/Viewer/Downloadfile.aspx?mhd=2200aaba-8199-4a3c-aabe-f3bc8d936841"/>
    <hyperlink ref="R95" r:id="rId364" display="https://thuphi.haiphong.gov.vn:8222/tra-cuu-bien-lai-dien-tu?ma_tracuu=DV7JBMSPRJ"/>
    <hyperlink ref="G96" r:id="rId365" display="http://113.160.97.58:8224/Viewer/HoaDonViewer.aspx?mhd=a29473ce-be98-4938-a84c-15d478e3ce1b"/>
    <hyperlink ref="H96" r:id="rId366" display="http://113.160.97.58:8224/Viewer/HoaDonViewer.aspx?mhd=a29473ce-be98-4938-a84c-15d478e3ce1b&amp;iscd=1"/>
    <hyperlink ref="I96" r:id="rId367" display="http://113.160.97.58:8224/Viewer/Downloadfile.aspx?mhd=a29473ce-be98-4938-a84c-15d478e3ce1b"/>
    <hyperlink ref="R96" r:id="rId368" display="https://thuphi.haiphong.gov.vn:8222/tra-cuu-bien-lai-dien-tu?ma_tracuu=WGMYDSSPRV"/>
    <hyperlink ref="G97" r:id="rId369" display="http://113.160.97.58:8224/Viewer/HoaDonViewer.aspx?mhd=c64fa8b8-6651-4478-a301-32ecc56a9d51"/>
    <hyperlink ref="H97" r:id="rId370" display="http://113.160.97.58:8224/Viewer/HoaDonViewer.aspx?mhd=c64fa8b8-6651-4478-a301-32ecc56a9d51&amp;iscd=1"/>
    <hyperlink ref="I97" r:id="rId371" display="http://113.160.97.58:8224/Viewer/Downloadfile.aspx?mhd=c64fa8b8-6651-4478-a301-32ecc56a9d51"/>
    <hyperlink ref="R97" r:id="rId372" display="https://thuphi.haiphong.gov.vn:8222/tra-cuu-bien-lai-dien-tu?ma_tracuu=XIF95MI0RK"/>
    <hyperlink ref="G98" r:id="rId373" display="http://113.160.97.58:8224/Viewer/HoaDonViewer.aspx?mhd=c8f4abdf-9f9f-4d24-b507-896db25a5aa8"/>
    <hyperlink ref="H98" r:id="rId374" display="http://113.160.97.58:8224/Viewer/HoaDonViewer.aspx?mhd=c8f4abdf-9f9f-4d24-b507-896db25a5aa8&amp;iscd=1"/>
    <hyperlink ref="I98" r:id="rId375" display="http://113.160.97.58:8224/Viewer/Downloadfile.aspx?mhd=c8f4abdf-9f9f-4d24-b507-896db25a5aa8"/>
    <hyperlink ref="R98" r:id="rId376" display="https://thuphi.haiphong.gov.vn:8222/tra-cuu-bien-lai-dien-tu?ma_tracuu=8FGIM2VLR1"/>
    <hyperlink ref="G99" r:id="rId377" display="http://113.160.97.58:8224/Viewer/HoaDonViewer.aspx?mhd=986bdfda-d28d-4ddc-b139-f4f692216d17"/>
    <hyperlink ref="H99" r:id="rId378" display="http://113.160.97.58:8224/Viewer/HoaDonViewer.aspx?mhd=986bdfda-d28d-4ddc-b139-f4f692216d17&amp;iscd=1"/>
    <hyperlink ref="I99" r:id="rId379" display="http://113.160.97.58:8224/Viewer/Downloadfile.aspx?mhd=986bdfda-d28d-4ddc-b139-f4f692216d17"/>
    <hyperlink ref="R99" r:id="rId380" display="https://thuphi.haiphong.gov.vn:8222/tra-cuu-bien-lai-dien-tu?ma_tracuu=32626E4LRI"/>
    <hyperlink ref="G100" r:id="rId381" display="http://113.160.97.58:8224/Viewer/HoaDonViewer.aspx?mhd=132f62df-fa13-4add-9147-64ec43eb31de"/>
    <hyperlink ref="H100" r:id="rId382" display="http://113.160.97.58:8224/Viewer/HoaDonViewer.aspx?mhd=132f62df-fa13-4add-9147-64ec43eb31de&amp;iscd=1"/>
    <hyperlink ref="I100" r:id="rId383" display="http://113.160.97.58:8224/Viewer/Downloadfile.aspx?mhd=132f62df-fa13-4add-9147-64ec43eb31de"/>
    <hyperlink ref="R100" r:id="rId384" display="https://thuphi.haiphong.gov.vn:8222/tra-cuu-bien-lai-dien-tu?ma_tracuu=2NX2KSVNRN"/>
    <hyperlink ref="G101" r:id="rId385" display="http://113.160.97.58:8224/Viewer/HoaDonViewer.aspx?mhd=ae3dd97f-2bdc-4f86-aa08-9be98841b461"/>
    <hyperlink ref="H101" r:id="rId386" display="http://113.160.97.58:8224/Viewer/HoaDonViewer.aspx?mhd=ae3dd97f-2bdc-4f86-aa08-9be98841b461&amp;iscd=1"/>
    <hyperlink ref="I101" r:id="rId387" display="http://113.160.97.58:8224/Viewer/Downloadfile.aspx?mhd=ae3dd97f-2bdc-4f86-aa08-9be98841b461"/>
    <hyperlink ref="R101" r:id="rId388" display="https://thuphi.haiphong.gov.vn:8222/tra-cuu-bien-lai-dien-tu?ma_tracuu=7BFVTHVNR5"/>
    <hyperlink ref="G102" r:id="rId389" display="http://113.160.97.58:8224/Viewer/HoaDonViewer.aspx?mhd=29c9f2ff-e18e-4f52-b26b-82034cc61eb5"/>
    <hyperlink ref="H102" r:id="rId390" display="http://113.160.97.58:8224/Viewer/HoaDonViewer.aspx?mhd=29c9f2ff-e18e-4f52-b26b-82034cc61eb5&amp;iscd=1"/>
    <hyperlink ref="I102" r:id="rId391" display="http://113.160.97.58:8224/Viewer/Downloadfile.aspx?mhd=29c9f2ff-e18e-4f52-b26b-82034cc61eb5"/>
    <hyperlink ref="R102" r:id="rId392" display="https://thuphi.haiphong.gov.vn:8222/tra-cuu-bien-lai-dien-tu?ma_tracuu=87A12C46RI"/>
    <hyperlink ref="G103" r:id="rId393" display="http://113.160.97.58:8224/Viewer/HoaDonViewer.aspx?mhd=eafa00d1-a289-48ba-8728-c9b88499343a"/>
    <hyperlink ref="H103" r:id="rId394" display="http://113.160.97.58:8224/Viewer/HoaDonViewer.aspx?mhd=eafa00d1-a289-48ba-8728-c9b88499343a&amp;iscd=1"/>
    <hyperlink ref="I103" r:id="rId395" display="http://113.160.97.58:8224/Viewer/Downloadfile.aspx?mhd=eafa00d1-a289-48ba-8728-c9b88499343a"/>
    <hyperlink ref="R103" r:id="rId396" display="https://thuphi.haiphong.gov.vn:8222/tra-cuu-bien-lai-dien-tu?ma_tracuu=ZV3AW3R6RP"/>
    <hyperlink ref="G104" r:id="rId397" display="http://113.160.97.58:8224/Viewer/HoaDonViewer.aspx?mhd=71249e20-07aa-498e-a327-5e3428749a86"/>
    <hyperlink ref="H104" r:id="rId398" display="http://113.160.97.58:8224/Viewer/HoaDonViewer.aspx?mhd=71249e20-07aa-498e-a327-5e3428749a86&amp;iscd=1"/>
    <hyperlink ref="I104" r:id="rId399" display="http://113.160.97.58:8224/Viewer/Downloadfile.aspx?mhd=71249e20-07aa-498e-a327-5e3428749a86"/>
    <hyperlink ref="R104" r:id="rId400" display="https://thuphi.haiphong.gov.vn:8222/tra-cuu-bien-lai-dien-tu?ma_tracuu=JQZB9M46RW"/>
    <hyperlink ref="G106" r:id="rId401" display="http://113.160.97.58:8224/Viewer/HoaDonViewer.aspx?mhd=8d439aeb-2379-4d93-83f4-dffdd761e31a"/>
    <hyperlink ref="H106" r:id="rId402" display="http://113.160.97.58:8224/Viewer/HoaDonViewer.aspx?mhd=8d439aeb-2379-4d93-83f4-dffdd761e31a&amp;iscd=1"/>
    <hyperlink ref="I106" r:id="rId403" display="http://113.160.97.58:8224/Viewer/Downloadfile.aspx?mhd=8d439aeb-2379-4d93-83f4-dffdd761e31a"/>
    <hyperlink ref="R106" r:id="rId404" display="https://thuphi.haiphong.gov.vn:8222/tra-cuu-bien-lai-dien-tu?ma_tracuu=SXXKCBC6R3"/>
    <hyperlink ref="G107" r:id="rId405" display="http://113.160.97.58:8224/Viewer/HoaDonViewer.aspx?mhd=c34e3e5a-c92d-4507-892d-fc8fb7ddc4b8"/>
    <hyperlink ref="H107" r:id="rId406" display="http://113.160.97.58:8224/Viewer/HoaDonViewer.aspx?mhd=c34e3e5a-c92d-4507-892d-fc8fb7ddc4b8&amp;iscd=1"/>
    <hyperlink ref="I107" r:id="rId407" display="http://113.160.97.58:8224/Viewer/Downloadfile.aspx?mhd=c34e3e5a-c92d-4507-892d-fc8fb7ddc4b8"/>
    <hyperlink ref="R107" r:id="rId408" display="https://thuphi.haiphong.gov.vn:8222/tra-cuu-bien-lai-dien-tu?ma_tracuu=K2X4F26GRF"/>
    <hyperlink ref="G108" r:id="rId409" display="http://113.160.97.58:8224/Viewer/HoaDonViewer.aspx?mhd=e4003beb-b082-4969-b973-6b53795fab14"/>
    <hyperlink ref="H108" r:id="rId410" display="http://113.160.97.58:8224/Viewer/HoaDonViewer.aspx?mhd=e4003beb-b082-4969-b973-6b53795fab14&amp;iscd=1"/>
    <hyperlink ref="I108" r:id="rId411" display="http://113.160.97.58:8224/Viewer/Downloadfile.aspx?mhd=e4003beb-b082-4969-b973-6b53795fab14"/>
    <hyperlink ref="R108" r:id="rId412" display="https://thuphi.haiphong.gov.vn:8222/tra-cuu-bien-lai-dien-tu?ma_tracuu=LJ7YFCGGRU"/>
    <hyperlink ref="G109" r:id="rId413" display="http://113.160.97.58:8224/Viewer/HoaDonViewer.aspx?mhd=e6415ad5-efca-414f-a6d1-f9c5ddaec05e"/>
    <hyperlink ref="H109" r:id="rId414" display="http://113.160.97.58:8224/Viewer/HoaDonViewer.aspx?mhd=e6415ad5-efca-414f-a6d1-f9c5ddaec05e&amp;iscd=1"/>
    <hyperlink ref="I109" r:id="rId415" display="http://113.160.97.58:8224/Viewer/Downloadfile.aspx?mhd=e6415ad5-efca-414f-a6d1-f9c5ddaec05e"/>
    <hyperlink ref="R109" r:id="rId416" display="https://thuphi.haiphong.gov.vn:8222/tra-cuu-bien-lai-dien-tu?ma_tracuu=V3DF905GR4"/>
    <hyperlink ref="G110" r:id="rId417" display="http://113.160.97.58:8224/Viewer/HoaDonViewer.aspx?mhd=42d228d8-8701-4540-900b-32716e8ce8e6"/>
    <hyperlink ref="H110" r:id="rId418" display="http://113.160.97.58:8224/Viewer/HoaDonViewer.aspx?mhd=42d228d8-8701-4540-900b-32716e8ce8e6&amp;iscd=1"/>
    <hyperlink ref="I110" r:id="rId419" display="http://113.160.97.58:8224/Viewer/Downloadfile.aspx?mhd=42d228d8-8701-4540-900b-32716e8ce8e6"/>
    <hyperlink ref="R110" r:id="rId420" display="https://thuphi.haiphong.gov.vn:8222/tra-cuu-bien-lai-dien-tu?ma_tracuu=UICQ6MZI41"/>
    <hyperlink ref="G111" r:id="rId421" display="http://113.160.97.58:8224/Viewer/HoaDonViewer.aspx?mhd=e2693fd4-dac1-438e-814c-7f70c064c6a0"/>
    <hyperlink ref="H111" r:id="rId422" display="http://113.160.97.58:8224/Viewer/HoaDonViewer.aspx?mhd=e2693fd4-dac1-438e-814c-7f70c064c6a0&amp;iscd=1"/>
    <hyperlink ref="I111" r:id="rId423" display="http://113.160.97.58:8224/Viewer/Downloadfile.aspx?mhd=e2693fd4-dac1-438e-814c-7f70c064c6a0"/>
    <hyperlink ref="R111" r:id="rId424" display="https://thuphi.haiphong.gov.vn:8222/tra-cuu-bien-lai-dien-tu?ma_tracuu=VRT43G5846"/>
    <hyperlink ref="G112" r:id="rId425" display="http://113.160.97.58:8224/Viewer/HoaDonViewer.aspx?mhd=b00277a5-a792-4156-98b9-885978b84a1e"/>
    <hyperlink ref="H112" r:id="rId426" display="http://113.160.97.58:8224/Viewer/HoaDonViewer.aspx?mhd=b00277a5-a792-4156-98b9-885978b84a1e&amp;iscd=1"/>
    <hyperlink ref="I112" r:id="rId427" display="http://113.160.97.58:8224/Viewer/Downloadfile.aspx?mhd=b00277a5-a792-4156-98b9-885978b84a1e"/>
    <hyperlink ref="R112" r:id="rId428" display="https://thuphi.haiphong.gov.vn:8222/tra-cuu-bien-lai-dien-tu?ma_tracuu=F1AJXQ584A"/>
    <hyperlink ref="G113" r:id="rId429" display="http://113.160.97.58:8224/Viewer/HoaDonViewer.aspx?mhd=31cb2c50-9480-409f-a702-ce045f64f459"/>
    <hyperlink ref="H113" r:id="rId430" display="http://113.160.97.58:8224/Viewer/HoaDonViewer.aspx?mhd=31cb2c50-9480-409f-a702-ce045f64f459&amp;iscd=1"/>
    <hyperlink ref="I113" r:id="rId431" display="http://113.160.97.58:8224/Viewer/Downloadfile.aspx?mhd=31cb2c50-9480-409f-a702-ce045f64f459"/>
    <hyperlink ref="R113" r:id="rId432" display="https://thuphi.haiphong.gov.vn:8222/tra-cuu-bien-lai-dien-tu?ma_tracuu=BX284YV84P"/>
    <hyperlink ref="G114" r:id="rId433" display="http://113.160.97.58:8224/Viewer/HoaDonViewer.aspx?mhd=d85acf7c-f400-4655-98c3-b8079952d636"/>
    <hyperlink ref="H114" r:id="rId434" display="http://113.160.97.58:8224/Viewer/HoaDonViewer.aspx?mhd=d85acf7c-f400-4655-98c3-b8079952d636&amp;iscd=1"/>
    <hyperlink ref="I114" r:id="rId435" display="http://113.160.97.58:8224/Viewer/Downloadfile.aspx?mhd=d85acf7c-f400-4655-98c3-b8079952d636"/>
    <hyperlink ref="R114" r:id="rId436" display="https://thuphi.haiphong.gov.vn:8222/tra-cuu-bien-lai-dien-tu?ma_tracuu=W506JVC84Y"/>
    <hyperlink ref="G115" r:id="rId437" display="http://113.160.97.58:8224/Viewer/HoaDonViewer.aspx?mhd=7d6018bc-a84c-4ad6-abd0-7ca8594379b0"/>
    <hyperlink ref="H115" r:id="rId438" display="http://113.160.97.58:8224/Viewer/HoaDonViewer.aspx?mhd=7d6018bc-a84c-4ad6-abd0-7ca8594379b0&amp;iscd=1"/>
    <hyperlink ref="I115" r:id="rId439" display="http://113.160.97.58:8224/Viewer/Downloadfile.aspx?mhd=7d6018bc-a84c-4ad6-abd0-7ca8594379b0"/>
    <hyperlink ref="R115" r:id="rId440" display="https://thuphi.haiphong.gov.vn:8222/tra-cuu-bien-lai-dien-tu?ma_tracuu=ZV2Y4QHM40"/>
    <hyperlink ref="G116" r:id="rId441" display="http://113.160.97.58:8224/Viewer/HoaDonViewer.aspx?mhd=bcc2c7a4-1b86-49ba-aefe-59c28e33b30c"/>
    <hyperlink ref="H116" r:id="rId442" display="http://113.160.97.58:8224/Viewer/HoaDonViewer.aspx?mhd=bcc2c7a4-1b86-49ba-aefe-59c28e33b30c&amp;iscd=1"/>
    <hyperlink ref="I116" r:id="rId443" display="http://113.160.97.58:8224/Viewer/Downloadfile.aspx?mhd=bcc2c7a4-1b86-49ba-aefe-59c28e33b30c"/>
    <hyperlink ref="R116" r:id="rId444" display="https://thuphi.haiphong.gov.vn:8222/tra-cuu-bien-lai-dien-tu?ma_tracuu=7VNR8KBM41"/>
    <hyperlink ref="G117" r:id="rId445" display="http://113.160.97.58:8224/Viewer/HoaDonViewer.aspx?mhd=7621c7da-9d76-4f83-bf88-6c174e3e9ef8"/>
    <hyperlink ref="H117" r:id="rId446" display="http://113.160.97.58:8224/Viewer/HoaDonViewer.aspx?mhd=7621c7da-9d76-4f83-bf88-6c174e3e9ef8&amp;iscd=1"/>
    <hyperlink ref="I117" r:id="rId447" display="http://113.160.97.58:8224/Viewer/Downloadfile.aspx?mhd=7621c7da-9d76-4f83-bf88-6c174e3e9ef8"/>
    <hyperlink ref="R117" r:id="rId448" display="https://thuphi.haiphong.gov.vn:8222/tra-cuu-bien-lai-dien-tu?ma_tracuu=M7SZ5AXG44"/>
    <hyperlink ref="G118" r:id="rId449" display="http://113.160.97.58:8224/Viewer/HoaDonViewer.aspx?mhd=8779cc83-49af-4856-8458-7ae4ab1d2dee"/>
    <hyperlink ref="H118" r:id="rId450" display="http://113.160.97.58:8224/Viewer/HoaDonViewer.aspx?mhd=8779cc83-49af-4856-8458-7ae4ab1d2dee&amp;iscd=1"/>
    <hyperlink ref="I118" r:id="rId451" display="http://113.160.97.58:8224/Viewer/Downloadfile.aspx?mhd=8779cc83-49af-4856-8458-7ae4ab1d2dee"/>
    <hyperlink ref="R118" r:id="rId452" display="https://thuphi.haiphong.gov.vn:8222/tra-cuu-bien-lai-dien-tu?ma_tracuu=2YUCKKXG4E"/>
    <hyperlink ref="G119" r:id="rId453" display="http://113.160.97.58:8224/Viewer/HoaDonViewer.aspx?mhd=238f3468-a15e-4875-b274-aef517386eeb"/>
    <hyperlink ref="H119" r:id="rId454" display="http://113.160.97.58:8224/Viewer/HoaDonViewer.aspx?mhd=238f3468-a15e-4875-b274-aef517386eeb&amp;iscd=1"/>
    <hyperlink ref="I119" r:id="rId455" display="http://113.160.97.58:8224/Viewer/Downloadfile.aspx?mhd=238f3468-a15e-4875-b274-aef517386eeb"/>
    <hyperlink ref="R119" r:id="rId456" display="https://thuphi.haiphong.gov.vn:8222/tra-cuu-bien-lai-dien-tu?ma_tracuu=XTR9F2XG46"/>
    <hyperlink ref="G120" r:id="rId457" display="http://113.160.97.58:8224/Viewer/HoaDonViewer.aspx?mhd=462fb770-96c3-4159-902d-32abdd876b5e"/>
    <hyperlink ref="H120" r:id="rId458" display="http://113.160.97.58:8224/Viewer/HoaDonViewer.aspx?mhd=462fb770-96c3-4159-902d-32abdd876b5e&amp;iscd=1"/>
    <hyperlink ref="I120" r:id="rId459" display="http://113.160.97.58:8224/Viewer/Downloadfile.aspx?mhd=462fb770-96c3-4159-902d-32abdd876b5e"/>
    <hyperlink ref="R120" r:id="rId460" display="https://thuphi.haiphong.gov.vn:8222/tra-cuu-bien-lai-dien-tu?ma_tracuu=XEY1F93G4L"/>
    <hyperlink ref="G121" r:id="rId461" display="http://113.160.97.58:8224/Viewer/HoaDonViewer.aspx?mhd=fefded5a-286f-4695-b26e-9a0f2513b3a9"/>
    <hyperlink ref="H121" r:id="rId462" display="http://113.160.97.58:8224/Viewer/HoaDonViewer.aspx?mhd=fefded5a-286f-4695-b26e-9a0f2513b3a9&amp;iscd=1"/>
    <hyperlink ref="I121" r:id="rId463" display="http://113.160.97.58:8224/Viewer/Downloadfile.aspx?mhd=fefded5a-286f-4695-b26e-9a0f2513b3a9"/>
    <hyperlink ref="R121" r:id="rId464" display="https://thuphi.haiphong.gov.vn:8222/tra-cuu-bien-lai-dien-tu?ma_tracuu=2KTI36XG4E"/>
    <hyperlink ref="G122" r:id="rId465" display="http://113.160.97.58:8224/Viewer/HoaDonViewer.aspx?mhd=7b41ed30-29e3-45fe-8b78-ac2e0fb0a307"/>
    <hyperlink ref="H122" r:id="rId466" display="http://113.160.97.58:8224/Viewer/HoaDonViewer.aspx?mhd=7b41ed30-29e3-45fe-8b78-ac2e0fb0a307&amp;iscd=1"/>
    <hyperlink ref="I122" r:id="rId467" display="http://113.160.97.58:8224/Viewer/Downloadfile.aspx?mhd=7b41ed30-29e3-45fe-8b78-ac2e0fb0a307"/>
    <hyperlink ref="R122" r:id="rId468" display="https://thuphi.haiphong.gov.vn:8222/tra-cuu-bien-lai-dien-tu?ma_tracuu=DJBI2W3G4S"/>
    <hyperlink ref="G123" r:id="rId469" display="http://113.160.97.58:8224/Viewer/HoaDonViewer.aspx?mhd=d28fac4f-86dc-453f-b820-b0b41b1990b4"/>
    <hyperlink ref="H123" r:id="rId470" display="http://113.160.97.58:8224/Viewer/HoaDonViewer.aspx?mhd=d28fac4f-86dc-453f-b820-b0b41b1990b4&amp;iscd=1"/>
    <hyperlink ref="I123" r:id="rId471" display="http://113.160.97.58:8224/Viewer/Downloadfile.aspx?mhd=d28fac4f-86dc-453f-b820-b0b41b1990b4"/>
    <hyperlink ref="R123" r:id="rId472" display="https://thuphi.haiphong.gov.vn:8222/tra-cuu-bien-lai-dien-tu?ma_tracuu=DPPJETAT4Y"/>
    <hyperlink ref="G124" r:id="rId473" display="http://113.160.97.58:8224/Viewer/HoaDonViewer.aspx?mhd=5d8cab4a-6458-410e-91fc-466358810ed2"/>
    <hyperlink ref="H124" r:id="rId474" display="http://113.160.97.58:8224/Viewer/HoaDonViewer.aspx?mhd=5d8cab4a-6458-410e-91fc-466358810ed2&amp;iscd=1"/>
    <hyperlink ref="I124" r:id="rId475" display="http://113.160.97.58:8224/Viewer/Downloadfile.aspx?mhd=5d8cab4a-6458-410e-91fc-466358810ed2"/>
    <hyperlink ref="R124" r:id="rId476" display="https://thuphi.haiphong.gov.vn:8222/tra-cuu-bien-lai-dien-tu?ma_tracuu=PI4GHQAT4P"/>
    <hyperlink ref="G125" r:id="rId477" display="http://113.160.97.58:8224/Viewer/HoaDonViewer.aspx?mhd=6eb91a14-6abf-4e54-8df8-04f3d3f50c9f"/>
    <hyperlink ref="H125" r:id="rId478" display="http://113.160.97.58:8224/Viewer/HoaDonViewer.aspx?mhd=6eb91a14-6abf-4e54-8df8-04f3d3f50c9f&amp;iscd=1"/>
    <hyperlink ref="I125" r:id="rId479" display="http://113.160.97.58:8224/Viewer/Downloadfile.aspx?mhd=6eb91a14-6abf-4e54-8df8-04f3d3f50c9f"/>
    <hyperlink ref="R125" r:id="rId480" display="https://thuphi.haiphong.gov.vn:8222/tra-cuu-bien-lai-dien-tu?ma_tracuu=W7SM3FQT4G"/>
    <hyperlink ref="G126" r:id="rId481" display="http://113.160.97.58:8224/Viewer/HoaDonViewer.aspx?mhd=f22b3e0c-ae4e-46c5-a936-e42a6f5f242f"/>
    <hyperlink ref="H126" r:id="rId482" display="http://113.160.97.58:8224/Viewer/HoaDonViewer.aspx?mhd=f22b3e0c-ae4e-46c5-a936-e42a6f5f242f&amp;iscd=1"/>
    <hyperlink ref="I126" r:id="rId483" display="http://113.160.97.58:8224/Viewer/Downloadfile.aspx?mhd=f22b3e0c-ae4e-46c5-a936-e42a6f5f242f"/>
    <hyperlink ref="R126" r:id="rId484" display="https://thuphi.haiphong.gov.vn:8222/tra-cuu-bien-lai-dien-tu?ma_tracuu=X03DS81T4C"/>
    <hyperlink ref="G127" r:id="rId485" display="http://113.160.97.58:8224/Viewer/HoaDonViewer.aspx?mhd=77eabce0-2924-468a-9716-43f258b8739e"/>
    <hyperlink ref="H127" r:id="rId486" display="http://113.160.97.58:8224/Viewer/HoaDonViewer.aspx?mhd=77eabce0-2924-468a-9716-43f258b8739e&amp;iscd=1"/>
    <hyperlink ref="I127" r:id="rId487" display="http://113.160.97.58:8224/Viewer/Downloadfile.aspx?mhd=77eabce0-2924-468a-9716-43f258b8739e"/>
    <hyperlink ref="R127" r:id="rId488" display="https://thuphi.haiphong.gov.vn:8222/tra-cuu-bien-lai-dien-tu?ma_tracuu=FY5YNVD54F"/>
    <hyperlink ref="G128" r:id="rId489" display="http://113.160.97.58:8224/Viewer/HoaDonViewer.aspx?mhd=82070aaa-9fdf-4622-8f9c-5d16138c92c3"/>
    <hyperlink ref="H128" r:id="rId490" display="http://113.160.97.58:8224/Viewer/HoaDonViewer.aspx?mhd=82070aaa-9fdf-4622-8f9c-5d16138c92c3&amp;iscd=1"/>
    <hyperlink ref="I128" r:id="rId491" display="http://113.160.97.58:8224/Viewer/Downloadfile.aspx?mhd=82070aaa-9fdf-4622-8f9c-5d16138c92c3"/>
    <hyperlink ref="R128" r:id="rId492" display="https://thuphi.haiphong.gov.vn:8222/tra-cuu-bien-lai-dien-tu?ma_tracuu=2BBFD41Z4H"/>
    <hyperlink ref="G129" r:id="rId493" display="http://113.160.97.58:8224/Viewer/HoaDonViewer.aspx?mhd=91269641-46cb-4537-a042-a9baea59c9bd"/>
    <hyperlink ref="H129" r:id="rId494" display="http://113.160.97.58:8224/Viewer/HoaDonViewer.aspx?mhd=91269641-46cb-4537-a042-a9baea59c9bd&amp;iscd=1"/>
    <hyperlink ref="I129" r:id="rId495" display="http://113.160.97.58:8224/Viewer/Downloadfile.aspx?mhd=91269641-46cb-4537-a042-a9baea59c9bd"/>
    <hyperlink ref="R129" r:id="rId496" display="https://thuphi.haiphong.gov.vn:8222/tra-cuu-bien-lai-dien-tu?ma_tracuu=30WA721Z4V"/>
    <hyperlink ref="G130" r:id="rId497" display="http://113.160.97.58:8224/Viewer/HoaDonViewer.aspx?mhd=2b01ab13-a221-42ff-afef-3b56053736a8"/>
    <hyperlink ref="H130" r:id="rId498" display="http://113.160.97.58:8224/Viewer/HoaDonViewer.aspx?mhd=2b01ab13-a221-42ff-afef-3b56053736a8&amp;iscd=1"/>
    <hyperlink ref="I130" r:id="rId499" display="http://113.160.97.58:8224/Viewer/Downloadfile.aspx?mhd=2b01ab13-a221-42ff-afef-3b56053736a8"/>
    <hyperlink ref="R130" r:id="rId500" display="https://thuphi.haiphong.gov.vn:8222/tra-cuu-bien-lai-dien-tu?ma_tracuu=YG6KLF1Z49"/>
    <hyperlink ref="G131" r:id="rId501" display="http://113.160.97.58:8224/Viewer/HoaDonViewer.aspx?mhd=3cd51a2e-c21b-4713-9a02-a3274345c9b4"/>
    <hyperlink ref="H131" r:id="rId502" display="http://113.160.97.58:8224/Viewer/HoaDonViewer.aspx?mhd=3cd51a2e-c21b-4713-9a02-a3274345c9b4&amp;iscd=1"/>
    <hyperlink ref="I131" r:id="rId503" display="http://113.160.97.58:8224/Viewer/Downloadfile.aspx?mhd=3cd51a2e-c21b-4713-9a02-a3274345c9b4"/>
    <hyperlink ref="R131" r:id="rId504" display="https://thuphi.haiphong.gov.vn:8222/tra-cuu-bien-lai-dien-tu?ma_tracuu=9J2117PA4Y"/>
    <hyperlink ref="G132" r:id="rId505" display="http://113.160.97.58:8224/Viewer/HoaDonViewer.aspx?mhd=dda91759-37fd-407b-93eb-372506032b74"/>
    <hyperlink ref="H132" r:id="rId506" display="http://113.160.97.58:8224/Viewer/HoaDonViewer.aspx?mhd=dda91759-37fd-407b-93eb-372506032b74&amp;iscd=1"/>
    <hyperlink ref="I132" r:id="rId507" display="http://113.160.97.58:8224/Viewer/Downloadfile.aspx?mhd=dda91759-37fd-407b-93eb-372506032b74"/>
    <hyperlink ref="R132" r:id="rId508" display="https://thuphi.haiphong.gov.vn:8222/tra-cuu-bien-lai-dien-tu?ma_tracuu=MNTFUMBA4X"/>
    <hyperlink ref="G133" r:id="rId509" display="http://113.160.97.58:8224/Viewer/HoaDonViewer.aspx?mhd=b17ea05a-0e17-4406-bc00-de85c87bf83a"/>
    <hyperlink ref="H133" r:id="rId510" display="http://113.160.97.58:8224/Viewer/HoaDonViewer.aspx?mhd=b17ea05a-0e17-4406-bc00-de85c87bf83a&amp;iscd=1"/>
    <hyperlink ref="I133" r:id="rId511" display="http://113.160.97.58:8224/Viewer/Downloadfile.aspx?mhd=b17ea05a-0e17-4406-bc00-de85c87bf83a"/>
    <hyperlink ref="R133" r:id="rId512" display="https://thuphi.haiphong.gov.vn:8222/tra-cuu-bien-lai-dien-tu?ma_tracuu=N70N5KTA4I"/>
    <hyperlink ref="G134" r:id="rId513" display="http://113.160.97.58:8224/Viewer/HoaDonViewer.aspx?mhd=6c17e79d-c40a-4cf8-9d12-e23e4091bb7c"/>
    <hyperlink ref="H134" r:id="rId514" display="http://113.160.97.58:8224/Viewer/HoaDonViewer.aspx?mhd=6c17e79d-c40a-4cf8-9d12-e23e4091bb7c&amp;iscd=1"/>
    <hyperlink ref="I134" r:id="rId515" display="http://113.160.97.58:8224/Viewer/Downloadfile.aspx?mhd=6c17e79d-c40a-4cf8-9d12-e23e4091bb7c"/>
    <hyperlink ref="R134" r:id="rId516" display="https://thuphi.haiphong.gov.vn:8222/tra-cuu-bien-lai-dien-tu?ma_tracuu=Q1C0E0RA4M"/>
    <hyperlink ref="G135" r:id="rId517" display="http://113.160.97.58:8224/Viewer/HoaDonViewer.aspx?mhd=95836ee9-e0c6-458e-bd14-06d7cfa355b1"/>
    <hyperlink ref="H135" r:id="rId518" display="http://113.160.97.58:8224/Viewer/HoaDonViewer.aspx?mhd=95836ee9-e0c6-458e-bd14-06d7cfa355b1&amp;iscd=1"/>
    <hyperlink ref="I135" r:id="rId519" display="http://113.160.97.58:8224/Viewer/Downloadfile.aspx?mhd=95836ee9-e0c6-458e-bd14-06d7cfa355b1"/>
    <hyperlink ref="R135" r:id="rId520" display="https://thuphi.haiphong.gov.vn:8222/tra-cuu-bien-lai-dien-tu?ma_tracuu=4JFD6SK14B"/>
    <hyperlink ref="G136" r:id="rId521" display="http://113.160.97.58:8224/Viewer/HoaDonViewer.aspx?mhd=2150e320-d11d-452e-b342-50adf667e26d"/>
    <hyperlink ref="H136" r:id="rId522" display="http://113.160.97.58:8224/Viewer/HoaDonViewer.aspx?mhd=2150e320-d11d-452e-b342-50adf667e26d&amp;iscd=1"/>
    <hyperlink ref="I136" r:id="rId523" display="http://113.160.97.58:8224/Viewer/Downloadfile.aspx?mhd=2150e320-d11d-452e-b342-50adf667e26d"/>
    <hyperlink ref="R136" r:id="rId524" display="https://thuphi.haiphong.gov.vn:8222/tra-cuu-bien-lai-dien-tu?ma_tracuu=8SSIN5E14I"/>
    <hyperlink ref="G137" r:id="rId525" display="http://113.160.97.58:8224/Viewer/HoaDonViewer.aspx?mhd=19c0b8df-ceb0-4589-86f8-b60f251920ab"/>
    <hyperlink ref="H137" r:id="rId526" display="http://113.160.97.58:8224/Viewer/HoaDonViewer.aspx?mhd=19c0b8df-ceb0-4589-86f8-b60f251920ab&amp;iscd=1"/>
    <hyperlink ref="I137" r:id="rId527" display="http://113.160.97.58:8224/Viewer/Downloadfile.aspx?mhd=19c0b8df-ceb0-4589-86f8-b60f251920ab"/>
    <hyperlink ref="R137" r:id="rId528" display="https://thuphi.haiphong.gov.vn:8222/tra-cuu-bien-lai-dien-tu?ma_tracuu=XLW8ZG0PCK"/>
    <hyperlink ref="G138" r:id="rId529" display="http://113.160.97.58:8224/Viewer/HoaDonViewer.aspx?mhd=4f8f5d29-ae64-4e10-aaa3-591a4c2fc2f6"/>
    <hyperlink ref="H138" r:id="rId530" display="http://113.160.97.58:8224/Viewer/HoaDonViewer.aspx?mhd=4f8f5d29-ae64-4e10-aaa3-591a4c2fc2f6&amp;iscd=1"/>
    <hyperlink ref="I138" r:id="rId531" display="http://113.160.97.58:8224/Viewer/Downloadfile.aspx?mhd=4f8f5d29-ae64-4e10-aaa3-591a4c2fc2f6"/>
    <hyperlink ref="R138" r:id="rId532" display="https://thuphi.haiphong.gov.vn:8222/tra-cuu-bien-lai-dien-tu?ma_tracuu=6W3CZZ0PC8"/>
    <hyperlink ref="G139" r:id="rId533" display="http://113.160.97.58:8224/Viewer/HoaDonViewer.aspx?mhd=1022ee17-a56e-4d6e-8173-0978667f3531"/>
    <hyperlink ref="H139" r:id="rId534" display="http://113.160.97.58:8224/Viewer/HoaDonViewer.aspx?mhd=1022ee17-a56e-4d6e-8173-0978667f3531&amp;iscd=1"/>
    <hyperlink ref="I139" r:id="rId535" display="http://113.160.97.58:8224/Viewer/Downloadfile.aspx?mhd=1022ee17-a56e-4d6e-8173-0978667f3531"/>
    <hyperlink ref="R139" r:id="rId536" display="https://thuphi.haiphong.gov.vn:8222/tra-cuu-bien-lai-dien-tu?ma_tracuu=HSWCULAJC2"/>
    <hyperlink ref="G140" r:id="rId537" display="http://113.160.97.58:8224/Viewer/HoaDonViewer.aspx?mhd=1021ccfb-72bf-439b-aaa0-fc4185def5a8"/>
    <hyperlink ref="H140" r:id="rId538" display="http://113.160.97.58:8224/Viewer/HoaDonViewer.aspx?mhd=1021ccfb-72bf-439b-aaa0-fc4185def5a8&amp;iscd=1"/>
    <hyperlink ref="I140" r:id="rId539" display="http://113.160.97.58:8224/Viewer/Downloadfile.aspx?mhd=1021ccfb-72bf-439b-aaa0-fc4185def5a8"/>
    <hyperlink ref="R140" r:id="rId540" display="https://thuphi.haiphong.gov.vn:8222/tra-cuu-bien-lai-dien-tu?ma_tracuu=U5AF3K27C3"/>
    <hyperlink ref="G141" r:id="rId541" display="http://113.160.97.58:8224/Viewer/HoaDonViewer.aspx?mhd=57cbf090-9df2-4167-a105-b6d734132e27"/>
    <hyperlink ref="H141" r:id="rId542" display="http://113.160.97.58:8224/Viewer/HoaDonViewer.aspx?mhd=57cbf090-9df2-4167-a105-b6d734132e27&amp;iscd=1"/>
    <hyperlink ref="I141" r:id="rId543" display="http://113.160.97.58:8224/Viewer/Downloadfile.aspx?mhd=57cbf090-9df2-4167-a105-b6d734132e27"/>
    <hyperlink ref="R141" r:id="rId544" display="https://thuphi.haiphong.gov.vn:8222/tra-cuu-bien-lai-dien-tu?ma_tracuu=7IWP6SGHCM"/>
    <hyperlink ref="G142" r:id="rId545" display="http://113.160.97.58:8224/Viewer/HoaDonViewer.aspx?mhd=4308d4a5-eeba-4290-8332-23875a649a16"/>
    <hyperlink ref="H142" r:id="rId546" display="http://113.160.97.58:8224/Viewer/HoaDonViewer.aspx?mhd=4308d4a5-eeba-4290-8332-23875a649a16&amp;iscd=1"/>
    <hyperlink ref="I142" r:id="rId547" display="http://113.160.97.58:8224/Viewer/Downloadfile.aspx?mhd=4308d4a5-eeba-4290-8332-23875a649a16"/>
    <hyperlink ref="R142" r:id="rId548" display="https://thuphi.haiphong.gov.vn:8222/tra-cuu-bien-lai-dien-tu?ma_tracuu=TDVZ0DBHCB"/>
    <hyperlink ref="G143" r:id="rId549" display="http://113.160.97.58:8224/Viewer/HoaDonViewer.aspx?mhd=d5c11100-0197-4ffb-92c3-a2c0578840ec"/>
    <hyperlink ref="H143" r:id="rId550" display="http://113.160.97.58:8224/Viewer/HoaDonViewer.aspx?mhd=d5c11100-0197-4ffb-92c3-a2c0578840ec&amp;iscd=1"/>
    <hyperlink ref="I143" r:id="rId551" display="http://113.160.97.58:8224/Viewer/Downloadfile.aspx?mhd=d5c11100-0197-4ffb-92c3-a2c0578840ec"/>
    <hyperlink ref="R143" r:id="rId552" display="https://thuphi.haiphong.gov.vn:8222/tra-cuu-bien-lai-dien-tu?ma_tracuu=ABQ4YWGHCA"/>
    <hyperlink ref="G144" r:id="rId553" display="http://113.160.97.58:8224/Viewer/HoaDonViewer.aspx?mhd=5ef07cf0-0918-4ba6-8132-026619c7b443"/>
    <hyperlink ref="H144" r:id="rId554" display="http://113.160.97.58:8224/Viewer/HoaDonViewer.aspx?mhd=5ef07cf0-0918-4ba6-8132-026619c7b443&amp;iscd=1"/>
    <hyperlink ref="I144" r:id="rId555" display="http://113.160.97.58:8224/Viewer/Downloadfile.aspx?mhd=5ef07cf0-0918-4ba6-8132-026619c7b443"/>
    <hyperlink ref="R144" r:id="rId556" display="https://thuphi.haiphong.gov.vn:8222/tra-cuu-bien-lai-dien-tu?ma_tracuu=PSAM74BHCL"/>
    <hyperlink ref="G145" r:id="rId557" display="http://113.160.97.58:8224/Viewer/HoaDonViewer.aspx?mhd=4321550f-10ec-47a0-ba89-a9e87ba834ea"/>
    <hyperlink ref="H145" r:id="rId558" display="http://113.160.97.58:8224/Viewer/HoaDonViewer.aspx?mhd=4321550f-10ec-47a0-ba89-a9e87ba834ea&amp;iscd=1"/>
    <hyperlink ref="I145" r:id="rId559" display="http://113.160.97.58:8224/Viewer/Downloadfile.aspx?mhd=4321550f-10ec-47a0-ba89-a9e87ba834ea"/>
    <hyperlink ref="R145" r:id="rId560" display="https://thuphi.haiphong.gov.vn:8222/tra-cuu-bien-lai-dien-tu?ma_tracuu=UFN9QSBHC1"/>
    <hyperlink ref="G146" r:id="rId561" display="http://113.160.97.58:8224/Viewer/HoaDonViewer.aspx?mhd=0c190389-0577-4fc7-b1ed-4330e430ffa3"/>
    <hyperlink ref="H146" r:id="rId562" display="http://113.160.97.58:8224/Viewer/HoaDonViewer.aspx?mhd=0c190389-0577-4fc7-b1ed-4330e430ffa3&amp;iscd=1"/>
    <hyperlink ref="I146" r:id="rId563" display="http://113.160.97.58:8224/Viewer/Downloadfile.aspx?mhd=0c190389-0577-4fc7-b1ed-4330e430ffa3"/>
    <hyperlink ref="R146" r:id="rId564" display="https://thuphi.haiphong.gov.vn:8222/tra-cuu-bien-lai-dien-tu?ma_tracuu=S75KV0GHCC"/>
    <hyperlink ref="G147" r:id="rId565" display="http://113.160.97.58:8224/Viewer/HoaDonViewer.aspx?mhd=727fae9f-68a0-40cb-87b5-8dccb25739c7"/>
    <hyperlink ref="H147" r:id="rId566" display="http://113.160.97.58:8224/Viewer/HoaDonViewer.aspx?mhd=727fae9f-68a0-40cb-87b5-8dccb25739c7&amp;iscd=1"/>
    <hyperlink ref="I147" r:id="rId567" display="http://113.160.97.58:8224/Viewer/Downloadfile.aspx?mhd=727fae9f-68a0-40cb-87b5-8dccb25739c7"/>
    <hyperlink ref="R147" r:id="rId568" display="https://thuphi.haiphong.gov.vn:8222/tra-cuu-bien-lai-dien-tu?ma_tracuu=CCJ17ZVHCM"/>
    <hyperlink ref="G148" r:id="rId569" display="http://113.160.97.58:8224/Viewer/HoaDonViewer.aspx?mhd=b8daee2a-5f74-4414-b712-6c0e902ebac1"/>
    <hyperlink ref="H148" r:id="rId570" display="http://113.160.97.58:8224/Viewer/HoaDonViewer.aspx?mhd=b8daee2a-5f74-4414-b712-6c0e902ebac1&amp;iscd=1"/>
    <hyperlink ref="I148" r:id="rId571" display="http://113.160.97.58:8224/Viewer/Downloadfile.aspx?mhd=b8daee2a-5f74-4414-b712-6c0e902ebac1"/>
    <hyperlink ref="R148" r:id="rId572" display="https://thuphi.haiphong.gov.vn:8222/tra-cuu-bien-lai-dien-tu?ma_tracuu=I4G6PI4HC0"/>
    <hyperlink ref="G149" r:id="rId573" display="http://113.160.97.58:8224/Viewer/HoaDonViewer.aspx?mhd=90676658-6a41-4021-9566-a6efc500c71c"/>
    <hyperlink ref="H149" r:id="rId574" display="http://113.160.97.58:8224/Viewer/HoaDonViewer.aspx?mhd=90676658-6a41-4021-9566-a6efc500c71c&amp;iscd=1"/>
    <hyperlink ref="I149" r:id="rId575" display="http://113.160.97.58:8224/Viewer/Downloadfile.aspx?mhd=90676658-6a41-4021-9566-a6efc500c71c"/>
    <hyperlink ref="R149" r:id="rId576" display="https://thuphi.haiphong.gov.vn:8222/tra-cuu-bien-lai-dien-tu?ma_tracuu=PRCZAS5YCV"/>
    <hyperlink ref="G150" r:id="rId577" display="http://113.160.97.58:8224/Viewer/HoaDonViewer.aspx?mhd=56fc423d-d627-442c-9c43-9a1c097aeddf"/>
    <hyperlink ref="H150" r:id="rId578" display="http://113.160.97.58:8224/Viewer/HoaDonViewer.aspx?mhd=56fc423d-d627-442c-9c43-9a1c097aeddf&amp;iscd=1"/>
    <hyperlink ref="I150" r:id="rId579" display="http://113.160.97.58:8224/Viewer/Downloadfile.aspx?mhd=56fc423d-d627-442c-9c43-9a1c097aeddf"/>
    <hyperlink ref="R150" r:id="rId580" display="https://thuphi.haiphong.gov.vn:8222/tra-cuu-bien-lai-dien-tu?ma_tracuu=THT9QQ4ECL"/>
    <hyperlink ref="G151" r:id="rId581" display="http://113.160.97.58:8224/Viewer/HoaDonViewer.aspx?mhd=adeee0ba-daef-4302-ba28-e002d00916a6"/>
    <hyperlink ref="H151" r:id="rId582" display="http://113.160.97.58:8224/Viewer/HoaDonViewer.aspx?mhd=adeee0ba-daef-4302-ba28-e002d00916a6&amp;iscd=1"/>
    <hyperlink ref="I151" r:id="rId583" display="http://113.160.97.58:8224/Viewer/Downloadfile.aspx?mhd=adeee0ba-daef-4302-ba28-e002d00916a6"/>
    <hyperlink ref="R151" r:id="rId584" display="https://thuphi.haiphong.gov.vn:8222/tra-cuu-bien-lai-dien-tu?ma_tracuu=GP068BCECH"/>
    <hyperlink ref="G152" r:id="rId585" display="http://113.160.97.58:8224/Viewer/HoaDonViewer.aspx?mhd=129f3fa5-8585-46b0-86d9-e280969f7d92"/>
    <hyperlink ref="H152" r:id="rId586" display="http://113.160.97.58:8224/Viewer/HoaDonViewer.aspx?mhd=129f3fa5-8585-46b0-86d9-e280969f7d92&amp;iscd=1"/>
    <hyperlink ref="I152" r:id="rId587" display="http://113.160.97.58:8224/Viewer/Downloadfile.aspx?mhd=129f3fa5-8585-46b0-86d9-e280969f7d92"/>
    <hyperlink ref="R152" r:id="rId588" display="https://thuphi.haiphong.gov.vn:8222/tra-cuu-bien-lai-dien-tu?ma_tracuu=80TI1I3EC9"/>
    <hyperlink ref="G153" r:id="rId589" display="http://113.160.97.58:8224/Viewer/HoaDonViewer.aspx?mhd=10640380-8dee-4e2d-a7ce-ce2715372236"/>
    <hyperlink ref="H153" r:id="rId590" display="http://113.160.97.58:8224/Viewer/HoaDonViewer.aspx?mhd=10640380-8dee-4e2d-a7ce-ce2715372236&amp;iscd=1"/>
    <hyperlink ref="I153" r:id="rId591" display="http://113.160.97.58:8224/Viewer/Downloadfile.aspx?mhd=10640380-8dee-4e2d-a7ce-ce2715372236"/>
    <hyperlink ref="R153" r:id="rId592" display="https://thuphi.haiphong.gov.vn:8222/tra-cuu-bien-lai-dien-tu?ma_tracuu=S097R7M0DL"/>
    <hyperlink ref="G154" r:id="rId593" display="http://113.160.97.58:8224/Viewer/HoaDonViewer.aspx?mhd=54bb1548-0dcc-48b3-92e7-efb679dbdb20"/>
    <hyperlink ref="H154" r:id="rId594" display="http://113.160.97.58:8224/Viewer/HoaDonViewer.aspx?mhd=54bb1548-0dcc-48b3-92e7-efb679dbdb20&amp;iscd=1"/>
    <hyperlink ref="I154" r:id="rId595" display="http://113.160.97.58:8224/Viewer/Downloadfile.aspx?mhd=54bb1548-0dcc-48b3-92e7-efb679dbdb20"/>
    <hyperlink ref="R154" r:id="rId596" display="https://thuphi.haiphong.gov.vn:8222/tra-cuu-bien-lai-dien-tu?ma_tracuu=829GKC80DC"/>
    <hyperlink ref="G155" r:id="rId597" display="http://113.160.97.58:8224/Viewer/HoaDonViewer.aspx?mhd=1eefcfca-100c-46b3-87eb-d50834c2cd05"/>
    <hyperlink ref="H155" r:id="rId598" display="http://113.160.97.58:8224/Viewer/HoaDonViewer.aspx?mhd=1eefcfca-100c-46b3-87eb-d50834c2cd05&amp;iscd=1"/>
    <hyperlink ref="I155" r:id="rId599" display="http://113.160.97.58:8224/Viewer/Downloadfile.aspx?mhd=1eefcfca-100c-46b3-87eb-d50834c2cd05"/>
    <hyperlink ref="R155" r:id="rId600" display="https://thuphi.haiphong.gov.vn:8222/tra-cuu-bien-lai-dien-tu?ma_tracuu=1MILHV80D3"/>
    <hyperlink ref="G156" r:id="rId601" display="http://113.160.97.58:8224/Viewer/HoaDonViewer.aspx?mhd=d288b629-f731-40ef-83ad-eb37ae0a5e65"/>
    <hyperlink ref="H156" r:id="rId602" display="http://113.160.97.58:8224/Viewer/HoaDonViewer.aspx?mhd=d288b629-f731-40ef-83ad-eb37ae0a5e65&amp;iscd=1"/>
    <hyperlink ref="I156" r:id="rId603" display="http://113.160.97.58:8224/Viewer/Downloadfile.aspx?mhd=d288b629-f731-40ef-83ad-eb37ae0a5e65"/>
    <hyperlink ref="R156" r:id="rId604" display="https://thuphi.haiphong.gov.vn:8222/tra-cuu-bien-lai-dien-tu?ma_tracuu=VG58KBD0DY"/>
    <hyperlink ref="G157" r:id="rId605" display="http://113.160.97.58:8224/Viewer/HoaDonViewer.aspx?mhd=3991588d-0dbb-4ad6-88bb-5a9476a6a414"/>
    <hyperlink ref="H157" r:id="rId606" display="http://113.160.97.58:8224/Viewer/HoaDonViewer.aspx?mhd=3991588d-0dbb-4ad6-88bb-5a9476a6a414&amp;iscd=1"/>
    <hyperlink ref="I157" r:id="rId607" display="http://113.160.97.58:8224/Viewer/Downloadfile.aspx?mhd=3991588d-0dbb-4ad6-88bb-5a9476a6a414"/>
    <hyperlink ref="R157" r:id="rId608" display="https://thuphi.haiphong.gov.vn:8222/tra-cuu-bien-lai-dien-tu?ma_tracuu=MQPARRC0D8"/>
    <hyperlink ref="G158" r:id="rId609" display="http://113.160.97.58:8224/Viewer/HoaDonViewer.aspx?mhd=382662b2-2a78-4e97-91b6-8373923fb173"/>
    <hyperlink ref="H158" r:id="rId610" display="http://113.160.97.58:8224/Viewer/HoaDonViewer.aspx?mhd=382662b2-2a78-4e97-91b6-8373923fb173&amp;iscd=1"/>
    <hyperlink ref="I158" r:id="rId611" display="http://113.160.97.58:8224/Viewer/Downloadfile.aspx?mhd=382662b2-2a78-4e97-91b6-8373923fb173"/>
    <hyperlink ref="R158" r:id="rId612" display="https://thuphi.haiphong.gov.vn:8222/tra-cuu-bien-lai-dien-tu?ma_tracuu=L7Z69TC0DM"/>
    <hyperlink ref="G159" r:id="rId613" display="http://113.160.97.58:8224/Viewer/HoaDonViewer.aspx?mhd=6db8e244-68b1-4a92-8642-ce809dc0a8cd"/>
    <hyperlink ref="H159" r:id="rId614" display="http://113.160.97.58:8224/Viewer/HoaDonViewer.aspx?mhd=6db8e244-68b1-4a92-8642-ce809dc0a8cd&amp;iscd=1"/>
    <hyperlink ref="I159" r:id="rId615" display="http://113.160.97.58:8224/Viewer/Downloadfile.aspx?mhd=6db8e244-68b1-4a92-8642-ce809dc0a8cd"/>
    <hyperlink ref="R159" r:id="rId616" display="https://thuphi.haiphong.gov.vn:8222/tra-cuu-bien-lai-dien-tu?ma_tracuu=NJDVGFD0DX"/>
    <hyperlink ref="G160" r:id="rId617" display="http://113.160.97.58:8224/Viewer/HoaDonViewer.aspx?mhd=df5c133e-d6b5-4763-9297-6ee9d808ff7c"/>
    <hyperlink ref="H160" r:id="rId618" display="http://113.160.97.58:8224/Viewer/HoaDonViewer.aspx?mhd=df5c133e-d6b5-4763-9297-6ee9d808ff7c&amp;iscd=1"/>
    <hyperlink ref="I160" r:id="rId619" display="http://113.160.97.58:8224/Viewer/Downloadfile.aspx?mhd=df5c133e-d6b5-4763-9297-6ee9d808ff7c"/>
    <hyperlink ref="R160" r:id="rId620" display="https://thuphi.haiphong.gov.vn:8222/tra-cuu-bien-lai-dien-tu?ma_tracuu=7G3XNYD0DF"/>
    <hyperlink ref="G161" r:id="rId621" display="http://113.160.97.58:8224/Viewer/HoaDonViewer.aspx?mhd=06985f6f-f9ee-4dd7-a21f-091ab0f061a8"/>
    <hyperlink ref="H161" r:id="rId622" display="http://113.160.97.58:8224/Viewer/HoaDonViewer.aspx?mhd=06985f6f-f9ee-4dd7-a21f-091ab0f061a8&amp;iscd=1"/>
    <hyperlink ref="I161" r:id="rId623" display="http://113.160.97.58:8224/Viewer/Downloadfile.aspx?mhd=06985f6f-f9ee-4dd7-a21f-091ab0f061a8"/>
    <hyperlink ref="R161" r:id="rId624" display="https://thuphi.haiphong.gov.vn:8222/tra-cuu-bien-lai-dien-tu?ma_tracuu=QEQWP9E0DV"/>
    <hyperlink ref="G162" r:id="rId625" display="http://113.160.97.58:8224/Viewer/HoaDonViewer.aspx?mhd=9f9a837c-258b-4916-83b8-c2f3e238a324"/>
    <hyperlink ref="H162" r:id="rId626" display="http://113.160.97.58:8224/Viewer/HoaDonViewer.aspx?mhd=9f9a837c-258b-4916-83b8-c2f3e238a324&amp;iscd=1"/>
    <hyperlink ref="I162" r:id="rId627" display="http://113.160.97.58:8224/Viewer/Downloadfile.aspx?mhd=9f9a837c-258b-4916-83b8-c2f3e238a324"/>
    <hyperlink ref="R162" r:id="rId628" display="https://thuphi.haiphong.gov.vn:8222/tra-cuu-bien-lai-dien-tu?ma_tracuu=Y7L5MED0DD"/>
    <hyperlink ref="G163" r:id="rId629" display="http://113.160.97.58:8224/Viewer/HoaDonViewer.aspx?mhd=f6d30ccb-80c4-4b3e-823a-9f6f02d9bbc3"/>
    <hyperlink ref="H163" r:id="rId630" display="http://113.160.97.58:8224/Viewer/HoaDonViewer.aspx?mhd=f6d30ccb-80c4-4b3e-823a-9f6f02d9bbc3&amp;iscd=1"/>
    <hyperlink ref="I163" r:id="rId631" display="http://113.160.97.58:8224/Viewer/Downloadfile.aspx?mhd=f6d30ccb-80c4-4b3e-823a-9f6f02d9bbc3"/>
    <hyperlink ref="R163" r:id="rId632" display="https://thuphi.haiphong.gov.vn:8222/tra-cuu-bien-lai-dien-tu?ma_tracuu=F0RXUWV9D8"/>
    <hyperlink ref="G164" r:id="rId633" display="http://113.160.97.58:8224/Viewer/HoaDonViewer.aspx?mhd=2f3ba930-eb97-4158-ba0c-d46a545cb69a"/>
    <hyperlink ref="H164" r:id="rId634" display="http://113.160.97.58:8224/Viewer/HoaDonViewer.aspx?mhd=2f3ba930-eb97-4158-ba0c-d46a545cb69a&amp;iscd=1"/>
    <hyperlink ref="I164" r:id="rId635" display="http://113.160.97.58:8224/Viewer/Downloadfile.aspx?mhd=2f3ba930-eb97-4158-ba0c-d46a545cb69a"/>
    <hyperlink ref="R164" r:id="rId636" display="https://thuphi.haiphong.gov.vn:8222/tra-cuu-bien-lai-dien-tu?ma_tracuu=CNYJSYHIDM"/>
    <hyperlink ref="G165" r:id="rId637" display="http://113.160.97.58:8224/Viewer/HoaDonViewer.aspx?mhd=e2232d2e-4b2e-431b-9286-0e255cb2e189"/>
    <hyperlink ref="H165" r:id="rId638" display="http://113.160.97.58:8224/Viewer/HoaDonViewer.aspx?mhd=e2232d2e-4b2e-431b-9286-0e255cb2e189&amp;iscd=1"/>
    <hyperlink ref="I165" r:id="rId639" display="http://113.160.97.58:8224/Viewer/Downloadfile.aspx?mhd=e2232d2e-4b2e-431b-9286-0e255cb2e189"/>
    <hyperlink ref="R165" r:id="rId640" display="https://thuphi.haiphong.gov.vn:8222/tra-cuu-bien-lai-dien-tu?ma_tracuu=65V5P6BID1"/>
    <hyperlink ref="G166" r:id="rId641" display="http://113.160.97.58:8224/Viewer/HoaDonViewer.aspx?mhd=b85689bd-9229-422d-a2c2-d21649007759"/>
    <hyperlink ref="H166" r:id="rId642" display="http://113.160.97.58:8224/Viewer/HoaDonViewer.aspx?mhd=b85689bd-9229-422d-a2c2-d21649007759&amp;iscd=1"/>
    <hyperlink ref="I166" r:id="rId643" display="http://113.160.97.58:8224/Viewer/Downloadfile.aspx?mhd=b85689bd-9229-422d-a2c2-d21649007759"/>
    <hyperlink ref="R166" r:id="rId644" display="https://thuphi.haiphong.gov.vn:8222/tra-cuu-bien-lai-dien-tu?ma_tracuu=SHMZ1M42DB"/>
    <hyperlink ref="G167" r:id="rId645" display="http://113.160.97.58:8224/Viewer/HoaDonViewer.aspx?mhd=b3b83868-0452-4235-b8cb-fdcb229f72b4"/>
    <hyperlink ref="H167" r:id="rId646" display="http://113.160.97.58:8224/Viewer/HoaDonViewer.aspx?mhd=b3b83868-0452-4235-b8cb-fdcb229f72b4&amp;iscd=1"/>
    <hyperlink ref="I167" r:id="rId647" display="http://113.160.97.58:8224/Viewer/Downloadfile.aspx?mhd=b3b83868-0452-4235-b8cb-fdcb229f72b4"/>
    <hyperlink ref="R167" r:id="rId648" display="https://thuphi.haiphong.gov.vn:8222/tra-cuu-bien-lai-dien-tu?ma_tracuu=IDPQJMR2DA"/>
    <hyperlink ref="G168" r:id="rId649" display="http://113.160.97.58:8224/Viewer/HoaDonViewer.aspx?mhd=e857cce2-1e16-4f98-9328-f48a801caba7"/>
    <hyperlink ref="H168" r:id="rId650" display="http://113.160.97.58:8224/Viewer/HoaDonViewer.aspx?mhd=e857cce2-1e16-4f98-9328-f48a801caba7&amp;iscd=1"/>
    <hyperlink ref="I168" r:id="rId651" display="http://113.160.97.58:8224/Viewer/Downloadfile.aspx?mhd=e857cce2-1e16-4f98-9328-f48a801caba7"/>
    <hyperlink ref="R168" r:id="rId652" display="https://thuphi.haiphong.gov.vn:8222/tra-cuu-bien-lai-dien-tu?ma_tracuu=90K56HR2D1"/>
    <hyperlink ref="G169" r:id="rId653" display="http://113.160.97.58:8224/Viewer/HoaDonViewer.aspx?mhd=38cc28f9-83bd-405c-b7df-186ae363d744"/>
    <hyperlink ref="H169" r:id="rId654" display="http://113.160.97.58:8224/Viewer/HoaDonViewer.aspx?mhd=38cc28f9-83bd-405c-b7df-186ae363d744&amp;iscd=1"/>
    <hyperlink ref="I169" r:id="rId655" display="http://113.160.97.58:8224/Viewer/Downloadfile.aspx?mhd=38cc28f9-83bd-405c-b7df-186ae363d744"/>
    <hyperlink ref="R169" r:id="rId656" display="https://thuphi.haiphong.gov.vn:8222/tra-cuu-bien-lai-dien-tu?ma_tracuu=2S3SJFR2D8"/>
    <hyperlink ref="G170" r:id="rId657" display="http://113.160.97.58:8224/Viewer/HoaDonViewer.aspx?mhd=82962104-4c55-4c5b-937c-dc48e3a7a434"/>
    <hyperlink ref="H170" r:id="rId658" display="http://113.160.97.58:8224/Viewer/HoaDonViewer.aspx?mhd=82962104-4c55-4c5b-937c-dc48e3a7a434&amp;iscd=1"/>
    <hyperlink ref="I170" r:id="rId659" display="http://113.160.97.58:8224/Viewer/Downloadfile.aspx?mhd=82962104-4c55-4c5b-937c-dc48e3a7a434"/>
    <hyperlink ref="R170" r:id="rId660" display="https://thuphi.haiphong.gov.vn:8222/tra-cuu-bien-lai-dien-tu?ma_tracuu=KH4GSLR2D5"/>
    <hyperlink ref="G171" r:id="rId661" display="http://113.160.97.58:8224/Viewer/HoaDonViewer.aspx?mhd=9ccdaca7-4693-4d67-8047-14f321d54cf5"/>
    <hyperlink ref="H171" r:id="rId662" display="http://113.160.97.58:8224/Viewer/HoaDonViewer.aspx?mhd=9ccdaca7-4693-4d67-8047-14f321d54cf5&amp;iscd=1"/>
    <hyperlink ref="I171" r:id="rId663" display="http://113.160.97.58:8224/Viewer/Downloadfile.aspx?mhd=9ccdaca7-4693-4d67-8047-14f321d54cf5"/>
    <hyperlink ref="R171" r:id="rId664" display="https://thuphi.haiphong.gov.vn:8222/tra-cuu-bien-lai-dien-tu?ma_tracuu=S6BCBFR2D0"/>
    <hyperlink ref="G172" r:id="rId665" display="http://113.160.97.58:8224/Viewer/HoaDonViewer.aspx?mhd=54c19889-1495-48b2-b990-3ea4ca96e0cb"/>
    <hyperlink ref="H172" r:id="rId666" display="http://113.160.97.58:8224/Viewer/HoaDonViewer.aspx?mhd=54c19889-1495-48b2-b990-3ea4ca96e0cb&amp;iscd=1"/>
    <hyperlink ref="I172" r:id="rId667" display="http://113.160.97.58:8224/Viewer/Downloadfile.aspx?mhd=54c19889-1495-48b2-b990-3ea4ca96e0cb"/>
    <hyperlink ref="R172" r:id="rId668" display="https://thuphi.haiphong.gov.vn:8222/tra-cuu-bien-lai-dien-tu?ma_tracuu=2DY5VYRZDC"/>
    <hyperlink ref="G173" r:id="rId669" display="http://113.160.97.58:8224/Viewer/HoaDonViewer.aspx?mhd=218211ec-3585-456d-956e-1b028592dc16"/>
    <hyperlink ref="H173" r:id="rId670" display="http://113.160.97.58:8224/Viewer/HoaDonViewer.aspx?mhd=218211ec-3585-456d-956e-1b028592dc16&amp;iscd=1"/>
    <hyperlink ref="I173" r:id="rId671" display="http://113.160.97.58:8224/Viewer/Downloadfile.aspx?mhd=218211ec-3585-456d-956e-1b028592dc16"/>
    <hyperlink ref="R173" r:id="rId672" display="https://thuphi.haiphong.gov.vn:8222/tra-cuu-bien-lai-dien-tu?ma_tracuu=QV90K888E4"/>
    <hyperlink ref="G174" r:id="rId673" display="http://113.160.97.58:8224/Viewer/HoaDonViewer.aspx?mhd=43456542-72d4-4895-9877-b21dfe613f2d"/>
    <hyperlink ref="H174" r:id="rId674" display="http://113.160.97.58:8224/Viewer/HoaDonViewer.aspx?mhd=43456542-72d4-4895-9877-b21dfe613f2d&amp;iscd=1"/>
    <hyperlink ref="I174" r:id="rId675" display="http://113.160.97.58:8224/Viewer/Downloadfile.aspx?mhd=43456542-72d4-4895-9877-b21dfe613f2d"/>
    <hyperlink ref="R174" r:id="rId676" display="https://thuphi.haiphong.gov.vn:8222/tra-cuu-bien-lai-dien-tu?ma_tracuu=7AVMMQRMEA"/>
    <hyperlink ref="G175" r:id="rId677" display="http://113.160.97.58:8224/Viewer/HoaDonViewer.aspx?mhd=e94000de-9542-4394-818b-e1a17a74647f"/>
    <hyperlink ref="H175" r:id="rId678" display="http://113.160.97.58:8224/Viewer/HoaDonViewer.aspx?mhd=e94000de-9542-4394-818b-e1a17a74647f&amp;iscd=1"/>
    <hyperlink ref="I175" r:id="rId679" display="http://113.160.97.58:8224/Viewer/Downloadfile.aspx?mhd=e94000de-9542-4394-818b-e1a17a74647f"/>
    <hyperlink ref="R175" r:id="rId680" display="https://thuphi.haiphong.gov.vn:8222/tra-cuu-bien-lai-dien-tu?ma_tracuu=DYGVLFFMEP"/>
    <hyperlink ref="G176" r:id="rId681" display="http://113.160.97.58:8224/Viewer/HoaDonViewer.aspx?mhd=f76ea473-ee36-4d14-bbd9-c0d26552e37c"/>
    <hyperlink ref="H176" r:id="rId682" display="http://113.160.97.58:8224/Viewer/HoaDonViewer.aspx?mhd=f76ea473-ee36-4d14-bbd9-c0d26552e37c&amp;iscd=1"/>
    <hyperlink ref="I176" r:id="rId683" display="http://113.160.97.58:8224/Viewer/Downloadfile.aspx?mhd=f76ea473-ee36-4d14-bbd9-c0d26552e37c"/>
    <hyperlink ref="R176" r:id="rId684" display="https://thuphi.haiphong.gov.vn:8222/tra-cuu-bien-lai-dien-tu?ma_tracuu=A846JH9UEY"/>
    <hyperlink ref="G177" r:id="rId685" display="http://113.160.97.58:8224/Viewer/HoaDonViewer.aspx?mhd=711aeafb-a045-447b-8d80-3004240de030"/>
    <hyperlink ref="H177" r:id="rId686" display="http://113.160.97.58:8224/Viewer/HoaDonViewer.aspx?mhd=711aeafb-a045-447b-8d80-3004240de030&amp;iscd=1"/>
    <hyperlink ref="I177" r:id="rId687" display="http://113.160.97.58:8224/Viewer/Downloadfile.aspx?mhd=711aeafb-a045-447b-8d80-3004240de030"/>
    <hyperlink ref="R177" r:id="rId688" display="https://thuphi.haiphong.gov.vn:8222/tra-cuu-bien-lai-dien-tu?ma_tracuu=X4779VTUEC"/>
    <hyperlink ref="G178" r:id="rId689" display="http://113.160.97.58:8224/Viewer/HoaDonViewer.aspx?mhd=098fad0f-0a6b-4099-b722-8fb7a8c9e0d6"/>
    <hyperlink ref="H178" r:id="rId690" display="http://113.160.97.58:8224/Viewer/HoaDonViewer.aspx?mhd=098fad0f-0a6b-4099-b722-8fb7a8c9e0d6&amp;iscd=1"/>
    <hyperlink ref="I178" r:id="rId691" display="http://113.160.97.58:8224/Viewer/Downloadfile.aspx?mhd=098fad0f-0a6b-4099-b722-8fb7a8c9e0d6"/>
    <hyperlink ref="R178" r:id="rId692" display="https://thuphi.haiphong.gov.vn:8222/tra-cuu-bien-lai-dien-tu?ma_tracuu=S3WD60P7EP"/>
    <hyperlink ref="G179" r:id="rId693" display="http://113.160.97.58:8224/Viewer/HoaDonViewer.aspx?mhd=75ab17ac-4b94-4fc1-94b1-79c0ec054d09"/>
    <hyperlink ref="H179" r:id="rId694" display="http://113.160.97.58:8224/Viewer/HoaDonViewer.aspx?mhd=75ab17ac-4b94-4fc1-94b1-79c0ec054d09&amp;iscd=1"/>
    <hyperlink ref="I179" r:id="rId695" display="http://113.160.97.58:8224/Viewer/Downloadfile.aspx?mhd=75ab17ac-4b94-4fc1-94b1-79c0ec054d09"/>
    <hyperlink ref="R179" r:id="rId696" display="https://thuphi.haiphong.gov.vn:8222/tra-cuu-bien-lai-dien-tu?ma_tracuu=VWG672P7E8"/>
    <hyperlink ref="G180" r:id="rId697" display="http://113.160.97.58:8224/Viewer/HoaDonViewer.aspx?mhd=2dfc2eea-5250-484b-b84d-5a1c2f97b32f"/>
    <hyperlink ref="H180" r:id="rId698" display="http://113.160.97.58:8224/Viewer/HoaDonViewer.aspx?mhd=2dfc2eea-5250-484b-b84d-5a1c2f97b32f&amp;iscd=1"/>
    <hyperlink ref="I180" r:id="rId699" display="http://113.160.97.58:8224/Viewer/Downloadfile.aspx?mhd=2dfc2eea-5250-484b-b84d-5a1c2f97b32f"/>
    <hyperlink ref="R180" r:id="rId700" display="https://thuphi.haiphong.gov.vn:8222/tra-cuu-bien-lai-dien-tu?ma_tracuu=I2KRRRP7E2"/>
    <hyperlink ref="G181" r:id="rId701" display="http://113.160.97.58:8224/Viewer/HoaDonViewer.aspx?mhd=13ce1278-4008-4a72-902b-f9f75e8c2725"/>
    <hyperlink ref="H181" r:id="rId702" display="http://113.160.97.58:8224/Viewer/HoaDonViewer.aspx?mhd=13ce1278-4008-4a72-902b-f9f75e8c2725&amp;iscd=1"/>
    <hyperlink ref="I181" r:id="rId703" display="http://113.160.97.58:8224/Viewer/Downloadfile.aspx?mhd=13ce1278-4008-4a72-902b-f9f75e8c2725"/>
    <hyperlink ref="R181" r:id="rId704" display="https://thuphi.haiphong.gov.vn:8222/tra-cuu-bien-lai-dien-tu?ma_tracuu=W93VE607EG"/>
    <hyperlink ref="G182" r:id="rId705" display="http://113.160.97.58:8224/Viewer/HoaDonViewer.aspx?mhd=254fce19-446e-4412-afcd-1ce9ab9d1062"/>
    <hyperlink ref="H182" r:id="rId706" display="http://113.160.97.58:8224/Viewer/HoaDonViewer.aspx?mhd=254fce19-446e-4412-afcd-1ce9ab9d1062&amp;iscd=1"/>
    <hyperlink ref="I182" r:id="rId707" display="http://113.160.97.58:8224/Viewer/Downloadfile.aspx?mhd=254fce19-446e-4412-afcd-1ce9ab9d1062"/>
    <hyperlink ref="R182" r:id="rId708" display="https://thuphi.haiphong.gov.vn:8222/tra-cuu-bien-lai-dien-tu?ma_tracuu=3S2KL9F7E9"/>
    <hyperlink ref="G183" r:id="rId709" display="http://113.160.97.58:8224/Viewer/HoaDonViewer.aspx?mhd=33261373-592e-4bca-86a4-5c3417bd8895"/>
    <hyperlink ref="H183" r:id="rId710" display="http://113.160.97.58:8224/Viewer/HoaDonViewer.aspx?mhd=33261373-592e-4bca-86a4-5c3417bd8895&amp;iscd=1"/>
    <hyperlink ref="I183" r:id="rId711" display="http://113.160.97.58:8224/Viewer/Downloadfile.aspx?mhd=33261373-592e-4bca-86a4-5c3417bd8895"/>
    <hyperlink ref="R183" r:id="rId712" display="https://thuphi.haiphong.gov.vn:8222/tra-cuu-bien-lai-dien-tu?ma_tracuu=S8RIPNXVEL"/>
    <hyperlink ref="G184" r:id="rId713" display="http://113.160.97.58:8224/Viewer/HoaDonViewer.aspx?mhd=373df198-118a-4490-a85c-b57a82cc562c"/>
    <hyperlink ref="H184" r:id="rId714" display="http://113.160.97.58:8224/Viewer/HoaDonViewer.aspx?mhd=373df198-118a-4490-a85c-b57a82cc562c&amp;iscd=1"/>
    <hyperlink ref="I184" r:id="rId715" display="http://113.160.97.58:8224/Viewer/Downloadfile.aspx?mhd=373df198-118a-4490-a85c-b57a82cc562c"/>
    <hyperlink ref="R184" r:id="rId716" display="https://thuphi.haiphong.gov.vn:8222/tra-cuu-bien-lai-dien-tu?ma_tracuu=NJUGCCEVE0"/>
    <hyperlink ref="G185" r:id="rId717" display="http://113.160.97.58:8224/Viewer/HoaDonViewer.aspx?mhd=99cf9d00-fe15-48b0-b404-b82b31e1c4cc"/>
    <hyperlink ref="H185" r:id="rId718" display="http://113.160.97.58:8224/Viewer/HoaDonViewer.aspx?mhd=99cf9d00-fe15-48b0-b404-b82b31e1c4cc&amp;iscd=1"/>
    <hyperlink ref="I185" r:id="rId719" display="http://113.160.97.58:8224/Viewer/Downloadfile.aspx?mhd=99cf9d00-fe15-48b0-b404-b82b31e1c4cc"/>
    <hyperlink ref="R185" r:id="rId720" display="https://thuphi.haiphong.gov.vn:8222/tra-cuu-bien-lai-dien-tu?ma_tracuu=XBZGBCEVE0"/>
    <hyperlink ref="G186" r:id="rId721" display="http://113.160.97.58:8224/Viewer/HoaDonViewer.aspx?mhd=2ede85cf-6c7e-4847-a76b-0b97e962a717"/>
    <hyperlink ref="H186" r:id="rId722" display="http://113.160.97.58:8224/Viewer/HoaDonViewer.aspx?mhd=2ede85cf-6c7e-4847-a76b-0b97e962a717&amp;iscd=1"/>
    <hyperlink ref="I186" r:id="rId723" display="http://113.160.97.58:8224/Viewer/Downloadfile.aspx?mhd=2ede85cf-6c7e-4847-a76b-0b97e962a717"/>
    <hyperlink ref="R186" r:id="rId724" display="https://thuphi.haiphong.gov.vn:8222/tra-cuu-bien-lai-dien-tu?ma_tracuu=SU4QZ29FE2"/>
    <hyperlink ref="G187" r:id="rId725" display="http://113.160.97.58:8224/Viewer/HoaDonViewer.aspx?mhd=acbb7622-4ac9-45cc-a1f9-253e110f9d0d"/>
    <hyperlink ref="H187" r:id="rId726" display="http://113.160.97.58:8224/Viewer/HoaDonViewer.aspx?mhd=acbb7622-4ac9-45cc-a1f9-253e110f9d0d&amp;iscd=1"/>
    <hyperlink ref="I187" r:id="rId727" display="http://113.160.97.58:8224/Viewer/Downloadfile.aspx?mhd=acbb7622-4ac9-45cc-a1f9-253e110f9d0d"/>
    <hyperlink ref="R187" r:id="rId728" display="https://thuphi.haiphong.gov.vn:8222/tra-cuu-bien-lai-dien-tu?ma_tracuu=F11A7A9FE5"/>
    <hyperlink ref="G188" r:id="rId729" display="http://113.160.97.58:8224/Viewer/HoaDonViewer.aspx?mhd=fa84e481-38e3-4584-abfa-9fe1570d1f2b"/>
    <hyperlink ref="H188" r:id="rId730" display="http://113.160.97.58:8224/Viewer/HoaDonViewer.aspx?mhd=fa84e481-38e3-4584-abfa-9fe1570d1f2b&amp;iscd=1"/>
    <hyperlink ref="I188" r:id="rId731" display="http://113.160.97.58:8224/Viewer/Downloadfile.aspx?mhd=fa84e481-38e3-4584-abfa-9fe1570d1f2b"/>
    <hyperlink ref="R188" r:id="rId732" display="https://thuphi.haiphong.gov.vn:8222/tra-cuu-bien-lai-dien-tu?ma_tracuu=YHRMIM9CET"/>
    <hyperlink ref="G189" r:id="rId733" display="http://113.160.97.58:8224/Viewer/HoaDonViewer.aspx?mhd=ca424a40-ab74-4ea2-b39c-4a9ac0057d94"/>
    <hyperlink ref="H189" r:id="rId734" display="http://113.160.97.58:8224/Viewer/HoaDonViewer.aspx?mhd=ca424a40-ab74-4ea2-b39c-4a9ac0057d94&amp;iscd=1"/>
    <hyperlink ref="I189" r:id="rId735" display="http://113.160.97.58:8224/Viewer/Downloadfile.aspx?mhd=ca424a40-ab74-4ea2-b39c-4a9ac0057d94"/>
    <hyperlink ref="R189" r:id="rId736" display="https://thuphi.haiphong.gov.vn:8222/tra-cuu-bien-lai-dien-tu?ma_tracuu=NAH1TUKCES"/>
    <hyperlink ref="G190" r:id="rId737" display="http://113.160.97.58:8224/Viewer/HoaDonViewer.aspx?mhd=92332d5c-7e32-43e5-ab91-0c44f4235bb4"/>
    <hyperlink ref="H190" r:id="rId738" display="http://113.160.97.58:8224/Viewer/HoaDonViewer.aspx?mhd=92332d5c-7e32-43e5-ab91-0c44f4235bb4&amp;iscd=1"/>
    <hyperlink ref="I190" r:id="rId739" display="http://113.160.97.58:8224/Viewer/Downloadfile.aspx?mhd=92332d5c-7e32-43e5-ab91-0c44f4235bb4"/>
    <hyperlink ref="R190" r:id="rId740" display="https://thuphi.haiphong.gov.vn:8222/tra-cuu-bien-lai-dien-tu?ma_tracuu=LK3D7P7CEK"/>
    <hyperlink ref="G191" r:id="rId741" display="http://113.160.97.58:8224/Viewer/HoaDonViewer.aspx?mhd=00583ac6-f9fa-4752-a2aa-f20100680f68"/>
    <hyperlink ref="H191" r:id="rId742" display="http://113.160.97.58:8224/Viewer/HoaDonViewer.aspx?mhd=00583ac6-f9fa-4752-a2aa-f20100680f68&amp;iscd=1"/>
    <hyperlink ref="I191" r:id="rId743" display="http://113.160.97.58:8224/Viewer/Downloadfile.aspx?mhd=00583ac6-f9fa-4752-a2aa-f20100680f68"/>
    <hyperlink ref="R191" r:id="rId744" display="https://thuphi.haiphong.gov.vn:8222/tra-cuu-bien-lai-dien-tu?ma_tracuu=GIF52DJ1E0"/>
    <hyperlink ref="G192" r:id="rId745" display="http://113.160.97.58:8224/Viewer/HoaDonViewer.aspx?mhd=25e02a32-33d7-4cdf-825a-2a52f3758f6d"/>
    <hyperlink ref="H192" r:id="rId746" display="http://113.160.97.58:8224/Viewer/HoaDonViewer.aspx?mhd=25e02a32-33d7-4cdf-825a-2a52f3758f6d&amp;iscd=1"/>
    <hyperlink ref="I192" r:id="rId747" display="http://113.160.97.58:8224/Viewer/Downloadfile.aspx?mhd=25e02a32-33d7-4cdf-825a-2a52f3758f6d"/>
    <hyperlink ref="R192" r:id="rId748" display="https://thuphi.haiphong.gov.vn:8222/tra-cuu-bien-lai-dien-tu?ma_tracuu=KWUTMMU1EK"/>
    <hyperlink ref="G193" r:id="rId749" display="http://113.160.97.58:8224/Viewer/HoaDonViewer.aspx?mhd=ca8e7bc5-fc8c-4b24-be3f-7fa273f94933"/>
    <hyperlink ref="H193" r:id="rId750" display="http://113.160.97.58:8224/Viewer/HoaDonViewer.aspx?mhd=ca8e7bc5-fc8c-4b24-be3f-7fa273f94933&amp;iscd=1"/>
    <hyperlink ref="I193" r:id="rId751" display="http://113.160.97.58:8224/Viewer/Downloadfile.aspx?mhd=ca8e7bc5-fc8c-4b24-be3f-7fa273f94933"/>
    <hyperlink ref="R193" r:id="rId752" display="https://thuphi.haiphong.gov.vn:8222/tra-cuu-bien-lai-dien-tu?ma_tracuu=Y1BCTSHP3K"/>
    <hyperlink ref="G194" r:id="rId753" display="http://113.160.97.58:8224/Viewer/HoaDonViewer.aspx?mhd=3ade4c2b-0216-4f9b-8e93-7b319fa383e3"/>
    <hyperlink ref="H194" r:id="rId754" display="http://113.160.97.58:8224/Viewer/HoaDonViewer.aspx?mhd=3ade4c2b-0216-4f9b-8e93-7b319fa383e3&amp;iscd=1"/>
    <hyperlink ref="I194" r:id="rId755" display="http://113.160.97.58:8224/Viewer/Downloadfile.aspx?mhd=3ade4c2b-0216-4f9b-8e93-7b319fa383e3"/>
    <hyperlink ref="R194" r:id="rId756" display="https://thuphi.haiphong.gov.vn:8222/tra-cuu-bien-lai-dien-tu?ma_tracuu=BDR0H8M038"/>
    <hyperlink ref="G195" r:id="rId757" display="http://113.160.97.58:8224/Viewer/HoaDonViewer.aspx?mhd=b78066d0-0dc4-4b56-b370-b0b19f30eca5"/>
    <hyperlink ref="H195" r:id="rId758" display="http://113.160.97.58:8224/Viewer/HoaDonViewer.aspx?mhd=b78066d0-0dc4-4b56-b370-b0b19f30eca5&amp;iscd=1"/>
    <hyperlink ref="I195" r:id="rId759" display="http://113.160.97.58:8224/Viewer/Downloadfile.aspx?mhd=b78066d0-0dc4-4b56-b370-b0b19f30eca5"/>
    <hyperlink ref="R195" r:id="rId760" display="https://thuphi.haiphong.gov.vn:8222/tra-cuu-bien-lai-dien-tu?ma_tracuu=8127N6403H"/>
    <hyperlink ref="G196" r:id="rId761" display="http://113.160.97.58:8224/Viewer/HoaDonViewer.aspx?mhd=0cf38bfb-b05e-44c0-a5fa-7aa48ee29e08"/>
    <hyperlink ref="H196" r:id="rId762" display="http://113.160.97.58:8224/Viewer/HoaDonViewer.aspx?mhd=0cf38bfb-b05e-44c0-a5fa-7aa48ee29e08&amp;iscd=1"/>
    <hyperlink ref="I196" r:id="rId763" display="http://113.160.97.58:8224/Viewer/Downloadfile.aspx?mhd=0cf38bfb-b05e-44c0-a5fa-7aa48ee29e08"/>
    <hyperlink ref="R196" r:id="rId764" display="https://thuphi.haiphong.gov.vn:8222/tra-cuu-bien-lai-dien-tu?ma_tracuu=0G8NNKN732"/>
    <hyperlink ref="G197" r:id="rId765" display="http://113.160.97.58:8224/Viewer/HoaDonViewer.aspx?mhd=c1d25752-5007-4bd8-86cc-e164c33410d1"/>
    <hyperlink ref="H197" r:id="rId766" display="http://113.160.97.58:8224/Viewer/HoaDonViewer.aspx?mhd=c1d25752-5007-4bd8-86cc-e164c33410d1&amp;iscd=1"/>
    <hyperlink ref="I197" r:id="rId767" display="http://113.160.97.58:8224/Viewer/Downloadfile.aspx?mhd=c1d25752-5007-4bd8-86cc-e164c33410d1"/>
    <hyperlink ref="R197" r:id="rId768" display="https://thuphi.haiphong.gov.vn:8222/tra-cuu-bien-lai-dien-tu?ma_tracuu=GN1NIFN735"/>
    <hyperlink ref="G198" r:id="rId769" display="http://113.160.97.58:8224/Viewer/HoaDonViewer.aspx?mhd=b5ffea2c-d39f-49d6-ab70-019bff65102d"/>
    <hyperlink ref="H198" r:id="rId770" display="http://113.160.97.58:8224/Viewer/HoaDonViewer.aspx?mhd=b5ffea2c-d39f-49d6-ab70-019bff65102d&amp;iscd=1"/>
    <hyperlink ref="I198" r:id="rId771" display="http://113.160.97.58:8224/Viewer/Downloadfile.aspx?mhd=b5ffea2c-d39f-49d6-ab70-019bff65102d"/>
    <hyperlink ref="R198" r:id="rId772" display="https://thuphi.haiphong.gov.vn:8222/tra-cuu-bien-lai-dien-tu?ma_tracuu=E9W6UEMN34"/>
    <hyperlink ref="G199" r:id="rId773" display="http://113.160.97.58:8224/Viewer/HoaDonViewer.aspx?mhd=896a6499-63a4-49f7-aa8d-c24e5e38c49f"/>
    <hyperlink ref="H199" r:id="rId774" display="http://113.160.97.58:8224/Viewer/HoaDonViewer.aspx?mhd=896a6499-63a4-49f7-aa8d-c24e5e38c49f&amp;iscd=1"/>
    <hyperlink ref="I199" r:id="rId775" display="http://113.160.97.58:8224/Viewer/Downloadfile.aspx?mhd=896a6499-63a4-49f7-aa8d-c24e5e38c49f"/>
    <hyperlink ref="R199" r:id="rId776" display="https://thuphi.haiphong.gov.vn:8222/tra-cuu-bien-lai-dien-tu?ma_tracuu=7S4CXTLH36"/>
    <hyperlink ref="G200" r:id="rId777" display="http://113.160.97.58:8224/Viewer/HoaDonViewer.aspx?mhd=37f0cfa0-76e5-4fb9-b0d6-ef48e2acdf5f"/>
    <hyperlink ref="H200" r:id="rId778" display="http://113.160.97.58:8224/Viewer/HoaDonViewer.aspx?mhd=37f0cfa0-76e5-4fb9-b0d6-ef48e2acdf5f&amp;iscd=1"/>
    <hyperlink ref="I200" r:id="rId779" display="http://113.160.97.58:8224/Viewer/Downloadfile.aspx?mhd=37f0cfa0-76e5-4fb9-b0d6-ef48e2acdf5f"/>
    <hyperlink ref="R200" r:id="rId780" display="https://thuphi.haiphong.gov.vn:8222/tra-cuu-bien-lai-dien-tu?ma_tracuu=E8FG8V9H34"/>
    <hyperlink ref="G201" r:id="rId781" display="http://113.160.97.58:8224/Viewer/HoaDonViewer.aspx?mhd=2bfdfcf5-3a65-454c-a4ee-7b61094ca6fa"/>
    <hyperlink ref="H201" r:id="rId782" display="http://113.160.97.58:8224/Viewer/HoaDonViewer.aspx?mhd=2bfdfcf5-3a65-454c-a4ee-7b61094ca6fa&amp;iscd=1"/>
    <hyperlink ref="I201" r:id="rId783" display="http://113.160.97.58:8224/Viewer/Downloadfile.aspx?mhd=2bfdfcf5-3a65-454c-a4ee-7b61094ca6fa"/>
    <hyperlink ref="R201" r:id="rId784" display="https://thuphi.haiphong.gov.vn:8222/tra-cuu-bien-lai-dien-tu?ma_tracuu=MRBFN6MH36"/>
    <hyperlink ref="G202" r:id="rId785" display="http://113.160.97.58:8224/Viewer/HoaDonViewer.aspx?mhd=af0e4a87-a660-43ea-9644-94b1f446f880"/>
    <hyperlink ref="H202" r:id="rId786" display="http://113.160.97.58:8224/Viewer/HoaDonViewer.aspx?mhd=af0e4a87-a660-43ea-9644-94b1f446f880&amp;iscd=1"/>
    <hyperlink ref="I202" r:id="rId787" display="http://113.160.97.58:8224/Viewer/Downloadfile.aspx?mhd=af0e4a87-a660-43ea-9644-94b1f446f880"/>
    <hyperlink ref="R202" r:id="rId788" display="https://thuphi.haiphong.gov.vn:8222/tra-cuu-bien-lai-dien-tu?ma_tracuu=TFXLYCRH3Y"/>
    <hyperlink ref="G203" r:id="rId789" display="http://113.160.97.58:8224/Viewer/HoaDonViewer.aspx?mhd=b30d6c09-9522-4790-807d-aa4587982b69"/>
    <hyperlink ref="H203" r:id="rId790" display="http://113.160.97.58:8224/Viewer/HoaDonViewer.aspx?mhd=b30d6c09-9522-4790-807d-aa4587982b69&amp;iscd=1"/>
    <hyperlink ref="I203" r:id="rId791" display="http://113.160.97.58:8224/Viewer/Downloadfile.aspx?mhd=b30d6c09-9522-4790-807d-aa4587982b69"/>
    <hyperlink ref="R203" r:id="rId792" display="https://thuphi.haiphong.gov.vn:8222/tra-cuu-bien-lai-dien-tu?ma_tracuu=Q0S0MGDH31"/>
    <hyperlink ref="G204" r:id="rId793" display="http://113.160.97.58:8224/Viewer/HoaDonViewer.aspx?mhd=871d221f-9b1f-41eb-819d-86e338d4fa22"/>
    <hyperlink ref="H204" r:id="rId794" display="http://113.160.97.58:8224/Viewer/HoaDonViewer.aspx?mhd=871d221f-9b1f-41eb-819d-86e338d4fa22&amp;iscd=1"/>
    <hyperlink ref="I204" r:id="rId795" display="http://113.160.97.58:8224/Viewer/Downloadfile.aspx?mhd=871d221f-9b1f-41eb-819d-86e338d4fa22"/>
    <hyperlink ref="R204" r:id="rId796" display="https://thuphi.haiphong.gov.vn:8222/tra-cuu-bien-lai-dien-tu?ma_tracuu=4SMF84PY3V"/>
    <hyperlink ref="G205" r:id="rId797" display="http://113.160.97.58:8224/Viewer/HoaDonViewer.aspx?mhd=225b10c2-fd8a-495e-b866-48c0c476fae8"/>
    <hyperlink ref="H205" r:id="rId798" display="http://113.160.97.58:8224/Viewer/HoaDonViewer.aspx?mhd=225b10c2-fd8a-495e-b866-48c0c476fae8&amp;iscd=1"/>
    <hyperlink ref="I205" r:id="rId799" display="http://113.160.97.58:8224/Viewer/Downloadfile.aspx?mhd=225b10c2-fd8a-495e-b866-48c0c476fae8"/>
    <hyperlink ref="R205" r:id="rId800" display="https://thuphi.haiphong.gov.vn:8222/tra-cuu-bien-lai-dien-tu?ma_tracuu=LZDCE6LY3B"/>
    <hyperlink ref="G207" r:id="rId801" display="http://113.160.97.58:8224/Viewer/HoaDonViewer.aspx?mhd=b532dfb3-dbd3-4906-856b-f7dfd13bbfdd"/>
    <hyperlink ref="H207" r:id="rId802" display="http://113.160.97.58:8224/Viewer/HoaDonViewer.aspx?mhd=b532dfb3-dbd3-4906-856b-f7dfd13bbfdd&amp;iscd=1"/>
    <hyperlink ref="I207" r:id="rId803" display="http://113.160.97.58:8224/Viewer/Downloadfile.aspx?mhd=b532dfb3-dbd3-4906-856b-f7dfd13bbfdd"/>
    <hyperlink ref="R207" r:id="rId804" display="https://thuphi.haiphong.gov.vn:8222/tra-cuu-bien-lai-dien-tu?ma_tracuu=9T89IR0Y3W"/>
    <hyperlink ref="G208" r:id="rId805" display="http://113.160.97.58:8224/Viewer/HoaDonViewer.aspx?mhd=477b1763-a60b-4553-a2cb-b5fbda2f4a1f"/>
    <hyperlink ref="H208" r:id="rId806" display="http://113.160.97.58:8224/Viewer/HoaDonViewer.aspx?mhd=477b1763-a60b-4553-a2cb-b5fbda2f4a1f&amp;iscd=1"/>
    <hyperlink ref="I208" r:id="rId807" display="http://113.160.97.58:8224/Viewer/Downloadfile.aspx?mhd=477b1763-a60b-4553-a2cb-b5fbda2f4a1f"/>
    <hyperlink ref="R208" r:id="rId808" display="https://thuphi.haiphong.gov.vn:8222/tra-cuu-bien-lai-dien-tu?ma_tracuu=HQSNZF6B3W"/>
    <hyperlink ref="G209" r:id="rId809" display="http://113.160.97.58:8224/Viewer/HoaDonViewer.aspx?mhd=c74b1407-3292-4931-846f-60a7e599bf12"/>
    <hyperlink ref="H209" r:id="rId810" display="http://113.160.97.58:8224/Viewer/HoaDonViewer.aspx?mhd=c74b1407-3292-4931-846f-60a7e599bf12&amp;iscd=1"/>
    <hyperlink ref="I209" r:id="rId811" display="http://113.160.97.58:8224/Viewer/Downloadfile.aspx?mhd=c74b1407-3292-4931-846f-60a7e599bf12"/>
    <hyperlink ref="R209" r:id="rId812" display="https://thuphi.haiphong.gov.vn:8222/tra-cuu-bien-lai-dien-tu?ma_tracuu=WJFS8XVB3X"/>
    <hyperlink ref="G210" r:id="rId813" display="http://113.160.97.58:8224/Viewer/HoaDonViewer.aspx?mhd=835eddca-be27-455c-86c6-948ca7f46c89"/>
    <hyperlink ref="H210" r:id="rId814" display="http://113.160.97.58:8224/Viewer/HoaDonViewer.aspx?mhd=835eddca-be27-455c-86c6-948ca7f46c89&amp;iscd=1"/>
    <hyperlink ref="I210" r:id="rId815" display="http://113.160.97.58:8224/Viewer/Downloadfile.aspx?mhd=835eddca-be27-455c-86c6-948ca7f46c89"/>
    <hyperlink ref="R210" r:id="rId816" display="https://thuphi.haiphong.gov.vn:8222/tra-cuu-bien-lai-dien-tu?ma_tracuu=0VZ45IRB3J"/>
    <hyperlink ref="G211" r:id="rId817" display="http://113.160.97.58:8224/Viewer/HoaDonViewer.aspx?mhd=46736446-8bde-4aae-8142-f9adebdcaffe"/>
    <hyperlink ref="H211" r:id="rId818" display="http://113.160.97.58:8224/Viewer/HoaDonViewer.aspx?mhd=46736446-8bde-4aae-8142-f9adebdcaffe&amp;iscd=1"/>
    <hyperlink ref="I211" r:id="rId819" display="http://113.160.97.58:8224/Viewer/Downloadfile.aspx?mhd=46736446-8bde-4aae-8142-f9adebdcaffe"/>
    <hyperlink ref="R211" r:id="rId820" display="https://thuphi.haiphong.gov.vn:8222/tra-cuu-bien-lai-dien-tu?ma_tracuu=3G8E06WB3C"/>
    <hyperlink ref="G212" r:id="rId821" display="http://113.160.97.58:8224/Viewer/HoaDonViewer.aspx?mhd=6c004e3f-f539-4235-b6d6-47b73f3e7aa8"/>
    <hyperlink ref="H212" r:id="rId822" display="http://113.160.97.58:8224/Viewer/HoaDonViewer.aspx?mhd=6c004e3f-f539-4235-b6d6-47b73f3e7aa8&amp;iscd=1"/>
    <hyperlink ref="I212" r:id="rId823" display="http://113.160.97.58:8224/Viewer/Downloadfile.aspx?mhd=6c004e3f-f539-4235-b6d6-47b73f3e7aa8"/>
    <hyperlink ref="R212" r:id="rId824" display="https://thuphi.haiphong.gov.vn:8222/tra-cuu-bien-lai-dien-tu?ma_tracuu=IBPT4KPG30"/>
    <hyperlink ref="G213" r:id="rId825" display="http://113.160.97.58:8224/Viewer/HoaDonViewer.aspx?mhd=9aaefd75-eb1c-45a2-8918-0a474fa2a824"/>
    <hyperlink ref="H213" r:id="rId826" display="http://113.160.97.58:8224/Viewer/HoaDonViewer.aspx?mhd=9aaefd75-eb1c-45a2-8918-0a474fa2a824&amp;iscd=1"/>
    <hyperlink ref="I213" r:id="rId827" display="http://113.160.97.58:8224/Viewer/Downloadfile.aspx?mhd=9aaefd75-eb1c-45a2-8918-0a474fa2a824"/>
    <hyperlink ref="R213" r:id="rId828" display="https://thuphi.haiphong.gov.vn:8222/tra-cuu-bien-lai-dien-tu?ma_tracuu=VZA836VD3U"/>
    <hyperlink ref="G214" r:id="rId829" display="http://113.160.97.58:8224/Viewer/HoaDonViewer.aspx?mhd=3df4b132-d510-4810-86d9-f4acb61b1ef3"/>
    <hyperlink ref="H214" r:id="rId830" display="http://113.160.97.58:8224/Viewer/HoaDonViewer.aspx?mhd=3df4b132-d510-4810-86d9-f4acb61b1ef3&amp;iscd=1"/>
    <hyperlink ref="I214" r:id="rId831" display="http://113.160.97.58:8224/Viewer/Downloadfile.aspx?mhd=3df4b132-d510-4810-86d9-f4acb61b1ef3"/>
    <hyperlink ref="R214" r:id="rId832" display="https://thuphi.haiphong.gov.vn:8222/tra-cuu-bien-lai-dien-tu?ma_tracuu=21D3SDVD38"/>
    <hyperlink ref="G215" r:id="rId833" display="http://113.160.97.58:8224/Viewer/HoaDonViewer.aspx?mhd=36fdd49f-5394-405f-971c-f8906167070d"/>
    <hyperlink ref="H215" r:id="rId834" display="http://113.160.97.58:8224/Viewer/HoaDonViewer.aspx?mhd=36fdd49f-5394-405f-971c-f8906167070d&amp;iscd=1"/>
    <hyperlink ref="I215" r:id="rId835" display="http://113.160.97.58:8224/Viewer/Downloadfile.aspx?mhd=36fdd49f-5394-405f-971c-f8906167070d"/>
    <hyperlink ref="R215" r:id="rId836" display="https://thuphi.haiphong.gov.vn:8222/tra-cuu-bien-lai-dien-tu?ma_tracuu=WFZK0S5D3Z"/>
    <hyperlink ref="G216" r:id="rId837" display="http://113.160.97.58:8224/Viewer/HoaDonViewer.aspx?mhd=f2e11679-39d9-440e-8b1d-e045745f553b"/>
    <hyperlink ref="H216" r:id="rId838" display="http://113.160.97.58:8224/Viewer/HoaDonViewer.aspx?mhd=f2e11679-39d9-440e-8b1d-e045745f553b&amp;iscd=1"/>
    <hyperlink ref="I216" r:id="rId839" display="http://113.160.97.58:8224/Viewer/Downloadfile.aspx?mhd=f2e11679-39d9-440e-8b1d-e045745f553b"/>
    <hyperlink ref="R216" r:id="rId840" display="https://thuphi.haiphong.gov.vn:8222/tra-cuu-bien-lai-dien-tu?ma_tracuu=B8VBCQ5D39"/>
    <hyperlink ref="G217" r:id="rId841" display="http://113.160.97.58:8224/Viewer/HoaDonViewer.aspx?mhd=7e688161-f7c1-4073-b9d1-f1e938b82654"/>
    <hyperlink ref="H217" r:id="rId842" display="http://113.160.97.58:8224/Viewer/HoaDonViewer.aspx?mhd=7e688161-f7c1-4073-b9d1-f1e938b82654&amp;iscd=1"/>
    <hyperlink ref="I217" r:id="rId843" display="http://113.160.97.58:8224/Viewer/Downloadfile.aspx?mhd=7e688161-f7c1-4073-b9d1-f1e938b82654"/>
    <hyperlink ref="R217" r:id="rId844" display="https://thuphi.haiphong.gov.vn:8222/tra-cuu-bien-lai-dien-tu?ma_tracuu=QTIKAZFD3A"/>
    <hyperlink ref="G218" r:id="rId845" display="http://113.160.97.58:8224/Viewer/HoaDonViewer.aspx?mhd=e3c63387-366f-4219-89c8-c2fb601dce6c"/>
    <hyperlink ref="H218" r:id="rId846" display="http://113.160.97.58:8224/Viewer/HoaDonViewer.aspx?mhd=e3c63387-366f-4219-89c8-c2fb601dce6c&amp;iscd=1"/>
    <hyperlink ref="I218" r:id="rId847" display="http://113.160.97.58:8224/Viewer/Downloadfile.aspx?mhd=e3c63387-366f-4219-89c8-c2fb601dce6c"/>
    <hyperlink ref="R218" r:id="rId848" display="https://thuphi.haiphong.gov.vn:8222/tra-cuu-bien-lai-dien-tu?ma_tracuu=2PQFCDRD3P"/>
    <hyperlink ref="G219" r:id="rId849" display="http://113.160.97.58:8224/Viewer/HoaDonViewer.aspx?mhd=0f2f3f37-2025-496b-b01b-8561a077e3b7"/>
    <hyperlink ref="H219" r:id="rId850" display="http://113.160.97.58:8224/Viewer/HoaDonViewer.aspx?mhd=0f2f3f37-2025-496b-b01b-8561a077e3b7&amp;iscd=1"/>
    <hyperlink ref="I219" r:id="rId851" display="http://113.160.97.58:8224/Viewer/Downloadfile.aspx?mhd=0f2f3f37-2025-496b-b01b-8561a077e3b7"/>
    <hyperlink ref="R219" r:id="rId852" display="https://thuphi.haiphong.gov.vn:8222/tra-cuu-bien-lai-dien-tu?ma_tracuu=GY6RNZVD3W"/>
    <hyperlink ref="G220" r:id="rId853" display="http://113.160.97.58:8224/Viewer/HoaDonViewer.aspx?mhd=f1811f37-80bc-4e43-b46a-3e95f397735d"/>
    <hyperlink ref="H220" r:id="rId854" display="http://113.160.97.58:8224/Viewer/HoaDonViewer.aspx?mhd=f1811f37-80bc-4e43-b46a-3e95f397735d&amp;iscd=1"/>
    <hyperlink ref="I220" r:id="rId855" display="http://113.160.97.58:8224/Viewer/Downloadfile.aspx?mhd=f1811f37-80bc-4e43-b46a-3e95f397735d"/>
    <hyperlink ref="R220" r:id="rId856" display="https://thuphi.haiphong.gov.vn:8222/tra-cuu-bien-lai-dien-tu?ma_tracuu=VVEKPHRD3G"/>
    <hyperlink ref="G221" r:id="rId857" display="http://113.160.97.58:8224/Viewer/HoaDonViewer.aspx?mhd=53944915-5978-4e9e-ab19-cefd50d2aacc"/>
    <hyperlink ref="H221" r:id="rId858" display="http://113.160.97.58:8224/Viewer/HoaDonViewer.aspx?mhd=53944915-5978-4e9e-ab19-cefd50d2aacc&amp;iscd=1"/>
    <hyperlink ref="I221" r:id="rId859" display="http://113.160.97.58:8224/Viewer/Downloadfile.aspx?mhd=53944915-5978-4e9e-ab19-cefd50d2aacc"/>
    <hyperlink ref="R221" r:id="rId860" display="https://thuphi.haiphong.gov.vn:8222/tra-cuu-bien-lai-dien-tu?ma_tracuu=6S8HQCRD36"/>
    <hyperlink ref="G222" r:id="rId861" display="http://113.160.97.58:8224/Viewer/HoaDonViewer.aspx?mhd=de82cdff-bfd5-4e28-a1a1-aa2195d4657a"/>
    <hyperlink ref="H222" r:id="rId862" display="http://113.160.97.58:8224/Viewer/HoaDonViewer.aspx?mhd=de82cdff-bfd5-4e28-a1a1-aa2195d4657a&amp;iscd=1"/>
    <hyperlink ref="I222" r:id="rId863" display="http://113.160.97.58:8224/Viewer/Downloadfile.aspx?mhd=de82cdff-bfd5-4e28-a1a1-aa2195d4657a"/>
    <hyperlink ref="R222" r:id="rId864" display="https://thuphi.haiphong.gov.vn:8222/tra-cuu-bien-lai-dien-tu?ma_tracuu=F3Y1M0CD3J"/>
    <hyperlink ref="G223" r:id="rId865" display="http://113.160.97.58:8224/Viewer/HoaDonViewer.aspx?mhd=17a1d47e-3db7-43ff-ace8-8d5520e05933"/>
    <hyperlink ref="H223" r:id="rId866" display="http://113.160.97.58:8224/Viewer/HoaDonViewer.aspx?mhd=17a1d47e-3db7-43ff-ace8-8d5520e05933&amp;iscd=1"/>
    <hyperlink ref="I223" r:id="rId867" display="http://113.160.97.58:8224/Viewer/Downloadfile.aspx?mhd=17a1d47e-3db7-43ff-ace8-8d5520e05933"/>
    <hyperlink ref="R223" r:id="rId868" display="https://thuphi.haiphong.gov.vn:8222/tra-cuu-bien-lai-dien-tu?ma_tracuu=KN04E9CD3S"/>
    <hyperlink ref="G224" r:id="rId869" display="http://113.160.97.58:8224/Viewer/HoaDonViewer.aspx?mhd=fbf3de23-c830-4b60-854c-883e9bae38fa"/>
    <hyperlink ref="H224" r:id="rId870" display="http://113.160.97.58:8224/Viewer/HoaDonViewer.aspx?mhd=fbf3de23-c830-4b60-854c-883e9bae38fa&amp;iscd=1"/>
    <hyperlink ref="I224" r:id="rId871" display="http://113.160.97.58:8224/Viewer/Downloadfile.aspx?mhd=fbf3de23-c830-4b60-854c-883e9bae38fa"/>
    <hyperlink ref="R224" r:id="rId872" display="https://thuphi.haiphong.gov.vn:8222/tra-cuu-bien-lai-dien-tu?ma_tracuu=YYYWA24D3X"/>
    <hyperlink ref="G225" r:id="rId873" display="http://113.160.97.58:8224/Viewer/HoaDonViewer.aspx?mhd=e0c5c5a9-6074-4b7b-8c66-f5b52b153eb6"/>
    <hyperlink ref="H225" r:id="rId874" display="http://113.160.97.58:8224/Viewer/HoaDonViewer.aspx?mhd=e0c5c5a9-6074-4b7b-8c66-f5b52b153eb6&amp;iscd=1"/>
    <hyperlink ref="I225" r:id="rId875" display="http://113.160.97.58:8224/Viewer/Downloadfile.aspx?mhd=e0c5c5a9-6074-4b7b-8c66-f5b52b153eb6"/>
    <hyperlink ref="R225" r:id="rId876" display="https://thuphi.haiphong.gov.vn:8222/tra-cuu-bien-lai-dien-tu?ma_tracuu=3QCMJCCD32"/>
    <hyperlink ref="G226" r:id="rId877" display="http://113.160.97.58:8224/Viewer/HoaDonViewer.aspx?mhd=06409a0e-1f63-4f3d-86c5-700f58520aae"/>
    <hyperlink ref="H226" r:id="rId878" display="http://113.160.97.58:8224/Viewer/HoaDonViewer.aspx?mhd=06409a0e-1f63-4f3d-86c5-700f58520aae&amp;iscd=1"/>
    <hyperlink ref="I226" r:id="rId879" display="http://113.160.97.58:8224/Viewer/Downloadfile.aspx?mhd=06409a0e-1f63-4f3d-86c5-700f58520aae"/>
    <hyperlink ref="R226" r:id="rId880" display="https://thuphi.haiphong.gov.vn:8222/tra-cuu-bien-lai-dien-tu?ma_tracuu=M1YC0LCD3T"/>
    <hyperlink ref="G227" r:id="rId881" display="http://113.160.97.58:8224/Viewer/HoaDonViewer.aspx?mhd=57cc605a-beac-4811-be06-98bde2205a3a"/>
    <hyperlink ref="H227" r:id="rId882" display="http://113.160.97.58:8224/Viewer/HoaDonViewer.aspx?mhd=57cc605a-beac-4811-be06-98bde2205a3a&amp;iscd=1"/>
    <hyperlink ref="I227" r:id="rId883" display="http://113.160.97.58:8224/Viewer/Downloadfile.aspx?mhd=57cc605a-beac-4811-be06-98bde2205a3a"/>
    <hyperlink ref="R227" r:id="rId884" display="https://thuphi.haiphong.gov.vn:8222/tra-cuu-bien-lai-dien-tu?ma_tracuu=X1V8AECD30"/>
    <hyperlink ref="G228" r:id="rId885" display="http://113.160.97.58:8224/Viewer/HoaDonViewer.aspx?mhd=d36831a5-f2d4-4b1a-bef8-2987a40884a5"/>
    <hyperlink ref="H228" r:id="rId886" display="http://113.160.97.58:8224/Viewer/HoaDonViewer.aspx?mhd=d36831a5-f2d4-4b1a-bef8-2987a40884a5&amp;iscd=1"/>
    <hyperlink ref="I228" r:id="rId887" display="http://113.160.97.58:8224/Viewer/Downloadfile.aspx?mhd=d36831a5-f2d4-4b1a-bef8-2987a40884a5"/>
    <hyperlink ref="R228" r:id="rId888" display="https://thuphi.haiphong.gov.vn:8222/tra-cuu-bien-lai-dien-tu?ma_tracuu=ZT3WQ9CD3W"/>
    <hyperlink ref="G229" r:id="rId889" display="http://113.160.97.58:8224/Viewer/HoaDonViewer.aspx?mhd=2799dca8-ecc2-43f5-97c9-68ec09941a86"/>
    <hyperlink ref="H229" r:id="rId890" display="http://113.160.97.58:8224/Viewer/HoaDonViewer.aspx?mhd=2799dca8-ecc2-43f5-97c9-68ec09941a86&amp;iscd=1"/>
    <hyperlink ref="I229" r:id="rId891" display="http://113.160.97.58:8224/Viewer/Downloadfile.aspx?mhd=2799dca8-ecc2-43f5-97c9-68ec09941a86"/>
    <hyperlink ref="R229" r:id="rId892" display="https://thuphi.haiphong.gov.vn:8222/tra-cuu-bien-lai-dien-tu?ma_tracuu=53UXDFDD3C"/>
    <hyperlink ref="G230" r:id="rId893" display="http://113.160.97.58:8224/Viewer/HoaDonViewer.aspx?mhd=88a33e95-96e5-4c98-802c-9956d7222009"/>
    <hyperlink ref="H230" r:id="rId894" display="http://113.160.97.58:8224/Viewer/HoaDonViewer.aspx?mhd=88a33e95-96e5-4c98-802c-9956d7222009&amp;iscd=1"/>
    <hyperlink ref="I230" r:id="rId895" display="http://113.160.97.58:8224/Viewer/Downloadfile.aspx?mhd=88a33e95-96e5-4c98-802c-9956d7222009"/>
    <hyperlink ref="R230" r:id="rId896" display="https://thuphi.haiphong.gov.vn:8222/tra-cuu-bien-lai-dien-tu?ma_tracuu=JHNQ76CD38"/>
    <hyperlink ref="G231" r:id="rId897" display="http://113.160.97.58:8224/Viewer/HoaDonViewer.aspx?mhd=1ab19d89-8926-4712-b0f1-192632ce0b92"/>
    <hyperlink ref="H231" r:id="rId898" display="http://113.160.97.58:8224/Viewer/HoaDonViewer.aspx?mhd=1ab19d89-8926-4712-b0f1-192632ce0b92&amp;iscd=1"/>
    <hyperlink ref="I231" r:id="rId899" display="http://113.160.97.58:8224/Viewer/Downloadfile.aspx?mhd=1ab19d89-8926-4712-b0f1-192632ce0b92"/>
    <hyperlink ref="R231" r:id="rId900" display="https://thuphi.haiphong.gov.vn:8222/tra-cuu-bien-lai-dien-tu?ma_tracuu=R6A4PNED3B"/>
    <hyperlink ref="G232" r:id="rId901" display="http://113.160.97.58:8224/Viewer/HoaDonViewer.aspx?mhd=2df1f01e-aae5-40ce-9445-dd852e575649"/>
    <hyperlink ref="H232" r:id="rId902" display="http://113.160.97.58:8224/Viewer/HoaDonViewer.aspx?mhd=2df1f01e-aae5-40ce-9445-dd852e575649&amp;iscd=1"/>
    <hyperlink ref="I232" r:id="rId903" display="http://113.160.97.58:8224/Viewer/Downloadfile.aspx?mhd=2df1f01e-aae5-40ce-9445-dd852e575649"/>
    <hyperlink ref="R232" r:id="rId904" display="https://thuphi.haiphong.gov.vn:8222/tra-cuu-bien-lai-dien-tu?ma_tracuu=RLNPUIED3T"/>
    <hyperlink ref="G233" r:id="rId905" display="http://113.160.97.58:8224/Viewer/HoaDonViewer.aspx?mhd=1fd467f4-4816-4244-956c-3b5a452198ea"/>
    <hyperlink ref="H233" r:id="rId906" display="http://113.160.97.58:8224/Viewer/HoaDonViewer.aspx?mhd=1fd467f4-4816-4244-956c-3b5a452198ea&amp;iscd=1"/>
    <hyperlink ref="I233" r:id="rId907" display="http://113.160.97.58:8224/Viewer/Downloadfile.aspx?mhd=1fd467f4-4816-4244-956c-3b5a452198ea"/>
    <hyperlink ref="R233" r:id="rId908" display="https://thuphi.haiphong.gov.vn:8222/tra-cuu-bien-lai-dien-tu?ma_tracuu=30C37QCD3S"/>
    <hyperlink ref="G234" r:id="rId909" display="http://113.160.97.58:8224/Viewer/HoaDonViewer.aspx?mhd=5627f93d-0082-4af0-8c79-0b588eb33b31"/>
    <hyperlink ref="H234" r:id="rId910" display="http://113.160.97.58:8224/Viewer/HoaDonViewer.aspx?mhd=5627f93d-0082-4af0-8c79-0b588eb33b31&amp;iscd=1"/>
    <hyperlink ref="I234" r:id="rId911" display="http://113.160.97.58:8224/Viewer/Downloadfile.aspx?mhd=5627f93d-0082-4af0-8c79-0b588eb33b31"/>
    <hyperlink ref="R234" r:id="rId912" display="https://thuphi.haiphong.gov.vn:8222/tra-cuu-bien-lai-dien-tu?ma_tracuu=ZI1163DD3R"/>
    <hyperlink ref="G235" r:id="rId913" display="http://113.160.97.58:8224/Viewer/HoaDonViewer.aspx?mhd=84571a9f-8613-4889-8f9a-dc5324b3e2a2"/>
    <hyperlink ref="H235" r:id="rId914" display="http://113.160.97.58:8224/Viewer/HoaDonViewer.aspx?mhd=84571a9f-8613-4889-8f9a-dc5324b3e2a2&amp;iscd=1"/>
    <hyperlink ref="I235" r:id="rId915" display="http://113.160.97.58:8224/Viewer/Downloadfile.aspx?mhd=84571a9f-8613-4889-8f9a-dc5324b3e2a2"/>
    <hyperlink ref="R235" r:id="rId916" display="https://thuphi.haiphong.gov.vn:8222/tra-cuu-bien-lai-dien-tu?ma_tracuu=480SS73D3B"/>
    <hyperlink ref="G236" r:id="rId917" display="http://113.160.97.58:8224/Viewer/HoaDonViewer.aspx?mhd=3fb9dbcd-bccb-4871-9744-9f88feb454d4"/>
    <hyperlink ref="H236" r:id="rId918" display="http://113.160.97.58:8224/Viewer/HoaDonViewer.aspx?mhd=3fb9dbcd-bccb-4871-9744-9f88feb454d4&amp;iscd=1"/>
    <hyperlink ref="I236" r:id="rId919" display="http://113.160.97.58:8224/Viewer/Downloadfile.aspx?mhd=3fb9dbcd-bccb-4871-9744-9f88feb454d4"/>
    <hyperlink ref="R236" r:id="rId920" display="https://thuphi.haiphong.gov.vn:8222/tra-cuu-bien-lai-dien-tu?ma_tracuu=VP2G2IED3N"/>
    <hyperlink ref="G237" r:id="rId921" display="http://113.160.97.58:8224/Viewer/HoaDonViewer.aspx?mhd=6f862b5c-7b75-4e79-b947-d689417ae00a"/>
    <hyperlink ref="H237" r:id="rId922" display="http://113.160.97.58:8224/Viewer/HoaDonViewer.aspx?mhd=6f862b5c-7b75-4e79-b947-d689417ae00a&amp;iscd=1"/>
    <hyperlink ref="I237" r:id="rId923" display="http://113.160.97.58:8224/Viewer/Downloadfile.aspx?mhd=6f862b5c-7b75-4e79-b947-d689417ae00a"/>
    <hyperlink ref="R237" r:id="rId924" display="https://thuphi.haiphong.gov.vn:8222/tra-cuu-bien-lai-dien-tu?ma_tracuu=7JXIV7ED38"/>
    <hyperlink ref="G238" r:id="rId925" display="http://113.160.97.58:8224/Viewer/HoaDonViewer.aspx?mhd=a767b660-46f1-4073-a564-055d3f46b452"/>
    <hyperlink ref="H238" r:id="rId926" display="http://113.160.97.58:8224/Viewer/HoaDonViewer.aspx?mhd=a767b660-46f1-4073-a564-055d3f46b452&amp;iscd=1"/>
    <hyperlink ref="I238" r:id="rId927" display="http://113.160.97.58:8224/Viewer/Downloadfile.aspx?mhd=a767b660-46f1-4073-a564-055d3f46b452"/>
    <hyperlink ref="R238" r:id="rId928" display="https://thuphi.haiphong.gov.vn:8222/tra-cuu-bien-lai-dien-tu?ma_tracuu=3NFDGE3D3X"/>
    <hyperlink ref="G239" r:id="rId929" display="http://113.160.97.58:8224/Viewer/HoaDonViewer.aspx?mhd=8ff4d90a-5220-4af8-b46f-0ae53428381d"/>
    <hyperlink ref="H239" r:id="rId930" display="http://113.160.97.58:8224/Viewer/HoaDonViewer.aspx?mhd=8ff4d90a-5220-4af8-b46f-0ae53428381d&amp;iscd=1"/>
    <hyperlink ref="I239" r:id="rId931" display="http://113.160.97.58:8224/Viewer/Downloadfile.aspx?mhd=8ff4d90a-5220-4af8-b46f-0ae53428381d"/>
    <hyperlink ref="R239" r:id="rId932" display="https://thuphi.haiphong.gov.vn:8222/tra-cuu-bien-lai-dien-tu?ma_tracuu=9Y4KC3ED30"/>
    <hyperlink ref="G240" r:id="rId933" display="http://113.160.97.58:8224/Viewer/HoaDonViewer.aspx?mhd=f937de00-7176-42da-b8f8-9dbf1da8e936"/>
    <hyperlink ref="H240" r:id="rId934" display="http://113.160.97.58:8224/Viewer/HoaDonViewer.aspx?mhd=f937de00-7176-42da-b8f8-9dbf1da8e936&amp;iscd=1"/>
    <hyperlink ref="I240" r:id="rId935" display="http://113.160.97.58:8224/Viewer/Downloadfile.aspx?mhd=f937de00-7176-42da-b8f8-9dbf1da8e936"/>
    <hyperlink ref="R240" r:id="rId936" display="https://thuphi.haiphong.gov.vn:8222/tra-cuu-bien-lai-dien-tu?ma_tracuu=6XQWC8XD3U"/>
    <hyperlink ref="G241" r:id="rId937" display="http://113.160.97.58:8224/Viewer/HoaDonViewer.aspx?mhd=2881ab14-c2da-48d7-b594-cb60fd778f0c"/>
    <hyperlink ref="H241" r:id="rId938" display="http://113.160.97.58:8224/Viewer/HoaDonViewer.aspx?mhd=2881ab14-c2da-48d7-b594-cb60fd778f0c&amp;iscd=1"/>
    <hyperlink ref="I241" r:id="rId939" display="http://113.160.97.58:8224/Viewer/Downloadfile.aspx?mhd=2881ab14-c2da-48d7-b594-cb60fd778f0c"/>
    <hyperlink ref="R241" r:id="rId940" display="https://thuphi.haiphong.gov.vn:8222/tra-cuu-bien-lai-dien-tu?ma_tracuu=5VLGC4ED3S"/>
    <hyperlink ref="G242" r:id="rId941" display="http://113.160.97.58:8224/Viewer/HoaDonViewer.aspx?mhd=00de566b-cd21-4ee8-bdbc-eac354bd71b0"/>
    <hyperlink ref="H242" r:id="rId942" display="http://113.160.97.58:8224/Viewer/HoaDonViewer.aspx?mhd=00de566b-cd21-4ee8-bdbc-eac354bd71b0&amp;iscd=1"/>
    <hyperlink ref="I242" r:id="rId943" display="http://113.160.97.58:8224/Viewer/Downloadfile.aspx?mhd=00de566b-cd21-4ee8-bdbc-eac354bd71b0"/>
    <hyperlink ref="R242" r:id="rId944" display="https://thuphi.haiphong.gov.vn:8222/tra-cuu-bien-lai-dien-tu?ma_tracuu=D5NEHGXD3H"/>
    <hyperlink ref="G243" r:id="rId945" display="http://113.160.97.58:8224/Viewer/HoaDonViewer.aspx?mhd=ef74b536-1018-408e-8431-a62957284165"/>
    <hyperlink ref="H243" r:id="rId946" display="http://113.160.97.58:8224/Viewer/HoaDonViewer.aspx?mhd=ef74b536-1018-408e-8431-a62957284165&amp;iscd=1"/>
    <hyperlink ref="I243" r:id="rId947" display="http://113.160.97.58:8224/Viewer/Downloadfile.aspx?mhd=ef74b536-1018-408e-8431-a62957284165"/>
    <hyperlink ref="R243" r:id="rId948" display="https://thuphi.haiphong.gov.vn:8222/tra-cuu-bien-lai-dien-tu?ma_tracuu=GVIZ5XNX3Y"/>
    <hyperlink ref="G244" r:id="rId949" display="http://113.160.97.58:8224/Viewer/HoaDonViewer.aspx?mhd=559e5366-40af-4ea9-b014-5640d3c3af16"/>
    <hyperlink ref="H244" r:id="rId950" display="http://113.160.97.58:8224/Viewer/HoaDonViewer.aspx?mhd=559e5366-40af-4ea9-b014-5640d3c3af16&amp;iscd=1"/>
    <hyperlink ref="I244" r:id="rId951" display="http://113.160.97.58:8224/Viewer/Downloadfile.aspx?mhd=559e5366-40af-4ea9-b014-5640d3c3af16"/>
    <hyperlink ref="R244" r:id="rId952" display="https://thuphi.haiphong.gov.vn:8222/tra-cuu-bien-lai-dien-tu?ma_tracuu=MVYI8LMS3D"/>
    <hyperlink ref="G245" r:id="rId953" display="http://113.160.97.58:8224/Viewer/HoaDonViewer.aspx?mhd=4a7f251d-6087-4036-a2fb-7b7a7950a290"/>
    <hyperlink ref="H245" r:id="rId954" display="http://113.160.97.58:8224/Viewer/HoaDonViewer.aspx?mhd=4a7f251d-6087-4036-a2fb-7b7a7950a290&amp;iscd=1"/>
    <hyperlink ref="I245" r:id="rId955" display="http://113.160.97.58:8224/Viewer/Downloadfile.aspx?mhd=4a7f251d-6087-4036-a2fb-7b7a7950a290"/>
    <hyperlink ref="R245" r:id="rId956" display="https://thuphi.haiphong.gov.vn:8222/tra-cuu-bien-lai-dien-tu?ma_tracuu=Z8YHPU8S3Q"/>
    <hyperlink ref="G246" r:id="rId957" display="http://113.160.97.58:8224/Viewer/HoaDonViewer.aspx?mhd=6b08d8d1-771e-41e0-8059-01c84e7f4d36"/>
    <hyperlink ref="H246" r:id="rId958" display="http://113.160.97.58:8224/Viewer/HoaDonViewer.aspx?mhd=6b08d8d1-771e-41e0-8059-01c84e7f4d36&amp;iscd=1"/>
    <hyperlink ref="I246" r:id="rId959" display="http://113.160.97.58:8224/Viewer/Downloadfile.aspx?mhd=6b08d8d1-771e-41e0-8059-01c84e7f4d36"/>
    <hyperlink ref="R246" r:id="rId960" display="https://thuphi.haiphong.gov.vn:8222/tra-cuu-bien-lai-dien-tu?ma_tracuu=13LUWYMS3C"/>
    <hyperlink ref="G247" r:id="rId961" display="http://113.160.97.58:8224/Viewer/HoaDonViewer.aspx?mhd=aaa01960-0704-41c6-aec8-896218063bc3"/>
    <hyperlink ref="H247" r:id="rId962" display="http://113.160.97.58:8224/Viewer/HoaDonViewer.aspx?mhd=aaa01960-0704-41c6-aec8-896218063bc3&amp;iscd=1"/>
    <hyperlink ref="I247" r:id="rId963" display="http://113.160.97.58:8224/Viewer/Downloadfile.aspx?mhd=aaa01960-0704-41c6-aec8-896218063bc3"/>
    <hyperlink ref="R247" r:id="rId964" display="https://thuphi.haiphong.gov.vn:8222/tra-cuu-bien-lai-dien-tu?ma_tracuu=G8E5LFMS3J"/>
    <hyperlink ref="G248" r:id="rId965" display="http://113.160.97.58:8224/Viewer/HoaDonViewer.aspx?mhd=97b25498-1464-4b4b-815a-b9414f45b011"/>
    <hyperlink ref="H248" r:id="rId966" display="http://113.160.97.58:8224/Viewer/HoaDonViewer.aspx?mhd=97b25498-1464-4b4b-815a-b9414f45b011&amp;iscd=1"/>
    <hyperlink ref="I248" r:id="rId967" display="http://113.160.97.58:8224/Viewer/Downloadfile.aspx?mhd=97b25498-1464-4b4b-815a-b9414f45b011"/>
    <hyperlink ref="R248" r:id="rId968" display="https://thuphi.haiphong.gov.vn:8222/tra-cuu-bien-lai-dien-tu?ma_tracuu=DSZ66CJS30"/>
    <hyperlink ref="G249" r:id="rId969" display="http://113.160.97.58:8224/Viewer/HoaDonViewer.aspx?mhd=8de95677-dad1-4d46-a33c-2c16cd768c38"/>
    <hyperlink ref="H249" r:id="rId970" display="http://113.160.97.58:8224/Viewer/HoaDonViewer.aspx?mhd=8de95677-dad1-4d46-a33c-2c16cd768c38&amp;iscd=1"/>
    <hyperlink ref="I249" r:id="rId971" display="http://113.160.97.58:8224/Viewer/Downloadfile.aspx?mhd=8de95677-dad1-4d46-a33c-2c16cd768c38"/>
    <hyperlink ref="R249" r:id="rId972" display="https://thuphi.haiphong.gov.vn:8222/tra-cuu-bien-lai-dien-tu?ma_tracuu=WF978W6S36"/>
    <hyperlink ref="G250" r:id="rId973" display="http://113.160.97.58:8224/Viewer/HoaDonViewer.aspx?mhd=8d5102f2-d0af-41d3-948a-17cf0561e5fe"/>
    <hyperlink ref="H250" r:id="rId974" display="http://113.160.97.58:8224/Viewer/HoaDonViewer.aspx?mhd=8d5102f2-d0af-41d3-948a-17cf0561e5fe&amp;iscd=1"/>
    <hyperlink ref="I250" r:id="rId975" display="http://113.160.97.58:8224/Viewer/Downloadfile.aspx?mhd=8d5102f2-d0af-41d3-948a-17cf0561e5fe"/>
    <hyperlink ref="R250" r:id="rId976" display="https://thuphi.haiphong.gov.vn:8222/tra-cuu-bien-lai-dien-tu?ma_tracuu=U2SGE7ZS3J"/>
    <hyperlink ref="G251" r:id="rId977" display="http://113.160.97.58:8224/Viewer/HoaDonViewer.aspx?mhd=29fe7810-c3ff-45f1-9ccb-17f5479eb54b"/>
    <hyperlink ref="H251" r:id="rId978" display="http://113.160.97.58:8224/Viewer/HoaDonViewer.aspx?mhd=29fe7810-c3ff-45f1-9ccb-17f5479eb54b&amp;iscd=1"/>
    <hyperlink ref="I251" r:id="rId979" display="http://113.160.97.58:8224/Viewer/Downloadfile.aspx?mhd=29fe7810-c3ff-45f1-9ccb-17f5479eb54b"/>
    <hyperlink ref="R251" r:id="rId980" display="https://thuphi.haiphong.gov.vn:8222/tra-cuu-bien-lai-dien-tu?ma_tracuu=5IWV4QGW3F"/>
    <hyperlink ref="G252" r:id="rId981" display="http://113.160.97.58:8224/Viewer/HoaDonViewer.aspx?mhd=007ce71d-4d5e-4347-b2c0-c8dbd6d07775"/>
    <hyperlink ref="H252" r:id="rId982" display="http://113.160.97.58:8224/Viewer/HoaDonViewer.aspx?mhd=007ce71d-4d5e-4347-b2c0-c8dbd6d07775&amp;iscd=1"/>
    <hyperlink ref="I252" r:id="rId983" display="http://113.160.97.58:8224/Viewer/Downloadfile.aspx?mhd=007ce71d-4d5e-4347-b2c0-c8dbd6d07775"/>
    <hyperlink ref="R252" r:id="rId984" display="https://thuphi.haiphong.gov.vn:8222/tra-cuu-bien-lai-dien-tu?ma_tracuu=P0PSCLL0X9"/>
    <hyperlink ref="G253" r:id="rId985" display="http://113.160.97.58:8224/Viewer/HoaDonViewer.aspx?mhd=9c0b207e-d279-47d9-bea4-3b979c917dc3"/>
    <hyperlink ref="H253" r:id="rId986" display="http://113.160.97.58:8224/Viewer/HoaDonViewer.aspx?mhd=9c0b207e-d279-47d9-bea4-3b979c917dc3&amp;iscd=1"/>
    <hyperlink ref="I253" r:id="rId987" display="http://113.160.97.58:8224/Viewer/Downloadfile.aspx?mhd=9c0b207e-d279-47d9-bea4-3b979c917dc3"/>
    <hyperlink ref="R253" r:id="rId988" display="https://thuphi.haiphong.gov.vn:8222/tra-cuu-bien-lai-dien-tu?ma_tracuu=ZUEU8V00XF"/>
    <hyperlink ref="G254" r:id="rId989" display="http://113.160.97.58:8224/Viewer/HoaDonViewer.aspx?mhd=bbd91efd-5bbe-4cdc-8362-7c4b80a20a6d"/>
    <hyperlink ref="H254" r:id="rId990" display="http://113.160.97.58:8224/Viewer/HoaDonViewer.aspx?mhd=bbd91efd-5bbe-4cdc-8362-7c4b80a20a6d&amp;iscd=1"/>
    <hyperlink ref="I254" r:id="rId991" display="http://113.160.97.58:8224/Viewer/Downloadfile.aspx?mhd=bbd91efd-5bbe-4cdc-8362-7c4b80a20a6d"/>
    <hyperlink ref="R254" r:id="rId992" display="https://thuphi.haiphong.gov.vn:8222/tra-cuu-bien-lai-dien-tu?ma_tracuu=Q7HTGPL0XK"/>
    <hyperlink ref="G255" r:id="rId993" display="http://113.160.97.58:8224/Viewer/HoaDonViewer.aspx?mhd=6f332710-6bae-42cc-b81c-abfe892951af"/>
    <hyperlink ref="H255" r:id="rId994" display="http://113.160.97.58:8224/Viewer/HoaDonViewer.aspx?mhd=6f332710-6bae-42cc-b81c-abfe892951af&amp;iscd=1"/>
    <hyperlink ref="I255" r:id="rId995" display="http://113.160.97.58:8224/Viewer/Downloadfile.aspx?mhd=6f332710-6bae-42cc-b81c-abfe892951af"/>
    <hyperlink ref="R255" r:id="rId996" display="https://thuphi.haiphong.gov.vn:8222/tra-cuu-bien-lai-dien-tu?ma_tracuu=4ZPVB490X4"/>
    <hyperlink ref="G256" r:id="rId997" display="http://113.160.97.58:8224/Viewer/HoaDonViewer.aspx?mhd=36663e66-3091-44a1-8149-c3c61c942107"/>
    <hyperlink ref="H256" r:id="rId998" display="http://113.160.97.58:8224/Viewer/HoaDonViewer.aspx?mhd=36663e66-3091-44a1-8149-c3c61c942107&amp;iscd=1"/>
    <hyperlink ref="I256" r:id="rId999" display="http://113.160.97.58:8224/Viewer/Downloadfile.aspx?mhd=36663e66-3091-44a1-8149-c3c61c942107"/>
    <hyperlink ref="R256" r:id="rId1000" display="https://thuphi.haiphong.gov.vn:8222/tra-cuu-bien-lai-dien-tu?ma_tracuu=XK0DX2L0XY"/>
    <hyperlink ref="G257" r:id="rId1001" display="http://113.160.97.58:8224/Viewer/HoaDonViewer.aspx?mhd=97e5aff6-7087-411f-9311-daa4ef6edd31"/>
    <hyperlink ref="H257" r:id="rId1002" display="http://113.160.97.58:8224/Viewer/HoaDonViewer.aspx?mhd=97e5aff6-7087-411f-9311-daa4ef6edd31&amp;iscd=1"/>
    <hyperlink ref="I257" r:id="rId1003" display="http://113.160.97.58:8224/Viewer/Downloadfile.aspx?mhd=97e5aff6-7087-411f-9311-daa4ef6edd31"/>
    <hyperlink ref="R257" r:id="rId1004" display="https://thuphi.haiphong.gov.vn:8222/tra-cuu-bien-lai-dien-tu?ma_tracuu=8WIJ9F90XF"/>
    <hyperlink ref="G258" r:id="rId1005" display="http://113.160.97.58:8224/Viewer/HoaDonViewer.aspx?mhd=6bd140e6-4492-4b09-8e64-47b4ec05ad2b"/>
    <hyperlink ref="H258" r:id="rId1006" display="http://113.160.97.58:8224/Viewer/HoaDonViewer.aspx?mhd=6bd140e6-4492-4b09-8e64-47b4ec05ad2b&amp;iscd=1"/>
    <hyperlink ref="I258" r:id="rId1007" display="http://113.160.97.58:8224/Viewer/Downloadfile.aspx?mhd=6bd140e6-4492-4b09-8e64-47b4ec05ad2b"/>
    <hyperlink ref="R258" r:id="rId1008" display="https://thuphi.haiphong.gov.vn:8222/tra-cuu-bien-lai-dien-tu?ma_tracuu=KMSCMML0X1"/>
    <hyperlink ref="G259" r:id="rId1009" display="http://113.160.97.58:8224/Viewer/HoaDonViewer.aspx?mhd=96412ae7-1e4e-4140-8e82-92d245f767e4"/>
    <hyperlink ref="H259" r:id="rId1010" display="http://113.160.97.58:8224/Viewer/HoaDonViewer.aspx?mhd=96412ae7-1e4e-4140-8e82-92d245f767e4&amp;iscd=1"/>
    <hyperlink ref="I259" r:id="rId1011" display="http://113.160.97.58:8224/Viewer/Downloadfile.aspx?mhd=96412ae7-1e4e-4140-8e82-92d245f767e4"/>
    <hyperlink ref="R259" r:id="rId1012" display="https://thuphi.haiphong.gov.vn:8222/tra-cuu-bien-lai-dien-tu?ma_tracuu=NB6B03L0XI"/>
    <hyperlink ref="G260" r:id="rId1013" display="http://113.160.97.58:8224/Viewer/HoaDonViewer.aspx?mhd=62c2eb57-488d-49d9-ad21-9e4f6d7e57a4"/>
    <hyperlink ref="H260" r:id="rId1014" display="http://113.160.97.58:8224/Viewer/HoaDonViewer.aspx?mhd=62c2eb57-488d-49d9-ad21-9e4f6d7e57a4&amp;iscd=1"/>
    <hyperlink ref="I260" r:id="rId1015" display="http://113.160.97.58:8224/Viewer/Downloadfile.aspx?mhd=62c2eb57-488d-49d9-ad21-9e4f6d7e57a4"/>
    <hyperlink ref="R260" r:id="rId1016" display="https://thuphi.haiphong.gov.vn:8222/tra-cuu-bien-lai-dien-tu?ma_tracuu=QVHKNV90XA"/>
    <hyperlink ref="G261" r:id="rId1017" display="http://113.160.97.58:8224/Viewer/HoaDonViewer.aspx?mhd=d822bc3f-e150-4ffb-abde-b984e0fc8a6b"/>
    <hyperlink ref="H261" r:id="rId1018" display="http://113.160.97.58:8224/Viewer/HoaDonViewer.aspx?mhd=d822bc3f-e150-4ffb-abde-b984e0fc8a6b&amp;iscd=1"/>
    <hyperlink ref="I261" r:id="rId1019" display="http://113.160.97.58:8224/Viewer/Downloadfile.aspx?mhd=d822bc3f-e150-4ffb-abde-b984e0fc8a6b"/>
    <hyperlink ref="R261" r:id="rId1020" display="https://thuphi.haiphong.gov.vn:8222/tra-cuu-bien-lai-dien-tu?ma_tracuu=79HUARK0X9"/>
    <hyperlink ref="G262" r:id="rId1021" display="http://113.160.97.58:8224/Viewer/HoaDonViewer.aspx?mhd=e92dc50c-2fd8-4890-899c-30fb5fbc2ede"/>
    <hyperlink ref="H262" r:id="rId1022" display="http://113.160.97.58:8224/Viewer/HoaDonViewer.aspx?mhd=e92dc50c-2fd8-4890-899c-30fb5fbc2ede&amp;iscd=1"/>
    <hyperlink ref="I262" r:id="rId1023" display="http://113.160.97.58:8224/Viewer/Downloadfile.aspx?mhd=e92dc50c-2fd8-4890-899c-30fb5fbc2ede"/>
    <hyperlink ref="R262" r:id="rId1024" display="https://thuphi.haiphong.gov.vn:8222/tra-cuu-bien-lai-dien-tu?ma_tracuu=0EMER7I0XH"/>
    <hyperlink ref="G263" r:id="rId1025" display="http://113.160.97.58:8224/Viewer/HoaDonViewer.aspx?mhd=84468227-d613-4889-b3fe-08d45e180112"/>
    <hyperlink ref="H263" r:id="rId1026" display="http://113.160.97.58:8224/Viewer/HoaDonViewer.aspx?mhd=84468227-d613-4889-b3fe-08d45e180112&amp;iscd=1"/>
    <hyperlink ref="I263" r:id="rId1027" display="http://113.160.97.58:8224/Viewer/Downloadfile.aspx?mhd=84468227-d613-4889-b3fe-08d45e180112"/>
    <hyperlink ref="R263" r:id="rId1028" display="https://thuphi.haiphong.gov.vn:8222/tra-cuu-bien-lai-dien-tu?ma_tracuu=08QRGSUVXQ"/>
    <hyperlink ref="G264" r:id="rId1029" display="http://113.160.97.58:8224/Viewer/HoaDonViewer.aspx?mhd=d753f1b1-46aa-4b52-b73c-57cbf64afa10"/>
    <hyperlink ref="H264" r:id="rId1030" display="http://113.160.97.58:8224/Viewer/HoaDonViewer.aspx?mhd=d753f1b1-46aa-4b52-b73c-57cbf64afa10&amp;iscd=1"/>
    <hyperlink ref="I264" r:id="rId1031" display="http://113.160.97.58:8224/Viewer/Downloadfile.aspx?mhd=d753f1b1-46aa-4b52-b73c-57cbf64afa10"/>
    <hyperlink ref="R264" r:id="rId1032" display="https://thuphi.haiphong.gov.vn:8222/tra-cuu-bien-lai-dien-tu?ma_tracuu=S81LFLYFXN"/>
    <hyperlink ref="G265" r:id="rId1033" display="http://113.160.97.58:8224/Viewer/HoaDonViewer.aspx?mhd=07a2cac0-0be3-48ea-b281-6769ea7e361d"/>
    <hyperlink ref="H265" r:id="rId1034" display="http://113.160.97.58:8224/Viewer/HoaDonViewer.aspx?mhd=07a2cac0-0be3-48ea-b281-6769ea7e361d&amp;iscd=1"/>
    <hyperlink ref="I265" r:id="rId1035" display="http://113.160.97.58:8224/Viewer/Downloadfile.aspx?mhd=07a2cac0-0be3-48ea-b281-6769ea7e361d"/>
    <hyperlink ref="R265" r:id="rId1036" display="https://thuphi.haiphong.gov.vn:8222/tra-cuu-bien-lai-dien-tu?ma_tracuu=2F9PXLYFX6"/>
    <hyperlink ref="G266" r:id="rId1037" display="http://113.160.97.58:8224/Viewer/HoaDonViewer.aspx?mhd=a83ffd3a-93ed-4748-9d52-48a994696486"/>
    <hyperlink ref="H266" r:id="rId1038" display="http://113.160.97.58:8224/Viewer/HoaDonViewer.aspx?mhd=a83ffd3a-93ed-4748-9d52-48a994696486&amp;iscd=1"/>
    <hyperlink ref="I266" r:id="rId1039" display="http://113.160.97.58:8224/Viewer/Downloadfile.aspx?mhd=a83ffd3a-93ed-4748-9d52-48a994696486"/>
    <hyperlink ref="R266" r:id="rId1040" display="https://thuphi.haiphong.gov.vn:8222/tra-cuu-bien-lai-dien-tu?ma_tracuu=1WZWZ2YFXN"/>
    <hyperlink ref="G267" r:id="rId1041" display="http://113.160.97.58:8224/Viewer/HoaDonViewer.aspx?mhd=a3e074c6-f336-4696-9dc2-5d036b36464d"/>
    <hyperlink ref="H267" r:id="rId1042" display="http://113.160.97.58:8224/Viewer/HoaDonViewer.aspx?mhd=a3e074c6-f336-4696-9dc2-5d036b36464d&amp;iscd=1"/>
    <hyperlink ref="I267" r:id="rId1043" display="http://113.160.97.58:8224/Viewer/Downloadfile.aspx?mhd=a3e074c6-f336-4696-9dc2-5d036b36464d"/>
    <hyperlink ref="R267" r:id="rId1044" display="https://thuphi.haiphong.gov.vn:8222/tra-cuu-bien-lai-dien-tu?ma_tracuu=DI3CHVBFX0"/>
    <hyperlink ref="G268" r:id="rId1045" display="http://113.160.97.58:8224/Viewer/HoaDonViewer.aspx?mhd=25c998f9-396f-4741-b395-9f7021809a6a"/>
    <hyperlink ref="H268" r:id="rId1046" display="http://113.160.97.58:8224/Viewer/HoaDonViewer.aspx?mhd=25c998f9-396f-4741-b395-9f7021809a6a&amp;iscd=1"/>
    <hyperlink ref="I268" r:id="rId1047" display="http://113.160.97.58:8224/Viewer/Downloadfile.aspx?mhd=25c998f9-396f-4741-b395-9f7021809a6a"/>
    <hyperlink ref="R268" r:id="rId1048" display="https://thuphi.haiphong.gov.vn:8222/tra-cuu-bien-lai-dien-tu?ma_tracuu=3721ASGFXF"/>
    <hyperlink ref="G269" r:id="rId1049" display="http://113.160.97.58:8224/Viewer/HoaDonViewer.aspx?mhd=cab55537-936c-43e5-a8d8-63fe610f4a5c"/>
    <hyperlink ref="H269" r:id="rId1050" display="http://113.160.97.58:8224/Viewer/HoaDonViewer.aspx?mhd=cab55537-936c-43e5-a8d8-63fe610f4a5c&amp;iscd=1"/>
    <hyperlink ref="I269" r:id="rId1051" display="http://113.160.97.58:8224/Viewer/Downloadfile.aspx?mhd=cab55537-936c-43e5-a8d8-63fe610f4a5c"/>
    <hyperlink ref="R269" r:id="rId1052" display="https://thuphi.haiphong.gov.vn:8222/tra-cuu-bien-lai-dien-tu?ma_tracuu=H1VC31AFXF"/>
    <hyperlink ref="G270" r:id="rId1053" display="http://113.160.97.58:8224/Viewer/HoaDonViewer.aspx?mhd=8463093d-403b-4e3b-b2f1-72b1fe2ec85f"/>
    <hyperlink ref="H270" r:id="rId1054" display="http://113.160.97.58:8224/Viewer/HoaDonViewer.aspx?mhd=8463093d-403b-4e3b-b2f1-72b1fe2ec85f&amp;iscd=1"/>
    <hyperlink ref="I270" r:id="rId1055" display="http://113.160.97.58:8224/Viewer/Downloadfile.aspx?mhd=8463093d-403b-4e3b-b2f1-72b1fe2ec85f"/>
    <hyperlink ref="R270" r:id="rId1056" display="https://thuphi.haiphong.gov.vn:8222/tra-cuu-bien-lai-dien-tu?ma_tracuu=8IAZ0U9RXM"/>
    <hyperlink ref="G271" r:id="rId1057" display="http://113.160.97.58:8224/Viewer/HoaDonViewer.aspx?mhd=e65cb7fc-2c05-448a-8ac0-2508592eb558"/>
    <hyperlink ref="H271" r:id="rId1058" display="http://113.160.97.58:8224/Viewer/HoaDonViewer.aspx?mhd=e65cb7fc-2c05-448a-8ac0-2508592eb558&amp;iscd=1"/>
    <hyperlink ref="I271" r:id="rId1059" display="http://113.160.97.58:8224/Viewer/Downloadfile.aspx?mhd=e65cb7fc-2c05-448a-8ac0-2508592eb558"/>
    <hyperlink ref="R271" r:id="rId1060" display="https://thuphi.haiphong.gov.vn:8222/tra-cuu-bien-lai-dien-tu?ma_tracuu=UBIY43NZX9"/>
    <hyperlink ref="G272" r:id="rId1061" display="http://113.160.97.58:8224/Viewer/HoaDonViewer.aspx?mhd=656bf156-5e35-41f3-9dff-f80f8b9d74ca"/>
    <hyperlink ref="H272" r:id="rId1062" display="http://113.160.97.58:8224/Viewer/HoaDonViewer.aspx?mhd=656bf156-5e35-41f3-9dff-f80f8b9d74ca&amp;iscd=1"/>
    <hyperlink ref="I272" r:id="rId1063" display="http://113.160.97.58:8224/Viewer/Downloadfile.aspx?mhd=656bf156-5e35-41f3-9dff-f80f8b9d74ca"/>
    <hyperlink ref="R272" r:id="rId1064" display="https://thuphi.haiphong.gov.vn:8222/tra-cuu-bien-lai-dien-tu?ma_tracuu=VQFDJVHZXI"/>
    <hyperlink ref="G273" r:id="rId1065" display="http://113.160.97.58:8224/Viewer/HoaDonViewer.aspx?mhd=dac33801-3338-4c31-9255-a10f02cc07a1"/>
    <hyperlink ref="H273" r:id="rId1066" display="http://113.160.97.58:8224/Viewer/HoaDonViewer.aspx?mhd=dac33801-3338-4c31-9255-a10f02cc07a1&amp;iscd=1"/>
    <hyperlink ref="I273" r:id="rId1067" display="http://113.160.97.58:8224/Viewer/Downloadfile.aspx?mhd=dac33801-3338-4c31-9255-a10f02cc07a1"/>
    <hyperlink ref="R273" r:id="rId1068" display="https://thuphi.haiphong.gov.vn:8222/tra-cuu-bien-lai-dien-tu?ma_tracuu=HAACDWNZXS"/>
    <hyperlink ref="G274" r:id="rId1069" display="http://113.160.97.58:8224/Viewer/HoaDonViewer.aspx?mhd=f1785040-b7a1-4672-9276-492f45c049a4"/>
    <hyperlink ref="H274" r:id="rId1070" display="http://113.160.97.58:8224/Viewer/HoaDonViewer.aspx?mhd=f1785040-b7a1-4672-9276-492f45c049a4&amp;iscd=1"/>
    <hyperlink ref="I274" r:id="rId1071" display="http://113.160.97.58:8224/Viewer/Downloadfile.aspx?mhd=f1785040-b7a1-4672-9276-492f45c049a4"/>
    <hyperlink ref="R274" r:id="rId1072" display="https://thuphi.haiphong.gov.vn:8222/tra-cuu-bien-lai-dien-tu?ma_tracuu=9N6DC2HZXS"/>
    <hyperlink ref="G275" r:id="rId1073" display="http://113.160.97.58:8224/Viewer/HoaDonViewer.aspx?mhd=05d6caf3-792d-4c60-82bd-aa29a7535602"/>
    <hyperlink ref="H275" r:id="rId1074" display="http://113.160.97.58:8224/Viewer/HoaDonViewer.aspx?mhd=05d6caf3-792d-4c60-82bd-aa29a7535602&amp;iscd=1"/>
    <hyperlink ref="I275" r:id="rId1075" display="http://113.160.97.58:8224/Viewer/Downloadfile.aspx?mhd=05d6caf3-792d-4c60-82bd-aa29a7535602"/>
    <hyperlink ref="R275" r:id="rId1076" display="https://thuphi.haiphong.gov.vn:8222/tra-cuu-bien-lai-dien-tu?ma_tracuu=1UB9VIYZXS"/>
    <hyperlink ref="G276" r:id="rId1077" display="http://113.160.97.58:8224/Viewer/HoaDonViewer.aspx?mhd=3b9945a1-b229-4f0b-af66-f0448b4d18e8"/>
    <hyperlink ref="H276" r:id="rId1078" display="http://113.160.97.58:8224/Viewer/HoaDonViewer.aspx?mhd=3b9945a1-b229-4f0b-af66-f0448b4d18e8&amp;iscd=1"/>
    <hyperlink ref="I276" r:id="rId1079" display="http://113.160.97.58:8224/Viewer/Downloadfile.aspx?mhd=3b9945a1-b229-4f0b-af66-f0448b4d18e8"/>
    <hyperlink ref="R276" r:id="rId1080" display="https://thuphi.haiphong.gov.vn:8222/tra-cuu-bien-lai-dien-tu?ma_tracuu=MM0WICLAXN"/>
    <hyperlink ref="G277" r:id="rId1081" display="http://113.160.97.58:8224/Viewer/HoaDonViewer.aspx?mhd=7adf4f51-307d-43ca-89ba-577df1db2457"/>
    <hyperlink ref="H277" r:id="rId1082" display="http://113.160.97.58:8224/Viewer/HoaDonViewer.aspx?mhd=7adf4f51-307d-43ca-89ba-577df1db2457&amp;iscd=1"/>
    <hyperlink ref="I277" r:id="rId1083" display="http://113.160.97.58:8224/Viewer/Downloadfile.aspx?mhd=7adf4f51-307d-43ca-89ba-577df1db2457"/>
    <hyperlink ref="R277" r:id="rId1084" display="https://thuphi.haiphong.gov.vn:8222/tra-cuu-bien-lai-dien-tu?ma_tracuu=Z5GAK4IAXN"/>
    <hyperlink ref="G278" r:id="rId1085" display="http://113.160.97.58:8224/Viewer/HoaDonViewer.aspx?mhd=28c41497-5c9a-428a-9103-dad084470cfd"/>
    <hyperlink ref="H278" r:id="rId1086" display="http://113.160.97.58:8224/Viewer/HoaDonViewer.aspx?mhd=28c41497-5c9a-428a-9103-dad084470cfd&amp;iscd=1"/>
    <hyperlink ref="I278" r:id="rId1087" display="http://113.160.97.58:8224/Viewer/Downloadfile.aspx?mhd=28c41497-5c9a-428a-9103-dad084470cfd"/>
    <hyperlink ref="R278" r:id="rId1088" display="https://thuphi.haiphong.gov.vn:8222/tra-cuu-bien-lai-dien-tu?ma_tracuu=RXVX2YIAXH"/>
    <hyperlink ref="G279" r:id="rId1089" display="http://113.160.97.58:8224/Viewer/HoaDonViewer.aspx?mhd=b26e92d2-d3ae-4354-a5e4-172c61128736"/>
    <hyperlink ref="H279" r:id="rId1090" display="http://113.160.97.58:8224/Viewer/HoaDonViewer.aspx?mhd=b26e92d2-d3ae-4354-a5e4-172c61128736&amp;iscd=1"/>
    <hyperlink ref="I279" r:id="rId1091" display="http://113.160.97.58:8224/Viewer/Downloadfile.aspx?mhd=b26e92d2-d3ae-4354-a5e4-172c61128736"/>
    <hyperlink ref="R279" r:id="rId1092" display="https://thuphi.haiphong.gov.vn:8222/tra-cuu-bien-lai-dien-tu?ma_tracuu=3U9A2SQAX4"/>
    <hyperlink ref="G280" r:id="rId1093" display="http://113.160.97.58:8224/Viewer/HoaDonViewer.aspx?mhd=82ba8622-3794-4d4e-8ce6-c114ff2e71fd"/>
    <hyperlink ref="H280" r:id="rId1094" display="http://113.160.97.58:8224/Viewer/HoaDonViewer.aspx?mhd=82ba8622-3794-4d4e-8ce6-c114ff2e71fd&amp;iscd=1"/>
    <hyperlink ref="I280" r:id="rId1095" display="http://113.160.97.58:8224/Viewer/Downloadfile.aspx?mhd=82ba8622-3794-4d4e-8ce6-c114ff2e71fd"/>
    <hyperlink ref="R280" r:id="rId1096" display="https://thuphi.haiphong.gov.vn:8222/tra-cuu-bien-lai-dien-tu?ma_tracuu=N0023M1AXI"/>
    <hyperlink ref="G281" r:id="rId1097" display="http://113.160.97.58:8224/Viewer/HoaDonViewer.aspx?mhd=935576c0-80ca-4272-8362-fe225ca0a207"/>
    <hyperlink ref="H281" r:id="rId1098" display="http://113.160.97.58:8224/Viewer/HoaDonViewer.aspx?mhd=935576c0-80ca-4272-8362-fe225ca0a207&amp;iscd=1"/>
    <hyperlink ref="I281" r:id="rId1099" display="http://113.160.97.58:8224/Viewer/Downloadfile.aspx?mhd=935576c0-80ca-4272-8362-fe225ca0a207"/>
    <hyperlink ref="R281" r:id="rId1100" display="https://thuphi.haiphong.gov.vn:8222/tra-cuu-bien-lai-dien-tu?ma_tracuu=SEMETZ1AXD"/>
    <hyperlink ref="G282" r:id="rId1101" display="http://113.160.97.58:8224/Viewer/HoaDonViewer.aspx?mhd=ae9f5f30-4700-49b7-9cb2-801bacff8028"/>
    <hyperlink ref="H282" r:id="rId1102" display="http://113.160.97.58:8224/Viewer/HoaDonViewer.aspx?mhd=ae9f5f30-4700-49b7-9cb2-801bacff8028&amp;iscd=1"/>
    <hyperlink ref="I282" r:id="rId1103" display="http://113.160.97.58:8224/Viewer/Downloadfile.aspx?mhd=ae9f5f30-4700-49b7-9cb2-801bacff8028"/>
    <hyperlink ref="R282" r:id="rId1104" display="https://thuphi.haiphong.gov.vn:8222/tra-cuu-bien-lai-dien-tu?ma_tracuu=J2HUQYQAXG"/>
    <hyperlink ref="G283" r:id="rId1105" display="http://113.160.97.58:8224/Viewer/HoaDonViewer.aspx?mhd=89d21140-b842-4475-945b-d4baf1479840"/>
    <hyperlink ref="H283" r:id="rId1106" display="http://113.160.97.58:8224/Viewer/HoaDonViewer.aspx?mhd=89d21140-b842-4475-945b-d4baf1479840&amp;iscd=1"/>
    <hyperlink ref="I283" r:id="rId1107" display="http://113.160.97.58:8224/Viewer/Downloadfile.aspx?mhd=89d21140-b842-4475-945b-d4baf1479840"/>
    <hyperlink ref="R283" r:id="rId1108" display="https://thuphi.haiphong.gov.vn:8222/tra-cuu-bien-lai-dien-tu?ma_tracuu=Y9Y9KCP1XB"/>
    <hyperlink ref="G284" r:id="rId1109" display="http://113.160.97.58:8224/Viewer/HoaDonViewer.aspx?mhd=545ceb02-c254-4f6f-aca3-d57c0dc4ce18"/>
    <hyperlink ref="H284" r:id="rId1110" display="http://113.160.97.58:8224/Viewer/HoaDonViewer.aspx?mhd=545ceb02-c254-4f6f-aca3-d57c0dc4ce18&amp;iscd=1"/>
    <hyperlink ref="I284" r:id="rId1111" display="http://113.160.97.58:8224/Viewer/Downloadfile.aspx?mhd=545ceb02-c254-4f6f-aca3-d57c0dc4ce18"/>
    <hyperlink ref="R284" r:id="rId1112" display="https://thuphi.haiphong.gov.vn:8222/tra-cuu-bien-lai-dien-tu?ma_tracuu=0NBPWA5ISM"/>
    <hyperlink ref="G285" r:id="rId1113" display="http://113.160.97.58:8224/Viewer/HoaDonViewer.aspx?mhd=651c13d2-9f35-4a0a-a3fa-ffd6f3b3ffbf"/>
    <hyperlink ref="H285" r:id="rId1114" display="http://113.160.97.58:8224/Viewer/HoaDonViewer.aspx?mhd=651c13d2-9f35-4a0a-a3fa-ffd6f3b3ffbf&amp;iscd=1"/>
    <hyperlink ref="I285" r:id="rId1115" display="http://113.160.97.58:8224/Viewer/Downloadfile.aspx?mhd=651c13d2-9f35-4a0a-a3fa-ffd6f3b3ffbf"/>
    <hyperlink ref="R285" r:id="rId1116" display="https://thuphi.haiphong.gov.vn:8222/tra-cuu-bien-lai-dien-tu?ma_tracuu=8U7WA84NSB"/>
    <hyperlink ref="G286" r:id="rId1117" display="http://113.160.97.58:8224/Viewer/HoaDonViewer.aspx?mhd=de3d603b-dba1-45a5-8c1f-5e2e9b47e85f"/>
    <hyperlink ref="H286" r:id="rId1118" display="http://113.160.97.58:8224/Viewer/HoaDonViewer.aspx?mhd=de3d603b-dba1-45a5-8c1f-5e2e9b47e85f&amp;iscd=1"/>
    <hyperlink ref="I286" r:id="rId1119" display="http://113.160.97.58:8224/Viewer/Downloadfile.aspx?mhd=de3d603b-dba1-45a5-8c1f-5e2e9b47e85f"/>
    <hyperlink ref="R286" r:id="rId1120" display="https://thuphi.haiphong.gov.vn:8222/tra-cuu-bien-lai-dien-tu?ma_tracuu=0JKEHUCNSW"/>
    <hyperlink ref="G287" r:id="rId1121" display="http://113.160.97.58:8224/Viewer/HoaDonViewer.aspx?mhd=c4ec0e23-674b-4431-b7ea-b441347ed723"/>
    <hyperlink ref="H287" r:id="rId1122" display="http://113.160.97.58:8224/Viewer/HoaDonViewer.aspx?mhd=c4ec0e23-674b-4431-b7ea-b441347ed723&amp;iscd=1"/>
    <hyperlink ref="I287" r:id="rId1123" display="http://113.160.97.58:8224/Viewer/Downloadfile.aspx?mhd=c4ec0e23-674b-4431-b7ea-b441347ed723"/>
    <hyperlink ref="R287" r:id="rId1124" display="https://thuphi.haiphong.gov.vn:8222/tra-cuu-bien-lai-dien-tu?ma_tracuu=35SKBS4NSF"/>
    <hyperlink ref="G288" r:id="rId1125" display="http://113.160.97.58:8224/Viewer/HoaDonViewer.aspx?mhd=ac164a91-000a-428e-aa6a-00fdf2821344"/>
    <hyperlink ref="H288" r:id="rId1126" display="http://113.160.97.58:8224/Viewer/HoaDonViewer.aspx?mhd=ac164a91-000a-428e-aa6a-00fdf2821344&amp;iscd=1"/>
    <hyperlink ref="I288" r:id="rId1127" display="http://113.160.97.58:8224/Viewer/Downloadfile.aspx?mhd=ac164a91-000a-428e-aa6a-00fdf2821344"/>
    <hyperlink ref="R288" r:id="rId1128" display="https://thuphi.haiphong.gov.vn:8222/tra-cuu-bien-lai-dien-tu?ma_tracuu=X5QPEC4NSQ"/>
    <hyperlink ref="G289" r:id="rId1129" display="http://113.160.97.58:8224/Viewer/HoaDonViewer.aspx?mhd=1b9af5c1-df06-462d-85db-a579711254b2"/>
    <hyperlink ref="H289" r:id="rId1130" display="http://113.160.97.58:8224/Viewer/HoaDonViewer.aspx?mhd=1b9af5c1-df06-462d-85db-a579711254b2&amp;iscd=1"/>
    <hyperlink ref="I289" r:id="rId1131" display="http://113.160.97.58:8224/Viewer/Downloadfile.aspx?mhd=1b9af5c1-df06-462d-85db-a579711254b2"/>
    <hyperlink ref="R289" r:id="rId1132" display="https://thuphi.haiphong.gov.vn:8222/tra-cuu-bien-lai-dien-tu?ma_tracuu=SBZ6HZCNSN"/>
    <hyperlink ref="G290" r:id="rId1133" display="http://113.160.97.58:8224/Viewer/HoaDonViewer.aspx?mhd=da8a88b5-bf93-4e1c-a7a7-eee28e3c5fdf"/>
    <hyperlink ref="H290" r:id="rId1134" display="http://113.160.97.58:8224/Viewer/HoaDonViewer.aspx?mhd=da8a88b5-bf93-4e1c-a7a7-eee28e3c5fdf&amp;iscd=1"/>
    <hyperlink ref="I290" r:id="rId1135" display="http://113.160.97.58:8224/Viewer/Downloadfile.aspx?mhd=da8a88b5-bf93-4e1c-a7a7-eee28e3c5fdf"/>
    <hyperlink ref="R290" r:id="rId1136" display="https://thuphi.haiphong.gov.vn:8222/tra-cuu-bien-lai-dien-tu?ma_tracuu=MPBQRIZNSG"/>
    <hyperlink ref="G291" r:id="rId1137" display="http://113.160.97.58:8224/Viewer/HoaDonViewer.aspx?mhd=ccbc5831-5a13-402a-a99f-87d98a3d58d8"/>
    <hyperlink ref="H291" r:id="rId1138" display="http://113.160.97.58:8224/Viewer/HoaDonViewer.aspx?mhd=ccbc5831-5a13-402a-a99f-87d98a3d58d8&amp;iscd=1"/>
    <hyperlink ref="I291" r:id="rId1139" display="http://113.160.97.58:8224/Viewer/Downloadfile.aspx?mhd=ccbc5831-5a13-402a-a99f-87d98a3d58d8"/>
    <hyperlink ref="R291" r:id="rId1140" display="https://thuphi.haiphong.gov.vn:8222/tra-cuu-bien-lai-dien-tu?ma_tracuu=QCWC9EIYSW"/>
    <hyperlink ref="G292" r:id="rId1141" display="http://113.160.97.58:8224/Viewer/HoaDonViewer.aspx?mhd=f90ae435-cc1a-4e66-b952-6d01cbc8f2c6"/>
    <hyperlink ref="H292" r:id="rId1142" display="http://113.160.97.58:8224/Viewer/HoaDonViewer.aspx?mhd=f90ae435-cc1a-4e66-b952-6d01cbc8f2c6&amp;iscd=1"/>
    <hyperlink ref="I292" r:id="rId1143" display="http://113.160.97.58:8224/Viewer/Downloadfile.aspx?mhd=f90ae435-cc1a-4e66-b952-6d01cbc8f2c6"/>
    <hyperlink ref="R292" r:id="rId1144" display="https://thuphi.haiphong.gov.vn:8222/tra-cuu-bien-lai-dien-tu?ma_tracuu=LFR3N4MCS6"/>
    <hyperlink ref="G293" r:id="rId1145" display="http://113.160.97.58:8224/Viewer/HoaDonViewer.aspx?mhd=d585c663-48b9-4512-a586-f7df0ecc9974"/>
    <hyperlink ref="H293" r:id="rId1146" display="http://113.160.97.58:8224/Viewer/HoaDonViewer.aspx?mhd=d585c663-48b9-4512-a586-f7df0ecc9974&amp;iscd=1"/>
    <hyperlink ref="I293" r:id="rId1147" display="http://113.160.97.58:8224/Viewer/Downloadfile.aspx?mhd=d585c663-48b9-4512-a586-f7df0ecc9974"/>
    <hyperlink ref="R293" r:id="rId1148" display="https://thuphi.haiphong.gov.vn:8222/tra-cuu-bien-lai-dien-tu?ma_tracuu=KEN990JCSK"/>
    <hyperlink ref="G294" r:id="rId1149" display="http://113.160.97.58:8224/Viewer/HoaDonViewer.aspx?mhd=6043e2f2-ccec-481e-a797-deeb6db43049"/>
    <hyperlink ref="H294" r:id="rId1150" display="http://113.160.97.58:8224/Viewer/HoaDonViewer.aspx?mhd=6043e2f2-ccec-481e-a797-deeb6db43049&amp;iscd=1"/>
    <hyperlink ref="I294" r:id="rId1151" display="http://113.160.97.58:8224/Viewer/Downloadfile.aspx?mhd=6043e2f2-ccec-481e-a797-deeb6db43049"/>
    <hyperlink ref="R294" r:id="rId1152" display="https://thuphi.haiphong.gov.vn:8222/tra-cuu-bien-lai-dien-tu?ma_tracuu=LWEAURJCS2"/>
    <hyperlink ref="G295" r:id="rId1153" display="http://113.160.97.58:8224/Viewer/HoaDonViewer.aspx?mhd=eadad92b-daba-4996-b150-d9924185d77c"/>
    <hyperlink ref="H295" r:id="rId1154" display="http://113.160.97.58:8224/Viewer/HoaDonViewer.aspx?mhd=eadad92b-daba-4996-b150-d9924185d77c&amp;iscd=1"/>
    <hyperlink ref="I295" r:id="rId1155" display="http://113.160.97.58:8224/Viewer/Downloadfile.aspx?mhd=eadad92b-daba-4996-b150-d9924185d77c"/>
    <hyperlink ref="R295" r:id="rId1156" display="https://thuphi.haiphong.gov.vn:8222/tra-cuu-bien-lai-dien-tu?ma_tracuu=VLZ8CYMCS9"/>
    <hyperlink ref="G296" r:id="rId1157" display="http://113.160.97.58:8224/Viewer/HoaDonViewer.aspx?mhd=168dd2bb-12d8-4274-bc13-f02aba4fb355"/>
    <hyperlink ref="H296" r:id="rId1158" display="http://113.160.97.58:8224/Viewer/HoaDonViewer.aspx?mhd=168dd2bb-12d8-4274-bc13-f02aba4fb355&amp;iscd=1"/>
    <hyperlink ref="I296" r:id="rId1159" display="http://113.160.97.58:8224/Viewer/Downloadfile.aspx?mhd=168dd2bb-12d8-4274-bc13-f02aba4fb355"/>
    <hyperlink ref="R296" r:id="rId1160" display="https://thuphi.haiphong.gov.vn:8222/tra-cuu-bien-lai-dien-tu?ma_tracuu=CCUBTTUCS4"/>
    <hyperlink ref="G297" r:id="rId1161" display="http://113.160.97.58:8224/Viewer/HoaDonViewer.aspx?mhd=7ede1ab3-435e-4a4a-9c3e-f9fbb4ce6198"/>
    <hyperlink ref="H297" r:id="rId1162" display="http://113.160.97.58:8224/Viewer/HoaDonViewer.aspx?mhd=7ede1ab3-435e-4a4a-9c3e-f9fbb4ce6198&amp;iscd=1"/>
    <hyperlink ref="I297" r:id="rId1163" display="http://113.160.97.58:8224/Viewer/Downloadfile.aspx?mhd=7ede1ab3-435e-4a4a-9c3e-f9fbb4ce6198"/>
    <hyperlink ref="R297" r:id="rId1164" display="https://thuphi.haiphong.gov.vn:8222/tra-cuu-bien-lai-dien-tu?ma_tracuu=95JTZL8DS6"/>
    <hyperlink ref="G298" r:id="rId1165" display="http://113.160.97.58:8224/Viewer/HoaDonViewer.aspx?mhd=1e11baa0-ab92-4165-959c-f679d0bace76"/>
    <hyperlink ref="H298" r:id="rId1166" display="http://113.160.97.58:8224/Viewer/HoaDonViewer.aspx?mhd=1e11baa0-ab92-4165-959c-f679d0bace76&amp;iscd=1"/>
    <hyperlink ref="I298" r:id="rId1167" display="http://113.160.97.58:8224/Viewer/Downloadfile.aspx?mhd=1e11baa0-ab92-4165-959c-f679d0bace76"/>
    <hyperlink ref="R298" r:id="rId1168" display="https://thuphi.haiphong.gov.vn:8222/tra-cuu-bien-lai-dien-tu?ma_tracuu=8VNU6M8DS1"/>
    <hyperlink ref="G299" r:id="rId1169" display="http://113.160.97.58:8224/Viewer/HoaDonViewer.aspx?mhd=abb3bee2-359d-4d84-8fe0-e86c7be18720"/>
    <hyperlink ref="H299" r:id="rId1170" display="http://113.160.97.58:8224/Viewer/HoaDonViewer.aspx?mhd=abb3bee2-359d-4d84-8fe0-e86c7be18720&amp;iscd=1"/>
    <hyperlink ref="I299" r:id="rId1171" display="http://113.160.97.58:8224/Viewer/Downloadfile.aspx?mhd=abb3bee2-359d-4d84-8fe0-e86c7be18720"/>
    <hyperlink ref="R299" r:id="rId1172" display="https://thuphi.haiphong.gov.vn:8222/tra-cuu-bien-lai-dien-tu?ma_tracuu=SJQW3V4ESD"/>
    <hyperlink ref="G300" r:id="rId1173" display="http://113.160.97.58:8224/Viewer/HoaDonViewer.aspx?mhd=42bbe721-18f9-45e8-a710-dcce92d1bf83"/>
    <hyperlink ref="H300" r:id="rId1174" display="http://113.160.97.58:8224/Viewer/HoaDonViewer.aspx?mhd=42bbe721-18f9-45e8-a710-dcce92d1bf83&amp;iscd=1"/>
    <hyperlink ref="I300" r:id="rId1175" display="http://113.160.97.58:8224/Viewer/Downloadfile.aspx?mhd=42bbe721-18f9-45e8-a710-dcce92d1bf83"/>
    <hyperlink ref="R300" r:id="rId1176" display="https://thuphi.haiphong.gov.vn:8222/tra-cuu-bien-lai-dien-tu?ma_tracuu=HR6TSNRESC"/>
    <hyperlink ref="G301" r:id="rId1177" display="http://113.160.97.58:8224/Viewer/HoaDonViewer.aspx?mhd=6598156e-30d8-4762-9f46-de8e83b6dcec"/>
    <hyperlink ref="H301" r:id="rId1178" display="http://113.160.97.58:8224/Viewer/HoaDonViewer.aspx?mhd=6598156e-30d8-4762-9f46-de8e83b6dcec&amp;iscd=1"/>
    <hyperlink ref="I301" r:id="rId1179" display="http://113.160.97.58:8224/Viewer/Downloadfile.aspx?mhd=6598156e-30d8-4762-9f46-de8e83b6dcec"/>
    <hyperlink ref="R301" r:id="rId1180" display="https://thuphi.haiphong.gov.vn:8222/tra-cuu-bien-lai-dien-tu?ma_tracuu=3M2FDPRESV"/>
    <hyperlink ref="G303" r:id="rId1181" display="http://113.160.97.58:8224/Viewer/HoaDonViewer.aspx?mhd=11eb93c1-e582-4882-8fbc-be04f47d0c8b"/>
    <hyperlink ref="H303" r:id="rId1182" display="http://113.160.97.58:8224/Viewer/HoaDonViewer.aspx?mhd=11eb93c1-e582-4882-8fbc-be04f47d0c8b&amp;iscd=1"/>
    <hyperlink ref="I303" r:id="rId1183" display="http://113.160.97.58:8224/Viewer/Downloadfile.aspx?mhd=11eb93c1-e582-4882-8fbc-be04f47d0c8b"/>
    <hyperlink ref="R303" r:id="rId1184" display="https://thuphi.haiphong.gov.vn:8222/tra-cuu-bien-lai-dien-tu?ma_tracuu=HCQ2UQA2TN"/>
    <hyperlink ref="G304" r:id="rId1185" display="http://113.160.97.58:8224/Viewer/HoaDonViewer.aspx?mhd=792710bd-dae7-4a78-9e4c-7295eac46ed6"/>
    <hyperlink ref="H304" r:id="rId1186" display="http://113.160.97.58:8224/Viewer/HoaDonViewer.aspx?mhd=792710bd-dae7-4a78-9e4c-7295eac46ed6&amp;iscd=1"/>
    <hyperlink ref="I304" r:id="rId1187" display="http://113.160.97.58:8224/Viewer/Downloadfile.aspx?mhd=792710bd-dae7-4a78-9e4c-7295eac46ed6"/>
    <hyperlink ref="R304" r:id="rId1188" display="https://thuphi.haiphong.gov.vn:8222/tra-cuu-bien-lai-dien-tu?ma_tracuu=MQG6NIA2T9"/>
    <hyperlink ref="G305" r:id="rId1189" display="http://113.160.97.58:8224/Viewer/HoaDonViewer.aspx?mhd=5686e4b4-67fe-49ba-b773-6d5601fc1af8"/>
    <hyperlink ref="H305" r:id="rId1190" display="http://113.160.97.58:8224/Viewer/HoaDonViewer.aspx?mhd=5686e4b4-67fe-49ba-b773-6d5601fc1af8&amp;iscd=1"/>
    <hyperlink ref="I305" r:id="rId1191" display="http://113.160.97.58:8224/Viewer/Downloadfile.aspx?mhd=5686e4b4-67fe-49ba-b773-6d5601fc1af8"/>
    <hyperlink ref="R305" r:id="rId1192" display="https://thuphi.haiphong.gov.vn:8222/tra-cuu-bien-lai-dien-tu?ma_tracuu=H533RYZ2TQ"/>
    <hyperlink ref="G306" r:id="rId1193" display="http://113.160.97.58:8224/Viewer/HoaDonViewer.aspx?mhd=2a523fa2-ae54-493b-a286-d319c682af3a"/>
    <hyperlink ref="H306" r:id="rId1194" display="http://113.160.97.58:8224/Viewer/HoaDonViewer.aspx?mhd=2a523fa2-ae54-493b-a286-d319c682af3a&amp;iscd=1"/>
    <hyperlink ref="I306" r:id="rId1195" display="http://113.160.97.58:8224/Viewer/Downloadfile.aspx?mhd=2a523fa2-ae54-493b-a286-d319c682af3a"/>
    <hyperlink ref="R306" r:id="rId1196" display="https://thuphi.haiphong.gov.vn:8222/tra-cuu-bien-lai-dien-tu?ma_tracuu=C1XSLFZ2T4"/>
    <hyperlink ref="G307" r:id="rId1197" display="http://113.160.97.58:8224/Viewer/HoaDonViewer.aspx?mhd=60a63e4f-5050-4195-b62b-498849431a8e"/>
    <hyperlink ref="H307" r:id="rId1198" display="http://113.160.97.58:8224/Viewer/HoaDonViewer.aspx?mhd=60a63e4f-5050-4195-b62b-498849431a8e&amp;iscd=1"/>
    <hyperlink ref="I307" r:id="rId1199" display="http://113.160.97.58:8224/Viewer/Downloadfile.aspx?mhd=60a63e4f-5050-4195-b62b-498849431a8e"/>
    <hyperlink ref="R307" r:id="rId1200" display="https://thuphi.haiphong.gov.vn:8222/tra-cuu-bien-lai-dien-tu?ma_tracuu=MVVAUEZ2TB"/>
    <hyperlink ref="G308" r:id="rId1201" display="http://113.160.97.58:8224/Viewer/HoaDonViewer.aspx?mhd=052a403d-bcbd-4cdf-b724-b1264c9dcbfb"/>
    <hyperlink ref="H308" r:id="rId1202" display="http://113.160.97.58:8224/Viewer/HoaDonViewer.aspx?mhd=052a403d-bcbd-4cdf-b724-b1264c9dcbfb&amp;iscd=1"/>
    <hyperlink ref="I308" r:id="rId1203" display="http://113.160.97.58:8224/Viewer/Downloadfile.aspx?mhd=052a403d-bcbd-4cdf-b724-b1264c9dcbfb"/>
    <hyperlink ref="R308" r:id="rId1204" display="https://thuphi.haiphong.gov.vn:8222/tra-cuu-bien-lai-dien-tu?ma_tracuu=EGQX4UA2TL"/>
    <hyperlink ref="G309" r:id="rId1205" display="http://113.160.97.58:8224/Viewer/HoaDonViewer.aspx?mhd=c3696651-36a9-40d0-8452-a4f2f3078fde"/>
    <hyperlink ref="H309" r:id="rId1206" display="http://113.160.97.58:8224/Viewer/HoaDonViewer.aspx?mhd=c3696651-36a9-40d0-8452-a4f2f3078fde&amp;iscd=1"/>
    <hyperlink ref="I309" r:id="rId1207" display="http://113.160.97.58:8224/Viewer/Downloadfile.aspx?mhd=c3696651-36a9-40d0-8452-a4f2f3078fde"/>
    <hyperlink ref="R309" r:id="rId1208" display="https://thuphi.haiphong.gov.vn:8222/tra-cuu-bien-lai-dien-tu?ma_tracuu=XKFEFS22T3"/>
    <hyperlink ref="G310" r:id="rId1209" display="http://113.160.97.58:8224/Viewer/HoaDonViewer.aspx?mhd=038e0687-d504-4637-af66-60eea510cb48"/>
    <hyperlink ref="H310" r:id="rId1210" display="http://113.160.97.58:8224/Viewer/HoaDonViewer.aspx?mhd=038e0687-d504-4637-af66-60eea510cb48&amp;iscd=1"/>
    <hyperlink ref="I310" r:id="rId1211" display="http://113.160.97.58:8224/Viewer/Downloadfile.aspx?mhd=038e0687-d504-4637-af66-60eea510cb48"/>
    <hyperlink ref="R310" r:id="rId1212" display="https://thuphi.haiphong.gov.vn:8222/tra-cuu-bien-lai-dien-tu?ma_tracuu=4D4YIQA2T2"/>
    <hyperlink ref="G311" r:id="rId1213" display="http://113.160.97.58:8224/Viewer/HoaDonViewer.aspx?mhd=ead8845c-ad24-4b7a-a663-94586b54a6e9"/>
    <hyperlink ref="H311" r:id="rId1214" display="http://113.160.97.58:8224/Viewer/HoaDonViewer.aspx?mhd=ead8845c-ad24-4b7a-a663-94586b54a6e9&amp;iscd=1"/>
    <hyperlink ref="I311" r:id="rId1215" display="http://113.160.97.58:8224/Viewer/Downloadfile.aspx?mhd=ead8845c-ad24-4b7a-a663-94586b54a6e9"/>
    <hyperlink ref="R311" r:id="rId1216" display="https://thuphi.haiphong.gov.vn:8222/tra-cuu-bien-lai-dien-tu?ma_tracuu=IXMQEV1QTZ"/>
    <hyperlink ref="G312" r:id="rId1217" display="http://113.160.97.58:8224/Viewer/HoaDonViewer.aspx?mhd=f5d2be1e-4a3b-4272-a1fe-e388f599773d"/>
    <hyperlink ref="H312" r:id="rId1218" display="http://113.160.97.58:8224/Viewer/HoaDonViewer.aspx?mhd=f5d2be1e-4a3b-4272-a1fe-e388f599773d&amp;iscd=1"/>
    <hyperlink ref="I312" r:id="rId1219" display="http://113.160.97.58:8224/Viewer/Downloadfile.aspx?mhd=f5d2be1e-4a3b-4272-a1fe-e388f599773d"/>
    <hyperlink ref="R312" r:id="rId1220" display="https://thuphi.haiphong.gov.vn:8222/tra-cuu-bien-lai-dien-tu?ma_tracuu=BK7P3LUP5C"/>
    <hyperlink ref="G313" r:id="rId1221" display="http://113.160.97.58:8224/Viewer/HoaDonViewer.aspx?mhd=49431209-154d-4c06-8408-8359b91760a2"/>
    <hyperlink ref="H313" r:id="rId1222" display="http://113.160.97.58:8224/Viewer/HoaDonViewer.aspx?mhd=49431209-154d-4c06-8408-8359b91760a2&amp;iscd=1"/>
    <hyperlink ref="I313" r:id="rId1223" display="http://113.160.97.58:8224/Viewer/Downloadfile.aspx?mhd=49431209-154d-4c06-8408-8359b91760a2"/>
    <hyperlink ref="R313" r:id="rId1224" display="https://thuphi.haiphong.gov.vn:8222/tra-cuu-bien-lai-dien-tu?ma_tracuu=AAQZS7UP57"/>
    <hyperlink ref="G314" r:id="rId1225" display="http://113.160.97.58:8224/Viewer/HoaDonViewer.aspx?mhd=2fa58687-03db-4566-84b2-d7cce9647bc9"/>
    <hyperlink ref="H314" r:id="rId1226" display="http://113.160.97.58:8224/Viewer/HoaDonViewer.aspx?mhd=2fa58687-03db-4566-84b2-d7cce9647bc9&amp;iscd=1"/>
    <hyperlink ref="I314" r:id="rId1227" display="http://113.160.97.58:8224/Viewer/Downloadfile.aspx?mhd=2fa58687-03db-4566-84b2-d7cce9647bc9"/>
    <hyperlink ref="R314" r:id="rId1228" display="https://thuphi.haiphong.gov.vn:8222/tra-cuu-bien-lai-dien-tu?ma_tracuu=APTL9MHP5F"/>
    <hyperlink ref="G315" r:id="rId1229" display="http://113.160.97.58:8224/Viewer/HoaDonViewer.aspx?mhd=5006e17d-1a34-4838-966e-ff1b30949cf7"/>
    <hyperlink ref="H315" r:id="rId1230" display="http://113.160.97.58:8224/Viewer/HoaDonViewer.aspx?mhd=5006e17d-1a34-4838-966e-ff1b30949cf7&amp;iscd=1"/>
    <hyperlink ref="I315" r:id="rId1231" display="http://113.160.97.58:8224/Viewer/Downloadfile.aspx?mhd=5006e17d-1a34-4838-966e-ff1b30949cf7"/>
    <hyperlink ref="R315" r:id="rId1232" display="https://thuphi.haiphong.gov.vn:8222/tra-cuu-bien-lai-dien-tu?ma_tracuu=8BDYWDYP52"/>
    <hyperlink ref="G316" r:id="rId1233" display="http://113.160.97.58:8224/Viewer/HoaDonViewer.aspx?mhd=ac580fb3-4267-4be9-8b1c-3738f6267e08"/>
    <hyperlink ref="H316" r:id="rId1234" display="http://113.160.97.58:8224/Viewer/HoaDonViewer.aspx?mhd=ac580fb3-4267-4be9-8b1c-3738f6267e08&amp;iscd=1"/>
    <hyperlink ref="I316" r:id="rId1235" display="http://113.160.97.58:8224/Viewer/Downloadfile.aspx?mhd=ac580fb3-4267-4be9-8b1c-3738f6267e08"/>
    <hyperlink ref="R316" r:id="rId1236" display="https://thuphi.haiphong.gov.vn:8222/tra-cuu-bien-lai-dien-tu?ma_tracuu=R4S6KBBP58"/>
    <hyperlink ref="G317" r:id="rId1237" display="http://113.160.97.58:8224/Viewer/HoaDonViewer.aspx?mhd=9d803f1b-a51c-4d42-a354-179ab2ffa871"/>
    <hyperlink ref="H317" r:id="rId1238" display="http://113.160.97.58:8224/Viewer/HoaDonViewer.aspx?mhd=9d803f1b-a51c-4d42-a354-179ab2ffa871&amp;iscd=1"/>
    <hyperlink ref="I317" r:id="rId1239" display="http://113.160.97.58:8224/Viewer/Downloadfile.aspx?mhd=9d803f1b-a51c-4d42-a354-179ab2ffa871"/>
    <hyperlink ref="R317" r:id="rId1240" display="https://thuphi.haiphong.gov.vn:8222/tra-cuu-bien-lai-dien-tu?ma_tracuu=L2RHXYCU5P"/>
    <hyperlink ref="G318" r:id="rId1241" display="http://113.160.97.58:8224/Viewer/HoaDonViewer.aspx?mhd=abfe3efe-b6cd-491c-ae39-977fddf52186"/>
    <hyperlink ref="H318" r:id="rId1242" display="http://113.160.97.58:8224/Viewer/HoaDonViewer.aspx?mhd=abfe3efe-b6cd-491c-ae39-977fddf52186&amp;iscd=1"/>
    <hyperlink ref="I318" r:id="rId1243" display="http://113.160.97.58:8224/Viewer/Downloadfile.aspx?mhd=abfe3efe-b6cd-491c-ae39-977fddf52186"/>
    <hyperlink ref="R318" r:id="rId1244" display="https://thuphi.haiphong.gov.vn:8222/tra-cuu-bien-lai-dien-tu?ma_tracuu=CYI4CP1U5V"/>
    <hyperlink ref="G319" r:id="rId1245" display="http://113.160.97.58:8224/Viewer/HoaDonViewer.aspx?mhd=7b3c0fec-48b9-4cdc-85d1-60c3844bee45"/>
    <hyperlink ref="H319" r:id="rId1246" display="http://113.160.97.58:8224/Viewer/HoaDonViewer.aspx?mhd=7b3c0fec-48b9-4cdc-85d1-60c3844bee45&amp;iscd=1"/>
    <hyperlink ref="I319" r:id="rId1247" display="http://113.160.97.58:8224/Viewer/Downloadfile.aspx?mhd=7b3c0fec-48b9-4cdc-85d1-60c3844bee45"/>
    <hyperlink ref="R319" r:id="rId1248" display="https://thuphi.haiphong.gov.vn:8222/tra-cuu-bien-lai-dien-tu?ma_tracuu=PZQLH4AU5L"/>
    <hyperlink ref="G320" r:id="rId1249" display="http://113.160.97.58:8224/Viewer/HoaDonViewer.aspx?mhd=6d7e17f0-3ba0-4e97-bfe6-1ccf48fa1489"/>
    <hyperlink ref="H320" r:id="rId1250" display="http://113.160.97.58:8224/Viewer/HoaDonViewer.aspx?mhd=6d7e17f0-3ba0-4e97-bfe6-1ccf48fa1489&amp;iscd=1"/>
    <hyperlink ref="I320" r:id="rId1251" display="http://113.160.97.58:8224/Viewer/Downloadfile.aspx?mhd=6d7e17f0-3ba0-4e97-bfe6-1ccf48fa1489"/>
    <hyperlink ref="R320" r:id="rId1252" display="https://thuphi.haiphong.gov.vn:8222/tra-cuu-bien-lai-dien-tu?ma_tracuu=MN8HXCQU5J"/>
    <hyperlink ref="G321" r:id="rId1253" display="http://113.160.97.58:8224/Viewer/HoaDonViewer.aspx?mhd=ecb3994c-876d-4dac-ac03-172281686dcc"/>
    <hyperlink ref="H321" r:id="rId1254" display="http://113.160.97.58:8224/Viewer/HoaDonViewer.aspx?mhd=ecb3994c-876d-4dac-ac03-172281686dcc&amp;iscd=1"/>
    <hyperlink ref="I321" r:id="rId1255" display="http://113.160.97.58:8224/Viewer/Downloadfile.aspx?mhd=ecb3994c-876d-4dac-ac03-172281686dcc"/>
    <hyperlink ref="R321" r:id="rId1256" display="https://thuphi.haiphong.gov.vn:8222/tra-cuu-bien-lai-dien-tu?ma_tracuu=L2QLJZQU54"/>
    <hyperlink ref="G322" r:id="rId1257" display="http://113.160.97.58:8224/Viewer/HoaDonViewer.aspx?mhd=7ca53f91-1d01-4d4d-b3ed-bca483428193"/>
    <hyperlink ref="H322" r:id="rId1258" display="http://113.160.97.58:8224/Viewer/HoaDonViewer.aspx?mhd=7ca53f91-1d01-4d4d-b3ed-bca483428193&amp;iscd=1"/>
    <hyperlink ref="I322" r:id="rId1259" display="http://113.160.97.58:8224/Viewer/Downloadfile.aspx?mhd=7ca53f91-1d01-4d4d-b3ed-bca483428193"/>
    <hyperlink ref="R322" r:id="rId1260" display="https://thuphi.haiphong.gov.vn:8222/tra-cuu-bien-lai-dien-tu?ma_tracuu=U559GMAU5I"/>
    <hyperlink ref="G323" r:id="rId1261" display="http://113.160.97.58:8224/Viewer/HoaDonViewer.aspx?mhd=847aa2fa-8ba0-4e05-84a5-9cf00536f9a6"/>
    <hyperlink ref="H323" r:id="rId1262" display="http://113.160.97.58:8224/Viewer/HoaDonViewer.aspx?mhd=847aa2fa-8ba0-4e05-84a5-9cf00536f9a6&amp;iscd=1"/>
    <hyperlink ref="I323" r:id="rId1263" display="http://113.160.97.58:8224/Viewer/Downloadfile.aspx?mhd=847aa2fa-8ba0-4e05-84a5-9cf00536f9a6"/>
    <hyperlink ref="R323" r:id="rId1264" display="https://thuphi.haiphong.gov.vn:8222/tra-cuu-bien-lai-dien-tu?ma_tracuu=ACCC27QU5W"/>
    <hyperlink ref="G324" r:id="rId1265" display="http://113.160.97.58:8224/Viewer/HoaDonViewer.aspx?mhd=b7922478-c335-4bd0-8bba-ff57e9c82928"/>
    <hyperlink ref="H324" r:id="rId1266" display="http://113.160.97.58:8224/Viewer/HoaDonViewer.aspx?mhd=b7922478-c335-4bd0-8bba-ff57e9c82928&amp;iscd=1"/>
    <hyperlink ref="I324" r:id="rId1267" display="http://113.160.97.58:8224/Viewer/Downloadfile.aspx?mhd=b7922478-c335-4bd0-8bba-ff57e9c82928"/>
    <hyperlink ref="R324" r:id="rId1268" display="https://thuphi.haiphong.gov.vn:8222/tra-cuu-bien-lai-dien-tu?ma_tracuu=785R41975A"/>
    <hyperlink ref="G325" r:id="rId1269" display="http://113.160.97.58:8224/Viewer/HoaDonViewer.aspx?mhd=160d5b4c-4c77-4206-910f-699b6df177c1"/>
    <hyperlink ref="H325" r:id="rId1270" display="http://113.160.97.58:8224/Viewer/HoaDonViewer.aspx?mhd=160d5b4c-4c77-4206-910f-699b6df177c1&amp;iscd=1"/>
    <hyperlink ref="I325" r:id="rId1271" display="http://113.160.97.58:8224/Viewer/Downloadfile.aspx?mhd=160d5b4c-4c77-4206-910f-699b6df177c1"/>
    <hyperlink ref="R325" r:id="rId1272" display="https://thuphi.haiphong.gov.vn:8222/tra-cuu-bien-lai-dien-tu?ma_tracuu=0UTWP9EN5W"/>
    <hyperlink ref="G326" r:id="rId1273" display="http://113.160.97.58:8224/Viewer/HoaDonViewer.aspx?mhd=a76b921d-da9a-49d9-a19c-c8aa6cd55153"/>
    <hyperlink ref="H326" r:id="rId1274" display="http://113.160.97.58:8224/Viewer/HoaDonViewer.aspx?mhd=a76b921d-da9a-49d9-a19c-c8aa6cd55153&amp;iscd=1"/>
    <hyperlink ref="I326" r:id="rId1275" display="http://113.160.97.58:8224/Viewer/Downloadfile.aspx?mhd=a76b921d-da9a-49d9-a19c-c8aa6cd55153"/>
    <hyperlink ref="R326" r:id="rId1276" display="https://thuphi.haiphong.gov.vn:8222/tra-cuu-bien-lai-dien-tu?ma_tracuu=5V8BC7EN5H"/>
    <hyperlink ref="G327" r:id="rId1277" display="http://113.160.97.58:8224/Viewer/HoaDonViewer.aspx?mhd=6bed33cd-ba30-47ac-82b5-4aeb9b8f2591"/>
    <hyperlink ref="H327" r:id="rId1278" display="http://113.160.97.58:8224/Viewer/HoaDonViewer.aspx?mhd=6bed33cd-ba30-47ac-82b5-4aeb9b8f2591&amp;iscd=1"/>
    <hyperlink ref="I327" r:id="rId1279" display="http://113.160.97.58:8224/Viewer/Downloadfile.aspx?mhd=6bed33cd-ba30-47ac-82b5-4aeb9b8f2591"/>
    <hyperlink ref="R327" r:id="rId1280" display="https://thuphi.haiphong.gov.vn:8222/tra-cuu-bien-lai-dien-tu?ma_tracuu=UQH4MWGH5X"/>
    <hyperlink ref="G328" r:id="rId1281" display="http://113.160.97.58:8224/Viewer/HoaDonViewer.aspx?mhd=72c3a870-6e34-4e51-9946-5d73c1264d79"/>
    <hyperlink ref="H328" r:id="rId1282" display="http://113.160.97.58:8224/Viewer/HoaDonViewer.aspx?mhd=72c3a870-6e34-4e51-9946-5d73c1264d79&amp;iscd=1"/>
    <hyperlink ref="I328" r:id="rId1283" display="http://113.160.97.58:8224/Viewer/Downloadfile.aspx?mhd=72c3a870-6e34-4e51-9946-5d73c1264d79"/>
    <hyperlink ref="R328" r:id="rId1284" display="https://thuphi.haiphong.gov.vn:8222/tra-cuu-bien-lai-dien-tu?ma_tracuu=FPGRR7BH5X"/>
    <hyperlink ref="G329" r:id="rId1285" display="http://113.160.97.58:8224/Viewer/HoaDonViewer.aspx?mhd=adf63ed6-a4ae-4922-ae87-a385bc176345"/>
    <hyperlink ref="H329" r:id="rId1286" display="http://113.160.97.58:8224/Viewer/HoaDonViewer.aspx?mhd=adf63ed6-a4ae-4922-ae87-a385bc176345&amp;iscd=1"/>
    <hyperlink ref="I329" r:id="rId1287" display="http://113.160.97.58:8224/Viewer/Downloadfile.aspx?mhd=adf63ed6-a4ae-4922-ae87-a385bc176345"/>
    <hyperlink ref="R329" r:id="rId1288" display="https://thuphi.haiphong.gov.vn:8222/tra-cuu-bien-lai-dien-tu?ma_tracuu=62EL0WBH53"/>
    <hyperlink ref="G330" r:id="rId1289" display="http://113.160.97.58:8224/Viewer/HoaDonViewer.aspx?mhd=a15c3686-685b-4fce-8f1f-1292a3266cc6"/>
    <hyperlink ref="H330" r:id="rId1290" display="http://113.160.97.58:8224/Viewer/HoaDonViewer.aspx?mhd=a15c3686-685b-4fce-8f1f-1292a3266cc6&amp;iscd=1"/>
    <hyperlink ref="I330" r:id="rId1291" display="http://113.160.97.58:8224/Viewer/Downloadfile.aspx?mhd=a15c3686-685b-4fce-8f1f-1292a3266cc6"/>
    <hyperlink ref="R330" r:id="rId1292" display="https://thuphi.haiphong.gov.vn:8222/tra-cuu-bien-lai-dien-tu?ma_tracuu=IZQTUATY5Q"/>
    <hyperlink ref="G333" r:id="rId1293" display="http://113.160.97.58:8224/Viewer/HoaDonViewer.aspx?mhd=a7516057-8ca7-4882-ba7a-1a4eaa4cbfbd"/>
    <hyperlink ref="H333" r:id="rId1294" display="http://113.160.97.58:8224/Viewer/HoaDonViewer.aspx?mhd=a7516057-8ca7-4882-ba7a-1a4eaa4cbfbd&amp;iscd=1"/>
    <hyperlink ref="I333" r:id="rId1295" display="http://113.160.97.58:8224/Viewer/Downloadfile.aspx?mhd=a7516057-8ca7-4882-ba7a-1a4eaa4cbfbd"/>
    <hyperlink ref="R333" r:id="rId1296" display="https://thuphi.haiphong.gov.vn:8222/tra-cuu-bien-lai-dien-tu?ma_tracuu=GRA4THS6TI"/>
    <hyperlink ref="G334" r:id="rId1297" display="http://113.160.97.58:8224/Viewer/HoaDonViewer.aspx?mhd=a39f5e5b-6f46-47db-997c-78bbabee5f26"/>
    <hyperlink ref="H334" r:id="rId1298" display="http://113.160.97.58:8224/Viewer/HoaDonViewer.aspx?mhd=a39f5e5b-6f46-47db-997c-78bbabee5f26&amp;iscd=1"/>
    <hyperlink ref="I334" r:id="rId1299" display="http://113.160.97.58:8224/Viewer/Downloadfile.aspx?mhd=a39f5e5b-6f46-47db-997c-78bbabee5f26"/>
    <hyperlink ref="R334" r:id="rId1300" display="https://thuphi.haiphong.gov.vn:8222/tra-cuu-bien-lai-dien-tu?ma_tracuu=94WJMPX6TC"/>
    <hyperlink ref="G335" r:id="rId1301" display="http://113.160.97.58:8224/Viewer/HoaDonViewer.aspx?mhd=9d351923-219d-4a9f-b41d-38b7f119b8e7"/>
    <hyperlink ref="H335" r:id="rId1302" display="http://113.160.97.58:8224/Viewer/HoaDonViewer.aspx?mhd=9d351923-219d-4a9f-b41d-38b7f119b8e7&amp;iscd=1"/>
    <hyperlink ref="I335" r:id="rId1303" display="http://113.160.97.58:8224/Viewer/Downloadfile.aspx?mhd=9d351923-219d-4a9f-b41d-38b7f119b8e7"/>
    <hyperlink ref="R335" r:id="rId1304" display="https://thuphi.haiphong.gov.vn:8222/tra-cuu-bien-lai-dien-tu?ma_tracuu=K81Y7KX6TE"/>
    <hyperlink ref="G336" r:id="rId1305" display="http://113.160.97.58:8224/Viewer/HoaDonViewer.aspx?mhd=8d9a5b90-3b32-4d03-b462-8e2814cdb00a"/>
    <hyperlink ref="H336" r:id="rId1306" display="http://113.160.97.58:8224/Viewer/HoaDonViewer.aspx?mhd=8d9a5b90-3b32-4d03-b462-8e2814cdb00a&amp;iscd=1"/>
    <hyperlink ref="I336" r:id="rId1307" display="http://113.160.97.58:8224/Viewer/Downloadfile.aspx?mhd=8d9a5b90-3b32-4d03-b462-8e2814cdb00a"/>
    <hyperlink ref="R336" r:id="rId1308" display="https://thuphi.haiphong.gov.vn:8222/tra-cuu-bien-lai-dien-tu?ma_tracuu=47A5GEX6TA"/>
    <hyperlink ref="G337" r:id="rId1309" display="http://113.160.97.58:8224/Viewer/HoaDonViewer.aspx?mhd=18288ce8-61dc-455c-adf4-c35d73d8db04"/>
    <hyperlink ref="H337" r:id="rId1310" display="http://113.160.97.58:8224/Viewer/HoaDonViewer.aspx?mhd=18288ce8-61dc-455c-adf4-c35d73d8db04&amp;iscd=1"/>
    <hyperlink ref="I337" r:id="rId1311" display="http://113.160.97.58:8224/Viewer/Downloadfile.aspx?mhd=18288ce8-61dc-455c-adf4-c35d73d8db04"/>
    <hyperlink ref="R337" r:id="rId1312" display="https://thuphi.haiphong.gov.vn:8222/tra-cuu-bien-lai-dien-tu?ma_tracuu=UKY27QX6TQ"/>
    <hyperlink ref="G338" r:id="rId1313" display="http://113.160.97.58:8224/Viewer/HoaDonViewer.aspx?mhd=fd749185-0b0e-4054-82e8-7a996ffd6fcd"/>
    <hyperlink ref="H338" r:id="rId1314" display="http://113.160.97.58:8224/Viewer/HoaDonViewer.aspx?mhd=fd749185-0b0e-4054-82e8-7a996ffd6fcd&amp;iscd=1"/>
    <hyperlink ref="I338" r:id="rId1315" display="http://113.160.97.58:8224/Viewer/Downloadfile.aspx?mhd=fd749185-0b0e-4054-82e8-7a996ffd6fcd"/>
    <hyperlink ref="R338" r:id="rId1316" display="https://thuphi.haiphong.gov.vn:8222/tra-cuu-bien-lai-dien-tu?ma_tracuu=32USZWW6T1"/>
    <hyperlink ref="G339" r:id="rId1317" display="http://113.160.97.58:8224/Viewer/HoaDonViewer.aspx?mhd=958fd5b5-9901-44ec-b661-eb9af1ce7347"/>
    <hyperlink ref="H339" r:id="rId1318" display="http://113.160.97.58:8224/Viewer/HoaDonViewer.aspx?mhd=958fd5b5-9901-44ec-b661-eb9af1ce7347&amp;iscd=1"/>
    <hyperlink ref="I339" r:id="rId1319" display="http://113.160.97.58:8224/Viewer/Downloadfile.aspx?mhd=958fd5b5-9901-44ec-b661-eb9af1ce7347"/>
    <hyperlink ref="R339" r:id="rId1320" display="https://thuphi.haiphong.gov.vn:8222/tra-cuu-bien-lai-dien-tu?ma_tracuu=PZG4RLW6TL"/>
    <hyperlink ref="G340" r:id="rId1321" display="http://113.160.97.58:8224/Viewer/HoaDonViewer.aspx?mhd=8fb9faba-c1d2-48dd-b9e6-61e41cf78573"/>
    <hyperlink ref="H340" r:id="rId1322" display="http://113.160.97.58:8224/Viewer/HoaDonViewer.aspx?mhd=8fb9faba-c1d2-48dd-b9e6-61e41cf78573&amp;iscd=1"/>
    <hyperlink ref="I340" r:id="rId1323" display="http://113.160.97.58:8224/Viewer/Downloadfile.aspx?mhd=8fb9faba-c1d2-48dd-b9e6-61e41cf78573"/>
    <hyperlink ref="R340" r:id="rId1324" display="https://thuphi.haiphong.gov.vn:8222/tra-cuu-bien-lai-dien-tu?ma_tracuu=AGS9XTW6T2"/>
    <hyperlink ref="G341" r:id="rId1325" display="http://113.160.97.58:8224/Viewer/HoaDonViewer.aspx?mhd=699c6215-5fa7-44c6-af5f-1a7729896a2d"/>
    <hyperlink ref="H341" r:id="rId1326" display="http://113.160.97.58:8224/Viewer/HoaDonViewer.aspx?mhd=699c6215-5fa7-44c6-af5f-1a7729896a2d&amp;iscd=1"/>
    <hyperlink ref="I341" r:id="rId1327" display="http://113.160.97.58:8224/Viewer/Downloadfile.aspx?mhd=699c6215-5fa7-44c6-af5f-1a7729896a2d"/>
    <hyperlink ref="R341" r:id="rId1328" display="https://thuphi.haiphong.gov.vn:8222/tra-cuu-bien-lai-dien-tu?ma_tracuu=0WNDJSNTT1"/>
    <hyperlink ref="G342" r:id="rId1329" display="http://113.160.97.58:8224/Viewer/HoaDonViewer.aspx?mhd=2251effa-5f9a-4c96-8601-3a01abb124a8"/>
    <hyperlink ref="H342" r:id="rId1330" display="http://113.160.97.58:8224/Viewer/HoaDonViewer.aspx?mhd=2251effa-5f9a-4c96-8601-3a01abb124a8&amp;iscd=1"/>
    <hyperlink ref="I342" r:id="rId1331" display="http://113.160.97.58:8224/Viewer/Downloadfile.aspx?mhd=2251effa-5f9a-4c96-8601-3a01abb124a8"/>
    <hyperlink ref="R342" r:id="rId1332" display="https://thuphi.haiphong.gov.vn:8222/tra-cuu-bien-lai-dien-tu?ma_tracuu=ZU0RNGSTTC"/>
    <hyperlink ref="G343" r:id="rId1333" display="http://113.160.97.58:8224/Viewer/HoaDonViewer.aspx?mhd=6cde0855-3f5f-4a10-8201-11d4a44bc9bd"/>
    <hyperlink ref="H343" r:id="rId1334" display="http://113.160.97.58:8224/Viewer/HoaDonViewer.aspx?mhd=6cde0855-3f5f-4a10-8201-11d4a44bc9bd&amp;iscd=1"/>
    <hyperlink ref="I343" r:id="rId1335" display="http://113.160.97.58:8224/Viewer/Downloadfile.aspx?mhd=6cde0855-3f5f-4a10-8201-11d4a44bc9bd"/>
    <hyperlink ref="R343" r:id="rId1336" display="https://thuphi.haiphong.gov.vn:8222/tra-cuu-bien-lai-dien-tu?ma_tracuu=EW306UQ5T3"/>
    <hyperlink ref="G344" r:id="rId1337" display="http://113.160.97.58:8224/Viewer/HoaDonViewer.aspx?mhd=710de391-2427-4f2d-aa23-3a41f7085c75"/>
    <hyperlink ref="H344" r:id="rId1338" display="http://113.160.97.58:8224/Viewer/HoaDonViewer.aspx?mhd=710de391-2427-4f2d-aa23-3a41f7085c75&amp;iscd=1"/>
    <hyperlink ref="I344" r:id="rId1339" display="http://113.160.97.58:8224/Viewer/Downloadfile.aspx?mhd=710de391-2427-4f2d-aa23-3a41f7085c75"/>
    <hyperlink ref="R344" r:id="rId1340" display="https://thuphi.haiphong.gov.vn:8222/tra-cuu-bien-lai-dien-tu?ma_tracuu=VVII91Q5TQ"/>
    <hyperlink ref="G345" r:id="rId1341" display="http://113.160.97.58:8224/Viewer/HoaDonViewer.aspx?mhd=9b5c8690-2e4a-429c-a7fc-dfca5dbac178"/>
    <hyperlink ref="H345" r:id="rId1342" display="http://113.160.97.58:8224/Viewer/HoaDonViewer.aspx?mhd=9b5c8690-2e4a-429c-a7fc-dfca5dbac178&amp;iscd=1"/>
    <hyperlink ref="I345" r:id="rId1343" display="http://113.160.97.58:8224/Viewer/Downloadfile.aspx?mhd=9b5c8690-2e4a-429c-a7fc-dfca5dbac178"/>
    <hyperlink ref="R345" r:id="rId1344" display="https://thuphi.haiphong.gov.vn:8222/tra-cuu-bien-lai-dien-tu?ma_tracuu=2WDHJZQ5TZ"/>
    <hyperlink ref="G346" r:id="rId1345" display="http://113.160.97.58:8224/Viewer/HoaDonViewer.aspx?mhd=8893c399-3add-440a-92bc-c8d3e8efc150"/>
    <hyperlink ref="H346" r:id="rId1346" display="http://113.160.97.58:8224/Viewer/HoaDonViewer.aspx?mhd=8893c399-3add-440a-92bc-c8d3e8efc150&amp;iscd=1"/>
    <hyperlink ref="I346" r:id="rId1347" display="http://113.160.97.58:8224/Viewer/Downloadfile.aspx?mhd=8893c399-3add-440a-92bc-c8d3e8efc150"/>
    <hyperlink ref="R346" r:id="rId1348" display="https://thuphi.haiphong.gov.vn:8222/tra-cuu-bien-lai-dien-tu?ma_tracuu=WSSYE715TL"/>
    <hyperlink ref="G347" r:id="rId1349" display="http://113.160.97.58:8224/Viewer/HoaDonViewer.aspx?mhd=4915e286-ddde-47c2-bd0c-8dd018731b2b"/>
    <hyperlink ref="H347" r:id="rId1350" display="http://113.160.97.58:8224/Viewer/HoaDonViewer.aspx?mhd=4915e286-ddde-47c2-bd0c-8dd018731b2b&amp;iscd=1"/>
    <hyperlink ref="I347" r:id="rId1351" display="http://113.160.97.58:8224/Viewer/Downloadfile.aspx?mhd=4915e286-ddde-47c2-bd0c-8dd018731b2b"/>
    <hyperlink ref="R347" r:id="rId1352" display="https://thuphi.haiphong.gov.vn:8222/tra-cuu-bien-lai-dien-tu?ma_tracuu=PBM8NMJFTW"/>
    <hyperlink ref="G348" r:id="rId1353" display="http://113.160.97.58:8224/Viewer/HoaDonViewer.aspx?mhd=7daf5e7c-d2ab-4cf3-97ac-0d1c7f5348b4"/>
    <hyperlink ref="H348" r:id="rId1354" display="http://113.160.97.58:8224/Viewer/HoaDonViewer.aspx?mhd=7daf5e7c-d2ab-4cf3-97ac-0d1c7f5348b4&amp;iscd=1"/>
    <hyperlink ref="I348" r:id="rId1355" display="http://113.160.97.58:8224/Viewer/Downloadfile.aspx?mhd=7daf5e7c-d2ab-4cf3-97ac-0d1c7f5348b4"/>
    <hyperlink ref="R348" r:id="rId1356" display="https://thuphi.haiphong.gov.vn:8222/tra-cuu-bien-lai-dien-tu?ma_tracuu=AJQKNNVFTX"/>
    <hyperlink ref="G349" r:id="rId1357" display="http://113.160.97.58:8224/Viewer/HoaDonViewer.aspx?mhd=935be706-b620-407f-94d8-509e79674c32"/>
    <hyperlink ref="H349" r:id="rId1358" display="http://113.160.97.58:8224/Viewer/HoaDonViewer.aspx?mhd=935be706-b620-407f-94d8-509e79674c32&amp;iscd=1"/>
    <hyperlink ref="I349" r:id="rId1359" display="http://113.160.97.58:8224/Viewer/Downloadfile.aspx?mhd=935be706-b620-407f-94d8-509e79674c32"/>
    <hyperlink ref="R349" r:id="rId1360" display="https://thuphi.haiphong.gov.vn:8222/tra-cuu-bien-lai-dien-tu?ma_tracuu=6LEW8R5FTJ"/>
    <hyperlink ref="G350" r:id="rId1361" display="http://113.160.97.58:8224/Viewer/HoaDonViewer.aspx?mhd=93db2b70-abce-4b36-865c-46c65b9a3480"/>
    <hyperlink ref="H350" r:id="rId1362" display="http://113.160.97.58:8224/Viewer/HoaDonViewer.aspx?mhd=93db2b70-abce-4b36-865c-46c65b9a3480&amp;iscd=1"/>
    <hyperlink ref="I350" r:id="rId1363" display="http://113.160.97.58:8224/Viewer/Downloadfile.aspx?mhd=93db2b70-abce-4b36-865c-46c65b9a3480"/>
    <hyperlink ref="R350" r:id="rId1364" display="https://thuphi.haiphong.gov.vn:8222/tra-cuu-bien-lai-dien-tu?ma_tracuu=U99LIXVFT7"/>
    <hyperlink ref="G351" r:id="rId1365" display="http://113.160.97.58:8224/Viewer/HoaDonViewer.aspx?mhd=80b945a5-98e1-438b-ad5c-da1fcb725c28"/>
    <hyperlink ref="H351" r:id="rId1366" display="http://113.160.97.58:8224/Viewer/HoaDonViewer.aspx?mhd=80b945a5-98e1-438b-ad5c-da1fcb725c28&amp;iscd=1"/>
    <hyperlink ref="I351" r:id="rId1367" display="http://113.160.97.58:8224/Viewer/Downloadfile.aspx?mhd=80b945a5-98e1-438b-ad5c-da1fcb725c28"/>
    <hyperlink ref="R351" r:id="rId1368" display="https://thuphi.haiphong.gov.vn:8222/tra-cuu-bien-lai-dien-tu?ma_tracuu=GJ6YLPVFTQ"/>
    <hyperlink ref="G352" r:id="rId1369" display="http://113.160.97.58:8224/Viewer/HoaDonViewer.aspx?mhd=d648d315-e9a6-4f91-a461-97c8749a9040"/>
    <hyperlink ref="H352" r:id="rId1370" display="http://113.160.97.58:8224/Viewer/HoaDonViewer.aspx?mhd=d648d315-e9a6-4f91-a461-97c8749a9040&amp;iscd=1"/>
    <hyperlink ref="I352" r:id="rId1371" display="http://113.160.97.58:8224/Viewer/Downloadfile.aspx?mhd=d648d315-e9a6-4f91-a461-97c8749a9040"/>
    <hyperlink ref="R352" r:id="rId1372" display="https://thuphi.haiphong.gov.vn:8222/tra-cuu-bien-lai-dien-tu?ma_tracuu=23CQ8YRRT9"/>
    <hyperlink ref="G353" r:id="rId1373" display="http://113.160.97.58:8224/Viewer/HoaDonViewer.aspx?mhd=87482fa3-d9a6-4406-bf3d-4e9347f60994"/>
    <hyperlink ref="H353" r:id="rId1374" display="http://113.160.97.58:8224/Viewer/HoaDonViewer.aspx?mhd=87482fa3-d9a6-4406-bf3d-4e9347f60994&amp;iscd=1"/>
    <hyperlink ref="I353" r:id="rId1375" display="http://113.160.97.58:8224/Viewer/Downloadfile.aspx?mhd=87482fa3-d9a6-4406-bf3d-4e9347f60994"/>
    <hyperlink ref="R353" r:id="rId1376" display="https://thuphi.haiphong.gov.vn:8222/tra-cuu-bien-lai-dien-tu?ma_tracuu=I5VA1ERRTE"/>
    <hyperlink ref="G354" r:id="rId1377" display="http://113.160.97.58:8224/Viewer/HoaDonViewer.aspx?mhd=11eb93c1-e582-4882-8fbc-be04f47d0c8b"/>
    <hyperlink ref="H354" r:id="rId1378" display="http://113.160.97.58:8224/Viewer/HoaDonViewer.aspx?mhd=11eb93c1-e582-4882-8fbc-be04f47d0c8b&amp;iscd=1"/>
    <hyperlink ref="I354" r:id="rId1379" display="http://113.160.97.58:8224/Viewer/Downloadfile.aspx?mhd=11eb93c1-e582-4882-8fbc-be04f47d0c8b"/>
    <hyperlink ref="R354" r:id="rId1380" display="https://thuphi.haiphong.gov.vn:8222/tra-cuu-bien-lai-dien-tu?ma_tracuu=HCQ2UQA2TN"/>
    <hyperlink ref="G355" r:id="rId1381" display="http://113.160.97.58:8224/Viewer/HoaDonViewer.aspx?mhd=792710bd-dae7-4a78-9e4c-7295eac46ed6"/>
    <hyperlink ref="H355" r:id="rId1382" display="http://113.160.97.58:8224/Viewer/HoaDonViewer.aspx?mhd=792710bd-dae7-4a78-9e4c-7295eac46ed6&amp;iscd=1"/>
    <hyperlink ref="I355" r:id="rId1383" display="http://113.160.97.58:8224/Viewer/Downloadfile.aspx?mhd=792710bd-dae7-4a78-9e4c-7295eac46ed6"/>
    <hyperlink ref="R355" r:id="rId1384" display="https://thuphi.haiphong.gov.vn:8222/tra-cuu-bien-lai-dien-tu?ma_tracuu=MQG6NIA2T9"/>
    <hyperlink ref="G356" r:id="rId1385" display="http://113.160.97.58:8224/Viewer/HoaDonViewer.aspx?mhd=5686e4b4-67fe-49ba-b773-6d5601fc1af8"/>
    <hyperlink ref="H356" r:id="rId1386" display="http://113.160.97.58:8224/Viewer/HoaDonViewer.aspx?mhd=5686e4b4-67fe-49ba-b773-6d5601fc1af8&amp;iscd=1"/>
    <hyperlink ref="I356" r:id="rId1387" display="http://113.160.97.58:8224/Viewer/Downloadfile.aspx?mhd=5686e4b4-67fe-49ba-b773-6d5601fc1af8"/>
    <hyperlink ref="R356" r:id="rId1388" display="https://thuphi.haiphong.gov.vn:8222/tra-cuu-bien-lai-dien-tu?ma_tracuu=H533RYZ2TQ"/>
    <hyperlink ref="G357" r:id="rId1389" display="http://113.160.97.58:8224/Viewer/HoaDonViewer.aspx?mhd=2a523fa2-ae54-493b-a286-d319c682af3a"/>
    <hyperlink ref="H357" r:id="rId1390" display="http://113.160.97.58:8224/Viewer/HoaDonViewer.aspx?mhd=2a523fa2-ae54-493b-a286-d319c682af3a&amp;iscd=1"/>
    <hyperlink ref="I357" r:id="rId1391" display="http://113.160.97.58:8224/Viewer/Downloadfile.aspx?mhd=2a523fa2-ae54-493b-a286-d319c682af3a"/>
    <hyperlink ref="R357" r:id="rId1392" display="https://thuphi.haiphong.gov.vn:8222/tra-cuu-bien-lai-dien-tu?ma_tracuu=C1XSLFZ2T4"/>
    <hyperlink ref="G358" r:id="rId1393" display="http://113.160.97.58:8224/Viewer/HoaDonViewer.aspx?mhd=60a63e4f-5050-4195-b62b-498849431a8e"/>
    <hyperlink ref="H358" r:id="rId1394" display="http://113.160.97.58:8224/Viewer/HoaDonViewer.aspx?mhd=60a63e4f-5050-4195-b62b-498849431a8e&amp;iscd=1"/>
    <hyperlink ref="I358" r:id="rId1395" display="http://113.160.97.58:8224/Viewer/Downloadfile.aspx?mhd=60a63e4f-5050-4195-b62b-498849431a8e"/>
    <hyperlink ref="R358" r:id="rId1396" display="https://thuphi.haiphong.gov.vn:8222/tra-cuu-bien-lai-dien-tu?ma_tracuu=MVVAUEZ2TB"/>
    <hyperlink ref="G359" r:id="rId1397" display="http://113.160.97.58:8224/Viewer/HoaDonViewer.aspx?mhd=052a403d-bcbd-4cdf-b724-b1264c9dcbfb"/>
    <hyperlink ref="H359" r:id="rId1398" display="http://113.160.97.58:8224/Viewer/HoaDonViewer.aspx?mhd=052a403d-bcbd-4cdf-b724-b1264c9dcbfb&amp;iscd=1"/>
    <hyperlink ref="I359" r:id="rId1399" display="http://113.160.97.58:8224/Viewer/Downloadfile.aspx?mhd=052a403d-bcbd-4cdf-b724-b1264c9dcbfb"/>
    <hyperlink ref="R359" r:id="rId1400" display="https://thuphi.haiphong.gov.vn:8222/tra-cuu-bien-lai-dien-tu?ma_tracuu=EGQX4UA2TL"/>
    <hyperlink ref="G360" r:id="rId1401" display="http://113.160.97.58:8224/Viewer/HoaDonViewer.aspx?mhd=c3696651-36a9-40d0-8452-a4f2f3078fde"/>
    <hyperlink ref="H360" r:id="rId1402" display="http://113.160.97.58:8224/Viewer/HoaDonViewer.aspx?mhd=c3696651-36a9-40d0-8452-a4f2f3078fde&amp;iscd=1"/>
    <hyperlink ref="I360" r:id="rId1403" display="http://113.160.97.58:8224/Viewer/Downloadfile.aspx?mhd=c3696651-36a9-40d0-8452-a4f2f3078fde"/>
    <hyperlink ref="R360" r:id="rId1404" display="https://thuphi.haiphong.gov.vn:8222/tra-cuu-bien-lai-dien-tu?ma_tracuu=XKFEFS22T3"/>
    <hyperlink ref="G361" r:id="rId1405" display="http://113.160.97.58:8224/Viewer/HoaDonViewer.aspx?mhd=038e0687-d504-4637-af66-60eea510cb48"/>
    <hyperlink ref="H361" r:id="rId1406" display="http://113.160.97.58:8224/Viewer/HoaDonViewer.aspx?mhd=038e0687-d504-4637-af66-60eea510cb48&amp;iscd=1"/>
    <hyperlink ref="I361" r:id="rId1407" display="http://113.160.97.58:8224/Viewer/Downloadfile.aspx?mhd=038e0687-d504-4637-af66-60eea510cb48"/>
    <hyperlink ref="R361" r:id="rId1408" display="https://thuphi.haiphong.gov.vn:8222/tra-cuu-bien-lai-dien-tu?ma_tracuu=4D4YIQA2T2"/>
    <hyperlink ref="G362" r:id="rId1409" display="http://113.160.97.58:8224/Viewer/HoaDonViewer.aspx?mhd=ead8845c-ad24-4b7a-a663-94586b54a6e9"/>
    <hyperlink ref="H362" r:id="rId1410" display="http://113.160.97.58:8224/Viewer/HoaDonViewer.aspx?mhd=ead8845c-ad24-4b7a-a663-94586b54a6e9&amp;iscd=1"/>
    <hyperlink ref="I362" r:id="rId1411" display="http://113.160.97.58:8224/Viewer/Downloadfile.aspx?mhd=ead8845c-ad24-4b7a-a663-94586b54a6e9"/>
    <hyperlink ref="R362" r:id="rId1412" display="https://thuphi.haiphong.gov.vn:8222/tra-cuu-bien-lai-dien-tu?ma_tracuu=IXMQEV1QTZ"/>
    <hyperlink ref="G363" r:id="rId1413" display="http://113.160.97.58:8224/Viewer/HoaDonViewer.aspx?mhd=f5d2be1e-4a3b-4272-a1fe-e388f599773d"/>
    <hyperlink ref="H363" r:id="rId1414" display="http://113.160.97.58:8224/Viewer/HoaDonViewer.aspx?mhd=f5d2be1e-4a3b-4272-a1fe-e388f599773d&amp;iscd=1"/>
    <hyperlink ref="I363" r:id="rId1415" display="http://113.160.97.58:8224/Viewer/Downloadfile.aspx?mhd=f5d2be1e-4a3b-4272-a1fe-e388f599773d"/>
    <hyperlink ref="R363" r:id="rId1416" display="https://thuphi.haiphong.gov.vn:8222/tra-cuu-bien-lai-dien-tu?ma_tracuu=BK7P3LUP5C"/>
    <hyperlink ref="G364" r:id="rId1417" display="http://113.160.97.58:8224/Viewer/HoaDonViewer.aspx?mhd=49431209-154d-4c06-8408-8359b91760a2"/>
    <hyperlink ref="H364" r:id="rId1418" display="http://113.160.97.58:8224/Viewer/HoaDonViewer.aspx?mhd=49431209-154d-4c06-8408-8359b91760a2&amp;iscd=1"/>
    <hyperlink ref="I364" r:id="rId1419" display="http://113.160.97.58:8224/Viewer/Downloadfile.aspx?mhd=49431209-154d-4c06-8408-8359b91760a2"/>
    <hyperlink ref="R364" r:id="rId1420" display="https://thuphi.haiphong.gov.vn:8222/tra-cuu-bien-lai-dien-tu?ma_tracuu=AAQZS7UP57"/>
    <hyperlink ref="G365" r:id="rId1421" display="http://113.160.97.58:8224/Viewer/HoaDonViewer.aspx?mhd=2fa58687-03db-4566-84b2-d7cce9647bc9"/>
    <hyperlink ref="H365" r:id="rId1422" display="http://113.160.97.58:8224/Viewer/HoaDonViewer.aspx?mhd=2fa58687-03db-4566-84b2-d7cce9647bc9&amp;iscd=1"/>
    <hyperlink ref="I365" r:id="rId1423" display="http://113.160.97.58:8224/Viewer/Downloadfile.aspx?mhd=2fa58687-03db-4566-84b2-d7cce9647bc9"/>
    <hyperlink ref="R365" r:id="rId1424" display="https://thuphi.haiphong.gov.vn:8222/tra-cuu-bien-lai-dien-tu?ma_tracuu=APTL9MHP5F"/>
    <hyperlink ref="G366" r:id="rId1425" display="http://113.160.97.58:8224/Viewer/HoaDonViewer.aspx?mhd=5006e17d-1a34-4838-966e-ff1b30949cf7"/>
    <hyperlink ref="H366" r:id="rId1426" display="http://113.160.97.58:8224/Viewer/HoaDonViewer.aspx?mhd=5006e17d-1a34-4838-966e-ff1b30949cf7&amp;iscd=1"/>
    <hyperlink ref="I366" r:id="rId1427" display="http://113.160.97.58:8224/Viewer/Downloadfile.aspx?mhd=5006e17d-1a34-4838-966e-ff1b30949cf7"/>
    <hyperlink ref="R366" r:id="rId1428" display="https://thuphi.haiphong.gov.vn:8222/tra-cuu-bien-lai-dien-tu?ma_tracuu=8BDYWDYP52"/>
    <hyperlink ref="G367" r:id="rId1429" display="http://113.160.97.58:8224/Viewer/HoaDonViewer.aspx?mhd=ac580fb3-4267-4be9-8b1c-3738f6267e08"/>
    <hyperlink ref="H367" r:id="rId1430" display="http://113.160.97.58:8224/Viewer/HoaDonViewer.aspx?mhd=ac580fb3-4267-4be9-8b1c-3738f6267e08&amp;iscd=1"/>
    <hyperlink ref="I367" r:id="rId1431" display="http://113.160.97.58:8224/Viewer/Downloadfile.aspx?mhd=ac580fb3-4267-4be9-8b1c-3738f6267e08"/>
    <hyperlink ref="R367" r:id="rId1432" display="https://thuphi.haiphong.gov.vn:8222/tra-cuu-bien-lai-dien-tu?ma_tracuu=R4S6KBBP58"/>
    <hyperlink ref="G368" r:id="rId1433" display="http://113.160.97.58:8224/Viewer/HoaDonViewer.aspx?mhd=814c1976-b45a-4793-99cb-3bddf2c48905"/>
    <hyperlink ref="H368" r:id="rId1434" display="http://113.160.97.58:8224/Viewer/HoaDonViewer.aspx?mhd=814c1976-b45a-4793-99cb-3bddf2c48905&amp;iscd=1"/>
    <hyperlink ref="I368" r:id="rId1435" display="http://113.160.97.58:8224/Viewer/Downloadfile.aspx?mhd=814c1976-b45a-4793-99cb-3bddf2c48905"/>
    <hyperlink ref="R368" r:id="rId1436" display="https://thuphi.haiphong.gov.vn:8222/tra-cuu-bien-lai-dien-tu?ma_tracuu=HH60S4K6Y5"/>
    <hyperlink ref="G369" r:id="rId1437" display="http://113.160.97.58:8224/Viewer/HoaDonViewer.aspx?mhd=5e3066e8-15e5-49ee-a613-07ac4d35ca2a"/>
    <hyperlink ref="H369" r:id="rId1438" display="http://113.160.97.58:8224/Viewer/HoaDonViewer.aspx?mhd=5e3066e8-15e5-49ee-a613-07ac4d35ca2a&amp;iscd=1"/>
    <hyperlink ref="I369" r:id="rId1439" display="http://113.160.97.58:8224/Viewer/Downloadfile.aspx?mhd=5e3066e8-15e5-49ee-a613-07ac4d35ca2a"/>
    <hyperlink ref="R369" r:id="rId1440" display="https://thuphi.haiphong.gov.vn:8222/tra-cuu-bien-lai-dien-tu?ma_tracuu=5ZWZZCK6YF"/>
    <hyperlink ref="G370" r:id="rId1441" display="http://113.160.97.58:8224/Viewer/HoaDonViewer.aspx?mhd=89b0eb95-a352-4f1f-815b-38b6e5d3ea41"/>
    <hyperlink ref="H370" r:id="rId1442" display="http://113.160.97.58:8224/Viewer/HoaDonViewer.aspx?mhd=89b0eb95-a352-4f1f-815b-38b6e5d3ea41&amp;iscd=1"/>
    <hyperlink ref="I370" r:id="rId1443" display="http://113.160.97.58:8224/Viewer/Downloadfile.aspx?mhd=89b0eb95-a352-4f1f-815b-38b6e5d3ea41"/>
    <hyperlink ref="R370" r:id="rId1444" display="https://thuphi.haiphong.gov.vn:8222/tra-cuu-bien-lai-dien-tu?ma_tracuu=FAT1MY96YN"/>
    <hyperlink ref="G371" r:id="rId1445" display="http://113.160.97.58:8224/Viewer/HoaDonViewer.aspx?mhd=3133e076-6807-40f1-af1e-7e3fbc6b7920"/>
    <hyperlink ref="H371" r:id="rId1446" display="http://113.160.97.58:8224/Viewer/HoaDonViewer.aspx?mhd=3133e076-6807-40f1-af1e-7e3fbc6b7920&amp;iscd=1"/>
    <hyperlink ref="I371" r:id="rId1447" display="http://113.160.97.58:8224/Viewer/Downloadfile.aspx?mhd=3133e076-6807-40f1-af1e-7e3fbc6b7920"/>
    <hyperlink ref="R371" r:id="rId1448" display="https://thuphi.haiphong.gov.vn:8222/tra-cuu-bien-lai-dien-tu?ma_tracuu=0W6L6J96Y9"/>
    <hyperlink ref="G372" r:id="rId1449" display="http://113.160.97.58:8224/Viewer/HoaDonViewer.aspx?mhd=0d01c7c4-3186-4e9d-bc79-c5ac152db48b"/>
    <hyperlink ref="H372" r:id="rId1450" display="http://113.160.97.58:8224/Viewer/HoaDonViewer.aspx?mhd=0d01c7c4-3186-4e9d-bc79-c5ac152db48b&amp;iscd=1"/>
    <hyperlink ref="I372" r:id="rId1451" display="http://113.160.97.58:8224/Viewer/Downloadfile.aspx?mhd=0d01c7c4-3186-4e9d-bc79-c5ac152db48b"/>
    <hyperlink ref="R372" r:id="rId1452" display="https://thuphi.haiphong.gov.vn:8222/tra-cuu-bien-lai-dien-tu?ma_tracuu=B5S51696YP"/>
  </hyperlinks>
  <pageMargins left="0.7" right="0.7" top="0.75" bottom="0.75" header="0.3" footer="0.3"/>
  <pageSetup paperSize="9" orientation="portrait" r:id="rId14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COVER DN XUẤT</vt:lpstr>
      <vt:lpstr>XUẤT-HPH</vt:lpstr>
      <vt:lpstr>COVER DN ICDTP</vt:lpstr>
      <vt:lpstr>ICD TP</vt:lpstr>
      <vt:lpstr>chuyển 26.12</vt:lpstr>
      <vt:lpstr>COVER BTB XUẤT</vt:lpstr>
      <vt:lpstr>CSHT XUẤT</vt:lpstr>
      <vt:lpstr>CSHT XUẤT (2)</vt:lpstr>
      <vt:lpstr>web CSHT</vt:lpstr>
      <vt:lpstr>'CSHT XUẤT'!Print_Area</vt:lpstr>
      <vt:lpstr>'CSHT XUẤT (2)'!Print_Area</vt:lpstr>
      <vt:lpstr>'ICD TP'!Print_Area</vt:lpstr>
      <vt:lpstr>'XUẤT-HPH'!Print_Area</vt:lpstr>
      <vt:lpstr>'CSHT XUẤT'!Print_Titles</vt:lpstr>
      <vt:lpstr>'CSHT XUẤT (2)'!Print_Titles</vt:lpstr>
      <vt:lpstr>'ICD TP'!Print_Titles</vt:lpstr>
      <vt:lpstr>'XUẤT-HPH'!Print_Titles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2026-02-26T04:29:50Z</cp:lastPrinted>
  <dcterms:created xsi:type="dcterms:W3CDTF">2022-09-05T08:06:36Z</dcterms:created>
  <dcterms:modified xsi:type="dcterms:W3CDTF">2026-02-28T06:14:25Z</dcterms:modified>
</cp:coreProperties>
</file>