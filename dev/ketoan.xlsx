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Nam 2024\Follow up shipment\2026 hanh\Mẫu báo giá Canon 2025\"/>
    </mc:Choice>
  </mc:AlternateContent>
  <xr:revisionPtr revIDLastSave="0" documentId="13_ncr:1_{443BCC5F-45E7-4452-9298-1FAD6A7144CF}" xr6:coauthVersionLast="47" xr6:coauthVersionMax="47" xr10:uidLastSave="{00000000-0000-0000-0000-000000000000}"/>
  <bookViews>
    <workbookView xWindow="-120" yWindow="-120" windowWidth="29040" windowHeight="15840" xr2:uid="{00000000-000D-0000-FFFF-FFFF00000000}"/>
  </bookViews>
  <sheets>
    <sheet name="HẠ HPH" sheetId="1" r:id="rId1"/>
    <sheet name="HẠ ICD" sheetId="2" r:id="rId2"/>
    <sheet name="HẠN ĐỔI HÓA ĐƠN" sheetId="4"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Q7" i="1" l="1"/>
  <c r="AM7" i="2"/>
  <c r="AM6" i="2"/>
  <c r="AN6" i="2" l="1"/>
  <c r="AP6" i="2" s="1"/>
  <c r="AN7" i="2"/>
  <c r="AP7" i="2" s="1"/>
  <c r="Z6" i="2" l="1"/>
  <c r="A7" i="2"/>
  <c r="A6" i="2"/>
  <c r="BR7" i="1" l="1"/>
  <c r="BV7" i="1" s="1"/>
  <c r="A8" i="1" l="1"/>
  <c r="A9" i="1"/>
  <c r="A7" i="1"/>
</calcChain>
</file>

<file path=xl/sharedStrings.xml><?xml version="1.0" encoding="utf-8"?>
<sst xmlns="http://schemas.openxmlformats.org/spreadsheetml/2006/main" count="258" uniqueCount="205">
  <si>
    <t>KHÁCH HÀNG</t>
  </si>
  <si>
    <t>SỐ BOOKING</t>
  </si>
  <si>
    <t>LOẠI CONT</t>
  </si>
  <si>
    <t>CẮT MÁNG</t>
  </si>
  <si>
    <t>NGÀY TÀU CHẠY</t>
  </si>
  <si>
    <t>ĐỊA CHỈ ĐÓNG HÀNG</t>
  </si>
  <si>
    <t>THÔNG TIN XUẤT HÓA ĐƠN</t>
  </si>
  <si>
    <t>SỐ CONTAINER</t>
  </si>
  <si>
    <t>SỐ TỜ KHAI</t>
  </si>
  <si>
    <t>STT</t>
  </si>
  <si>
    <t>SỐ LƯỢNG CONT</t>
  </si>
  <si>
    <t>GIỜ XE RỜI NHÀ MÁY</t>
  </si>
  <si>
    <t xml:space="preserve">GIỜ XE LÊN NHÀ MÁY </t>
  </si>
  <si>
    <t>DISCONNECT/CONNECT</t>
  </si>
  <si>
    <t>THÔNG TIN NHÀ XE</t>
  </si>
  <si>
    <t>Canon Quế Võ</t>
  </si>
  <si>
    <t>Canon Tiên Sơn</t>
  </si>
  <si>
    <t>Canon Thăng Long</t>
  </si>
  <si>
    <t>40HC</t>
  </si>
  <si>
    <t>Nếu giờ xe rời nhà máy- giờ xe lên nhà máy &gt; 2h= connect</t>
  </si>
  <si>
    <t>Nếu giờ xe rời nhà máy- giờ xe lên nhà máy &lt; 2h= disconnect</t>
  </si>
  <si>
    <t>Tên cảng</t>
  </si>
  <si>
    <t>thuê ngoài</t>
  </si>
  <si>
    <t>Nếu bên trucking cần</t>
  </si>
  <si>
    <t>NGÀY ĐÓNG/TRẢ HÀNG ( ngày vận chuyển)</t>
  </si>
  <si>
    <t>CANON INV</t>
  </si>
  <si>
    <t>có thể update từ excel theo số cont lên phần mềm</t>
  </si>
  <si>
    <t>MBF chạy</t>
  </si>
  <si>
    <t xml:space="preserve">Lưu ca? tờ khai không phải? Đi đầu không? </t>
  </si>
  <si>
    <t>BIỂN KIỂM SOÁT KÉO CONT LÊN NHÀ MÁY</t>
  </si>
  <si>
    <t>BIỂN KIỂM SOÁT KÉO CONT RỜI NHÀ MÁY</t>
  </si>
  <si>
    <t>SỐ HIỆU SÀ LAN( KẾ TOÁN TỰ ĐIỀN)</t>
  </si>
  <si>
    <t>PHÍ THANH LÝ TỜ KHAI</t>
  </si>
  <si>
    <t>Các cột doanh thu, kế toán có thể thêm nhiều cột do có nhiều loại phí cần thu</t>
  </si>
  <si>
    <t>TỔNG DOANH THU</t>
  </si>
  <si>
    <t>VAT ( chọn 8%, 10%, 0% )</t>
  </si>
  <si>
    <t>TỔNG PHẢI THU</t>
  </si>
  <si>
    <t>NHẬP/XUẤT</t>
  </si>
  <si>
    <t>XUẤT</t>
  </si>
  <si>
    <t>NHẬP</t>
  </si>
  <si>
    <t>SỐ TIỀN CHI HỘ NÂNG</t>
  </si>
  <si>
    <t>SỐ TIỀN CHI HỘ HẠ</t>
  </si>
  <si>
    <t>SỐ TIỀN CSHT</t>
  </si>
  <si>
    <t>kế toán tự update theo excel</t>
  </si>
  <si>
    <t>Tên kho/nhà máy/ nếu trả nhập 2 điểm cần note rõ trả mấy điểm, trả những điểm nào</t>
  </si>
  <si>
    <t>Tên cảng Hải Phòng/ RU HN/ RU HY</t>
  </si>
  <si>
    <t>GHI CHÚ CỦA ĐỘI TRUCKING</t>
  </si>
  <si>
    <t>GHI CHÚ CỦA KẾ TOÁN</t>
  </si>
  <si>
    <t>HPH - QV EX - HPH</t>
  </si>
  <si>
    <t>….</t>
  </si>
  <si>
    <t>kế toán có thể điền trực tiếp hoặc update từ excel theo số cont và ghi chú của kế toán</t>
  </si>
  <si>
    <t>Ai lập lệnh TT nâng/ bao nhiêu tiền/ảnh UNC/ cảng đưa phiếu thu hay hóa đơn luôn/ Hạn cầm phiếu thu đi đổi hóa đơn ( thông báo khi đến hạn đổi)</t>
  </si>
  <si>
    <t>NƠI LẤY CONT</t>
  </si>
  <si>
    <t>NƠI HẠ CONT</t>
  </si>
  <si>
    <t>lấy giá trị từ cột R</t>
  </si>
  <si>
    <t>lấy giá trị từ cột Q ( số tiền có thể tự sửa do nâng/ hạ cont đó ko thu đc khách )</t>
  </si>
  <si>
    <t>HẠN KHÁCH HÀNG THANH TOÁN</t>
  </si>
  <si>
    <t>NGÀY KHÁCH HÀNG THANH TOÁN</t>
  </si>
  <si>
    <t>SỐ KHÁCH HÀNG ĐÃ  THANH TOÁN</t>
  </si>
  <si>
    <t>CÒN NỢ</t>
  </si>
  <si>
    <t>LƯU CA</t>
  </si>
  <si>
    <t>Tờ khai không phơi</t>
  </si>
  <si>
    <t>Phí tái sử dụng container rỗng</t>
  </si>
  <si>
    <t xml:space="preserve">DOANH THU CƯỚC XE </t>
  </si>
  <si>
    <t>PHÍ VẬN TẢI KHÁC</t>
  </si>
  <si>
    <t>ICD QV- TS EX- HPH</t>
  </si>
  <si>
    <t>Cần lái xe update hình ảnh biên bản ghi h của Canon lên đây</t>
  </si>
  <si>
    <t>SỐ BOOKING/ BILL</t>
  </si>
  <si>
    <t>NHẬP/ XUẤT</t>
  </si>
  <si>
    <t>VOL</t>
  </si>
  <si>
    <t>NƠI LẤY</t>
  </si>
  <si>
    <t>NGÀY CONT ĐẾN</t>
  </si>
  <si>
    <t>GIỜ ĐẾN DỰ KIẾN</t>
  </si>
  <si>
    <t>GIỜ XE ĐẾN</t>
  </si>
  <si>
    <r>
      <t xml:space="preserve">KHO
</t>
    </r>
    <r>
      <rPr>
        <sz val="12"/>
        <color rgb="FFFF0000"/>
        <rFont val="Times New Roman"/>
        <family val="1"/>
      </rPr>
      <t>1,2: CỔNG 4
3,4: CỔNG 6</t>
    </r>
  </si>
  <si>
    <t>Column15</t>
  </si>
  <si>
    <t>SỐ CONTAINER ĐẾN</t>
  </si>
  <si>
    <t>SỐ CONTAINER RA</t>
  </si>
  <si>
    <t>GIỜ XE RA</t>
  </si>
  <si>
    <t>NGÀY RA</t>
  </si>
  <si>
    <t>Free time</t>
  </si>
  <si>
    <t>CANON TIÊN SƠN</t>
  </si>
  <si>
    <t>SGN2744164</t>
  </si>
  <si>
    <t>ICD QUẾ VÕ</t>
  </si>
  <si>
    <t>TVU</t>
  </si>
  <si>
    <t>TLLU4332340</t>
  </si>
  <si>
    <t>NƠI HẠ</t>
  </si>
  <si>
    <t>Disconnect/Connect</t>
  </si>
  <si>
    <t>Cột W&gt;2= Connect</t>
  </si>
  <si>
    <t>GHI CHÚ CỦA TRUCKING</t>
  </si>
  <si>
    <t>SGN2740302</t>
  </si>
  <si>
    <t>TXGU7314629</t>
  </si>
  <si>
    <t>TCNU4560170</t>
  </si>
  <si>
    <t>NGÀY CONT RA</t>
  </si>
  <si>
    <t>TÊN LÁI XE+ SĐT</t>
  </si>
  <si>
    <t>Sơn 0977456151</t>
  </si>
  <si>
    <t>29H-86478</t>
  </si>
  <si>
    <t>BKS KÉO CONT ĐẾN</t>
  </si>
  <si>
    <t>BKS KÉO CONT RA</t>
  </si>
  <si>
    <t>29H-86403</t>
  </si>
  <si>
    <t>Sâm 0765189289</t>
  </si>
  <si>
    <t>DOANH THU TIÊN SƠN</t>
  </si>
  <si>
    <t>DOANH THU QUẾ VÕ</t>
  </si>
  <si>
    <t>DOANH THU THĂNG LONG</t>
  </si>
  <si>
    <t>Hệ thống vlookup ra Biển kiểm soát kéo cont TLLU4332340 rời nhà máy = 29H-86403</t>
  </si>
  <si>
    <t>VAT</t>
  </si>
  <si>
    <t>CHI HỘ</t>
  </si>
  <si>
    <t>PHẢI THU</t>
  </si>
  <si>
    <t>THANH LÝ TỜ KHAI</t>
  </si>
  <si>
    <t>CƯỚC XE NGOÀI</t>
  </si>
  <si>
    <t>BÊN TT</t>
  </si>
  <si>
    <t>CHI PHÍ</t>
  </si>
  <si>
    <t>NÂNG</t>
  </si>
  <si>
    <t>SỐ TIỀN</t>
  </si>
  <si>
    <t>HẠ</t>
  </si>
  <si>
    <t>CHI PHÍ KHÁC</t>
  </si>
  <si>
    <t>CSHT</t>
  </si>
  <si>
    <t>TỔNG THU CHI HỘ</t>
  </si>
  <si>
    <t>CHI PHÍ HẢI QUAN</t>
  </si>
  <si>
    <t>TỜ KHAI KHOÁN</t>
  </si>
  <si>
    <t>KHÁC</t>
  </si>
  <si>
    <t>CHỌN VỎ</t>
  </si>
  <si>
    <t>Cảnh báo, nhắc nhở update địa chỉ</t>
  </si>
  <si>
    <t>Ai lập lệnh TT nâng/ bao nhiêu tiền/ảnh UNC/ cảng đưa phiếu thu hay hóa đơn luôn</t>
  </si>
  <si>
    <t>Điền chính xác ngày ghi trên hóa đơn hoặc phiếu thu để đổi hóa đơn</t>
  </si>
  <si>
    <t>Mỗi cảng có hạn đổi hóa đơn cố định gần đến ngày đổi sẽ có cảnh báo</t>
  </si>
  <si>
    <t>lấy giá trị từ cột R ( số tiền có thể tự sửa do nâng/ hạ cont đó ko thu đc khách )</t>
  </si>
  <si>
    <t>Từ cột Q (có thể là tài xế, a hoàn, trường, toàn, xe ngoài, lập từ tk cty)</t>
  </si>
  <si>
    <t>Từ cột R (có thể là tài xế, a hoàn, trường, toàn, xe ngoài, lập từ tk cty)</t>
  </si>
  <si>
    <t>Tổng Z+AB+AD+AF</t>
  </si>
  <si>
    <t>có chọn vỏ ko?</t>
  </si>
  <si>
    <t>Từ cột W nếu có 30k/cont</t>
  </si>
  <si>
    <t>Khi xuất về MBF, VK</t>
  </si>
  <si>
    <t>Từ cột P nếu xuất về MBF, VK sẽ không đưa vào tổng thu chi hộ (cột AG)</t>
  </si>
  <si>
    <t>CHI PHÍ MBF, VK</t>
  </si>
  <si>
    <t>Từ cột P nếu xuất về MBF, VK sẽ không đưa vào tổng thu chi hộ</t>
  </si>
  <si>
    <t>TỔNG CHI PHÍ</t>
  </si>
  <si>
    <t>Tổng Y+Z+AB+AD+AF+AI+AJ+AL</t>
  </si>
  <si>
    <t>CHI PHÍ XE NGOÀI</t>
  </si>
  <si>
    <t>CƯỚC</t>
  </si>
  <si>
    <t>SỐ ĐÃ THANH TOÁN</t>
  </si>
  <si>
    <t>NGÀY TT</t>
  </si>
  <si>
    <t>Giá trị từ cột Y</t>
  </si>
  <si>
    <t>Tổng Z+AB+AD</t>
  </si>
  <si>
    <t>Nếu cột AA, AC, AE LÀ 1 BÊN XE NGOÀI</t>
  </si>
  <si>
    <t>Kế toán tự điền</t>
  </si>
  <si>
    <t>VAT 8%</t>
  </si>
  <si>
    <t>DOANH THU</t>
  </si>
  <si>
    <t>đội Trucking điền</t>
  </si>
  <si>
    <t>VÉ TRẠM</t>
  </si>
  <si>
    <t>Kế toán update 1 sheet định mức của cty tuyến đường đi để link số tiền vào</t>
  </si>
  <si>
    <t>TIỀN ĐƯỜNG</t>
  </si>
  <si>
    <t>TRỢ CẤP</t>
  </si>
  <si>
    <t>Chi phí khác</t>
  </si>
  <si>
    <t>Kế toán tự điền chi phí phát sinh thêm của lô hàng (vệ sinh cont, hàn cont, bdcn…)</t>
  </si>
  <si>
    <t>Vé VETC</t>
  </si>
  <si>
    <t>Kế tán tự điền</t>
  </si>
  <si>
    <t>Lương</t>
  </si>
  <si>
    <t xml:space="preserve">QUÃNG ĐƯỜNG </t>
  </si>
  <si>
    <t>Kế toán update 1 sheet định mức của cty tuyến đường đi để link số km vào</t>
  </si>
  <si>
    <t>LÍT</t>
  </si>
  <si>
    <t>ĐƠN GIÁ DẦU</t>
  </si>
  <si>
    <t>kế toán update theo giá dầu nhà cung cấp gửi báo giá hàng tuần</t>
  </si>
  <si>
    <t>TỔNG CHI PHÍ XE MBF CHẠY</t>
  </si>
  <si>
    <t>Cột lương cuối tháng kế toán có thể xuất ra báo cáo để ktra và tính lương lái</t>
  </si>
  <si>
    <t>CHI PHÍ XE MBF CHẠY</t>
  </si>
  <si>
    <t>LÁI XE CHI</t>
  </si>
  <si>
    <t>CỘT AU + AZ + BA + (BC*BD)</t>
  </si>
  <si>
    <t>CỘT AV + AW + AX + AY. Cuối ngày kế toán có thể xuất báo cáo tổng hợp 1 ngày lxe hoàn thành đc bao nhiêu chuyến và chi quyết toán cho lxe</t>
  </si>
  <si>
    <t>Cột tiền đường khi lxe tích hoàn thành mỗi chuyến trong ngày, theo định mức cty có thể link ra tiền đường lái xe đc của chuyến đó</t>
  </si>
  <si>
    <t>PHỤ CẤP TIỀN ĐƯỜNG</t>
  </si>
  <si>
    <t>Kế toán update 1 sheet định mức của cty tuyến đường đi để link số tiền vào, khi cột Q và T dầy đủ số cont vào ra</t>
  </si>
  <si>
    <t>Khi lái xe tích hoàn thành chuyến, phầm mềm sẽ tính tổng 1 ngày lái xe hoàn thành đc bao nhiêu số chuyến và ra số tiền trợ cấp chuyến theo định mức cty. Ktoán có thể chỉnh sửa đc cột này vì còn nhiều trường hợp khác (hạ HPH,lưu ca)</t>
  </si>
  <si>
    <t>Khi lái xe tích hoàn thành chuyến, phầm mềm sẽ tính tổng 1 ngày lái xe hoàn thành đc bao nhiêu số chuyến và ra số tiền trợ cấp chuyến theo định mức cty. Link vs cột W đội trucking note lưu ca +300k Ktoán có thể chỉnh sửa đc cột này vì còn nhiều trường hợp khác (kẹp, ru..)</t>
  </si>
  <si>
    <t>LƯƠNG</t>
  </si>
  <si>
    <t>Kế toán update 1 sheet định mức của cty tuyến đường đi để link số tiền vào.</t>
  </si>
  <si>
    <t>CHI PHÍ KHÁC</t>
  </si>
  <si>
    <t>QUÃNG ĐƯỜNG (KM)</t>
  </si>
  <si>
    <t>ĐƠN GIÁ</t>
  </si>
  <si>
    <t>TỔNG CHI PHÍ</t>
  </si>
  <si>
    <t>Sheet định mức update số lít dầu tương ứng vs km tuyến đường để link cột này, ngoài ra ktoan có thể sửa tay vì còn nhiều trường hợp ru *0,3 và 0,4</t>
  </si>
  <si>
    <t>CỘT AA + AB + AC + AD + AE* AF</t>
  </si>
  <si>
    <t>cần có thêm 1 sheet nhập dầu có đầy đủ các đầu xe, cuối tháng có thể xuất báo cáo từng xe sản lượng dầu nhập và dầu sử dụng để đối chiếu</t>
  </si>
  <si>
    <t>ĐIỂM ĐÓNG HÀNG</t>
  </si>
  <si>
    <t>TỈNH</t>
  </si>
  <si>
    <t>dựa vào cột B và O trucking điền, ktoan tự điền vào cột này</t>
  </si>
  <si>
    <t>Kế toán update 1 sheet định mức của cty tuyến đường đi để link số tiền vào, công thức theo cột AU, AV và cột Q, R nếu lấy và hạ cont LH, Hateco, HTIT +50k</t>
  </si>
  <si>
    <t>Sheet định mức update số lít dầu tương ứng vs km tuyến đường để link cột này, cột Q, R nếu lấy và hạ cont LH, Hateco, HTIT +15l. ngoài ra ktoan có thể sửa tay vì còn nhiều trường hợp ru *0,3 và 0,4</t>
  </si>
  <si>
    <t>Bảng kê chi phí xe Hải Phòng</t>
  </si>
  <si>
    <t>Update Dữ liệu bảng Hải Phòng của Chi lớn</t>
  </si>
  <si>
    <t>Điền quyết toán vào driver, Hạnh check chéo lại</t>
  </si>
  <si>
    <t>Lập lệnh quyết toán cho lái xe</t>
  </si>
  <si>
    <t>Tính dầu cho lái xe</t>
  </si>
  <si>
    <t>Bảng kê chi phí Bắc Ninh</t>
  </si>
  <si>
    <t>Update dữ liệu bảng ICD và SW của 2 Chi</t>
  </si>
  <si>
    <t>check tuyến đường đi, route đúng, đủ cont vào cont ra, làm trên driver tiền đường cho lxe, gửi tiền đường cho lxe check lại (bảng của 2 Chi có khi sai ngày và giờ, check lại với biên bản lxe gửi trên nhóm)</t>
  </si>
  <si>
    <t>có chuyến lxe BN hạ cont HP, check lại VETC lxe đi trốn vé hay ko để trả tiền vé xe đúng</t>
  </si>
  <si>
    <t>check dầu lxe</t>
  </si>
  <si>
    <t>check chọn cont của Toàn 30k/cont</t>
  </si>
  <si>
    <t>Doanh Thu</t>
  </si>
  <si>
    <t>Quyết toán: lái xe tự gửi bảng kê chi phí hàng ngày từng chuyến lên nhóm, check từng nhóm đúng số chuyến ngày đó, check tiền đường, tiền trợ cấp, lạch huyện, chi phí phát sinh (bdcn, sẩu cont, 20k chọn cont, chân thật, lưu ca…... xác nhận lại vs Chi lớn đúng phát sinh chi phí ko)</t>
  </si>
  <si>
    <t>Bảng kê canon TS IM: Check route từng cont để lên debit theo báo giá. Check ký giám sát tờ khai, chi phí phát sinh ở bảng ký GS TS IM Chi bé + Chi lớn. và lấy đầy đủ hóa đơn chi hộ (nâng + hạ + CSHT + INV thanh toán hộ canon điền ngày hóa đơn, tên cảng) sắp xếp file chi hộ theo thứ tự</t>
  </si>
  <si>
    <t>Cuối tháng check chéo lại driver vs bảng kê chi phí khớp số tiền đã chi cho lxe chưa</t>
  </si>
  <si>
    <t>cuối tháng check lại lương từng lxe, ngày công</t>
  </si>
  <si>
    <t>Hòa Phát MTV: đi ngân hàng nộp lệ phí Hải Quan 20k/tờ, nâng hạ ở cảng Chân Thật lxe chi 20k tiền tip xe nâng ko có hđ xuất về cty, ko thu đc Hòa Phát vì ko có hđ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</si>
</sst>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m/d/yy\ h:mm;@"/>
    <numFmt numFmtId="166" formatCode="h:mm;@"/>
    <numFmt numFmtId="167" formatCode="_(* #,##0_);_(* \(#,##0\);_(* &quot;-&quot;??_);_(@_)"/>
    <numFmt numFmtId="168" formatCode="[$-1010000]d/m/yyyy;@"/>
    <numFmt numFmtId="169" formatCode="[$-1000000]h:mm:ss;@"/>
    <numFmt numFmtId="170" formatCode="[$-1010409]d/m/yyyy\ h:mm\ AM/PM;@"/>
  </numFmts>
  <fonts count="8" x14ac:knownFonts="1">
    <font>
      <sz val="11"/>
      <color theme="1"/>
      <name val="Calibri"/>
      <family val="2"/>
      <scheme val="minor"/>
    </font>
    <font>
      <sz val="11"/>
      <color theme="1"/>
      <name val="Calibri"/>
      <family val="2"/>
      <scheme val="minor"/>
    </font>
    <font>
      <sz val="12"/>
      <color theme="1"/>
      <name val="Times New Roman"/>
      <family val="1"/>
    </font>
    <font>
      <b/>
      <sz val="12"/>
      <name val="Times New Roman"/>
      <family val="1"/>
    </font>
    <font>
      <sz val="12"/>
      <color rgb="FFFF0000"/>
      <name val="Times New Roman"/>
      <family val="1"/>
    </font>
    <font>
      <b/>
      <sz val="12"/>
      <color rgb="FFFF0000"/>
      <name val="Times New Roman"/>
      <family val="1"/>
    </font>
    <font>
      <b/>
      <sz val="11"/>
      <color theme="1"/>
      <name val="Calibri"/>
      <family val="2"/>
      <scheme val="minor"/>
    </font>
    <font>
      <sz val="13"/>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164" fontId="1" fillId="0" borderId="0" applyFont="0" applyFill="0" applyBorder="0" applyAlignment="0" applyProtection="0"/>
  </cellStyleXfs>
  <cellXfs count="83">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5"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170" fontId="2" fillId="0" borderId="1" xfId="0" applyNumberFormat="1" applyFont="1" applyBorder="1" applyAlignment="1">
      <alignment horizontal="center" vertical="center"/>
    </xf>
    <xf numFmtId="168"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20" fontId="2"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2" xfId="0" applyNumberFormat="1" applyFont="1" applyBorder="1" applyAlignment="1">
      <alignment horizontal="center" vertical="center" wrapText="1"/>
    </xf>
    <xf numFmtId="1" fontId="2" fillId="0" borderId="2" xfId="0" applyNumberFormat="1" applyFont="1" applyBorder="1" applyAlignment="1">
      <alignment horizontal="center" vertical="center"/>
    </xf>
    <xf numFmtId="0" fontId="2" fillId="0" borderId="1" xfId="0" applyFont="1" applyBorder="1" applyAlignment="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wrapText="1"/>
    </xf>
    <xf numFmtId="169" fontId="4"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168" fontId="2" fillId="0" borderId="3" xfId="0" applyNumberFormat="1" applyFont="1" applyBorder="1" applyAlignment="1">
      <alignment horizontal="center" vertical="center"/>
    </xf>
    <xf numFmtId="168" fontId="2" fillId="0" borderId="3"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8" fontId="3" fillId="2" borderId="1" xfId="0" applyNumberFormat="1"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1" fontId="3" fillId="2" borderId="2"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169" fontId="3" fillId="2" borderId="1" xfId="0" applyNumberFormat="1"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1"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vertical="center" wrapText="1"/>
    </xf>
    <xf numFmtId="0" fontId="6" fillId="4" borderId="0" xfId="0" applyFont="1" applyFill="1" applyAlignment="1">
      <alignment horizontal="center"/>
    </xf>
    <xf numFmtId="0" fontId="7" fillId="0" borderId="0" xfId="0" applyFont="1"/>
    <xf numFmtId="169" fontId="3" fillId="6" borderId="1" xfId="0" applyNumberFormat="1" applyFont="1" applyFill="1" applyBorder="1" applyAlignment="1">
      <alignment horizontal="center" vertical="center" wrapText="1"/>
    </xf>
    <xf numFmtId="169" fontId="2" fillId="0" borderId="1" xfId="0" applyNumberFormat="1" applyFont="1" applyBorder="1" applyAlignment="1">
      <alignment horizontal="left"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6" xfId="0" applyBorder="1"/>
    <xf numFmtId="0" fontId="0" fillId="0" borderId="6" xfId="0" applyBorder="1" applyAlignment="1">
      <alignment horizontal="center" vertical="center" wrapText="1"/>
    </xf>
    <xf numFmtId="0" fontId="0" fillId="0" borderId="6" xfId="0" applyBorder="1" applyAlignment="1">
      <alignment horizontal="center" vertical="center"/>
    </xf>
    <xf numFmtId="0" fontId="7" fillId="0" borderId="0" xfId="0" applyFont="1" applyAlignment="1">
      <alignment wrapText="1"/>
    </xf>
    <xf numFmtId="0" fontId="7" fillId="0" borderId="1" xfId="0" applyFont="1" applyBorder="1"/>
    <xf numFmtId="0" fontId="7" fillId="0" borderId="1" xfId="0" applyFont="1" applyBorder="1" applyAlignment="1">
      <alignment wrapText="1"/>
    </xf>
    <xf numFmtId="0" fontId="6" fillId="5" borderId="5" xfId="0" applyFont="1" applyFill="1" applyBorder="1" applyAlignment="1">
      <alignment horizontal="center"/>
    </xf>
    <xf numFmtId="0" fontId="6" fillId="4" borderId="5" xfId="0" applyFont="1" applyFill="1" applyBorder="1" applyAlignment="1">
      <alignment horizontal="center"/>
    </xf>
    <xf numFmtId="1" fontId="2" fillId="4"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166" fontId="2" fillId="2" borderId="4" xfId="0" applyNumberFormat="1" applyFont="1" applyFill="1" applyBorder="1" applyAlignment="1">
      <alignment horizontal="center" vertical="center" wrapText="1"/>
    </xf>
    <xf numFmtId="166" fontId="2" fillId="2" borderId="6" xfId="0" applyNumberFormat="1" applyFont="1" applyFill="1" applyBorder="1" applyAlignment="1">
      <alignment horizontal="center" vertical="center" wrapText="1"/>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1" fontId="2" fillId="2" borderId="4" xfId="0" applyNumberFormat="1" applyFont="1" applyFill="1" applyBorder="1" applyAlignment="1">
      <alignment horizontal="center" vertical="center" wrapText="1"/>
    </xf>
    <xf numFmtId="1" fontId="2" fillId="2" borderId="6" xfId="0" applyNumberFormat="1" applyFont="1" applyFill="1" applyBorder="1" applyAlignment="1">
      <alignment horizontal="center" vertical="center" wrapText="1"/>
    </xf>
    <xf numFmtId="165" fontId="2" fillId="2" borderId="4" xfId="0" applyNumberFormat="1" applyFont="1" applyFill="1" applyBorder="1" applyAlignment="1">
      <alignment horizontal="center" vertical="center" wrapText="1"/>
    </xf>
    <xf numFmtId="165" fontId="2" fillId="2" borderId="6" xfId="0" applyNumberFormat="1" applyFont="1" applyFill="1" applyBorder="1" applyAlignment="1">
      <alignment horizontal="center" vertical="center" wrapText="1"/>
    </xf>
    <xf numFmtId="0" fontId="0" fillId="6" borderId="4" xfId="0" applyFill="1" applyBorder="1" applyAlignment="1">
      <alignment horizontal="center" vertical="center" wrapText="1"/>
    </xf>
    <xf numFmtId="0" fontId="0" fillId="6" borderId="6" xfId="0" applyFill="1" applyBorder="1" applyAlignment="1">
      <alignment horizontal="center" vertical="center" wrapText="1"/>
    </xf>
    <xf numFmtId="0" fontId="0" fillId="3" borderId="4" xfId="0" applyFill="1" applyBorder="1" applyAlignment="1">
      <alignment horizontal="center" vertical="center" wrapText="1"/>
    </xf>
    <xf numFmtId="0" fontId="0" fillId="3" borderId="6" xfId="0" applyFill="1" applyBorder="1" applyAlignment="1">
      <alignment horizontal="center" vertical="center" wrapText="1"/>
    </xf>
    <xf numFmtId="0" fontId="0" fillId="5" borderId="4" xfId="0" applyFill="1" applyBorder="1" applyAlignment="1">
      <alignment horizontal="center" vertical="center" wrapText="1"/>
    </xf>
    <xf numFmtId="0" fontId="0" fillId="5" borderId="6" xfId="0"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1" fontId="2" fillId="3" borderId="4" xfId="0" applyNumberFormat="1" applyFont="1" applyFill="1" applyBorder="1" applyAlignment="1">
      <alignment horizontal="center" vertical="center" wrapText="1"/>
    </xf>
    <xf numFmtId="1" fontId="2" fillId="3" borderId="6" xfId="0" applyNumberFormat="1" applyFont="1" applyFill="1" applyBorder="1" applyAlignment="1">
      <alignment horizontal="center" vertical="center" wrapText="1"/>
    </xf>
    <xf numFmtId="0" fontId="6" fillId="6" borderId="5" xfId="0" applyFont="1" applyFill="1" applyBorder="1" applyAlignment="1">
      <alignment horizontal="center" vertical="center"/>
    </xf>
    <xf numFmtId="0" fontId="6" fillId="3" borderId="5" xfId="0" applyFont="1" applyFill="1" applyBorder="1" applyAlignment="1">
      <alignment horizont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167" fontId="2" fillId="3" borderId="4" xfId="1" applyNumberFormat="1" applyFont="1" applyFill="1" applyBorder="1" applyAlignment="1">
      <alignment horizontal="center" vertical="center" wrapText="1"/>
    </xf>
    <xf numFmtId="167" fontId="2" fillId="3" borderId="6" xfId="1" applyNumberFormat="1" applyFont="1" applyFill="1" applyBorder="1" applyAlignment="1">
      <alignment horizontal="center" vertical="center" wrapText="1"/>
    </xf>
    <xf numFmtId="0" fontId="6" fillId="6" borderId="5" xfId="0" applyFont="1" applyFill="1" applyBorder="1" applyAlignment="1">
      <alignment horizont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1" fontId="2" fillId="2" borderId="1" xfId="0" applyNumberFormat="1" applyFont="1" applyFill="1" applyBorder="1" applyAlignment="1">
      <alignment horizontal="center" vertical="center" wrapText="1"/>
    </xf>
  </cellXfs>
  <cellStyles count="2">
    <cellStyle name="Comma" xfId="1" builtinId="3"/>
    <cellStyle name="Normal" xfId="0" builtinId="0"/>
  </cellStyles>
  <dxfs count="164">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BZ10"/>
  <sheetViews>
    <sheetView tabSelected="1" topLeftCell="BI1" workbookViewId="0">
      <selection activeCell="BO7" sqref="BO7"/>
    </sheetView>
  </sheetViews>
  <sheetFormatPr defaultRowHeight="15" x14ac:dyDescent="0.25"/>
  <cols>
    <col min="2" max="4" width="25.7109375" customWidth="1"/>
    <col min="5" max="6" width="9.7109375" customWidth="1"/>
    <col min="7" max="8" width="21" customWidth="1"/>
    <col min="9" max="25" width="25.7109375" customWidth="1"/>
    <col min="26" max="26" width="14.5703125" customWidth="1"/>
    <col min="27" max="27" width="13" customWidth="1"/>
    <col min="28" max="28" width="11.5703125" customWidth="1"/>
    <col min="29" max="29" width="15" customWidth="1"/>
    <col min="30" max="30" width="14.5703125" customWidth="1"/>
    <col min="31" max="31" width="14.42578125" customWidth="1"/>
    <col min="32" max="32" width="13.28515625" customWidth="1"/>
    <col min="33" max="34" width="14.28515625" customWidth="1"/>
    <col min="35" max="59" width="25.7109375" customWidth="1"/>
    <col min="60" max="60" width="25.7109375" hidden="1" customWidth="1"/>
    <col min="61" max="61" width="25.7109375" customWidth="1"/>
    <col min="62" max="62" width="10.5703125" customWidth="1"/>
    <col min="63" max="69" width="17.42578125" style="2" customWidth="1"/>
    <col min="70" max="70" width="9.140625" style="2"/>
    <col min="71" max="71" width="16.42578125" style="2" customWidth="1"/>
    <col min="72" max="73" width="17.28515625" style="2" customWidth="1"/>
    <col min="74" max="76" width="18.28515625" style="1" customWidth="1"/>
    <col min="77" max="77" width="19.28515625" style="1" customWidth="1"/>
    <col min="78" max="78" width="16.5703125" customWidth="1"/>
  </cols>
  <sheetData>
    <row r="4" spans="1:78" x14ac:dyDescent="0.25">
      <c r="Y4" s="50" t="s">
        <v>111</v>
      </c>
      <c r="Z4" s="50"/>
      <c r="AA4" s="50"/>
      <c r="AB4" s="50"/>
      <c r="AC4" s="50"/>
      <c r="AD4" s="50"/>
      <c r="AE4" s="50"/>
      <c r="AF4" s="50"/>
      <c r="AG4" s="50"/>
      <c r="AH4" s="50"/>
      <c r="AI4" s="50"/>
      <c r="AJ4" s="35"/>
      <c r="AK4" s="35"/>
      <c r="AL4" s="35"/>
      <c r="AM4" s="35"/>
      <c r="AN4" s="35"/>
      <c r="AO4" s="49" t="s">
        <v>138</v>
      </c>
      <c r="AP4" s="49"/>
      <c r="AQ4" s="49"/>
      <c r="AR4" s="49"/>
      <c r="AS4" s="49"/>
      <c r="AT4" s="49"/>
      <c r="AU4" s="73" t="s">
        <v>165</v>
      </c>
      <c r="AV4" s="73"/>
      <c r="AW4" s="73"/>
      <c r="AX4" s="73"/>
      <c r="AY4" s="73"/>
      <c r="AZ4" s="73"/>
      <c r="BA4" s="73"/>
      <c r="BB4" s="73"/>
      <c r="BC4" s="73"/>
      <c r="BD4" s="73"/>
      <c r="BE4" s="73"/>
      <c r="BF4" s="73"/>
      <c r="BG4" s="73"/>
      <c r="BH4" s="73"/>
      <c r="BI4" s="74" t="s">
        <v>147</v>
      </c>
      <c r="BJ4" s="74"/>
      <c r="BK4" s="74"/>
      <c r="BL4" s="74"/>
      <c r="BM4" s="74"/>
      <c r="BN4" s="74"/>
      <c r="BO4" s="74"/>
      <c r="BP4" s="74"/>
      <c r="BQ4" s="74"/>
      <c r="BR4" s="74"/>
      <c r="BS4" s="74"/>
      <c r="BT4" s="74"/>
      <c r="BU4" s="74"/>
      <c r="BV4" s="74"/>
      <c r="BW4" s="74"/>
      <c r="BX4" s="74"/>
      <c r="BY4" s="74"/>
      <c r="BZ4" s="74"/>
    </row>
    <row r="5" spans="1:78" ht="60" customHeight="1" x14ac:dyDescent="0.25">
      <c r="A5" s="55" t="s">
        <v>9</v>
      </c>
      <c r="B5" s="57" t="s">
        <v>0</v>
      </c>
      <c r="C5" s="57" t="s">
        <v>1</v>
      </c>
      <c r="D5" s="57" t="s">
        <v>37</v>
      </c>
      <c r="E5" s="57" t="s">
        <v>10</v>
      </c>
      <c r="F5" s="57" t="s">
        <v>2</v>
      </c>
      <c r="G5" s="57" t="s">
        <v>7</v>
      </c>
      <c r="H5" s="59" t="s">
        <v>8</v>
      </c>
      <c r="I5" s="61" t="s">
        <v>3</v>
      </c>
      <c r="J5" s="57" t="s">
        <v>4</v>
      </c>
      <c r="K5" s="57" t="s">
        <v>24</v>
      </c>
      <c r="L5" s="53" t="s">
        <v>12</v>
      </c>
      <c r="M5" s="53" t="s">
        <v>11</v>
      </c>
      <c r="N5" s="53" t="s">
        <v>13</v>
      </c>
      <c r="O5" s="57" t="s">
        <v>5</v>
      </c>
      <c r="P5" s="57" t="s">
        <v>6</v>
      </c>
      <c r="Q5" s="57" t="s">
        <v>52</v>
      </c>
      <c r="R5" s="57" t="s">
        <v>53</v>
      </c>
      <c r="S5" s="57" t="s">
        <v>14</v>
      </c>
      <c r="T5" s="57" t="s">
        <v>29</v>
      </c>
      <c r="U5" s="57" t="s">
        <v>30</v>
      </c>
      <c r="V5" s="57" t="s">
        <v>31</v>
      </c>
      <c r="W5" s="57" t="s">
        <v>46</v>
      </c>
      <c r="X5" s="59" t="s">
        <v>25</v>
      </c>
      <c r="Y5" s="82" t="s">
        <v>109</v>
      </c>
      <c r="Z5" s="51" t="s">
        <v>112</v>
      </c>
      <c r="AA5" s="51"/>
      <c r="AB5" s="51" t="s">
        <v>114</v>
      </c>
      <c r="AC5" s="51"/>
      <c r="AD5" s="51" t="s">
        <v>115</v>
      </c>
      <c r="AE5" s="51"/>
      <c r="AF5" s="34" t="s">
        <v>116</v>
      </c>
      <c r="AG5" s="51" t="s">
        <v>117</v>
      </c>
      <c r="AH5" s="51" t="s">
        <v>134</v>
      </c>
      <c r="AI5" s="51" t="s">
        <v>118</v>
      </c>
      <c r="AJ5" s="51"/>
      <c r="AK5" s="51"/>
      <c r="AL5" s="51" t="s">
        <v>121</v>
      </c>
      <c r="AM5" s="51"/>
      <c r="AN5" s="51" t="s">
        <v>136</v>
      </c>
      <c r="AO5" s="52" t="s">
        <v>139</v>
      </c>
      <c r="AP5" s="67" t="s">
        <v>146</v>
      </c>
      <c r="AQ5" s="52" t="s">
        <v>117</v>
      </c>
      <c r="AR5" s="52" t="s">
        <v>140</v>
      </c>
      <c r="AS5" s="52" t="s">
        <v>141</v>
      </c>
      <c r="AT5" s="52" t="s">
        <v>59</v>
      </c>
      <c r="AU5" s="63" t="s">
        <v>183</v>
      </c>
      <c r="AV5" s="63" t="s">
        <v>184</v>
      </c>
      <c r="AW5" s="63" t="s">
        <v>166</v>
      </c>
      <c r="AX5" s="63" t="s">
        <v>149</v>
      </c>
      <c r="AY5" s="63" t="s">
        <v>151</v>
      </c>
      <c r="AZ5" s="63" t="s">
        <v>152</v>
      </c>
      <c r="BA5" s="63" t="s">
        <v>153</v>
      </c>
      <c r="BB5" s="63" t="s">
        <v>155</v>
      </c>
      <c r="BC5" s="63" t="s">
        <v>157</v>
      </c>
      <c r="BD5" s="63" t="s">
        <v>158</v>
      </c>
      <c r="BE5" s="63" t="s">
        <v>160</v>
      </c>
      <c r="BF5" s="63" t="s">
        <v>161</v>
      </c>
      <c r="BG5" s="63" t="s">
        <v>163</v>
      </c>
      <c r="BH5" s="63"/>
      <c r="BI5" s="69" t="s">
        <v>47</v>
      </c>
      <c r="BJ5" s="71" t="s">
        <v>49</v>
      </c>
      <c r="BK5" s="65" t="s">
        <v>63</v>
      </c>
      <c r="BL5" s="65" t="s">
        <v>64</v>
      </c>
      <c r="BM5" s="65" t="s">
        <v>32</v>
      </c>
      <c r="BN5" s="65" t="s">
        <v>60</v>
      </c>
      <c r="BO5" s="69" t="s">
        <v>61</v>
      </c>
      <c r="BP5" s="77" t="s">
        <v>62</v>
      </c>
      <c r="BQ5" s="65" t="s">
        <v>34</v>
      </c>
      <c r="BR5" s="65" t="s">
        <v>35</v>
      </c>
      <c r="BS5" s="65" t="s">
        <v>40</v>
      </c>
      <c r="BT5" s="65" t="s">
        <v>41</v>
      </c>
      <c r="BU5" s="65" t="s">
        <v>42</v>
      </c>
      <c r="BV5" s="75" t="s">
        <v>36</v>
      </c>
      <c r="BW5" s="65" t="s">
        <v>58</v>
      </c>
      <c r="BX5" s="75" t="s">
        <v>59</v>
      </c>
      <c r="BY5" s="65" t="s">
        <v>56</v>
      </c>
      <c r="BZ5" s="65" t="s">
        <v>57</v>
      </c>
    </row>
    <row r="6" spans="1:78" ht="15.75" x14ac:dyDescent="0.25">
      <c r="A6" s="56"/>
      <c r="B6" s="58"/>
      <c r="C6" s="58"/>
      <c r="D6" s="58"/>
      <c r="E6" s="58"/>
      <c r="F6" s="58"/>
      <c r="G6" s="58"/>
      <c r="H6" s="60"/>
      <c r="I6" s="62"/>
      <c r="J6" s="58"/>
      <c r="K6" s="58"/>
      <c r="L6" s="54"/>
      <c r="M6" s="54"/>
      <c r="N6" s="54"/>
      <c r="O6" s="58"/>
      <c r="P6" s="58"/>
      <c r="Q6" s="58"/>
      <c r="R6" s="58"/>
      <c r="S6" s="58"/>
      <c r="T6" s="58"/>
      <c r="U6" s="58"/>
      <c r="V6" s="58"/>
      <c r="W6" s="58"/>
      <c r="X6" s="60"/>
      <c r="Y6" s="82"/>
      <c r="Z6" s="34" t="s">
        <v>113</v>
      </c>
      <c r="AA6" s="34" t="s">
        <v>110</v>
      </c>
      <c r="AB6" s="34" t="s">
        <v>113</v>
      </c>
      <c r="AC6" s="34" t="s">
        <v>110</v>
      </c>
      <c r="AD6" s="34" t="s">
        <v>113</v>
      </c>
      <c r="AE6" s="34" t="s">
        <v>110</v>
      </c>
      <c r="AF6" s="34" t="s">
        <v>113</v>
      </c>
      <c r="AG6" s="51"/>
      <c r="AH6" s="51"/>
      <c r="AI6" s="33" t="s">
        <v>119</v>
      </c>
      <c r="AJ6" s="33" t="s">
        <v>120</v>
      </c>
      <c r="AK6" s="33" t="s">
        <v>110</v>
      </c>
      <c r="AL6" s="33" t="s">
        <v>113</v>
      </c>
      <c r="AM6" s="33" t="s">
        <v>110</v>
      </c>
      <c r="AN6" s="51"/>
      <c r="AO6" s="52"/>
      <c r="AP6" s="68"/>
      <c r="AQ6" s="52"/>
      <c r="AR6" s="52"/>
      <c r="AS6" s="52"/>
      <c r="AT6" s="52"/>
      <c r="AU6" s="64"/>
      <c r="AV6" s="64"/>
      <c r="AW6" s="64"/>
      <c r="AX6" s="64"/>
      <c r="AY6" s="64"/>
      <c r="AZ6" s="64"/>
      <c r="BA6" s="64"/>
      <c r="BB6" s="64"/>
      <c r="BC6" s="64"/>
      <c r="BD6" s="64"/>
      <c r="BE6" s="64"/>
      <c r="BF6" s="64"/>
      <c r="BG6" s="64"/>
      <c r="BH6" s="64"/>
      <c r="BI6" s="70"/>
      <c r="BJ6" s="72"/>
      <c r="BK6" s="66"/>
      <c r="BL6" s="66"/>
      <c r="BM6" s="66"/>
      <c r="BN6" s="66"/>
      <c r="BO6" s="70"/>
      <c r="BP6" s="78"/>
      <c r="BQ6" s="66"/>
      <c r="BR6" s="66"/>
      <c r="BS6" s="66"/>
      <c r="BT6" s="66"/>
      <c r="BU6" s="66"/>
      <c r="BV6" s="76"/>
      <c r="BW6" s="66"/>
      <c r="BX6" s="76"/>
      <c r="BY6" s="66"/>
      <c r="BZ6" s="66"/>
    </row>
    <row r="7" spans="1:78" s="1" customFormat="1" ht="160.5" customHeight="1" x14ac:dyDescent="0.25">
      <c r="A7" s="39">
        <f>ROW()-5</f>
        <v>2</v>
      </c>
      <c r="B7" s="39" t="s">
        <v>15</v>
      </c>
      <c r="C7" s="39"/>
      <c r="D7" s="39" t="s">
        <v>38</v>
      </c>
      <c r="E7" s="39">
        <v>1</v>
      </c>
      <c r="F7" s="39" t="s">
        <v>18</v>
      </c>
      <c r="G7" s="39"/>
      <c r="H7" s="40" t="s">
        <v>26</v>
      </c>
      <c r="I7" s="39" t="s">
        <v>23</v>
      </c>
      <c r="J7" s="39" t="s">
        <v>23</v>
      </c>
      <c r="K7" s="39"/>
      <c r="L7" s="39"/>
      <c r="M7" s="39"/>
      <c r="N7" s="40" t="s">
        <v>19</v>
      </c>
      <c r="O7" s="40" t="s">
        <v>44</v>
      </c>
      <c r="P7" s="40" t="s">
        <v>122</v>
      </c>
      <c r="Q7" s="40" t="s">
        <v>45</v>
      </c>
      <c r="R7" s="39" t="s">
        <v>21</v>
      </c>
      <c r="S7" s="39" t="s">
        <v>27</v>
      </c>
      <c r="T7" s="39"/>
      <c r="U7" s="39"/>
      <c r="V7" s="39"/>
      <c r="W7" s="40" t="s">
        <v>28</v>
      </c>
      <c r="X7" s="40" t="s">
        <v>26</v>
      </c>
      <c r="Y7" s="40" t="s">
        <v>148</v>
      </c>
      <c r="Z7" s="40" t="s">
        <v>55</v>
      </c>
      <c r="AA7" s="40" t="s">
        <v>127</v>
      </c>
      <c r="AB7" s="40" t="s">
        <v>126</v>
      </c>
      <c r="AC7" s="40" t="s">
        <v>128</v>
      </c>
      <c r="AD7" s="40"/>
      <c r="AE7" s="40"/>
      <c r="AF7" s="40" t="s">
        <v>43</v>
      </c>
      <c r="AG7" s="39" t="s">
        <v>129</v>
      </c>
      <c r="AH7" s="39" t="s">
        <v>129</v>
      </c>
      <c r="AI7" s="40" t="s">
        <v>43</v>
      </c>
      <c r="AJ7" s="40"/>
      <c r="AK7" s="40"/>
      <c r="AL7" s="40" t="s">
        <v>131</v>
      </c>
      <c r="AM7" s="40"/>
      <c r="AN7" s="40" t="s">
        <v>137</v>
      </c>
      <c r="AO7" s="40" t="s">
        <v>142</v>
      </c>
      <c r="AP7" s="40"/>
      <c r="AQ7" s="40" t="s">
        <v>143</v>
      </c>
      <c r="AR7" s="40" t="s">
        <v>145</v>
      </c>
      <c r="AS7" s="40" t="s">
        <v>145</v>
      </c>
      <c r="AT7" s="40"/>
      <c r="AU7" s="40" t="s">
        <v>185</v>
      </c>
      <c r="AV7" s="40" t="s">
        <v>185</v>
      </c>
      <c r="AW7" s="40" t="s">
        <v>168</v>
      </c>
      <c r="AX7" s="40" t="s">
        <v>150</v>
      </c>
      <c r="AY7" s="40" t="s">
        <v>186</v>
      </c>
      <c r="AZ7" s="40" t="s">
        <v>173</v>
      </c>
      <c r="BA7" s="40" t="s">
        <v>154</v>
      </c>
      <c r="BB7" s="40" t="s">
        <v>156</v>
      </c>
      <c r="BC7" s="40" t="s">
        <v>150</v>
      </c>
      <c r="BD7" s="40" t="s">
        <v>159</v>
      </c>
      <c r="BE7" s="40" t="s">
        <v>187</v>
      </c>
      <c r="BF7" s="40" t="s">
        <v>162</v>
      </c>
      <c r="BG7" s="40" t="s">
        <v>167</v>
      </c>
      <c r="BH7" s="40"/>
      <c r="BI7" s="40" t="s">
        <v>48</v>
      </c>
      <c r="BJ7" s="40"/>
      <c r="BK7" s="40" t="s">
        <v>50</v>
      </c>
      <c r="BL7" s="40"/>
      <c r="BM7" s="40"/>
      <c r="BN7" s="40"/>
      <c r="BO7" s="40"/>
      <c r="BP7" s="40"/>
      <c r="BQ7" s="40">
        <f>SUM(BK7:BP7)</f>
        <v>0</v>
      </c>
      <c r="BR7" s="40">
        <f>BQ7*0.08</f>
        <v>0</v>
      </c>
      <c r="BS7" s="40" t="s">
        <v>55</v>
      </c>
      <c r="BT7" s="40" t="s">
        <v>54</v>
      </c>
      <c r="BU7" s="40" t="s">
        <v>43</v>
      </c>
      <c r="BV7" s="39">
        <f>SUM(BQ7:BU7)</f>
        <v>0</v>
      </c>
      <c r="BW7" s="39"/>
      <c r="BX7" s="39"/>
      <c r="BY7" s="39"/>
      <c r="BZ7" s="39"/>
    </row>
    <row r="8" spans="1:78" s="1" customFormat="1" ht="118.5" customHeight="1" x14ac:dyDescent="0.25">
      <c r="A8" s="41">
        <f t="shared" ref="A8:A9" si="0">ROW()-5</f>
        <v>3</v>
      </c>
      <c r="B8" s="41" t="s">
        <v>16</v>
      </c>
      <c r="C8" s="41"/>
      <c r="D8" s="41" t="s">
        <v>39</v>
      </c>
      <c r="E8" s="41">
        <v>1</v>
      </c>
      <c r="F8" s="41" t="s">
        <v>18</v>
      </c>
      <c r="G8" s="41"/>
      <c r="H8" s="41"/>
      <c r="I8" s="41" t="s">
        <v>23</v>
      </c>
      <c r="J8" s="41" t="s">
        <v>23</v>
      </c>
      <c r="K8" s="41"/>
      <c r="L8" s="41"/>
      <c r="M8" s="41"/>
      <c r="N8" s="42" t="s">
        <v>20</v>
      </c>
      <c r="O8" s="42"/>
      <c r="P8" s="41"/>
      <c r="Q8" s="42" t="s">
        <v>123</v>
      </c>
      <c r="R8" s="42" t="s">
        <v>51</v>
      </c>
      <c r="S8" s="41" t="s">
        <v>22</v>
      </c>
      <c r="T8" s="41"/>
      <c r="U8" s="41"/>
      <c r="V8" s="41"/>
      <c r="W8" s="41" t="s">
        <v>130</v>
      </c>
      <c r="X8" s="41"/>
      <c r="Y8" s="41"/>
      <c r="Z8" s="42"/>
      <c r="AA8" s="41"/>
      <c r="AB8" s="42"/>
      <c r="AC8" s="41"/>
      <c r="AD8" s="42"/>
      <c r="AE8" s="41"/>
      <c r="AF8" s="42" t="s">
        <v>133</v>
      </c>
      <c r="AG8" s="42" t="s">
        <v>135</v>
      </c>
      <c r="AH8" s="42" t="s">
        <v>132</v>
      </c>
      <c r="AI8" s="41"/>
      <c r="AJ8" s="41"/>
      <c r="AK8" s="41"/>
      <c r="AL8" s="41"/>
      <c r="AM8" s="41"/>
      <c r="AN8" s="41"/>
      <c r="AO8" s="41"/>
      <c r="AP8" s="41"/>
      <c r="AQ8" s="42" t="s">
        <v>144</v>
      </c>
      <c r="AR8" s="41"/>
      <c r="AS8" s="41"/>
      <c r="AT8" s="41"/>
      <c r="AU8" s="41"/>
      <c r="AV8" s="41"/>
      <c r="AW8" s="41"/>
      <c r="AX8" s="41"/>
      <c r="AY8" s="42" t="s">
        <v>169</v>
      </c>
      <c r="AZ8" s="42"/>
      <c r="BA8" s="41"/>
      <c r="BB8" s="41"/>
      <c r="BC8" s="42" t="s">
        <v>164</v>
      </c>
      <c r="BD8" s="41"/>
      <c r="BE8" s="42" t="s">
        <v>182</v>
      </c>
      <c r="BF8" s="41"/>
      <c r="BG8" s="41"/>
      <c r="BH8" s="41"/>
      <c r="BI8" s="41" t="s">
        <v>65</v>
      </c>
      <c r="BJ8" s="41"/>
      <c r="BK8" s="42" t="s">
        <v>33</v>
      </c>
      <c r="BL8" s="42"/>
      <c r="BM8" s="42"/>
      <c r="BN8" s="42"/>
      <c r="BO8" s="42"/>
      <c r="BP8" s="42"/>
      <c r="BQ8" s="42"/>
      <c r="BR8" s="42"/>
      <c r="BS8" s="42"/>
      <c r="BT8" s="42"/>
      <c r="BU8" s="42"/>
      <c r="BV8" s="41"/>
      <c r="BW8" s="41"/>
      <c r="BX8" s="41"/>
      <c r="BY8" s="41"/>
      <c r="BZ8" s="41"/>
    </row>
    <row r="9" spans="1:78" s="1" customFormat="1" ht="42.75" customHeight="1" x14ac:dyDescent="0.25">
      <c r="A9" s="41">
        <f t="shared" si="0"/>
        <v>4</v>
      </c>
      <c r="B9" s="41" t="s">
        <v>17</v>
      </c>
      <c r="C9" s="41"/>
      <c r="D9" s="41" t="s">
        <v>38</v>
      </c>
      <c r="E9" s="41">
        <v>1</v>
      </c>
      <c r="F9" s="41" t="s">
        <v>18</v>
      </c>
      <c r="G9" s="41"/>
      <c r="H9" s="41"/>
      <c r="I9" s="41" t="s">
        <v>23</v>
      </c>
      <c r="J9" s="41" t="s">
        <v>23</v>
      </c>
      <c r="K9" s="41"/>
      <c r="L9" s="41"/>
      <c r="M9" s="41"/>
      <c r="N9" s="42" t="s">
        <v>66</v>
      </c>
      <c r="O9" s="42"/>
      <c r="P9" s="41"/>
      <c r="Q9" s="42" t="s">
        <v>124</v>
      </c>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2"/>
      <c r="BL9" s="42"/>
      <c r="BM9" s="42"/>
      <c r="BN9" s="42"/>
      <c r="BO9" s="42"/>
      <c r="BP9" s="42"/>
      <c r="BQ9" s="42"/>
      <c r="BR9" s="42"/>
      <c r="BS9" s="42"/>
      <c r="BT9" s="42"/>
      <c r="BU9" s="42"/>
      <c r="BV9" s="41"/>
      <c r="BW9" s="41"/>
      <c r="BX9" s="41"/>
      <c r="BY9" s="41"/>
      <c r="BZ9" s="41"/>
    </row>
    <row r="10" spans="1:78" ht="45" x14ac:dyDescent="0.25">
      <c r="A10" s="43"/>
      <c r="B10" s="43"/>
      <c r="C10" s="43"/>
      <c r="D10" s="43"/>
      <c r="E10" s="43"/>
      <c r="F10" s="43"/>
      <c r="G10" s="43"/>
      <c r="H10" s="43"/>
      <c r="I10" s="43"/>
      <c r="J10" s="43"/>
      <c r="K10" s="43"/>
      <c r="L10" s="43"/>
      <c r="M10" s="43"/>
      <c r="N10" s="43"/>
      <c r="O10" s="43"/>
      <c r="P10" s="43"/>
      <c r="Q10" s="44" t="s">
        <v>125</v>
      </c>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4"/>
      <c r="BL10" s="44"/>
      <c r="BM10" s="44"/>
      <c r="BN10" s="44"/>
      <c r="BO10" s="44"/>
      <c r="BP10" s="44"/>
      <c r="BQ10" s="44"/>
      <c r="BR10" s="44"/>
      <c r="BS10" s="44"/>
      <c r="BT10" s="44"/>
      <c r="BU10" s="44"/>
      <c r="BV10" s="45"/>
      <c r="BW10" s="45"/>
      <c r="BX10" s="45"/>
      <c r="BY10" s="45"/>
      <c r="BZ10" s="43"/>
    </row>
  </sheetData>
  <mergeCells count="75">
    <mergeCell ref="AU4:BH4"/>
    <mergeCell ref="AU5:AU6"/>
    <mergeCell ref="AV5:AV6"/>
    <mergeCell ref="BZ5:BZ6"/>
    <mergeCell ref="BI4:BZ4"/>
    <mergeCell ref="BT5:BT6"/>
    <mergeCell ref="BU5:BU6"/>
    <mergeCell ref="BV5:BV6"/>
    <mergeCell ref="BW5:BW6"/>
    <mergeCell ref="BX5:BX6"/>
    <mergeCell ref="BY5:BY6"/>
    <mergeCell ref="BN5:BN6"/>
    <mergeCell ref="BO5:BO6"/>
    <mergeCell ref="BP5:BP6"/>
    <mergeCell ref="BQ5:BQ6"/>
    <mergeCell ref="BR5:BR6"/>
    <mergeCell ref="BS5:BS6"/>
    <mergeCell ref="BM5:BM6"/>
    <mergeCell ref="AP5:AP6"/>
    <mergeCell ref="BI5:BI6"/>
    <mergeCell ref="BJ5:BJ6"/>
    <mergeCell ref="BK5:BK6"/>
    <mergeCell ref="BL5:BL6"/>
    <mergeCell ref="AX5:AX6"/>
    <mergeCell ref="AY5:AY6"/>
    <mergeCell ref="AZ5:AZ6"/>
    <mergeCell ref="BA5:BA6"/>
    <mergeCell ref="BH5:BH6"/>
    <mergeCell ref="BB5:BB6"/>
    <mergeCell ref="BC5:BC6"/>
    <mergeCell ref="BD5:BD6"/>
    <mergeCell ref="BE5:BE6"/>
    <mergeCell ref="BF5:BF6"/>
    <mergeCell ref="BG5:BG6"/>
    <mergeCell ref="X5:X6"/>
    <mergeCell ref="M5:M6"/>
    <mergeCell ref="N5:N6"/>
    <mergeCell ref="O5:O6"/>
    <mergeCell ref="P5:P6"/>
    <mergeCell ref="Q5:Q6"/>
    <mergeCell ref="R5:R6"/>
    <mergeCell ref="S5:S6"/>
    <mergeCell ref="T5:T6"/>
    <mergeCell ref="U5:U6"/>
    <mergeCell ref="V5:V6"/>
    <mergeCell ref="W5:W6"/>
    <mergeCell ref="AW5:AW6"/>
    <mergeCell ref="L5:L6"/>
    <mergeCell ref="A5:A6"/>
    <mergeCell ref="B5:B6"/>
    <mergeCell ref="C5:C6"/>
    <mergeCell ref="D5:D6"/>
    <mergeCell ref="E5:E6"/>
    <mergeCell ref="F5:F6"/>
    <mergeCell ref="G5:G6"/>
    <mergeCell ref="H5:H6"/>
    <mergeCell ref="I5:I6"/>
    <mergeCell ref="J5:J6"/>
    <mergeCell ref="K5:K6"/>
    <mergeCell ref="AO4:AT4"/>
    <mergeCell ref="Y4:AI4"/>
    <mergeCell ref="Y5:Y6"/>
    <mergeCell ref="Z5:AA5"/>
    <mergeCell ref="AB5:AC5"/>
    <mergeCell ref="AD5:AE5"/>
    <mergeCell ref="AG5:AG6"/>
    <mergeCell ref="AI5:AK5"/>
    <mergeCell ref="AL5:AM5"/>
    <mergeCell ref="AH5:AH6"/>
    <mergeCell ref="AN5:AN6"/>
    <mergeCell ref="AT5:AT6"/>
    <mergeCell ref="AS5:AS6"/>
    <mergeCell ref="AR5:AR6"/>
    <mergeCell ref="AQ5:AQ6"/>
    <mergeCell ref="AO5:AO6"/>
  </mergeCells>
  <conditionalFormatting sqref="C5:D5">
    <cfRule type="duplicateValues" dxfId="163" priority="159"/>
  </conditionalFormatting>
  <conditionalFormatting sqref="G5">
    <cfRule type="duplicateValues" dxfId="162" priority="160"/>
    <cfRule type="duplicateValues" dxfId="161" priority="161"/>
    <cfRule type="duplicateValues" dxfId="160" priority="162"/>
    <cfRule type="duplicateValues" dxfId="159" priority="163"/>
    <cfRule type="duplicateValues" dxfId="158" priority="164"/>
    <cfRule type="duplicateValues" dxfId="157" priority="165"/>
    <cfRule type="duplicateValues" dxfId="156" priority="166"/>
    <cfRule type="duplicateValues" dxfId="155" priority="167"/>
    <cfRule type="duplicateValues" dxfId="154" priority="168"/>
    <cfRule type="duplicateValues" dxfId="153" priority="169"/>
    <cfRule type="duplicateValues" dxfId="152" priority="170"/>
    <cfRule type="duplicateValues" dxfId="151" priority="171"/>
    <cfRule type="duplicateValues" dxfId="150" priority="172"/>
    <cfRule type="duplicateValues" dxfId="149" priority="173"/>
    <cfRule type="duplicateValues" dxfId="148" priority="174"/>
    <cfRule type="duplicateValues" dxfId="147" priority="175"/>
    <cfRule type="duplicateValues" dxfId="146" priority="176"/>
    <cfRule type="duplicateValues" dxfId="145" priority="177"/>
    <cfRule type="duplicateValues" dxfId="144" priority="178"/>
    <cfRule type="duplicateValues" dxfId="143" priority="179"/>
    <cfRule type="duplicateValues" dxfId="142" priority="180"/>
    <cfRule type="duplicateValues" dxfId="141" priority="181"/>
    <cfRule type="duplicateValues" dxfId="140" priority="182"/>
    <cfRule type="duplicateValues" dxfId="139" priority="183"/>
    <cfRule type="duplicateValues" dxfId="138" priority="184"/>
    <cfRule type="duplicateValues" dxfId="137" priority="185"/>
    <cfRule type="duplicateValues" dxfId="136" priority="186"/>
    <cfRule type="duplicateValues" dxfId="135" priority="187"/>
    <cfRule type="duplicateValues" dxfId="134" priority="188"/>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AP7"/>
  <sheetViews>
    <sheetView topLeftCell="Y1" workbookViewId="0">
      <selection activeCell="AC7" sqref="AC7"/>
    </sheetView>
  </sheetViews>
  <sheetFormatPr defaultRowHeight="15" x14ac:dyDescent="0.25"/>
  <cols>
    <col min="1" max="1" width="8.140625" customWidth="1"/>
    <col min="2" max="2" width="12.7109375" customWidth="1"/>
    <col min="3" max="3" width="15" customWidth="1"/>
    <col min="14" max="14" width="9.28515625" customWidth="1"/>
    <col min="17" max="20" width="16.140625" customWidth="1"/>
    <col min="23" max="23" width="27.85546875" customWidth="1"/>
    <col min="24" max="24" width="19.85546875" customWidth="1"/>
    <col min="25" max="26" width="11.140625" customWidth="1"/>
    <col min="27" max="34" width="19.140625" customWidth="1"/>
  </cols>
  <sheetData>
    <row r="4" spans="1:42" x14ac:dyDescent="0.25">
      <c r="AA4" s="79" t="s">
        <v>165</v>
      </c>
      <c r="AB4" s="79"/>
      <c r="AC4" s="79"/>
      <c r="AD4" s="79"/>
      <c r="AE4" s="79"/>
      <c r="AF4" s="79"/>
      <c r="AG4" s="79"/>
      <c r="AH4" s="79"/>
    </row>
    <row r="5" spans="1:42" ht="78.75" x14ac:dyDescent="0.25">
      <c r="A5" s="24" t="s">
        <v>9</v>
      </c>
      <c r="B5" s="24" t="s">
        <v>0</v>
      </c>
      <c r="C5" s="24" t="s">
        <v>67</v>
      </c>
      <c r="D5" s="24" t="s">
        <v>68</v>
      </c>
      <c r="E5" s="24" t="s">
        <v>69</v>
      </c>
      <c r="F5" s="24" t="s">
        <v>2</v>
      </c>
      <c r="G5" s="25" t="s">
        <v>3</v>
      </c>
      <c r="H5" s="24" t="s">
        <v>70</v>
      </c>
      <c r="I5" s="24" t="s">
        <v>86</v>
      </c>
      <c r="J5" s="25" t="s">
        <v>71</v>
      </c>
      <c r="K5" s="26" t="s">
        <v>72</v>
      </c>
      <c r="L5" s="25" t="s">
        <v>93</v>
      </c>
      <c r="M5" s="26" t="s">
        <v>73</v>
      </c>
      <c r="N5" s="27" t="s">
        <v>74</v>
      </c>
      <c r="O5" s="27" t="s">
        <v>25</v>
      </c>
      <c r="P5" s="28" t="s">
        <v>75</v>
      </c>
      <c r="Q5" s="3" t="s">
        <v>76</v>
      </c>
      <c r="R5" s="3" t="s">
        <v>94</v>
      </c>
      <c r="S5" s="24" t="s">
        <v>97</v>
      </c>
      <c r="T5" s="4" t="s">
        <v>77</v>
      </c>
      <c r="U5" s="24" t="s">
        <v>78</v>
      </c>
      <c r="V5" s="24" t="s">
        <v>79</v>
      </c>
      <c r="W5" s="24" t="s">
        <v>98</v>
      </c>
      <c r="X5" s="29" t="s">
        <v>89</v>
      </c>
      <c r="Y5" s="24" t="s">
        <v>87</v>
      </c>
      <c r="Z5" s="30" t="s">
        <v>80</v>
      </c>
      <c r="AA5" s="37" t="s">
        <v>170</v>
      </c>
      <c r="AB5" s="37" t="s">
        <v>152</v>
      </c>
      <c r="AC5" s="37" t="s">
        <v>174</v>
      </c>
      <c r="AD5" s="37" t="s">
        <v>176</v>
      </c>
      <c r="AE5" s="37" t="s">
        <v>177</v>
      </c>
      <c r="AF5" s="37" t="s">
        <v>160</v>
      </c>
      <c r="AG5" s="37" t="s">
        <v>178</v>
      </c>
      <c r="AH5" s="37" t="s">
        <v>179</v>
      </c>
      <c r="AI5" s="23" t="s">
        <v>101</v>
      </c>
      <c r="AJ5" s="23" t="s">
        <v>102</v>
      </c>
      <c r="AK5" s="23" t="s">
        <v>103</v>
      </c>
      <c r="AL5" s="23" t="s">
        <v>108</v>
      </c>
      <c r="AM5" s="23" t="s">
        <v>34</v>
      </c>
      <c r="AN5" s="23" t="s">
        <v>105</v>
      </c>
      <c r="AO5" s="23" t="s">
        <v>106</v>
      </c>
      <c r="AP5" s="23" t="s">
        <v>107</v>
      </c>
    </row>
    <row r="6" spans="1:42" ht="195" x14ac:dyDescent="0.25">
      <c r="A6" s="5">
        <f>ROW()-5</f>
        <v>1</v>
      </c>
      <c r="B6" s="6" t="s">
        <v>81</v>
      </c>
      <c r="C6" s="7" t="s">
        <v>82</v>
      </c>
      <c r="D6" s="5" t="s">
        <v>38</v>
      </c>
      <c r="E6" s="5">
        <v>1</v>
      </c>
      <c r="F6" s="5" t="s">
        <v>18</v>
      </c>
      <c r="G6" s="8"/>
      <c r="H6" s="6" t="s">
        <v>83</v>
      </c>
      <c r="I6" s="6" t="s">
        <v>83</v>
      </c>
      <c r="J6" s="9">
        <v>45839</v>
      </c>
      <c r="K6" s="10">
        <v>0.33333333333333331</v>
      </c>
      <c r="L6" s="9">
        <v>45839</v>
      </c>
      <c r="M6" s="11">
        <v>0.45833333333333331</v>
      </c>
      <c r="N6" s="12" t="s">
        <v>84</v>
      </c>
      <c r="O6" s="13"/>
      <c r="P6" s="14"/>
      <c r="Q6" s="15" t="s">
        <v>85</v>
      </c>
      <c r="R6" s="15" t="s">
        <v>95</v>
      </c>
      <c r="S6" s="16" t="s">
        <v>96</v>
      </c>
      <c r="T6" s="5" t="s">
        <v>92</v>
      </c>
      <c r="U6" s="11">
        <v>0.63888888888888884</v>
      </c>
      <c r="V6" s="9">
        <v>45839</v>
      </c>
      <c r="W6" s="22" t="s">
        <v>104</v>
      </c>
      <c r="X6" s="17"/>
      <c r="Y6" s="18" t="s">
        <v>88</v>
      </c>
      <c r="Z6" s="19">
        <f>M6-K6</f>
        <v>0.125</v>
      </c>
      <c r="AA6" s="38" t="s">
        <v>171</v>
      </c>
      <c r="AB6" s="2" t="s">
        <v>172</v>
      </c>
      <c r="AC6" s="19" t="s">
        <v>175</v>
      </c>
      <c r="AD6" s="2" t="s">
        <v>154</v>
      </c>
      <c r="AE6" s="2" t="s">
        <v>159</v>
      </c>
      <c r="AF6" s="2" t="s">
        <v>180</v>
      </c>
      <c r="AG6" s="19" t="s">
        <v>162</v>
      </c>
      <c r="AH6" s="19" t="s">
        <v>181</v>
      </c>
      <c r="AI6" s="31"/>
      <c r="AJ6" s="31"/>
      <c r="AK6" s="31"/>
      <c r="AL6" s="31"/>
      <c r="AM6" s="32">
        <f>SUM(AI6:AL6)</f>
        <v>0</v>
      </c>
      <c r="AN6" s="32">
        <f>AM6*0%</f>
        <v>0</v>
      </c>
      <c r="AO6" s="32"/>
      <c r="AP6" s="32">
        <f>SUM(AM6:AO6)</f>
        <v>0</v>
      </c>
    </row>
    <row r="7" spans="1:42" ht="120" x14ac:dyDescent="0.25">
      <c r="A7" s="5">
        <f>ROW()-5</f>
        <v>2</v>
      </c>
      <c r="B7" s="6" t="s">
        <v>81</v>
      </c>
      <c r="C7" s="7" t="s">
        <v>90</v>
      </c>
      <c r="D7" s="5" t="s">
        <v>38</v>
      </c>
      <c r="E7" s="5">
        <v>1</v>
      </c>
      <c r="F7" s="5" t="s">
        <v>18</v>
      </c>
      <c r="G7" s="8"/>
      <c r="H7" s="6" t="s">
        <v>83</v>
      </c>
      <c r="I7" s="6" t="s">
        <v>83</v>
      </c>
      <c r="J7" s="9">
        <v>45839</v>
      </c>
      <c r="K7" s="10">
        <v>0.95833333333333337</v>
      </c>
      <c r="L7" s="9">
        <v>45840</v>
      </c>
      <c r="M7" s="11">
        <v>0.33333333333333331</v>
      </c>
      <c r="N7" s="12">
        <v>2</v>
      </c>
      <c r="O7" s="13" t="s">
        <v>84</v>
      </c>
      <c r="P7" s="14"/>
      <c r="Q7" s="15" t="s">
        <v>91</v>
      </c>
      <c r="R7" s="15" t="s">
        <v>100</v>
      </c>
      <c r="S7" s="16" t="s">
        <v>99</v>
      </c>
      <c r="T7" s="15" t="s">
        <v>85</v>
      </c>
      <c r="U7" s="11">
        <v>0.375</v>
      </c>
      <c r="V7" s="9">
        <v>45840</v>
      </c>
      <c r="W7" s="21"/>
      <c r="X7" s="17"/>
      <c r="Y7" s="20"/>
      <c r="Z7" s="19"/>
      <c r="AA7" s="19"/>
      <c r="AB7" s="19"/>
      <c r="AC7" s="19" t="s">
        <v>164</v>
      </c>
      <c r="AD7" s="19"/>
      <c r="AE7" s="19"/>
      <c r="AF7" s="2" t="s">
        <v>182</v>
      </c>
      <c r="AG7" s="19"/>
      <c r="AH7" s="19"/>
      <c r="AI7" s="31"/>
      <c r="AJ7" s="31"/>
      <c r="AK7" s="31"/>
      <c r="AL7" s="31"/>
      <c r="AM7" s="32">
        <f>SUM(AI7:AL7)</f>
        <v>0</v>
      </c>
      <c r="AN7" s="32">
        <f>AM7*0%</f>
        <v>0</v>
      </c>
      <c r="AO7" s="32"/>
      <c r="AP7" s="32">
        <f>SUM(AM7:AO7)</f>
        <v>0</v>
      </c>
    </row>
  </sheetData>
  <mergeCells count="1">
    <mergeCell ref="AA4:AH4"/>
  </mergeCells>
  <conditionalFormatting sqref="G6">
    <cfRule type="colorScale" priority="93">
      <colorScale>
        <cfvo type="formula" val="$G$1+2"/>
        <cfvo type="formula" val="$G$1+3"/>
        <cfvo type="formula" val="$G$1+4"/>
        <color rgb="FFF8696B"/>
        <color rgb="FFFFEB84"/>
        <color rgb="FF63BE7B"/>
      </colorScale>
    </cfRule>
  </conditionalFormatting>
  <conditionalFormatting sqref="G7">
    <cfRule type="colorScale" priority="71">
      <colorScale>
        <cfvo type="formula" val="$G$1+2"/>
        <cfvo type="formula" val="$G$1+3"/>
        <cfvo type="formula" val="$G$1+4"/>
        <color rgb="FFF8696B"/>
        <color rgb="FFFFEB84"/>
        <color rgb="FF63BE7B"/>
      </colorScale>
    </cfRule>
  </conditionalFormatting>
  <conditionalFormatting sqref="P7 S7">
    <cfRule type="duplicateValues" dxfId="133" priority="152"/>
    <cfRule type="duplicateValues" dxfId="132" priority="155"/>
    <cfRule type="duplicateValues" dxfId="131" priority="154"/>
  </conditionalFormatting>
  <conditionalFormatting sqref="P7">
    <cfRule type="duplicateValues" dxfId="130" priority="56"/>
    <cfRule type="duplicateValues" dxfId="129" priority="57"/>
    <cfRule type="duplicateValues" dxfId="128" priority="59"/>
    <cfRule type="duplicateValues" dxfId="127" priority="60"/>
    <cfRule type="duplicateValues" dxfId="126" priority="61"/>
    <cfRule type="duplicateValues" dxfId="125" priority="62"/>
    <cfRule type="duplicateValues" dxfId="124" priority="63"/>
    <cfRule type="duplicateValues" dxfId="123" priority="66"/>
    <cfRule type="duplicateValues" dxfId="122" priority="50"/>
    <cfRule type="duplicateValues" dxfId="121" priority="51"/>
    <cfRule type="duplicateValues" dxfId="120" priority="53"/>
    <cfRule type="duplicateValues" dxfId="119" priority="54"/>
    <cfRule type="duplicateValues" dxfId="118" priority="52"/>
    <cfRule type="duplicateValues" dxfId="117" priority="55"/>
  </conditionalFormatting>
  <conditionalFormatting sqref="Q5:R5">
    <cfRule type="duplicateValues" dxfId="116" priority="103"/>
    <cfRule type="duplicateValues" dxfId="115" priority="104"/>
    <cfRule type="duplicateValues" dxfId="114" priority="105"/>
    <cfRule type="duplicateValues" dxfId="113" priority="106"/>
    <cfRule type="duplicateValues" dxfId="112" priority="107"/>
    <cfRule type="duplicateValues" dxfId="111" priority="108"/>
    <cfRule type="duplicateValues" dxfId="110" priority="109"/>
    <cfRule type="duplicateValues" dxfId="109" priority="111"/>
    <cfRule type="duplicateValues" dxfId="108" priority="113"/>
    <cfRule type="duplicateValues" dxfId="107" priority="114"/>
    <cfRule type="duplicateValues" dxfId="106" priority="115"/>
    <cfRule type="duplicateValues" dxfId="105" priority="116"/>
    <cfRule type="duplicateValues" dxfId="104" priority="117"/>
    <cfRule type="duplicateValues" dxfId="103" priority="118"/>
    <cfRule type="duplicateValues" dxfId="102" priority="119"/>
    <cfRule type="duplicateValues" dxfId="101" priority="120"/>
    <cfRule type="duplicateValues" dxfId="100" priority="123"/>
    <cfRule type="duplicateValues" dxfId="99" priority="124"/>
    <cfRule type="duplicateValues" dxfId="98" priority="125"/>
    <cfRule type="duplicateValues" dxfId="97" priority="127"/>
    <cfRule type="duplicateValues" dxfId="96" priority="126"/>
    <cfRule type="duplicateValues" dxfId="95" priority="94"/>
    <cfRule type="duplicateValues" dxfId="94" priority="95"/>
    <cfRule type="duplicateValues" dxfId="93" priority="96"/>
    <cfRule type="duplicateValues" dxfId="92" priority="97"/>
    <cfRule type="duplicateValues" dxfId="91" priority="98"/>
    <cfRule type="duplicateValues" dxfId="90" priority="99"/>
    <cfRule type="duplicateValues" dxfId="89" priority="100"/>
    <cfRule type="duplicateValues" dxfId="88" priority="101"/>
  </conditionalFormatting>
  <conditionalFormatting sqref="Q6:R6">
    <cfRule type="duplicateValues" dxfId="87" priority="86"/>
    <cfRule type="duplicateValues" dxfId="86" priority="75"/>
    <cfRule type="duplicateValues" dxfId="85" priority="88"/>
    <cfRule type="duplicateValues" dxfId="84" priority="87"/>
    <cfRule type="duplicateValues" dxfId="83" priority="72"/>
    <cfRule type="duplicateValues" dxfId="82" priority="82"/>
    <cfRule type="duplicateValues" dxfId="81" priority="85"/>
    <cfRule type="duplicateValues" dxfId="80" priority="84"/>
    <cfRule type="duplicateValues" dxfId="79" priority="92"/>
    <cfRule type="duplicateValues" dxfId="78" priority="83"/>
    <cfRule type="duplicateValues" dxfId="77" priority="73"/>
    <cfRule type="duplicateValues" dxfId="76" priority="74"/>
    <cfRule type="duplicateValues" dxfId="75" priority="81"/>
    <cfRule type="duplicateValues" dxfId="74" priority="80"/>
    <cfRule type="duplicateValues" dxfId="73" priority="79"/>
    <cfRule type="duplicateValues" dxfId="72" priority="78"/>
    <cfRule type="duplicateValues" dxfId="71" priority="77"/>
    <cfRule type="duplicateValues" dxfId="70" priority="76"/>
    <cfRule type="duplicateValues" dxfId="69" priority="91"/>
    <cfRule type="duplicateValues" dxfId="68" priority="90"/>
    <cfRule type="duplicateValues" dxfId="67" priority="89"/>
  </conditionalFormatting>
  <conditionalFormatting sqref="Q7:R7">
    <cfRule type="duplicateValues" dxfId="66" priority="35"/>
    <cfRule type="duplicateValues" dxfId="65" priority="46"/>
    <cfRule type="duplicateValues" dxfId="64" priority="29"/>
    <cfRule type="duplicateValues" dxfId="63" priority="30"/>
    <cfRule type="duplicateValues" dxfId="62" priority="31"/>
    <cfRule type="duplicateValues" dxfId="61" priority="32"/>
    <cfRule type="duplicateValues" dxfId="60" priority="33"/>
    <cfRule type="duplicateValues" dxfId="59" priority="34"/>
    <cfRule type="duplicateValues" dxfId="58" priority="49"/>
    <cfRule type="duplicateValues" dxfId="57" priority="36"/>
    <cfRule type="duplicateValues" dxfId="56" priority="48"/>
    <cfRule type="duplicateValues" dxfId="55" priority="38"/>
    <cfRule type="duplicateValues" dxfId="54" priority="39"/>
    <cfRule type="duplicateValues" dxfId="53" priority="40"/>
    <cfRule type="duplicateValues" dxfId="52" priority="41"/>
    <cfRule type="duplicateValues" dxfId="51" priority="37"/>
    <cfRule type="duplicateValues" dxfId="50" priority="43"/>
    <cfRule type="duplicateValues" dxfId="49" priority="44"/>
    <cfRule type="duplicateValues" dxfId="48" priority="45"/>
    <cfRule type="duplicateValues" dxfId="47" priority="47"/>
    <cfRule type="duplicateValues" dxfId="46" priority="42"/>
  </conditionalFormatting>
  <conditionalFormatting sqref="S7 P7">
    <cfRule type="duplicateValues" dxfId="45" priority="148"/>
    <cfRule type="duplicateValues" dxfId="44" priority="147"/>
    <cfRule type="duplicateValues" dxfId="43" priority="146"/>
    <cfRule type="duplicateValues" dxfId="42" priority="158"/>
  </conditionalFormatting>
  <conditionalFormatting sqref="T5 Q5:R5">
    <cfRule type="duplicateValues" dxfId="41" priority="129"/>
    <cfRule type="duplicateValues" dxfId="40" priority="130"/>
    <cfRule type="duplicateValues" dxfId="39" priority="131"/>
    <cfRule type="duplicateValues" dxfId="38" priority="133"/>
    <cfRule type="duplicateValues" dxfId="37" priority="134"/>
    <cfRule type="duplicateValues" dxfId="36" priority="135"/>
    <cfRule type="duplicateValues" dxfId="35" priority="136"/>
    <cfRule type="duplicateValues" dxfId="34" priority="132"/>
    <cfRule type="duplicateValues" dxfId="33" priority="128"/>
  </conditionalFormatting>
  <conditionalFormatting sqref="T5">
    <cfRule type="duplicateValues" dxfId="32" priority="121"/>
    <cfRule type="duplicateValues" dxfId="31" priority="112"/>
    <cfRule type="duplicateValues" dxfId="30" priority="102"/>
    <cfRule type="duplicateValues" dxfId="29" priority="122"/>
    <cfRule type="duplicateValues" dxfId="28" priority="110"/>
  </conditionalFormatting>
  <conditionalFormatting sqref="T6">
    <cfRule type="duplicateValues" dxfId="27" priority="28"/>
    <cfRule type="duplicateValues" dxfId="26" priority="27"/>
    <cfRule type="duplicateValues" dxfId="25" priority="26"/>
    <cfRule type="duplicateValues" dxfId="24" priority="25"/>
    <cfRule type="duplicateValues" dxfId="23" priority="24"/>
    <cfRule type="duplicateValues" dxfId="22" priority="23"/>
    <cfRule type="duplicateValues" dxfId="21" priority="22"/>
  </conditionalFormatting>
  <conditionalFormatting sqref="T7">
    <cfRule type="duplicateValues" dxfId="20" priority="9"/>
    <cfRule type="duplicateValues" dxfId="19" priority="8"/>
    <cfRule type="duplicateValues" dxfId="18" priority="7"/>
    <cfRule type="duplicateValues" dxfId="17" priority="1"/>
    <cfRule type="duplicateValues" dxfId="16" priority="18"/>
    <cfRule type="duplicateValues" dxfId="15" priority="19"/>
    <cfRule type="duplicateValues" dxfId="14" priority="17"/>
    <cfRule type="duplicateValues" dxfId="13" priority="16"/>
    <cfRule type="duplicateValues" dxfId="12" priority="15"/>
    <cfRule type="duplicateValues" dxfId="11" priority="14"/>
    <cfRule type="duplicateValues" dxfId="10" priority="12"/>
    <cfRule type="duplicateValues" dxfId="9" priority="13"/>
    <cfRule type="duplicateValues" dxfId="8" priority="11"/>
    <cfRule type="duplicateValues" dxfId="7" priority="21"/>
    <cfRule type="duplicateValues" dxfId="6" priority="5"/>
    <cfRule type="duplicateValues" dxfId="5" priority="4"/>
    <cfRule type="duplicateValues" dxfId="4" priority="3"/>
    <cfRule type="duplicateValues" dxfId="3" priority="2"/>
    <cfRule type="duplicateValues" dxfId="2" priority="20"/>
    <cfRule type="duplicateValues" dxfId="1" priority="10"/>
    <cfRule type="duplicateValues" dxfId="0" priority="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C28"/>
  <sheetViews>
    <sheetView view="pageBreakPreview" zoomScale="60" zoomScaleNormal="100" workbookViewId="0">
      <selection activeCell="J30" sqref="J30:J31"/>
    </sheetView>
  </sheetViews>
  <sheetFormatPr defaultColWidth="9.140625" defaultRowHeight="16.5" x14ac:dyDescent="0.25"/>
  <cols>
    <col min="1" max="1" width="9.140625" style="36"/>
    <col min="2" max="2" width="31.85546875" style="36" customWidth="1"/>
    <col min="3" max="3" width="131.42578125" style="36" customWidth="1"/>
    <col min="4" max="4" width="41.7109375" style="36" customWidth="1"/>
    <col min="5" max="16384" width="9.140625" style="36"/>
  </cols>
  <sheetData>
    <row r="5" spans="2:3" ht="30" customHeight="1" x14ac:dyDescent="0.25">
      <c r="B5" s="47" t="s">
        <v>188</v>
      </c>
      <c r="C5" s="48" t="s">
        <v>189</v>
      </c>
    </row>
    <row r="6" spans="2:3" ht="49.5" x14ac:dyDescent="0.25">
      <c r="B6" s="47"/>
      <c r="C6" s="48" t="s">
        <v>200</v>
      </c>
    </row>
    <row r="7" spans="2:3" x14ac:dyDescent="0.25">
      <c r="B7" s="47"/>
      <c r="C7" s="48" t="s">
        <v>190</v>
      </c>
    </row>
    <row r="8" spans="2:3" x14ac:dyDescent="0.25">
      <c r="B8" s="47"/>
      <c r="C8" s="48" t="s">
        <v>191</v>
      </c>
    </row>
    <row r="9" spans="2:3" x14ac:dyDescent="0.25">
      <c r="B9" s="47"/>
      <c r="C9" s="48" t="s">
        <v>192</v>
      </c>
    </row>
    <row r="10" spans="2:3" x14ac:dyDescent="0.25">
      <c r="B10" s="47"/>
      <c r="C10" s="48" t="s">
        <v>198</v>
      </c>
    </row>
    <row r="11" spans="2:3" x14ac:dyDescent="0.25">
      <c r="B11" s="47"/>
      <c r="C11" s="48" t="s">
        <v>202</v>
      </c>
    </row>
    <row r="12" spans="2:3" x14ac:dyDescent="0.25">
      <c r="B12" s="47"/>
      <c r="C12" s="48" t="s">
        <v>203</v>
      </c>
    </row>
    <row r="13" spans="2:3" x14ac:dyDescent="0.25">
      <c r="B13" s="47" t="s">
        <v>193</v>
      </c>
      <c r="C13" s="48" t="s">
        <v>194</v>
      </c>
    </row>
    <row r="14" spans="2:3" ht="33" x14ac:dyDescent="0.25">
      <c r="B14" s="47"/>
      <c r="C14" s="48" t="s">
        <v>195</v>
      </c>
    </row>
    <row r="15" spans="2:3" x14ac:dyDescent="0.25">
      <c r="B15" s="47"/>
      <c r="C15" s="48" t="s">
        <v>196</v>
      </c>
    </row>
    <row r="16" spans="2:3" x14ac:dyDescent="0.25">
      <c r="B16" s="47"/>
      <c r="C16" s="48" t="s">
        <v>191</v>
      </c>
    </row>
    <row r="17" spans="2:3" x14ac:dyDescent="0.25">
      <c r="B17" s="47"/>
      <c r="C17" s="48" t="s">
        <v>197</v>
      </c>
    </row>
    <row r="18" spans="2:3" x14ac:dyDescent="0.25">
      <c r="B18" s="47"/>
      <c r="C18" s="48" t="s">
        <v>202</v>
      </c>
    </row>
    <row r="19" spans="2:3" x14ac:dyDescent="0.25">
      <c r="B19" s="47"/>
      <c r="C19" s="48" t="s">
        <v>203</v>
      </c>
    </row>
    <row r="20" spans="2:3" ht="49.5" x14ac:dyDescent="0.25">
      <c r="B20" s="80" t="s">
        <v>199</v>
      </c>
      <c r="C20" s="48" t="s">
        <v>201</v>
      </c>
    </row>
    <row r="21" spans="2:3" ht="46.5" customHeight="1" x14ac:dyDescent="0.25">
      <c r="B21" s="81"/>
      <c r="C21" s="48" t="s">
        <v>204</v>
      </c>
    </row>
    <row r="22" spans="2:3" x14ac:dyDescent="0.25">
      <c r="C22" s="46"/>
    </row>
    <row r="23" spans="2:3" x14ac:dyDescent="0.25">
      <c r="C23" s="46"/>
    </row>
    <row r="24" spans="2:3" x14ac:dyDescent="0.25">
      <c r="C24" s="46"/>
    </row>
    <row r="25" spans="2:3" x14ac:dyDescent="0.25">
      <c r="C25" s="46"/>
    </row>
    <row r="26" spans="2:3" x14ac:dyDescent="0.25">
      <c r="C26" s="46"/>
    </row>
    <row r="27" spans="2:3" x14ac:dyDescent="0.25">
      <c r="C27" s="46"/>
    </row>
    <row r="28" spans="2:3" x14ac:dyDescent="0.25">
      <c r="C28" s="46"/>
    </row>
  </sheetData>
  <mergeCells count="1">
    <mergeCell ref="B20:B21"/>
  </mergeCells>
  <pageMargins left="0.7" right="0.7" top="0.75" bottom="0.75" header="0.3" footer="0.3"/>
  <pageSetup paperSize="9"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HẠ HPH</vt:lpstr>
      <vt:lpstr>HẠ ICD</vt:lpstr>
      <vt:lpstr>HẠN ĐỔI HÓA ĐƠN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2026-01-07T08:14:05Z</cp:lastPrinted>
  <dcterms:created xsi:type="dcterms:W3CDTF">2025-08-27T01:46:25Z</dcterms:created>
  <dcterms:modified xsi:type="dcterms:W3CDTF">2026-06-10T11:23:52Z</dcterms:modified>
</cp:coreProperties>
</file>