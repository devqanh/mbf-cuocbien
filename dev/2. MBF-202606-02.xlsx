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ragon\www\cuocbien\dev\"/>
    </mc:Choice>
  </mc:AlternateContent>
  <xr:revisionPtr revIDLastSave="0" documentId="13_ncr:8001_{04B83A54-BCB4-4D2A-88A4-ECC512977512}" xr6:coauthVersionLast="47" xr6:coauthVersionMax="47" xr10:uidLastSave="{00000000-0000-0000-0000-000000000000}"/>
  <bookViews>
    <workbookView xWindow="89280" yWindow="-120" windowWidth="29040" windowHeight="15720" activeTab="1" xr2:uid="{00000000-000D-0000-FFFF-FFFF00000000}"/>
  </bookViews>
  <sheets>
    <sheet name="QUOTATION" sheetId="1" r:id="rId1"/>
    <sheet name="import" sheetId="25" r:id="rId2"/>
  </sheets>
  <externalReferences>
    <externalReference r:id="rId3"/>
  </externalReferences>
  <definedNames>
    <definedName name="_xlnm._FilterDatabase" localSheetId="1" hidden="1">import!$A$15:$BT$561</definedName>
    <definedName name="_xlnm.Print_Area" localSheetId="1">import!$A$1:$Y$703</definedName>
    <definedName name="_xlnm.Print_Area" localSheetId="0">QUOTATION!$B$2:$AS$56</definedName>
  </definedNames>
  <calcPr calcId="191029"/>
</workbook>
</file>

<file path=xl/calcChain.xml><?xml version="1.0" encoding="utf-8"?>
<calcChain xmlns="http://schemas.openxmlformats.org/spreadsheetml/2006/main">
  <c r="AH11" i="1" l="1"/>
  <c r="AI601" i="25"/>
  <c r="AI600" i="25"/>
  <c r="AI599" i="25"/>
  <c r="AI598" i="25"/>
  <c r="AI597" i="25"/>
  <c r="AI567" i="25"/>
  <c r="AI566" i="25"/>
  <c r="AI565" i="25"/>
  <c r="AI564" i="25"/>
  <c r="AI563" i="25"/>
  <c r="AI562" i="25"/>
  <c r="AI561" i="25"/>
  <c r="AI519" i="25"/>
  <c r="AI518" i="25"/>
  <c r="AI517" i="25"/>
  <c r="AI516" i="25"/>
  <c r="AI515" i="25"/>
  <c r="AI485" i="25"/>
  <c r="AI484" i="25"/>
  <c r="AI483" i="25"/>
  <c r="AI482" i="25"/>
  <c r="AI481" i="25"/>
  <c r="AI480" i="25"/>
  <c r="AI470" i="25"/>
  <c r="AI469" i="25"/>
  <c r="AI414" i="25"/>
  <c r="AI413" i="25"/>
  <c r="AI362" i="25"/>
  <c r="AI361" i="25"/>
  <c r="AI360" i="25"/>
  <c r="AI359" i="25"/>
  <c r="AI358" i="25"/>
  <c r="AI357" i="25"/>
  <c r="AI306" i="25"/>
  <c r="AI305" i="25"/>
  <c r="AI250" i="25"/>
  <c r="AI249" i="25"/>
  <c r="AI248" i="25"/>
  <c r="AI247" i="25"/>
  <c r="AI246" i="25"/>
  <c r="AI245" i="25"/>
  <c r="AI235" i="25"/>
  <c r="AI234" i="25"/>
  <c r="AI187" i="25"/>
  <c r="AI186" i="25"/>
  <c r="AI127" i="25"/>
  <c r="AI126" i="25"/>
  <c r="AI125" i="25"/>
  <c r="AI124" i="25"/>
  <c r="AI123" i="25"/>
  <c r="AI122" i="25"/>
  <c r="AI75" i="25"/>
  <c r="AI74" i="25"/>
  <c r="N472" i="25" l="1"/>
  <c r="O472" i="25"/>
  <c r="AI472" i="25" s="1"/>
  <c r="N473" i="25"/>
  <c r="O473" i="25"/>
  <c r="AI473" i="25" s="1"/>
  <c r="N474" i="25"/>
  <c r="O474" i="25"/>
  <c r="AI474" i="25" s="1"/>
  <c r="N475" i="25"/>
  <c r="O475" i="25"/>
  <c r="AI475" i="25" s="1"/>
  <c r="N476" i="25"/>
  <c r="O476" i="25"/>
  <c r="AI476" i="25" s="1"/>
  <c r="N477" i="25"/>
  <c r="O477" i="25"/>
  <c r="AI477" i="25" s="1"/>
  <c r="N478" i="25"/>
  <c r="O478" i="25"/>
  <c r="AI478" i="25" s="1"/>
  <c r="N479" i="25"/>
  <c r="O479" i="25"/>
  <c r="AI479" i="25" s="1"/>
  <c r="O471" i="25"/>
  <c r="AI471" i="25" s="1"/>
  <c r="N471" i="25"/>
  <c r="O693" i="25" l="1"/>
  <c r="K693" i="25"/>
  <c r="O692" i="25"/>
  <c r="K692" i="25"/>
  <c r="AN160" i="25" l="1"/>
  <c r="T28" i="1"/>
  <c r="F22" i="1"/>
  <c r="B22" i="1"/>
  <c r="Q603" i="25"/>
  <c r="U603" i="25" s="1"/>
  <c r="R603" i="25"/>
  <c r="V603" i="25" s="1"/>
  <c r="S603" i="25"/>
  <c r="W603" i="25" s="1"/>
  <c r="T603" i="25"/>
  <c r="X603" i="25" s="1"/>
  <c r="Q604" i="25"/>
  <c r="U604" i="25" s="1"/>
  <c r="R604" i="25"/>
  <c r="V604" i="25" s="1"/>
  <c r="S604" i="25"/>
  <c r="T604" i="25"/>
  <c r="Q605" i="25"/>
  <c r="U605" i="25" s="1"/>
  <c r="R605" i="25"/>
  <c r="V605" i="25" s="1"/>
  <c r="S605" i="25"/>
  <c r="W605" i="25" s="1"/>
  <c r="T605" i="25"/>
  <c r="X605" i="25" s="1"/>
  <c r="Q606" i="25"/>
  <c r="U606" i="25" s="1"/>
  <c r="R606" i="25"/>
  <c r="V606" i="25" s="1"/>
  <c r="S606" i="25"/>
  <c r="T606" i="25"/>
  <c r="Q607" i="25"/>
  <c r="U607" i="25" s="1"/>
  <c r="R607" i="25"/>
  <c r="V607" i="25" s="1"/>
  <c r="S607" i="25"/>
  <c r="W607" i="25" s="1"/>
  <c r="T607" i="25"/>
  <c r="X607" i="25" s="1"/>
  <c r="Q608" i="25"/>
  <c r="U608" i="25" s="1"/>
  <c r="R608" i="25"/>
  <c r="V608" i="25" s="1"/>
  <c r="S608" i="25"/>
  <c r="T608" i="25"/>
  <c r="Q609" i="25"/>
  <c r="U609" i="25" s="1"/>
  <c r="R609" i="25"/>
  <c r="V609" i="25" s="1"/>
  <c r="S609" i="25"/>
  <c r="W609" i="25" s="1"/>
  <c r="T609" i="25"/>
  <c r="X609" i="25" s="1"/>
  <c r="Q610" i="25"/>
  <c r="U610" i="25" s="1"/>
  <c r="R610" i="25"/>
  <c r="V610" i="25" s="1"/>
  <c r="S610" i="25"/>
  <c r="T610" i="25"/>
  <c r="X610" i="25" s="1"/>
  <c r="Q611" i="25"/>
  <c r="U611" i="25" s="1"/>
  <c r="R611" i="25"/>
  <c r="V611" i="25" s="1"/>
  <c r="S611" i="25"/>
  <c r="W611" i="25" s="1"/>
  <c r="T611" i="25"/>
  <c r="X611" i="25" s="1"/>
  <c r="Q612" i="25"/>
  <c r="U612" i="25" s="1"/>
  <c r="R612" i="25"/>
  <c r="V612" i="25" s="1"/>
  <c r="S612" i="25"/>
  <c r="T612" i="25"/>
  <c r="Q613" i="25"/>
  <c r="U613" i="25" s="1"/>
  <c r="R613" i="25"/>
  <c r="V613" i="25" s="1"/>
  <c r="S613" i="25"/>
  <c r="W613" i="25" s="1"/>
  <c r="T613" i="25"/>
  <c r="X613" i="25" s="1"/>
  <c r="Q614" i="25"/>
  <c r="U614" i="25" s="1"/>
  <c r="R614" i="25"/>
  <c r="V614" i="25" s="1"/>
  <c r="S614" i="25"/>
  <c r="T614" i="25"/>
  <c r="X614" i="25" s="1"/>
  <c r="Q615" i="25"/>
  <c r="U615" i="25" s="1"/>
  <c r="R615" i="25"/>
  <c r="V615" i="25" s="1"/>
  <c r="S615" i="25"/>
  <c r="W615" i="25" s="1"/>
  <c r="T615" i="25"/>
  <c r="X615" i="25" s="1"/>
  <c r="Q616" i="25"/>
  <c r="U616" i="25" s="1"/>
  <c r="R616" i="25"/>
  <c r="V616" i="25" s="1"/>
  <c r="S616" i="25"/>
  <c r="T616" i="25"/>
  <c r="X616" i="25" s="1"/>
  <c r="Q617" i="25"/>
  <c r="U617" i="25" s="1"/>
  <c r="R617" i="25"/>
  <c r="V617" i="25" s="1"/>
  <c r="S617" i="25"/>
  <c r="W617" i="25" s="1"/>
  <c r="T617" i="25"/>
  <c r="X617" i="25" s="1"/>
  <c r="Q618" i="25"/>
  <c r="U618" i="25" s="1"/>
  <c r="R618" i="25"/>
  <c r="V618" i="25" s="1"/>
  <c r="S618" i="25"/>
  <c r="T618" i="25"/>
  <c r="Q619" i="25"/>
  <c r="U619" i="25" s="1"/>
  <c r="R619" i="25"/>
  <c r="V619" i="25" s="1"/>
  <c r="S619" i="25"/>
  <c r="W619" i="25" s="1"/>
  <c r="T619" i="25"/>
  <c r="X619" i="25" s="1"/>
  <c r="Q620" i="25"/>
  <c r="U620" i="25" s="1"/>
  <c r="R620" i="25"/>
  <c r="V620" i="25" s="1"/>
  <c r="S620" i="25"/>
  <c r="T620" i="25"/>
  <c r="X620" i="25" s="1"/>
  <c r="Q621" i="25"/>
  <c r="U621" i="25" s="1"/>
  <c r="R621" i="25"/>
  <c r="V621" i="25" s="1"/>
  <c r="S621" i="25"/>
  <c r="W621" i="25" s="1"/>
  <c r="T621" i="25"/>
  <c r="X621" i="25" s="1"/>
  <c r="Q622" i="25"/>
  <c r="U622" i="25" s="1"/>
  <c r="R622" i="25"/>
  <c r="V622" i="25" s="1"/>
  <c r="S622" i="25"/>
  <c r="T622" i="25"/>
  <c r="Q623" i="25"/>
  <c r="U623" i="25" s="1"/>
  <c r="R623" i="25"/>
  <c r="V623" i="25" s="1"/>
  <c r="S623" i="25"/>
  <c r="W623" i="25" s="1"/>
  <c r="T623" i="25"/>
  <c r="X623" i="25" s="1"/>
  <c r="Q624" i="25"/>
  <c r="U624" i="25" s="1"/>
  <c r="R624" i="25"/>
  <c r="V624" i="25" s="1"/>
  <c r="S624" i="25"/>
  <c r="T624" i="25"/>
  <c r="X624" i="25" s="1"/>
  <c r="Q625" i="25"/>
  <c r="U625" i="25" s="1"/>
  <c r="R625" i="25"/>
  <c r="V625" i="25" s="1"/>
  <c r="S625" i="25"/>
  <c r="W625" i="25" s="1"/>
  <c r="T625" i="25"/>
  <c r="X625" i="25" s="1"/>
  <c r="Q626" i="25"/>
  <c r="U626" i="25" s="1"/>
  <c r="R626" i="25"/>
  <c r="V626" i="25" s="1"/>
  <c r="S626" i="25"/>
  <c r="T626" i="25"/>
  <c r="X626" i="25" s="1"/>
  <c r="Q627" i="25"/>
  <c r="U627" i="25" s="1"/>
  <c r="R627" i="25"/>
  <c r="V627" i="25" s="1"/>
  <c r="S627" i="25"/>
  <c r="W627" i="25" s="1"/>
  <c r="T627" i="25"/>
  <c r="X627" i="25" s="1"/>
  <c r="Q628" i="25"/>
  <c r="U628" i="25" s="1"/>
  <c r="R628" i="25"/>
  <c r="V628" i="25" s="1"/>
  <c r="S628" i="25"/>
  <c r="T628" i="25"/>
  <c r="Q629" i="25"/>
  <c r="U629" i="25" s="1"/>
  <c r="R629" i="25"/>
  <c r="V629" i="25" s="1"/>
  <c r="S629" i="25"/>
  <c r="W629" i="25" s="1"/>
  <c r="T629" i="25"/>
  <c r="X629" i="25" s="1"/>
  <c r="Q630" i="25"/>
  <c r="U630" i="25" s="1"/>
  <c r="R630" i="25"/>
  <c r="V630" i="25" s="1"/>
  <c r="S630" i="25"/>
  <c r="T630" i="25"/>
  <c r="Q631" i="25"/>
  <c r="U631" i="25" s="1"/>
  <c r="R631" i="25"/>
  <c r="V631" i="25" s="1"/>
  <c r="S631" i="25"/>
  <c r="W631" i="25" s="1"/>
  <c r="T631" i="25"/>
  <c r="X631" i="25" s="1"/>
  <c r="Q632" i="25"/>
  <c r="U632" i="25" s="1"/>
  <c r="R632" i="25"/>
  <c r="V632" i="25" s="1"/>
  <c r="S632" i="25"/>
  <c r="T632" i="25"/>
  <c r="Q633" i="25"/>
  <c r="U633" i="25" s="1"/>
  <c r="R633" i="25"/>
  <c r="V633" i="25" s="1"/>
  <c r="S633" i="25"/>
  <c r="W633" i="25" s="1"/>
  <c r="T633" i="25"/>
  <c r="X633" i="25" s="1"/>
  <c r="Q634" i="25"/>
  <c r="U634" i="25" s="1"/>
  <c r="R634" i="25"/>
  <c r="V634" i="25" s="1"/>
  <c r="S634" i="25"/>
  <c r="T634" i="25"/>
  <c r="X634" i="25" s="1"/>
  <c r="Q635" i="25"/>
  <c r="U635" i="25" s="1"/>
  <c r="R635" i="25"/>
  <c r="V635" i="25" s="1"/>
  <c r="S635" i="25"/>
  <c r="W635" i="25" s="1"/>
  <c r="T635" i="25"/>
  <c r="X635" i="25" s="1"/>
  <c r="Q636" i="25"/>
  <c r="U636" i="25" s="1"/>
  <c r="R636" i="25"/>
  <c r="V636" i="25" s="1"/>
  <c r="S636" i="25"/>
  <c r="W636" i="25" s="1"/>
  <c r="T636" i="25"/>
  <c r="X636" i="25" s="1"/>
  <c r="Q637" i="25"/>
  <c r="U637" i="25" s="1"/>
  <c r="R637" i="25"/>
  <c r="V637" i="25" s="1"/>
  <c r="S637" i="25"/>
  <c r="W637" i="25" s="1"/>
  <c r="T637" i="25"/>
  <c r="X637" i="25" s="1"/>
  <c r="Q638" i="25"/>
  <c r="U638" i="25" s="1"/>
  <c r="R638" i="25"/>
  <c r="V638" i="25" s="1"/>
  <c r="S638" i="25"/>
  <c r="T638" i="25"/>
  <c r="X638" i="25" s="1"/>
  <c r="Q639" i="25"/>
  <c r="U639" i="25" s="1"/>
  <c r="R639" i="25"/>
  <c r="V639" i="25" s="1"/>
  <c r="S639" i="25"/>
  <c r="W639" i="25" s="1"/>
  <c r="T639" i="25"/>
  <c r="X639" i="25" s="1"/>
  <c r="T602" i="25"/>
  <c r="X602" i="25" s="1"/>
  <c r="S602" i="25"/>
  <c r="R602" i="25"/>
  <c r="V602" i="25" s="1"/>
  <c r="Q602" i="25"/>
  <c r="U602" i="25" s="1"/>
  <c r="U569" i="25"/>
  <c r="V569" i="25"/>
  <c r="U570" i="25"/>
  <c r="V570" i="25"/>
  <c r="U571" i="25"/>
  <c r="V571" i="25"/>
  <c r="U572" i="25"/>
  <c r="V572" i="25"/>
  <c r="U573" i="25"/>
  <c r="V573" i="25"/>
  <c r="V574" i="25"/>
  <c r="U574" i="25"/>
  <c r="U575" i="25"/>
  <c r="V575" i="25"/>
  <c r="U576" i="25"/>
  <c r="V576" i="25"/>
  <c r="U577" i="25"/>
  <c r="V577" i="25"/>
  <c r="U578" i="25"/>
  <c r="V578" i="25"/>
  <c r="U579" i="25"/>
  <c r="V579" i="25"/>
  <c r="V580" i="25"/>
  <c r="U580" i="25"/>
  <c r="U581" i="25"/>
  <c r="V581" i="25"/>
  <c r="U582" i="25"/>
  <c r="V582" i="25"/>
  <c r="V583" i="25"/>
  <c r="U583" i="25"/>
  <c r="U584" i="25"/>
  <c r="V584" i="25"/>
  <c r="U585" i="25"/>
  <c r="V585" i="25"/>
  <c r="U586" i="25"/>
  <c r="V586" i="25"/>
  <c r="U587" i="25"/>
  <c r="V587" i="25"/>
  <c r="U588" i="25"/>
  <c r="V588" i="25"/>
  <c r="U589" i="25"/>
  <c r="V589" i="25"/>
  <c r="U590" i="25"/>
  <c r="V590" i="25"/>
  <c r="U591" i="25"/>
  <c r="V591" i="25"/>
  <c r="V592" i="25"/>
  <c r="U592" i="25"/>
  <c r="U593" i="25"/>
  <c r="V593" i="25"/>
  <c r="U594" i="25"/>
  <c r="V594" i="25"/>
  <c r="U595" i="25"/>
  <c r="V595" i="25"/>
  <c r="U596" i="25"/>
  <c r="V596" i="25"/>
  <c r="V568" i="25"/>
  <c r="U568" i="25"/>
  <c r="U521" i="25"/>
  <c r="V521" i="25"/>
  <c r="U522" i="25"/>
  <c r="V522" i="25"/>
  <c r="V523" i="25"/>
  <c r="U523" i="25"/>
  <c r="U524" i="25"/>
  <c r="V524" i="25"/>
  <c r="U525" i="25"/>
  <c r="V525" i="25"/>
  <c r="V526" i="25"/>
  <c r="U526" i="25"/>
  <c r="U527" i="25"/>
  <c r="V527" i="25"/>
  <c r="U528" i="25"/>
  <c r="V528" i="25"/>
  <c r="V529" i="25"/>
  <c r="U529" i="25"/>
  <c r="U530" i="25"/>
  <c r="V530" i="25"/>
  <c r="U531" i="25"/>
  <c r="V531" i="25"/>
  <c r="V532" i="25"/>
  <c r="U532" i="25"/>
  <c r="U533" i="25"/>
  <c r="V533" i="25"/>
  <c r="U534" i="25"/>
  <c r="V534" i="25"/>
  <c r="V535" i="25"/>
  <c r="U535" i="25"/>
  <c r="U536" i="25"/>
  <c r="V536" i="25"/>
  <c r="U537" i="25"/>
  <c r="V537" i="25"/>
  <c r="V538" i="25"/>
  <c r="U538" i="25"/>
  <c r="U539" i="25"/>
  <c r="V539" i="25"/>
  <c r="U540" i="25"/>
  <c r="V540" i="25"/>
  <c r="V541" i="25"/>
  <c r="U541" i="25"/>
  <c r="U542" i="25"/>
  <c r="V542" i="25"/>
  <c r="U543" i="25"/>
  <c r="V543" i="25"/>
  <c r="V544" i="25"/>
  <c r="U544" i="25"/>
  <c r="U545" i="25"/>
  <c r="V545" i="25"/>
  <c r="U546" i="25"/>
  <c r="V546" i="25"/>
  <c r="V547" i="25"/>
  <c r="U547" i="25"/>
  <c r="U548" i="25"/>
  <c r="V548" i="25"/>
  <c r="U549" i="25"/>
  <c r="V549" i="25"/>
  <c r="U550" i="25"/>
  <c r="V550" i="25"/>
  <c r="U551" i="25"/>
  <c r="V551" i="25"/>
  <c r="U552" i="25"/>
  <c r="V552" i="25"/>
  <c r="U553" i="25"/>
  <c r="V553" i="25"/>
  <c r="U554" i="25"/>
  <c r="V554" i="25"/>
  <c r="U555" i="25"/>
  <c r="V555" i="25"/>
  <c r="U556" i="25"/>
  <c r="V556" i="25"/>
  <c r="U557" i="25"/>
  <c r="V557" i="25"/>
  <c r="U558" i="25"/>
  <c r="V558" i="25"/>
  <c r="U559" i="25"/>
  <c r="V559" i="25"/>
  <c r="U560" i="25"/>
  <c r="V560" i="25"/>
  <c r="U487" i="25"/>
  <c r="V487" i="25"/>
  <c r="U488" i="25"/>
  <c r="V488" i="25"/>
  <c r="V489" i="25"/>
  <c r="U489" i="25"/>
  <c r="U490" i="25"/>
  <c r="V490" i="25"/>
  <c r="U491" i="25"/>
  <c r="V491" i="25"/>
  <c r="V492" i="25"/>
  <c r="U492" i="25"/>
  <c r="U493" i="25"/>
  <c r="V493" i="25"/>
  <c r="U494" i="25"/>
  <c r="V494" i="25"/>
  <c r="V495" i="25"/>
  <c r="U495" i="25"/>
  <c r="U496" i="25"/>
  <c r="V496" i="25"/>
  <c r="U497" i="25"/>
  <c r="V497" i="25"/>
  <c r="V498" i="25"/>
  <c r="U498" i="25"/>
  <c r="U499" i="25"/>
  <c r="V499" i="25"/>
  <c r="U500" i="25"/>
  <c r="V500" i="25"/>
  <c r="V501" i="25"/>
  <c r="U501" i="25"/>
  <c r="U502" i="25"/>
  <c r="V502" i="25"/>
  <c r="U503" i="25"/>
  <c r="V503" i="25"/>
  <c r="V504" i="25"/>
  <c r="U504" i="25"/>
  <c r="U505" i="25"/>
  <c r="V505" i="25"/>
  <c r="U506" i="25"/>
  <c r="V506" i="25"/>
  <c r="V507" i="25"/>
  <c r="U507" i="25"/>
  <c r="U508" i="25"/>
  <c r="V508" i="25"/>
  <c r="U509" i="25"/>
  <c r="V509" i="25"/>
  <c r="V510" i="25"/>
  <c r="U510" i="25"/>
  <c r="U511" i="25"/>
  <c r="V511" i="25"/>
  <c r="U512" i="25"/>
  <c r="V512" i="25"/>
  <c r="V513" i="25"/>
  <c r="U513" i="25"/>
  <c r="U514" i="25"/>
  <c r="V514" i="25"/>
  <c r="U520" i="25"/>
  <c r="V520" i="25"/>
  <c r="V486" i="25"/>
  <c r="U486" i="25"/>
  <c r="U364" i="25"/>
  <c r="V364" i="25"/>
  <c r="U365" i="25"/>
  <c r="V365" i="25"/>
  <c r="U366" i="25"/>
  <c r="V366" i="25"/>
  <c r="U367" i="25"/>
  <c r="V367" i="25"/>
  <c r="U368" i="25"/>
  <c r="V368" i="25"/>
  <c r="U369" i="25"/>
  <c r="V369" i="25"/>
  <c r="U370" i="25"/>
  <c r="V370" i="25"/>
  <c r="U371" i="25"/>
  <c r="V371" i="25"/>
  <c r="U372" i="25"/>
  <c r="V372" i="25"/>
  <c r="U373" i="25"/>
  <c r="V373" i="25"/>
  <c r="U374" i="25"/>
  <c r="V374" i="25"/>
  <c r="U375" i="25"/>
  <c r="V375" i="25"/>
  <c r="U376" i="25"/>
  <c r="V376" i="25"/>
  <c r="U377" i="25"/>
  <c r="V377" i="25"/>
  <c r="U378" i="25"/>
  <c r="V378" i="25"/>
  <c r="U379" i="25"/>
  <c r="V379" i="25"/>
  <c r="U380" i="25"/>
  <c r="V380" i="25"/>
  <c r="U381" i="25"/>
  <c r="V381" i="25"/>
  <c r="U382" i="25"/>
  <c r="V382" i="25"/>
  <c r="U383" i="25"/>
  <c r="V383" i="25"/>
  <c r="U384" i="25"/>
  <c r="V384" i="25"/>
  <c r="U385" i="25"/>
  <c r="V385" i="25"/>
  <c r="U386" i="25"/>
  <c r="V386" i="25"/>
  <c r="U387" i="25"/>
  <c r="V387" i="25"/>
  <c r="U388" i="25"/>
  <c r="V388" i="25"/>
  <c r="U389" i="25"/>
  <c r="V389" i="25"/>
  <c r="U390" i="25"/>
  <c r="V390" i="25"/>
  <c r="U391" i="25"/>
  <c r="V391" i="25"/>
  <c r="U392" i="25"/>
  <c r="V392" i="25"/>
  <c r="U393" i="25"/>
  <c r="V393" i="25"/>
  <c r="U394" i="25"/>
  <c r="V394" i="25"/>
  <c r="U395" i="25"/>
  <c r="V395" i="25"/>
  <c r="U396" i="25"/>
  <c r="V396" i="25"/>
  <c r="U397" i="25"/>
  <c r="V397" i="25"/>
  <c r="U398" i="25"/>
  <c r="V398" i="25"/>
  <c r="U399" i="25"/>
  <c r="V399" i="25"/>
  <c r="U400" i="25"/>
  <c r="V400" i="25"/>
  <c r="U401" i="25"/>
  <c r="V401" i="25"/>
  <c r="U402" i="25"/>
  <c r="V402" i="25"/>
  <c r="U403" i="25"/>
  <c r="V403" i="25"/>
  <c r="U404" i="25"/>
  <c r="V404" i="25"/>
  <c r="U405" i="25"/>
  <c r="V405" i="25"/>
  <c r="U406" i="25"/>
  <c r="V406" i="25"/>
  <c r="U407" i="25"/>
  <c r="V407" i="25"/>
  <c r="U408" i="25"/>
  <c r="V408" i="25"/>
  <c r="U409" i="25"/>
  <c r="V409" i="25"/>
  <c r="U410" i="25"/>
  <c r="V410" i="25"/>
  <c r="U411" i="25"/>
  <c r="V411" i="25"/>
  <c r="U412" i="25"/>
  <c r="V412" i="25"/>
  <c r="V415" i="25"/>
  <c r="U416" i="25"/>
  <c r="V416" i="25"/>
  <c r="V417" i="25"/>
  <c r="U418" i="25"/>
  <c r="V418" i="25"/>
  <c r="V419" i="25"/>
  <c r="U420" i="25"/>
  <c r="V420" i="25"/>
  <c r="V421" i="25"/>
  <c r="U422" i="25"/>
  <c r="V422" i="25"/>
  <c r="V423" i="25"/>
  <c r="U424" i="25"/>
  <c r="V424" i="25"/>
  <c r="V425" i="25"/>
  <c r="U426" i="25"/>
  <c r="V426" i="25"/>
  <c r="V427" i="25"/>
  <c r="U428" i="25"/>
  <c r="V428" i="25"/>
  <c r="V429" i="25"/>
  <c r="U430" i="25"/>
  <c r="V430" i="25"/>
  <c r="V431" i="25"/>
  <c r="U432" i="25"/>
  <c r="V432" i="25"/>
  <c r="V433" i="25"/>
  <c r="U434" i="25"/>
  <c r="V434" i="25"/>
  <c r="V435" i="25"/>
  <c r="U436" i="25"/>
  <c r="V436" i="25"/>
  <c r="V437" i="25"/>
  <c r="U438" i="25"/>
  <c r="V438" i="25"/>
  <c r="V439" i="25"/>
  <c r="U440" i="25"/>
  <c r="V440" i="25"/>
  <c r="V441" i="25"/>
  <c r="U442" i="25"/>
  <c r="V442" i="25"/>
  <c r="V443" i="25"/>
  <c r="U444" i="25"/>
  <c r="V444" i="25"/>
  <c r="V445" i="25"/>
  <c r="U446" i="25"/>
  <c r="V446" i="25"/>
  <c r="V447" i="25"/>
  <c r="U448" i="25"/>
  <c r="V448" i="25"/>
  <c r="V449" i="25"/>
  <c r="U450" i="25"/>
  <c r="V450" i="25"/>
  <c r="V451" i="25"/>
  <c r="U452" i="25"/>
  <c r="V452" i="25"/>
  <c r="V453" i="25"/>
  <c r="U454" i="25"/>
  <c r="V454" i="25"/>
  <c r="V455" i="25"/>
  <c r="U456" i="25"/>
  <c r="V456" i="25"/>
  <c r="V457" i="25"/>
  <c r="U458" i="25"/>
  <c r="V458" i="25"/>
  <c r="V459" i="25"/>
  <c r="U460" i="25"/>
  <c r="V460" i="25"/>
  <c r="V461" i="25"/>
  <c r="U462" i="25"/>
  <c r="V462" i="25"/>
  <c r="V463" i="25"/>
  <c r="U464" i="25"/>
  <c r="V464" i="25"/>
  <c r="V465" i="25"/>
  <c r="U466" i="25"/>
  <c r="V466" i="25"/>
  <c r="V467" i="25"/>
  <c r="U468" i="25"/>
  <c r="V468" i="25"/>
  <c r="U469" i="25"/>
  <c r="V469" i="25"/>
  <c r="W469" i="25"/>
  <c r="X469" i="25"/>
  <c r="U470" i="25"/>
  <c r="V470" i="25"/>
  <c r="W470" i="25"/>
  <c r="X470" i="25"/>
  <c r="U471" i="25"/>
  <c r="V471" i="25"/>
  <c r="U472" i="25"/>
  <c r="V472" i="25"/>
  <c r="U473" i="25"/>
  <c r="V473" i="25"/>
  <c r="U474" i="25"/>
  <c r="V474" i="25"/>
  <c r="U475" i="25"/>
  <c r="V475" i="25"/>
  <c r="U476" i="25"/>
  <c r="V476" i="25"/>
  <c r="U477" i="25"/>
  <c r="V477" i="25"/>
  <c r="U478" i="25"/>
  <c r="V478" i="25"/>
  <c r="U479" i="25"/>
  <c r="V479" i="25"/>
  <c r="V363" i="25"/>
  <c r="U363" i="25"/>
  <c r="U252" i="25"/>
  <c r="V252" i="25"/>
  <c r="U253" i="25"/>
  <c r="V253" i="25"/>
  <c r="V254" i="25"/>
  <c r="U254" i="25"/>
  <c r="U255" i="25"/>
  <c r="V255" i="25"/>
  <c r="U256" i="25"/>
  <c r="V256" i="25"/>
  <c r="V257" i="25"/>
  <c r="U257" i="25"/>
  <c r="U258" i="25"/>
  <c r="V258" i="25"/>
  <c r="U259" i="25"/>
  <c r="V259" i="25"/>
  <c r="V260" i="25"/>
  <c r="U260" i="25"/>
  <c r="U261" i="25"/>
  <c r="V261" i="25"/>
  <c r="U262" i="25"/>
  <c r="V262" i="25"/>
  <c r="U263" i="25"/>
  <c r="V263" i="25"/>
  <c r="U264" i="25"/>
  <c r="V264" i="25"/>
  <c r="U265" i="25"/>
  <c r="V265" i="25"/>
  <c r="U266" i="25"/>
  <c r="V266" i="25"/>
  <c r="U267" i="25"/>
  <c r="V267" i="25"/>
  <c r="U268" i="25"/>
  <c r="V268" i="25"/>
  <c r="V269" i="25"/>
  <c r="U269" i="25"/>
  <c r="U270" i="25"/>
  <c r="V270" i="25"/>
  <c r="U271" i="25"/>
  <c r="V271" i="25"/>
  <c r="V272" i="25"/>
  <c r="U272" i="25"/>
  <c r="U273" i="25"/>
  <c r="V273" i="25"/>
  <c r="U274" i="25"/>
  <c r="V274" i="25"/>
  <c r="V275" i="25"/>
  <c r="U275" i="25"/>
  <c r="U276" i="25"/>
  <c r="V276" i="25"/>
  <c r="U277" i="25"/>
  <c r="V277" i="25"/>
  <c r="U278" i="25"/>
  <c r="V278" i="25"/>
  <c r="U279" i="25"/>
  <c r="V279" i="25"/>
  <c r="U280" i="25"/>
  <c r="V280" i="25"/>
  <c r="U281" i="25"/>
  <c r="V281" i="25"/>
  <c r="U282" i="25"/>
  <c r="V282" i="25"/>
  <c r="U283" i="25"/>
  <c r="V283" i="25"/>
  <c r="V284" i="25"/>
  <c r="U284" i="25"/>
  <c r="U285" i="25"/>
  <c r="V285" i="25"/>
  <c r="U286" i="25"/>
  <c r="V286" i="25"/>
  <c r="V287" i="25"/>
  <c r="U287" i="25"/>
  <c r="U288" i="25"/>
  <c r="V288" i="25"/>
  <c r="U289" i="25"/>
  <c r="V289" i="25"/>
  <c r="V290" i="25"/>
  <c r="U290" i="25"/>
  <c r="U291" i="25"/>
  <c r="V291" i="25"/>
  <c r="U292" i="25"/>
  <c r="V292" i="25"/>
  <c r="V293" i="25"/>
  <c r="U293" i="25"/>
  <c r="U294" i="25"/>
  <c r="V294" i="25"/>
  <c r="U295" i="25"/>
  <c r="V295" i="25"/>
  <c r="U296" i="25"/>
  <c r="V296" i="25"/>
  <c r="U297" i="25"/>
  <c r="V297" i="25"/>
  <c r="U298" i="25"/>
  <c r="V298" i="25"/>
  <c r="U299" i="25"/>
  <c r="V299" i="25"/>
  <c r="U300" i="25"/>
  <c r="V300" i="25"/>
  <c r="V301" i="25"/>
  <c r="V302" i="25"/>
  <c r="U302" i="25"/>
  <c r="V303" i="25"/>
  <c r="U304" i="25"/>
  <c r="V304" i="25"/>
  <c r="V307" i="25"/>
  <c r="U308" i="25"/>
  <c r="V308" i="25"/>
  <c r="V309" i="25"/>
  <c r="V310" i="25"/>
  <c r="U310" i="25"/>
  <c r="V311" i="25"/>
  <c r="U312" i="25"/>
  <c r="V312" i="25"/>
  <c r="V313" i="25"/>
  <c r="U314" i="25"/>
  <c r="V314" i="25"/>
  <c r="V315" i="25"/>
  <c r="U316" i="25"/>
  <c r="V316" i="25"/>
  <c r="V317" i="25"/>
  <c r="U318" i="25"/>
  <c r="V318" i="25"/>
  <c r="V319" i="25"/>
  <c r="U320" i="25"/>
  <c r="V320" i="25"/>
  <c r="V321" i="25"/>
  <c r="V322" i="25"/>
  <c r="U322" i="25"/>
  <c r="V323" i="25"/>
  <c r="U324" i="25"/>
  <c r="V324" i="25"/>
  <c r="V325" i="25"/>
  <c r="U326" i="25"/>
  <c r="V326" i="25"/>
  <c r="V327" i="25"/>
  <c r="V328" i="25"/>
  <c r="U328" i="25"/>
  <c r="V329" i="25"/>
  <c r="U330" i="25"/>
  <c r="V330" i="25"/>
  <c r="V331" i="25"/>
  <c r="U332" i="25"/>
  <c r="V332" i="25"/>
  <c r="V333" i="25"/>
  <c r="U334" i="25"/>
  <c r="V334" i="25"/>
  <c r="V335" i="25"/>
  <c r="U336" i="25"/>
  <c r="V336" i="25"/>
  <c r="V337" i="25"/>
  <c r="U338" i="25"/>
  <c r="V338" i="25"/>
  <c r="V339" i="25"/>
  <c r="V340" i="25"/>
  <c r="U340" i="25"/>
  <c r="V341" i="25"/>
  <c r="U342" i="25"/>
  <c r="V342" i="25"/>
  <c r="V343" i="25"/>
  <c r="U344" i="25"/>
  <c r="V344" i="25"/>
  <c r="V345" i="25"/>
  <c r="U346" i="25"/>
  <c r="V346" i="25"/>
  <c r="V347" i="25"/>
  <c r="U348" i="25"/>
  <c r="V348" i="25"/>
  <c r="V349" i="25"/>
  <c r="U350" i="25"/>
  <c r="V350" i="25"/>
  <c r="V351" i="25"/>
  <c r="U352" i="25"/>
  <c r="V352" i="25"/>
  <c r="V353" i="25"/>
  <c r="U354" i="25"/>
  <c r="V354" i="25"/>
  <c r="V355" i="25"/>
  <c r="U356" i="25"/>
  <c r="V356" i="25"/>
  <c r="V251" i="25"/>
  <c r="U251" i="25"/>
  <c r="U129" i="25"/>
  <c r="V129" i="25"/>
  <c r="U130" i="25"/>
  <c r="V130" i="25"/>
  <c r="U131" i="25"/>
  <c r="V131" i="25"/>
  <c r="U132" i="25"/>
  <c r="V132" i="25"/>
  <c r="U133" i="25"/>
  <c r="V133" i="25"/>
  <c r="U134" i="25"/>
  <c r="V134" i="25"/>
  <c r="V135" i="25"/>
  <c r="U135" i="25"/>
  <c r="U136" i="25"/>
  <c r="V136" i="25"/>
  <c r="U137" i="25"/>
  <c r="V137" i="25"/>
  <c r="U138" i="25"/>
  <c r="V138" i="25"/>
  <c r="U139" i="25"/>
  <c r="V139" i="25"/>
  <c r="U140" i="25"/>
  <c r="V140" i="25"/>
  <c r="U141" i="25"/>
  <c r="V141" i="25"/>
  <c r="U142" i="25"/>
  <c r="V142" i="25"/>
  <c r="U143" i="25"/>
  <c r="V143" i="25"/>
  <c r="V144" i="25"/>
  <c r="U144" i="25"/>
  <c r="U145" i="25"/>
  <c r="V145" i="25"/>
  <c r="U146" i="25"/>
  <c r="V146" i="25"/>
  <c r="U147" i="25"/>
  <c r="V147" i="25"/>
  <c r="U148" i="25"/>
  <c r="V148" i="25"/>
  <c r="U149" i="25"/>
  <c r="V149" i="25"/>
  <c r="V150" i="25"/>
  <c r="U150" i="25"/>
  <c r="U151" i="25"/>
  <c r="V151" i="25"/>
  <c r="U152" i="25"/>
  <c r="V152" i="25"/>
  <c r="V153" i="25"/>
  <c r="U153" i="25"/>
  <c r="U154" i="25"/>
  <c r="V154" i="25"/>
  <c r="U155" i="25"/>
  <c r="V155" i="25"/>
  <c r="U156" i="25"/>
  <c r="V156" i="25"/>
  <c r="U157" i="25"/>
  <c r="V157" i="25"/>
  <c r="U158" i="25"/>
  <c r="V158" i="25"/>
  <c r="U159" i="25"/>
  <c r="V159" i="25"/>
  <c r="U160" i="25"/>
  <c r="V160" i="25"/>
  <c r="U162" i="25"/>
  <c r="V162" i="25"/>
  <c r="U163" i="25"/>
  <c r="V163" i="25"/>
  <c r="U164" i="25"/>
  <c r="V164" i="25"/>
  <c r="U165" i="25"/>
  <c r="V165" i="25"/>
  <c r="U166" i="25"/>
  <c r="V166" i="25"/>
  <c r="U167" i="25"/>
  <c r="V167" i="25"/>
  <c r="U168" i="25"/>
  <c r="V168" i="25"/>
  <c r="U169" i="25"/>
  <c r="V169" i="25"/>
  <c r="U170" i="25"/>
  <c r="V170" i="25"/>
  <c r="U171" i="25"/>
  <c r="V171" i="25"/>
  <c r="U172" i="25"/>
  <c r="V172" i="25"/>
  <c r="U174" i="25"/>
  <c r="V174" i="25"/>
  <c r="U175" i="25"/>
  <c r="V175" i="25"/>
  <c r="U176" i="25"/>
  <c r="V176" i="25"/>
  <c r="U177" i="25"/>
  <c r="V178" i="25"/>
  <c r="U179" i="25"/>
  <c r="V179" i="25"/>
  <c r="V180" i="25"/>
  <c r="V181" i="25"/>
  <c r="U181" i="25"/>
  <c r="V182" i="25"/>
  <c r="V183" i="25"/>
  <c r="U183" i="25"/>
  <c r="V184" i="25"/>
  <c r="U185" i="25"/>
  <c r="V185" i="25"/>
  <c r="V188" i="25"/>
  <c r="U189" i="25"/>
  <c r="V189" i="25"/>
  <c r="V190" i="25"/>
  <c r="U191" i="25"/>
  <c r="V191" i="25"/>
  <c r="V192" i="25"/>
  <c r="U193" i="25"/>
  <c r="V193" i="25"/>
  <c r="V194" i="25"/>
  <c r="V195" i="25"/>
  <c r="U195" i="25"/>
  <c r="V196" i="25"/>
  <c r="V197" i="25"/>
  <c r="U197" i="25"/>
  <c r="V198" i="25"/>
  <c r="U199" i="25"/>
  <c r="V199" i="25"/>
  <c r="V200" i="25"/>
  <c r="U201" i="25"/>
  <c r="V201" i="25"/>
  <c r="V202" i="25"/>
  <c r="U203" i="25"/>
  <c r="V203" i="25"/>
  <c r="V204" i="25"/>
  <c r="U205" i="25"/>
  <c r="V205" i="25"/>
  <c r="V206" i="25"/>
  <c r="U207" i="25"/>
  <c r="V207" i="25"/>
  <c r="V208" i="25"/>
  <c r="U209" i="25"/>
  <c r="V209" i="25"/>
  <c r="V210" i="25"/>
  <c r="U211" i="25"/>
  <c r="V211" i="25"/>
  <c r="V212" i="25"/>
  <c r="U213" i="25"/>
  <c r="V213" i="25"/>
  <c r="V214" i="25"/>
  <c r="U215" i="25"/>
  <c r="V215" i="25"/>
  <c r="V216" i="25"/>
  <c r="U217" i="25"/>
  <c r="V217" i="25"/>
  <c r="V218" i="25"/>
  <c r="U219" i="25"/>
  <c r="V219" i="25"/>
  <c r="V220" i="25"/>
  <c r="U221" i="25"/>
  <c r="V221" i="25"/>
  <c r="V222" i="25"/>
  <c r="U223" i="25"/>
  <c r="V223" i="25"/>
  <c r="V224" i="25"/>
  <c r="U225" i="25"/>
  <c r="V225" i="25"/>
  <c r="V226" i="25"/>
  <c r="U227" i="25"/>
  <c r="V227" i="25"/>
  <c r="V228" i="25"/>
  <c r="U229" i="25"/>
  <c r="V229" i="25"/>
  <c r="V230" i="25"/>
  <c r="U231" i="25"/>
  <c r="V231" i="25"/>
  <c r="V232" i="25"/>
  <c r="U233" i="25"/>
  <c r="V233" i="25"/>
  <c r="U234" i="25"/>
  <c r="W234" i="25"/>
  <c r="X234" i="25"/>
  <c r="V234" i="25"/>
  <c r="U235" i="25"/>
  <c r="V235" i="25"/>
  <c r="W235" i="25"/>
  <c r="X235" i="25"/>
  <c r="V236" i="25"/>
  <c r="U236" i="25"/>
  <c r="U237" i="25"/>
  <c r="V237" i="25"/>
  <c r="U238" i="25"/>
  <c r="V238" i="25"/>
  <c r="U239" i="25"/>
  <c r="V239" i="25"/>
  <c r="U240" i="25"/>
  <c r="V240" i="25"/>
  <c r="U241" i="25"/>
  <c r="V241" i="25"/>
  <c r="U242" i="25"/>
  <c r="V242" i="25"/>
  <c r="U243" i="25"/>
  <c r="V243" i="25"/>
  <c r="U244" i="25"/>
  <c r="V244" i="25"/>
  <c r="U128" i="25"/>
  <c r="V128" i="25"/>
  <c r="U23" i="25"/>
  <c r="U32" i="25"/>
  <c r="U41" i="25"/>
  <c r="V46" i="25"/>
  <c r="V67" i="25"/>
  <c r="V72" i="25"/>
  <c r="V80" i="25"/>
  <c r="V86" i="25"/>
  <c r="V89" i="25"/>
  <c r="V92" i="25"/>
  <c r="V95" i="25"/>
  <c r="V98" i="25"/>
  <c r="V101" i="25"/>
  <c r="V104" i="25"/>
  <c r="V107" i="25"/>
  <c r="V110" i="25"/>
  <c r="V113" i="25"/>
  <c r="V116" i="25"/>
  <c r="V119" i="25"/>
  <c r="U17" i="25"/>
  <c r="V17" i="25"/>
  <c r="U18" i="25"/>
  <c r="V18" i="25"/>
  <c r="U19" i="25"/>
  <c r="V19" i="25"/>
  <c r="U20" i="25"/>
  <c r="V20" i="25"/>
  <c r="U21" i="25"/>
  <c r="V21" i="25"/>
  <c r="U22" i="25"/>
  <c r="V22" i="25"/>
  <c r="V23" i="25"/>
  <c r="U24" i="25"/>
  <c r="V24" i="25"/>
  <c r="U25" i="25"/>
  <c r="V25" i="25"/>
  <c r="U26" i="25"/>
  <c r="V26" i="25"/>
  <c r="U27" i="25"/>
  <c r="V27" i="25"/>
  <c r="U28" i="25"/>
  <c r="V28" i="25"/>
  <c r="U29" i="25"/>
  <c r="V29" i="25"/>
  <c r="U30" i="25"/>
  <c r="V30" i="25"/>
  <c r="U31" i="25"/>
  <c r="V31" i="25"/>
  <c r="V32" i="25"/>
  <c r="U33" i="25"/>
  <c r="V33" i="25"/>
  <c r="U34" i="25"/>
  <c r="V34" i="25"/>
  <c r="U35" i="25"/>
  <c r="V35" i="25"/>
  <c r="U36" i="25"/>
  <c r="V36" i="25"/>
  <c r="U37" i="25"/>
  <c r="V37" i="25"/>
  <c r="U38" i="25"/>
  <c r="V38" i="25"/>
  <c r="U39" i="25"/>
  <c r="V39" i="25"/>
  <c r="U40" i="25"/>
  <c r="V40" i="25"/>
  <c r="V41" i="25"/>
  <c r="U42" i="25"/>
  <c r="V42" i="25"/>
  <c r="U43" i="25"/>
  <c r="V43" i="25"/>
  <c r="U44" i="25"/>
  <c r="V44" i="25"/>
  <c r="U45" i="25"/>
  <c r="V45" i="25"/>
  <c r="U46" i="25"/>
  <c r="U47" i="25"/>
  <c r="V47" i="25"/>
  <c r="U48" i="25"/>
  <c r="V48" i="25"/>
  <c r="U50" i="25"/>
  <c r="V50" i="25"/>
  <c r="U51" i="25"/>
  <c r="V51" i="25"/>
  <c r="U52" i="25"/>
  <c r="V52" i="25"/>
  <c r="U53" i="25"/>
  <c r="V53" i="25"/>
  <c r="U54" i="25"/>
  <c r="V54" i="25"/>
  <c r="U55" i="25"/>
  <c r="V55" i="25"/>
  <c r="U56" i="25"/>
  <c r="V56" i="25"/>
  <c r="U57" i="25"/>
  <c r="V57" i="25"/>
  <c r="U58" i="25"/>
  <c r="V58" i="25"/>
  <c r="U59" i="25"/>
  <c r="V59" i="25"/>
  <c r="U60" i="25"/>
  <c r="V60" i="25"/>
  <c r="U62" i="25"/>
  <c r="V62" i="25"/>
  <c r="U63" i="25"/>
  <c r="V63" i="25"/>
  <c r="U64" i="25"/>
  <c r="V64" i="25"/>
  <c r="V65" i="25"/>
  <c r="V66" i="25"/>
  <c r="U67" i="25"/>
  <c r="V68" i="25"/>
  <c r="V70" i="25"/>
  <c r="V76" i="25"/>
  <c r="V78" i="25"/>
  <c r="U79" i="25"/>
  <c r="V82" i="25"/>
  <c r="V83" i="25"/>
  <c r="V84" i="25"/>
  <c r="U85" i="25"/>
  <c r="U87" i="25"/>
  <c r="V87" i="25"/>
  <c r="V88" i="25"/>
  <c r="U89" i="25"/>
  <c r="V90" i="25"/>
  <c r="U91" i="25"/>
  <c r="V91" i="25"/>
  <c r="U93" i="25"/>
  <c r="V93" i="25"/>
  <c r="V94" i="25"/>
  <c r="U95" i="25"/>
  <c r="V96" i="25"/>
  <c r="U97" i="25"/>
  <c r="V97" i="25"/>
  <c r="U99" i="25"/>
  <c r="V99" i="25"/>
  <c r="V100" i="25"/>
  <c r="U101" i="25"/>
  <c r="V102" i="25"/>
  <c r="U103" i="25"/>
  <c r="V103" i="25"/>
  <c r="U105" i="25"/>
  <c r="V105" i="25"/>
  <c r="V106" i="25"/>
  <c r="U107" i="25"/>
  <c r="V108" i="25"/>
  <c r="U109" i="25"/>
  <c r="V109" i="25"/>
  <c r="U111" i="25"/>
  <c r="V111" i="25"/>
  <c r="V112" i="25"/>
  <c r="U113" i="25"/>
  <c r="V114" i="25"/>
  <c r="U115" i="25"/>
  <c r="V115" i="25"/>
  <c r="U117" i="25"/>
  <c r="V117" i="25"/>
  <c r="V118" i="25"/>
  <c r="U119" i="25"/>
  <c r="V120" i="25"/>
  <c r="U121" i="25"/>
  <c r="V121" i="25"/>
  <c r="V16" i="25"/>
  <c r="U16" i="25"/>
  <c r="U161" i="25"/>
  <c r="V177" i="25"/>
  <c r="U49" i="25"/>
  <c r="U61" i="25"/>
  <c r="U69" i="25"/>
  <c r="U71" i="25"/>
  <c r="U73" i="25"/>
  <c r="U77" i="25"/>
  <c r="V79" i="25"/>
  <c r="V85" i="25"/>
  <c r="V173" i="25"/>
  <c r="U173" i="25"/>
  <c r="V161" i="25"/>
  <c r="U83" i="25"/>
  <c r="V81" i="25"/>
  <c r="U81" i="25"/>
  <c r="V77" i="25"/>
  <c r="V73" i="25"/>
  <c r="V71" i="25"/>
  <c r="V69" i="25"/>
  <c r="U65" i="25"/>
  <c r="V61" i="25"/>
  <c r="V49" i="25"/>
  <c r="U106" i="25"/>
  <c r="U108" i="25"/>
  <c r="U104" i="25"/>
  <c r="U118" i="25"/>
  <c r="U120" i="25"/>
  <c r="U116" i="25"/>
  <c r="U112" i="25"/>
  <c r="U114" i="25"/>
  <c r="U110" i="25"/>
  <c r="U230" i="25"/>
  <c r="U232" i="25"/>
  <c r="U228" i="25"/>
  <c r="U224" i="25"/>
  <c r="U226" i="25"/>
  <c r="U222" i="25"/>
  <c r="U218" i="25"/>
  <c r="U220" i="25"/>
  <c r="U216" i="25"/>
  <c r="U94" i="25"/>
  <c r="U96" i="25"/>
  <c r="U92" i="25"/>
  <c r="U88" i="25"/>
  <c r="U90" i="25"/>
  <c r="U86" i="25"/>
  <c r="U100" i="25"/>
  <c r="U102" i="25"/>
  <c r="U98" i="25"/>
  <c r="U72" i="25"/>
  <c r="U78" i="25"/>
  <c r="U76" i="25"/>
  <c r="U200" i="25"/>
  <c r="U202" i="25"/>
  <c r="U198" i="25"/>
  <c r="U325" i="25"/>
  <c r="U323" i="25"/>
  <c r="U321" i="25"/>
  <c r="U327" i="25"/>
  <c r="U329" i="25"/>
  <c r="U331" i="25"/>
  <c r="U337" i="25"/>
  <c r="U335" i="25"/>
  <c r="U333" i="25"/>
  <c r="U341" i="25"/>
  <c r="U339" i="25"/>
  <c r="U343" i="25"/>
  <c r="U349" i="25"/>
  <c r="U347" i="25"/>
  <c r="U345" i="25"/>
  <c r="U351" i="25"/>
  <c r="U355" i="25"/>
  <c r="U353" i="25"/>
  <c r="U66" i="25"/>
  <c r="U70" i="25"/>
  <c r="U68" i="25"/>
  <c r="U82" i="25"/>
  <c r="U80" i="25"/>
  <c r="U84" i="25"/>
  <c r="U212" i="25"/>
  <c r="U214" i="25"/>
  <c r="U210" i="25"/>
  <c r="U206" i="25"/>
  <c r="U208" i="25"/>
  <c r="U204" i="25"/>
  <c r="U465" i="25"/>
  <c r="U467" i="25"/>
  <c r="U463" i="25"/>
  <c r="U449" i="25"/>
  <c r="U447" i="25"/>
  <c r="U445" i="25"/>
  <c r="U182" i="25"/>
  <c r="U180" i="25"/>
  <c r="U178" i="25"/>
  <c r="U453" i="25"/>
  <c r="U455" i="25"/>
  <c r="U451" i="25"/>
  <c r="U437" i="25"/>
  <c r="U435" i="25"/>
  <c r="U433" i="25"/>
  <c r="U313" i="25"/>
  <c r="U309" i="25"/>
  <c r="U311" i="25"/>
  <c r="U315" i="25"/>
  <c r="U317" i="25"/>
  <c r="U319" i="25"/>
  <c r="U307" i="25"/>
  <c r="U303" i="25"/>
  <c r="U301" i="25"/>
  <c r="U192" i="25"/>
  <c r="U194" i="25"/>
  <c r="U196" i="25"/>
  <c r="U459" i="25"/>
  <c r="U461" i="25"/>
  <c r="U457" i="25"/>
  <c r="U443" i="25"/>
  <c r="U441" i="25"/>
  <c r="U439" i="25"/>
  <c r="U184" i="25"/>
  <c r="U188" i="25"/>
  <c r="U190" i="25"/>
  <c r="U419" i="25"/>
  <c r="U417" i="25"/>
  <c r="U415" i="25"/>
  <c r="U425" i="25"/>
  <c r="U423" i="25"/>
  <c r="U421" i="25"/>
  <c r="U431" i="25"/>
  <c r="U429" i="25"/>
  <c r="U427" i="25"/>
  <c r="L3" i="25"/>
  <c r="D63" i="25"/>
  <c r="D59" i="25"/>
  <c r="D57" i="25"/>
  <c r="D55" i="25"/>
  <c r="D51" i="25"/>
  <c r="I3" i="25"/>
  <c r="I2" i="25"/>
  <c r="W73" i="25"/>
  <c r="W41" i="25"/>
  <c r="W18" i="25"/>
  <c r="W48" i="25"/>
  <c r="W16" i="25"/>
  <c r="W55" i="25"/>
  <c r="W23" i="25"/>
  <c r="W38" i="25"/>
  <c r="X59" i="25"/>
  <c r="O59" i="25"/>
  <c r="AI59" i="25" s="1"/>
  <c r="O40" i="25"/>
  <c r="AI40" i="25" s="1"/>
  <c r="X40" i="25"/>
  <c r="W47" i="25"/>
  <c r="W19" i="25"/>
  <c r="O35" i="25"/>
  <c r="AI35" i="25" s="1"/>
  <c r="X35" i="25"/>
  <c r="O73" i="25"/>
  <c r="AI73" i="25" s="1"/>
  <c r="X73" i="25"/>
  <c r="W33" i="25"/>
  <c r="W39" i="25"/>
  <c r="X20" i="25"/>
  <c r="O20" i="25"/>
  <c r="AI20" i="25" s="1"/>
  <c r="X29" i="25"/>
  <c r="O29" i="25"/>
  <c r="AI29" i="25" s="1"/>
  <c r="W70" i="25"/>
  <c r="W53" i="25"/>
  <c r="O71" i="25"/>
  <c r="AI71" i="25" s="1"/>
  <c r="X71" i="25"/>
  <c r="O43" i="25"/>
  <c r="AI43" i="25" s="1"/>
  <c r="X43" i="25"/>
  <c r="W31" i="25"/>
  <c r="W22" i="25"/>
  <c r="X32" i="25"/>
  <c r="O32" i="25"/>
  <c r="AI32" i="25" s="1"/>
  <c r="X45" i="25"/>
  <c r="O45" i="25"/>
  <c r="AI45" i="25" s="1"/>
  <c r="W54" i="25"/>
  <c r="W37" i="25"/>
  <c r="X56" i="25"/>
  <c r="O56" i="25"/>
  <c r="AI56" i="25" s="1"/>
  <c r="X44" i="25"/>
  <c r="O44" i="25"/>
  <c r="AI44" i="25" s="1"/>
  <c r="W72" i="25"/>
  <c r="W61" i="25"/>
  <c r="O67" i="25"/>
  <c r="AI67" i="25" s="1"/>
  <c r="X67" i="25"/>
  <c r="X28" i="25"/>
  <c r="O28" i="25"/>
  <c r="AI28" i="25" s="1"/>
  <c r="W62" i="25"/>
  <c r="W66" i="25"/>
  <c r="W60" i="25"/>
  <c r="W64" i="25"/>
  <c r="O54" i="25"/>
  <c r="AI54" i="25" s="1"/>
  <c r="X54" i="25"/>
  <c r="W27" i="25"/>
  <c r="X72" i="25"/>
  <c r="O72" i="25"/>
  <c r="AI72" i="25" s="1"/>
  <c r="W52" i="25"/>
  <c r="O62" i="25"/>
  <c r="AI62" i="25" s="1"/>
  <c r="X62" i="25"/>
  <c r="W21" i="25"/>
  <c r="O23" i="25"/>
  <c r="AI23" i="25" s="1"/>
  <c r="X23" i="25"/>
  <c r="W59" i="25"/>
  <c r="X19" i="25"/>
  <c r="O19" i="25"/>
  <c r="AI19" i="25" s="1"/>
  <c r="W20" i="25"/>
  <c r="N72" i="25"/>
  <c r="X66" i="25"/>
  <c r="O66" i="25"/>
  <c r="AI66" i="25" s="1"/>
  <c r="W69" i="25"/>
  <c r="W58" i="25"/>
  <c r="W44" i="25"/>
  <c r="W51" i="25"/>
  <c r="W30" i="25"/>
  <c r="O36" i="25"/>
  <c r="AI36" i="25" s="1"/>
  <c r="X36" i="25"/>
  <c r="W49" i="25"/>
  <c r="W40" i="25"/>
  <c r="O47" i="25"/>
  <c r="AI47" i="25" s="1"/>
  <c r="X47" i="25"/>
  <c r="N19" i="25"/>
  <c r="O51" i="25"/>
  <c r="AI51" i="25" s="1"/>
  <c r="X51" i="25"/>
  <c r="W68" i="25"/>
  <c r="X33" i="25"/>
  <c r="O33" i="25"/>
  <c r="AI33" i="25" s="1"/>
  <c r="O48" i="25"/>
  <c r="AI48" i="25" s="1"/>
  <c r="X48" i="25"/>
  <c r="W42" i="25"/>
  <c r="W29" i="25"/>
  <c r="O70" i="25"/>
  <c r="AI70" i="25" s="1"/>
  <c r="X70" i="25"/>
  <c r="X63" i="25"/>
  <c r="O63" i="25"/>
  <c r="AI63" i="25" s="1"/>
  <c r="W43" i="25"/>
  <c r="O31" i="25"/>
  <c r="AI31" i="25" s="1"/>
  <c r="X31" i="25"/>
  <c r="X57" i="25"/>
  <c r="O57" i="25"/>
  <c r="AI57" i="25" s="1"/>
  <c r="W45" i="25"/>
  <c r="X26" i="25"/>
  <c r="O26" i="25"/>
  <c r="AI26" i="25" s="1"/>
  <c r="O69" i="25"/>
  <c r="AI69" i="25" s="1"/>
  <c r="X69" i="25"/>
  <c r="W28" i="25"/>
  <c r="N66" i="25"/>
  <c r="X25" i="25"/>
  <c r="O25" i="25"/>
  <c r="AI25" i="25" s="1"/>
  <c r="N31" i="25"/>
  <c r="X37" i="25"/>
  <c r="N37" i="25"/>
  <c r="O37" i="25"/>
  <c r="AI37" i="25" s="1"/>
  <c r="W67" i="25"/>
  <c r="N67" i="25"/>
  <c r="W65" i="25"/>
  <c r="O34" i="25"/>
  <c r="AI34" i="25" s="1"/>
  <c r="X34" i="25"/>
  <c r="W36" i="25"/>
  <c r="X49" i="25"/>
  <c r="N49" i="25"/>
  <c r="O49" i="25"/>
  <c r="AI49" i="25" s="1"/>
  <c r="N40" i="25"/>
  <c r="O24" i="25"/>
  <c r="AI24" i="25" s="1"/>
  <c r="X24" i="25"/>
  <c r="O68" i="25"/>
  <c r="AI68" i="25" s="1"/>
  <c r="N68" i="25"/>
  <c r="X68" i="25"/>
  <c r="N73" i="25"/>
  <c r="O17" i="25"/>
  <c r="AI17" i="25" s="1"/>
  <c r="X17" i="25"/>
  <c r="X42" i="25"/>
  <c r="N42" i="25"/>
  <c r="O42" i="25"/>
  <c r="AI42" i="25" s="1"/>
  <c r="N29" i="25"/>
  <c r="X58" i="25"/>
  <c r="O58" i="25"/>
  <c r="AI58" i="25" s="1"/>
  <c r="W63" i="25"/>
  <c r="O60" i="25"/>
  <c r="AI60" i="25" s="1"/>
  <c r="N60" i="25"/>
  <c r="X60" i="25"/>
  <c r="N43" i="25"/>
  <c r="O65" i="25"/>
  <c r="AI65" i="25" s="1"/>
  <c r="X65" i="25"/>
  <c r="W57" i="25"/>
  <c r="O64" i="25"/>
  <c r="AI64" i="25" s="1"/>
  <c r="N64" i="25"/>
  <c r="X64" i="25"/>
  <c r="N45" i="25"/>
  <c r="X16" i="25"/>
  <c r="O16" i="25"/>
  <c r="AI16" i="25" s="1"/>
  <c r="W26" i="25"/>
  <c r="O27" i="25"/>
  <c r="AI27" i="25" s="1"/>
  <c r="N27" i="25"/>
  <c r="X27" i="25"/>
  <c r="N44" i="25"/>
  <c r="X41" i="25"/>
  <c r="O41" i="25"/>
  <c r="AI41" i="25" s="1"/>
  <c r="X52" i="25"/>
  <c r="N52" i="25"/>
  <c r="O52" i="25"/>
  <c r="AI52" i="25" s="1"/>
  <c r="N28" i="25"/>
  <c r="W56" i="25"/>
  <c r="N20" i="25"/>
  <c r="W46" i="25"/>
  <c r="W35" i="25"/>
  <c r="O46" i="25"/>
  <c r="AI46" i="25" s="1"/>
  <c r="X46" i="25"/>
  <c r="N54" i="25"/>
  <c r="O55" i="25"/>
  <c r="AI55" i="25" s="1"/>
  <c r="X55" i="25"/>
  <c r="N62" i="25"/>
  <c r="W34" i="25"/>
  <c r="X18" i="25"/>
  <c r="N18" i="25"/>
  <c r="O18" i="25"/>
  <c r="AI18" i="25" s="1"/>
  <c r="N36" i="25"/>
  <c r="X30" i="25"/>
  <c r="O30" i="25"/>
  <c r="AI30" i="25" s="1"/>
  <c r="W24" i="25"/>
  <c r="N51" i="25"/>
  <c r="X38" i="25"/>
  <c r="O38" i="25"/>
  <c r="AI38" i="25" s="1"/>
  <c r="W17" i="25"/>
  <c r="X39" i="25"/>
  <c r="N39" i="25"/>
  <c r="O39" i="25"/>
  <c r="AI39" i="25" s="1"/>
  <c r="N48" i="25"/>
  <c r="O53" i="25"/>
  <c r="AI53" i="25" s="1"/>
  <c r="N53" i="25"/>
  <c r="X53" i="25"/>
  <c r="N63" i="25"/>
  <c r="O22" i="25"/>
  <c r="AI22" i="25" s="1"/>
  <c r="N22" i="25"/>
  <c r="X22" i="25"/>
  <c r="N57" i="25"/>
  <c r="O21" i="25"/>
  <c r="AI21" i="25" s="1"/>
  <c r="X21" i="25"/>
  <c r="N26" i="25"/>
  <c r="O61" i="25"/>
  <c r="AI61" i="25" s="1"/>
  <c r="N61" i="25"/>
  <c r="X61" i="25"/>
  <c r="N69" i="25"/>
  <c r="X50" i="25"/>
  <c r="O50" i="25"/>
  <c r="AI50" i="25" s="1"/>
  <c r="N56" i="25"/>
  <c r="N47" i="25"/>
  <c r="W71" i="25"/>
  <c r="W25" i="25"/>
  <c r="W32" i="25"/>
  <c r="N32" i="25"/>
  <c r="N34" i="25"/>
  <c r="N24" i="25"/>
  <c r="N17" i="25"/>
  <c r="N58" i="25"/>
  <c r="N65" i="25"/>
  <c r="N16" i="25"/>
  <c r="N41" i="25"/>
  <c r="W50" i="25"/>
  <c r="N23" i="25"/>
  <c r="N71" i="25"/>
  <c r="N30" i="25"/>
  <c r="N38" i="25"/>
  <c r="N25" i="25"/>
  <c r="N46" i="25"/>
  <c r="N21" i="25"/>
  <c r="N55" i="25"/>
  <c r="N50" i="25"/>
  <c r="N59" i="25"/>
  <c r="N35" i="25"/>
  <c r="N33" i="25"/>
  <c r="N70" i="25"/>
  <c r="W121" i="25"/>
  <c r="W89" i="25"/>
  <c r="W82" i="25"/>
  <c r="W92" i="25"/>
  <c r="W119" i="25"/>
  <c r="W87" i="25"/>
  <c r="X118" i="25"/>
  <c r="O118" i="25"/>
  <c r="AI118" i="25" s="1"/>
  <c r="W96" i="25"/>
  <c r="W112" i="25"/>
  <c r="O114" i="25"/>
  <c r="AI114" i="25" s="1"/>
  <c r="X114" i="25"/>
  <c r="O94" i="25"/>
  <c r="AI94" i="25" s="1"/>
  <c r="X94" i="25"/>
  <c r="W85" i="25"/>
  <c r="W109" i="25"/>
  <c r="X113" i="25"/>
  <c r="O113" i="25"/>
  <c r="AI113" i="25" s="1"/>
  <c r="O91" i="25"/>
  <c r="AI91" i="25" s="1"/>
  <c r="X91" i="25"/>
  <c r="O100" i="25"/>
  <c r="AI100" i="25" s="1"/>
  <c r="X100" i="25"/>
  <c r="X102" i="25"/>
  <c r="O102" i="25"/>
  <c r="AI102" i="25" s="1"/>
  <c r="W105" i="25"/>
  <c r="W97" i="25"/>
  <c r="O95" i="25"/>
  <c r="AI95" i="25" s="1"/>
  <c r="X95" i="25"/>
  <c r="O101" i="25"/>
  <c r="AI101" i="25" s="1"/>
  <c r="X101" i="25"/>
  <c r="W98" i="25"/>
  <c r="O93" i="25"/>
  <c r="AI93" i="25" s="1"/>
  <c r="X93" i="25"/>
  <c r="O104" i="25"/>
  <c r="AI104" i="25" s="1"/>
  <c r="X104" i="25"/>
  <c r="W115" i="25"/>
  <c r="W111" i="25"/>
  <c r="W81" i="25"/>
  <c r="W113" i="25"/>
  <c r="W93" i="25"/>
  <c r="W117" i="25"/>
  <c r="W120" i="25"/>
  <c r="W88" i="25"/>
  <c r="W83" i="25"/>
  <c r="W118" i="25"/>
  <c r="O96" i="25"/>
  <c r="AI96" i="25" s="1"/>
  <c r="X96" i="25"/>
  <c r="O83" i="25"/>
  <c r="AI83" i="25" s="1"/>
  <c r="X83" i="25"/>
  <c r="W94" i="25"/>
  <c r="O85" i="25"/>
  <c r="AI85" i="25" s="1"/>
  <c r="X85" i="25"/>
  <c r="O86" i="25"/>
  <c r="AI86" i="25" s="1"/>
  <c r="X86" i="25"/>
  <c r="W110" i="25"/>
  <c r="W91" i="25"/>
  <c r="X119" i="25"/>
  <c r="O119" i="25"/>
  <c r="AI119" i="25" s="1"/>
  <c r="X108" i="25"/>
  <c r="O108" i="25"/>
  <c r="AI108" i="25" s="1"/>
  <c r="W116" i="25"/>
  <c r="W102" i="25"/>
  <c r="X105" i="25"/>
  <c r="N105" i="25"/>
  <c r="O105" i="25"/>
  <c r="AI105" i="25" s="1"/>
  <c r="X77" i="25"/>
  <c r="O77" i="25"/>
  <c r="AI77" i="25" s="1"/>
  <c r="W78" i="25"/>
  <c r="W101" i="25"/>
  <c r="X98" i="25"/>
  <c r="O98" i="25"/>
  <c r="AI98" i="25" s="1"/>
  <c r="X90" i="25"/>
  <c r="O90" i="25"/>
  <c r="AI90" i="25" s="1"/>
  <c r="W106" i="25"/>
  <c r="W104" i="25"/>
  <c r="O115" i="25"/>
  <c r="AI115" i="25" s="1"/>
  <c r="X115" i="25"/>
  <c r="O79" i="25"/>
  <c r="AI79" i="25" s="1"/>
  <c r="X79" i="25"/>
  <c r="N115" i="25"/>
  <c r="W84" i="25"/>
  <c r="W79" i="25"/>
  <c r="O81" i="25"/>
  <c r="AI81" i="25" s="1"/>
  <c r="N81" i="25"/>
  <c r="X81" i="25"/>
  <c r="N118" i="25"/>
  <c r="X99" i="25"/>
  <c r="O99" i="25"/>
  <c r="AI99" i="25" s="1"/>
  <c r="X117" i="25"/>
  <c r="N117" i="25"/>
  <c r="O117" i="25"/>
  <c r="AI117" i="25" s="1"/>
  <c r="N94" i="25"/>
  <c r="O88" i="25"/>
  <c r="AI88" i="25" s="1"/>
  <c r="X88" i="25"/>
  <c r="W86" i="25"/>
  <c r="O110" i="25"/>
  <c r="AI110" i="25" s="1"/>
  <c r="N110" i="25"/>
  <c r="X110" i="25"/>
  <c r="N91" i="25"/>
  <c r="O103" i="25"/>
  <c r="AI103" i="25" s="1"/>
  <c r="X103" i="25"/>
  <c r="W108" i="25"/>
  <c r="X116" i="25"/>
  <c r="N116" i="25"/>
  <c r="O116" i="25"/>
  <c r="AI116" i="25" s="1"/>
  <c r="N102" i="25"/>
  <c r="X76" i="25"/>
  <c r="O76" i="25"/>
  <c r="AI76" i="25" s="1"/>
  <c r="W77" i="25"/>
  <c r="X78" i="25"/>
  <c r="N78" i="25"/>
  <c r="O78" i="25"/>
  <c r="AI78" i="25" s="1"/>
  <c r="N101" i="25"/>
  <c r="X92" i="25"/>
  <c r="O92" i="25"/>
  <c r="AI92" i="25" s="1"/>
  <c r="W90" i="25"/>
  <c r="O106" i="25"/>
  <c r="AI106" i="25" s="1"/>
  <c r="N106" i="25"/>
  <c r="X106" i="25"/>
  <c r="N104" i="25"/>
  <c r="X87" i="25"/>
  <c r="O87" i="25"/>
  <c r="AI87" i="25" s="1"/>
  <c r="O111" i="25"/>
  <c r="AI111" i="25" s="1"/>
  <c r="N111" i="25"/>
  <c r="X111" i="25"/>
  <c r="X120" i="25"/>
  <c r="O120" i="25"/>
  <c r="AI120" i="25" s="1"/>
  <c r="N85" i="25"/>
  <c r="X84" i="25"/>
  <c r="O84" i="25"/>
  <c r="AI84" i="25" s="1"/>
  <c r="W80" i="25"/>
  <c r="W107" i="25"/>
  <c r="W99" i="25"/>
  <c r="O112" i="25"/>
  <c r="AI112" i="25" s="1"/>
  <c r="N112" i="25"/>
  <c r="X112" i="25"/>
  <c r="N83" i="25"/>
  <c r="X82" i="25"/>
  <c r="O82" i="25"/>
  <c r="AI82" i="25" s="1"/>
  <c r="O109" i="25"/>
  <c r="AI109" i="25" s="1"/>
  <c r="N109" i="25"/>
  <c r="X109" i="25"/>
  <c r="N86" i="25"/>
  <c r="W103" i="25"/>
  <c r="X89" i="25"/>
  <c r="N89" i="25"/>
  <c r="O89" i="25"/>
  <c r="AI89" i="25" s="1"/>
  <c r="N108" i="25"/>
  <c r="O107" i="25"/>
  <c r="AI107" i="25" s="1"/>
  <c r="X107" i="25"/>
  <c r="W76" i="25"/>
  <c r="X97" i="25"/>
  <c r="N97" i="25"/>
  <c r="O97" i="25"/>
  <c r="AI97" i="25" s="1"/>
  <c r="N77" i="25"/>
  <c r="O121" i="25"/>
  <c r="AI121" i="25" s="1"/>
  <c r="N121" i="25"/>
  <c r="X121" i="25"/>
  <c r="N90" i="25"/>
  <c r="X80" i="25"/>
  <c r="O80" i="25"/>
  <c r="AI80" i="25" s="1"/>
  <c r="W114" i="25"/>
  <c r="N119" i="25"/>
  <c r="N99" i="25"/>
  <c r="N88" i="25"/>
  <c r="N103" i="25"/>
  <c r="N76" i="25"/>
  <c r="N92" i="25"/>
  <c r="N87" i="25"/>
  <c r="N120" i="25"/>
  <c r="N82" i="25"/>
  <c r="N79" i="25"/>
  <c r="W100" i="25"/>
  <c r="N107" i="25"/>
  <c r="W95" i="25"/>
  <c r="N84" i="25"/>
  <c r="N80" i="25"/>
  <c r="N114" i="25"/>
  <c r="N113" i="25"/>
  <c r="N100" i="25"/>
  <c r="N95" i="25"/>
  <c r="N93" i="25"/>
  <c r="N96" i="25"/>
  <c r="N98" i="25"/>
  <c r="W185" i="25"/>
  <c r="W153" i="25"/>
  <c r="W184" i="25"/>
  <c r="W152" i="25"/>
  <c r="W175" i="25"/>
  <c r="W143" i="25"/>
  <c r="W170" i="25"/>
  <c r="W138" i="25"/>
  <c r="O172" i="25"/>
  <c r="AI172" i="25" s="1"/>
  <c r="X172" i="25"/>
  <c r="W146" i="25"/>
  <c r="W156" i="25"/>
  <c r="X149" i="25"/>
  <c r="O149" i="25"/>
  <c r="AI149" i="25" s="1"/>
  <c r="X179" i="25"/>
  <c r="O179" i="25"/>
  <c r="AI179" i="25" s="1"/>
  <c r="W135" i="25"/>
  <c r="W176" i="25"/>
  <c r="X180" i="25"/>
  <c r="O180" i="25"/>
  <c r="AI180" i="25" s="1"/>
  <c r="O178" i="25"/>
  <c r="AI178" i="25" s="1"/>
  <c r="X178" i="25"/>
  <c r="W164" i="25"/>
  <c r="W173" i="25"/>
  <c r="X174" i="25"/>
  <c r="O174" i="25"/>
  <c r="AI174" i="25" s="1"/>
  <c r="O134" i="25"/>
  <c r="AI134" i="25" s="1"/>
  <c r="X134" i="25"/>
  <c r="W136" i="25"/>
  <c r="W160" i="25"/>
  <c r="O139" i="25"/>
  <c r="AI139" i="25" s="1"/>
  <c r="X139" i="25"/>
  <c r="O182" i="25"/>
  <c r="AI182" i="25" s="1"/>
  <c r="X182" i="25"/>
  <c r="W147" i="25"/>
  <c r="W129" i="25"/>
  <c r="O151" i="25"/>
  <c r="AI151" i="25" s="1"/>
  <c r="X151" i="25"/>
  <c r="X167" i="25"/>
  <c r="O167" i="25"/>
  <c r="AI167" i="25" s="1"/>
  <c r="W159" i="25"/>
  <c r="W177" i="25"/>
  <c r="X137" i="25"/>
  <c r="O137" i="25"/>
  <c r="AI137" i="25" s="1"/>
  <c r="O171" i="25"/>
  <c r="AI171" i="25" s="1"/>
  <c r="X171" i="25"/>
  <c r="W131" i="25"/>
  <c r="W165" i="25"/>
  <c r="X161" i="25"/>
  <c r="O161" i="25"/>
  <c r="AI161" i="25" s="1"/>
  <c r="O141" i="25"/>
  <c r="AI141" i="25" s="1"/>
  <c r="X141" i="25"/>
  <c r="X163" i="25"/>
  <c r="O163" i="25"/>
  <c r="AI163" i="25" s="1"/>
  <c r="O155" i="25"/>
  <c r="AI155" i="25" s="1"/>
  <c r="X155" i="25"/>
  <c r="X128" i="25"/>
  <c r="O128" i="25"/>
  <c r="AI128" i="25" s="1"/>
  <c r="W157" i="25"/>
  <c r="W142" i="25"/>
  <c r="W149" i="25"/>
  <c r="W180" i="25"/>
  <c r="N155" i="25"/>
  <c r="W155" i="25"/>
  <c r="X130" i="25"/>
  <c r="O130" i="25"/>
  <c r="AI130" i="25" s="1"/>
  <c r="W139" i="25"/>
  <c r="W151" i="25"/>
  <c r="W137" i="25"/>
  <c r="X165" i="25"/>
  <c r="O165" i="25"/>
  <c r="AI165" i="25" s="1"/>
  <c r="W181" i="25"/>
  <c r="W148" i="25"/>
  <c r="W183" i="25"/>
  <c r="W166" i="25"/>
  <c r="W130" i="25"/>
  <c r="W172" i="25"/>
  <c r="X146" i="25"/>
  <c r="O146" i="25"/>
  <c r="AI146" i="25" s="1"/>
  <c r="X166" i="25"/>
  <c r="O166" i="25"/>
  <c r="AI166" i="25" s="1"/>
  <c r="W163" i="25"/>
  <c r="N163" i="25"/>
  <c r="W179" i="25"/>
  <c r="X135" i="25"/>
  <c r="N135" i="25"/>
  <c r="O135" i="25"/>
  <c r="AI135" i="25" s="1"/>
  <c r="O143" i="25"/>
  <c r="AI143" i="25" s="1"/>
  <c r="X143" i="25"/>
  <c r="W178" i="25"/>
  <c r="O164" i="25"/>
  <c r="AI164" i="25" s="1"/>
  <c r="X164" i="25"/>
  <c r="X162" i="25"/>
  <c r="O162" i="25"/>
  <c r="AI162" i="25" s="1"/>
  <c r="W128" i="25"/>
  <c r="N128" i="25"/>
  <c r="W134" i="25"/>
  <c r="X136" i="25"/>
  <c r="N136" i="25"/>
  <c r="O136" i="25"/>
  <c r="AI136" i="25" s="1"/>
  <c r="X184" i="25"/>
  <c r="O184" i="25"/>
  <c r="AI184" i="25" s="1"/>
  <c r="W182" i="25"/>
  <c r="O147" i="25"/>
  <c r="AI147" i="25" s="1"/>
  <c r="X147" i="25"/>
  <c r="O132" i="25"/>
  <c r="AI132" i="25" s="1"/>
  <c r="X132" i="25"/>
  <c r="W144" i="25"/>
  <c r="W167" i="25"/>
  <c r="O159" i="25"/>
  <c r="AI159" i="25" s="1"/>
  <c r="X159" i="25"/>
  <c r="X150" i="25"/>
  <c r="O150" i="25"/>
  <c r="AI150" i="25" s="1"/>
  <c r="W171" i="25"/>
  <c r="X131" i="25"/>
  <c r="O131" i="25"/>
  <c r="AI131" i="25" s="1"/>
  <c r="N165" i="25"/>
  <c r="X158" i="25"/>
  <c r="O158" i="25"/>
  <c r="AI158" i="25" s="1"/>
  <c r="W141" i="25"/>
  <c r="O153" i="25"/>
  <c r="AI153" i="25" s="1"/>
  <c r="X153" i="25"/>
  <c r="O183" i="25"/>
  <c r="AI183" i="25" s="1"/>
  <c r="X183" i="25"/>
  <c r="O181" i="25"/>
  <c r="AI181" i="25" s="1"/>
  <c r="X181" i="25"/>
  <c r="N139" i="25"/>
  <c r="N151" i="25"/>
  <c r="N137" i="25"/>
  <c r="X156" i="25"/>
  <c r="N156" i="25"/>
  <c r="O156" i="25"/>
  <c r="AI156" i="25" s="1"/>
  <c r="O140" i="25"/>
  <c r="AI140" i="25" s="1"/>
  <c r="X140" i="25"/>
  <c r="N161" i="25"/>
  <c r="W161" i="25"/>
  <c r="W145" i="25"/>
  <c r="W162" i="25"/>
  <c r="N172" i="25"/>
  <c r="N179" i="25"/>
  <c r="N178" i="25"/>
  <c r="N134" i="25"/>
  <c r="O175" i="25"/>
  <c r="AI175" i="25" s="1"/>
  <c r="X175" i="25"/>
  <c r="O138" i="25"/>
  <c r="AI138" i="25" s="1"/>
  <c r="N138" i="25"/>
  <c r="X138" i="25"/>
  <c r="N182" i="25"/>
  <c r="X154" i="25"/>
  <c r="O154" i="25"/>
  <c r="AI154" i="25" s="1"/>
  <c r="W132" i="25"/>
  <c r="O144" i="25"/>
  <c r="AI144" i="25" s="1"/>
  <c r="N144" i="25"/>
  <c r="X144" i="25"/>
  <c r="N167" i="25"/>
  <c r="X169" i="25"/>
  <c r="O169" i="25"/>
  <c r="AI169" i="25" s="1"/>
  <c r="W150" i="25"/>
  <c r="O142" i="25"/>
  <c r="AI142" i="25" s="1"/>
  <c r="N142" i="25"/>
  <c r="X142" i="25"/>
  <c r="N171" i="25"/>
  <c r="O152" i="25"/>
  <c r="AI152" i="25" s="1"/>
  <c r="X152" i="25"/>
  <c r="W158" i="25"/>
  <c r="X170" i="25"/>
  <c r="N170" i="25"/>
  <c r="O170" i="25"/>
  <c r="AI170" i="25" s="1"/>
  <c r="N141" i="25"/>
  <c r="N149" i="25"/>
  <c r="N180" i="25"/>
  <c r="W140" i="25"/>
  <c r="W168" i="25"/>
  <c r="X148" i="25"/>
  <c r="O148" i="25"/>
  <c r="AI148" i="25" s="1"/>
  <c r="W174" i="25"/>
  <c r="N174" i="25"/>
  <c r="X168" i="25"/>
  <c r="O168" i="25"/>
  <c r="AI168" i="25" s="1"/>
  <c r="N166" i="25"/>
  <c r="X133" i="25"/>
  <c r="O133" i="25"/>
  <c r="AI133" i="25" s="1"/>
  <c r="O176" i="25"/>
  <c r="AI176" i="25" s="1"/>
  <c r="N176" i="25"/>
  <c r="X176" i="25"/>
  <c r="N143" i="25"/>
  <c r="O173" i="25"/>
  <c r="AI173" i="25" s="1"/>
  <c r="N173" i="25"/>
  <c r="X173" i="25"/>
  <c r="N162" i="25"/>
  <c r="O145" i="25"/>
  <c r="AI145" i="25" s="1"/>
  <c r="X145" i="25"/>
  <c r="O160" i="25"/>
  <c r="AI160" i="25" s="1"/>
  <c r="N160" i="25"/>
  <c r="X160" i="25"/>
  <c r="N184" i="25"/>
  <c r="O185" i="25"/>
  <c r="AI185" i="25" s="1"/>
  <c r="X185" i="25"/>
  <c r="W154" i="25"/>
  <c r="O129" i="25"/>
  <c r="AI129" i="25" s="1"/>
  <c r="N129" i="25"/>
  <c r="X129" i="25"/>
  <c r="N132" i="25"/>
  <c r="W169" i="25"/>
  <c r="O177" i="25"/>
  <c r="AI177" i="25" s="1"/>
  <c r="N177" i="25"/>
  <c r="X177" i="25"/>
  <c r="N150" i="25"/>
  <c r="N158" i="25"/>
  <c r="O157" i="25"/>
  <c r="AI157" i="25" s="1"/>
  <c r="X157" i="25"/>
  <c r="N159" i="25"/>
  <c r="N131" i="25"/>
  <c r="N153" i="25"/>
  <c r="W133" i="25"/>
  <c r="N183" i="25"/>
  <c r="N181" i="25"/>
  <c r="N175" i="25"/>
  <c r="N154" i="25"/>
  <c r="N169" i="25"/>
  <c r="N152" i="25"/>
  <c r="N164" i="25"/>
  <c r="N148" i="25"/>
  <c r="N133" i="25"/>
  <c r="N130" i="25"/>
  <c r="N145" i="25"/>
  <c r="N185" i="25"/>
  <c r="N140" i="25"/>
  <c r="N168" i="25"/>
  <c r="N157" i="25"/>
  <c r="N146" i="25"/>
  <c r="N147" i="25"/>
  <c r="W233" i="25"/>
  <c r="W201" i="25"/>
  <c r="W216" i="25"/>
  <c r="W231" i="25"/>
  <c r="W199" i="25"/>
  <c r="W210" i="25"/>
  <c r="O190" i="25"/>
  <c r="AI190" i="25" s="1"/>
  <c r="X190" i="25"/>
  <c r="W195" i="25"/>
  <c r="W209" i="25"/>
  <c r="O198" i="25"/>
  <c r="AI198" i="25" s="1"/>
  <c r="X198" i="25"/>
  <c r="O215" i="25"/>
  <c r="AI215" i="25" s="1"/>
  <c r="X215" i="25"/>
  <c r="W212" i="25"/>
  <c r="W193" i="25"/>
  <c r="O223" i="25"/>
  <c r="AI223" i="25" s="1"/>
  <c r="X223" i="25"/>
  <c r="O211" i="25"/>
  <c r="AI211" i="25" s="1"/>
  <c r="X211" i="25"/>
  <c r="W226" i="25"/>
  <c r="W213" i="25"/>
  <c r="X217" i="25"/>
  <c r="O217" i="25"/>
  <c r="AI217" i="25" s="1"/>
  <c r="X219" i="25"/>
  <c r="O219" i="25"/>
  <c r="AI219" i="25" s="1"/>
  <c r="W207" i="25"/>
  <c r="W228" i="25"/>
  <c r="X230" i="25"/>
  <c r="O230" i="25"/>
  <c r="AI230" i="25" s="1"/>
  <c r="X210" i="25"/>
  <c r="O210" i="25"/>
  <c r="AI210" i="25" s="1"/>
  <c r="W204" i="25"/>
  <c r="W206" i="25"/>
  <c r="O200" i="25"/>
  <c r="AI200" i="25" s="1"/>
  <c r="X200" i="25"/>
  <c r="X218" i="25"/>
  <c r="O218" i="25"/>
  <c r="AI218" i="25" s="1"/>
  <c r="W229" i="25"/>
  <c r="W196" i="25"/>
  <c r="W218" i="25"/>
  <c r="X221" i="25"/>
  <c r="O221" i="25"/>
  <c r="AI221" i="25" s="1"/>
  <c r="O201" i="25"/>
  <c r="AI201" i="25" s="1"/>
  <c r="X201" i="25"/>
  <c r="W188" i="25"/>
  <c r="O209" i="25"/>
  <c r="AI209" i="25" s="1"/>
  <c r="X209" i="25"/>
  <c r="W223" i="25"/>
  <c r="W217" i="25"/>
  <c r="W191" i="25"/>
  <c r="W203" i="25"/>
  <c r="W197" i="25"/>
  <c r="W227" i="25"/>
  <c r="W232" i="25"/>
  <c r="W190" i="25"/>
  <c r="X195" i="25"/>
  <c r="O195" i="25"/>
  <c r="AI195" i="25" s="1"/>
  <c r="N209" i="25"/>
  <c r="O227" i="25"/>
  <c r="AI227" i="25" s="1"/>
  <c r="X227" i="25"/>
  <c r="W220" i="25"/>
  <c r="W215" i="25"/>
  <c r="O212" i="25"/>
  <c r="AI212" i="25" s="1"/>
  <c r="X212" i="25"/>
  <c r="O194" i="25"/>
  <c r="AI194" i="25" s="1"/>
  <c r="X194" i="25"/>
  <c r="W222" i="25"/>
  <c r="W211" i="25"/>
  <c r="O226" i="25"/>
  <c r="AI226" i="25" s="1"/>
  <c r="X226" i="25"/>
  <c r="O188" i="25"/>
  <c r="AI188" i="25" s="1"/>
  <c r="X188" i="25"/>
  <c r="W205" i="25"/>
  <c r="W219" i="25"/>
  <c r="X207" i="25"/>
  <c r="O207" i="25"/>
  <c r="AI207" i="25" s="1"/>
  <c r="X233" i="25"/>
  <c r="O233" i="25"/>
  <c r="AI233" i="25" s="1"/>
  <c r="X204" i="25"/>
  <c r="O204" i="25"/>
  <c r="AI204" i="25" s="1"/>
  <c r="X208" i="25"/>
  <c r="O208" i="25"/>
  <c r="AI208" i="25" s="1"/>
  <c r="X229" i="25"/>
  <c r="O229" i="25"/>
  <c r="AI229" i="25" s="1"/>
  <c r="O192" i="25"/>
  <c r="AI192" i="25" s="1"/>
  <c r="X192" i="25"/>
  <c r="X205" i="25"/>
  <c r="N205" i="25"/>
  <c r="O205" i="25"/>
  <c r="AI205" i="25" s="1"/>
  <c r="X191" i="25"/>
  <c r="N191" i="25"/>
  <c r="O191" i="25"/>
  <c r="AI191" i="25" s="1"/>
  <c r="X216" i="25"/>
  <c r="O216" i="25"/>
  <c r="AI216" i="25" s="1"/>
  <c r="O202" i="25"/>
  <c r="AI202" i="25" s="1"/>
  <c r="X202" i="25"/>
  <c r="N195" i="25"/>
  <c r="N212" i="25"/>
  <c r="O213" i="25"/>
  <c r="AI213" i="25" s="1"/>
  <c r="N213" i="25"/>
  <c r="X213" i="25"/>
  <c r="N207" i="25"/>
  <c r="O206" i="25"/>
  <c r="AI206" i="25" s="1"/>
  <c r="N206" i="25"/>
  <c r="X206" i="25"/>
  <c r="W225" i="25"/>
  <c r="W208" i="25"/>
  <c r="W202" i="25"/>
  <c r="O232" i="25"/>
  <c r="AI232" i="25" s="1"/>
  <c r="N232" i="25"/>
  <c r="X232" i="25"/>
  <c r="N190" i="25"/>
  <c r="O220" i="25"/>
  <c r="AI220" i="25" s="1"/>
  <c r="N220" i="25"/>
  <c r="X220" i="25"/>
  <c r="N215" i="25"/>
  <c r="W194" i="25"/>
  <c r="X222" i="25"/>
  <c r="N222" i="25"/>
  <c r="O222" i="25"/>
  <c r="AI222" i="25" s="1"/>
  <c r="N211" i="25"/>
  <c r="X214" i="25"/>
  <c r="O214" i="25"/>
  <c r="AI214" i="25" s="1"/>
  <c r="N219" i="25"/>
  <c r="N210" i="25"/>
  <c r="O203" i="25"/>
  <c r="AI203" i="25" s="1"/>
  <c r="N203" i="25"/>
  <c r="X203" i="25"/>
  <c r="N218" i="25"/>
  <c r="O193" i="25"/>
  <c r="AI193" i="25" s="1"/>
  <c r="N193" i="25"/>
  <c r="X193" i="25"/>
  <c r="N204" i="25"/>
  <c r="O196" i="25"/>
  <c r="AI196" i="25" s="1"/>
  <c r="N196" i="25"/>
  <c r="X196" i="25"/>
  <c r="W221" i="25"/>
  <c r="W189" i="25"/>
  <c r="W230" i="25"/>
  <c r="W198" i="25"/>
  <c r="O199" i="25"/>
  <c r="AI199" i="25" s="1"/>
  <c r="X199" i="25"/>
  <c r="N227" i="25"/>
  <c r="O197" i="25"/>
  <c r="AI197" i="25" s="1"/>
  <c r="X197" i="25"/>
  <c r="W192" i="25"/>
  <c r="N194" i="25"/>
  <c r="X224" i="25"/>
  <c r="O224" i="25"/>
  <c r="AI224" i="25" s="1"/>
  <c r="W214" i="25"/>
  <c r="N188" i="25"/>
  <c r="O225" i="25"/>
  <c r="AI225" i="25" s="1"/>
  <c r="X225" i="25"/>
  <c r="X228" i="25"/>
  <c r="N228" i="25"/>
  <c r="O228" i="25"/>
  <c r="AI228" i="25" s="1"/>
  <c r="N233" i="25"/>
  <c r="X189" i="25"/>
  <c r="O189" i="25"/>
  <c r="AI189" i="25" s="1"/>
  <c r="N208" i="25"/>
  <c r="O231" i="25"/>
  <c r="AI231" i="25" s="1"/>
  <c r="X231" i="25"/>
  <c r="N198" i="25"/>
  <c r="N223" i="25"/>
  <c r="N217" i="25"/>
  <c r="N230" i="25"/>
  <c r="N226" i="25"/>
  <c r="N229" i="25"/>
  <c r="W200" i="25"/>
  <c r="N221" i="25"/>
  <c r="N192" i="25"/>
  <c r="W224" i="25"/>
  <c r="N214" i="25"/>
  <c r="N201" i="25"/>
  <c r="N216" i="25"/>
  <c r="N202" i="25"/>
  <c r="N199" i="25"/>
  <c r="N197" i="25"/>
  <c r="N224" i="25"/>
  <c r="N225" i="25"/>
  <c r="N189" i="25"/>
  <c r="N231" i="25"/>
  <c r="N200" i="25"/>
  <c r="W244" i="25"/>
  <c r="W237" i="25"/>
  <c r="X238" i="25"/>
  <c r="O238" i="25"/>
  <c r="AI238" i="25" s="1"/>
  <c r="W242" i="25"/>
  <c r="O236" i="25"/>
  <c r="AI236" i="25" s="1"/>
  <c r="X236" i="25"/>
  <c r="X239" i="25"/>
  <c r="O239" i="25"/>
  <c r="AI239" i="25" s="1"/>
  <c r="X242" i="25"/>
  <c r="O242" i="25"/>
  <c r="AI242" i="25" s="1"/>
  <c r="O244" i="25"/>
  <c r="AI244" i="25" s="1"/>
  <c r="X244" i="25"/>
  <c r="W236" i="25"/>
  <c r="W240" i="25"/>
  <c r="W238" i="25"/>
  <c r="X237" i="25"/>
  <c r="O237" i="25"/>
  <c r="AI237" i="25" s="1"/>
  <c r="N242" i="25"/>
  <c r="X241" i="25"/>
  <c r="O241" i="25"/>
  <c r="AI241" i="25" s="1"/>
  <c r="W243" i="25"/>
  <c r="N241" i="25"/>
  <c r="W241" i="25"/>
  <c r="X240" i="25"/>
  <c r="N240" i="25"/>
  <c r="O240" i="25"/>
  <c r="AI240" i="25" s="1"/>
  <c r="N238" i="25"/>
  <c r="X243" i="25"/>
  <c r="O243" i="25"/>
  <c r="AI243" i="25" s="1"/>
  <c r="N244" i="25"/>
  <c r="N243" i="25"/>
  <c r="W239" i="25"/>
  <c r="N239" i="25"/>
  <c r="N236" i="25"/>
  <c r="N237" i="25"/>
  <c r="W304" i="25"/>
  <c r="W272" i="25"/>
  <c r="W295" i="25"/>
  <c r="W263" i="25"/>
  <c r="W286" i="25"/>
  <c r="W254" i="25"/>
  <c r="W273" i="25"/>
  <c r="O263" i="25"/>
  <c r="AI263" i="25" s="1"/>
  <c r="X263" i="25"/>
  <c r="W258" i="25"/>
  <c r="W279" i="25"/>
  <c r="X251" i="25"/>
  <c r="O251" i="25"/>
  <c r="AI251" i="25" s="1"/>
  <c r="O304" i="25"/>
  <c r="AI304" i="25" s="1"/>
  <c r="X304" i="25"/>
  <c r="W252" i="25"/>
  <c r="X253" i="25"/>
  <c r="O253" i="25"/>
  <c r="AI253" i="25" s="1"/>
  <c r="X256" i="25"/>
  <c r="O256" i="25"/>
  <c r="AI256" i="25" s="1"/>
  <c r="W282" i="25"/>
  <c r="W257" i="25"/>
  <c r="X267" i="25"/>
  <c r="O267" i="25"/>
  <c r="AI267" i="25" s="1"/>
  <c r="O260" i="25"/>
  <c r="AI260" i="25" s="1"/>
  <c r="X260" i="25"/>
  <c r="W284" i="25"/>
  <c r="W302" i="25"/>
  <c r="X296" i="25"/>
  <c r="O296" i="25"/>
  <c r="AI296" i="25" s="1"/>
  <c r="X303" i="25"/>
  <c r="O303" i="25"/>
  <c r="AI303" i="25" s="1"/>
  <c r="W264" i="25"/>
  <c r="W270" i="25"/>
  <c r="O291" i="25"/>
  <c r="AI291" i="25" s="1"/>
  <c r="X291" i="25"/>
  <c r="O292" i="25"/>
  <c r="AI292" i="25" s="1"/>
  <c r="X292" i="25"/>
  <c r="W289" i="25"/>
  <c r="W281" i="25"/>
  <c r="X262" i="25"/>
  <c r="O262" i="25"/>
  <c r="AI262" i="25" s="1"/>
  <c r="O286" i="25"/>
  <c r="AI286" i="25" s="1"/>
  <c r="X286" i="25"/>
  <c r="W265" i="25"/>
  <c r="W293" i="25"/>
  <c r="W298" i="25"/>
  <c r="O275" i="25"/>
  <c r="AI275" i="25" s="1"/>
  <c r="X275" i="25"/>
  <c r="X284" i="25"/>
  <c r="O284" i="25"/>
  <c r="AI284" i="25" s="1"/>
  <c r="W277" i="25"/>
  <c r="W262" i="25"/>
  <c r="W300" i="25"/>
  <c r="W268" i="25"/>
  <c r="W291" i="25"/>
  <c r="W259" i="25"/>
  <c r="W301" i="25"/>
  <c r="W269" i="25"/>
  <c r="O258" i="25"/>
  <c r="AI258" i="25" s="1"/>
  <c r="X258" i="25"/>
  <c r="O297" i="25"/>
  <c r="AI297" i="25" s="1"/>
  <c r="X297" i="25"/>
  <c r="W294" i="25"/>
  <c r="X272" i="25"/>
  <c r="O272" i="25"/>
  <c r="AI272" i="25" s="1"/>
  <c r="W278" i="25"/>
  <c r="W256" i="25"/>
  <c r="X282" i="25"/>
  <c r="O282" i="25"/>
  <c r="AI282" i="25" s="1"/>
  <c r="O261" i="25"/>
  <c r="AI261" i="25" s="1"/>
  <c r="X261" i="25"/>
  <c r="W288" i="25"/>
  <c r="W260" i="25"/>
  <c r="O301" i="25"/>
  <c r="AI301" i="25" s="1"/>
  <c r="X301" i="25"/>
  <c r="W299" i="25"/>
  <c r="W303" i="25"/>
  <c r="X264" i="25"/>
  <c r="O264" i="25"/>
  <c r="AI264" i="25" s="1"/>
  <c r="X285" i="25"/>
  <c r="O285" i="25"/>
  <c r="AI285" i="25" s="1"/>
  <c r="W287" i="25"/>
  <c r="W292" i="25"/>
  <c r="X289" i="25"/>
  <c r="O289" i="25"/>
  <c r="AI289" i="25" s="1"/>
  <c r="O259" i="25"/>
  <c r="AI259" i="25" s="1"/>
  <c r="X259" i="25"/>
  <c r="W271" i="25"/>
  <c r="X265" i="25"/>
  <c r="O265" i="25"/>
  <c r="AI265" i="25" s="1"/>
  <c r="W266" i="25"/>
  <c r="W267" i="25"/>
  <c r="W290" i="25"/>
  <c r="W296" i="25"/>
  <c r="W255" i="25"/>
  <c r="W297" i="25"/>
  <c r="X298" i="25"/>
  <c r="N298" i="25"/>
  <c r="O298" i="25"/>
  <c r="AI298" i="25" s="1"/>
  <c r="N263" i="25"/>
  <c r="X276" i="25"/>
  <c r="O276" i="25"/>
  <c r="AI276" i="25" s="1"/>
  <c r="O294" i="25"/>
  <c r="AI294" i="25" s="1"/>
  <c r="N294" i="25"/>
  <c r="X294" i="25"/>
  <c r="N304" i="25"/>
  <c r="O273" i="25"/>
  <c r="AI273" i="25" s="1"/>
  <c r="X273" i="25"/>
  <c r="W275" i="25"/>
  <c r="X278" i="25"/>
  <c r="N278" i="25"/>
  <c r="O278" i="25"/>
  <c r="AI278" i="25" s="1"/>
  <c r="N256" i="25"/>
  <c r="O274" i="25"/>
  <c r="AI274" i="25" s="1"/>
  <c r="X274" i="25"/>
  <c r="W261" i="25"/>
  <c r="X288" i="25"/>
  <c r="N288" i="25"/>
  <c r="O288" i="25"/>
  <c r="AI288" i="25" s="1"/>
  <c r="N260" i="25"/>
  <c r="X295" i="25"/>
  <c r="O295" i="25"/>
  <c r="AI295" i="25" s="1"/>
  <c r="X299" i="25"/>
  <c r="N299" i="25"/>
  <c r="O299" i="25"/>
  <c r="AI299" i="25" s="1"/>
  <c r="N303" i="25"/>
  <c r="X277" i="25"/>
  <c r="O277" i="25"/>
  <c r="AI277" i="25" s="1"/>
  <c r="W285" i="25"/>
  <c r="X287" i="25"/>
  <c r="N287" i="25"/>
  <c r="O287" i="25"/>
  <c r="AI287" i="25" s="1"/>
  <c r="N292" i="25"/>
  <c r="X290" i="25"/>
  <c r="O290" i="25"/>
  <c r="AI290" i="25" s="1"/>
  <c r="O271" i="25"/>
  <c r="AI271" i="25" s="1"/>
  <c r="N271" i="25"/>
  <c r="X271" i="25"/>
  <c r="N286" i="25"/>
  <c r="O300" i="25"/>
  <c r="AI300" i="25" s="1"/>
  <c r="X300" i="25"/>
  <c r="W276" i="25"/>
  <c r="W283" i="25"/>
  <c r="W251" i="25"/>
  <c r="W274" i="25"/>
  <c r="X266" i="25"/>
  <c r="N266" i="25"/>
  <c r="O266" i="25"/>
  <c r="AI266" i="25" s="1"/>
  <c r="X279" i="25"/>
  <c r="N279" i="25"/>
  <c r="O279" i="25"/>
  <c r="AI279" i="25" s="1"/>
  <c r="N297" i="25"/>
  <c r="X268" i="25"/>
  <c r="N268" i="25"/>
  <c r="O268" i="25"/>
  <c r="AI268" i="25" s="1"/>
  <c r="X252" i="25"/>
  <c r="N252" i="25"/>
  <c r="O252" i="25"/>
  <c r="AI252" i="25" s="1"/>
  <c r="N275" i="25"/>
  <c r="O254" i="25"/>
  <c r="AI254" i="25" s="1"/>
  <c r="N254" i="25"/>
  <c r="X254" i="25"/>
  <c r="O257" i="25"/>
  <c r="AI257" i="25" s="1"/>
  <c r="N257" i="25"/>
  <c r="X257" i="25"/>
  <c r="N261" i="25"/>
  <c r="X280" i="25"/>
  <c r="O280" i="25"/>
  <c r="AI280" i="25" s="1"/>
  <c r="X302" i="25"/>
  <c r="N302" i="25"/>
  <c r="O302" i="25"/>
  <c r="AI302" i="25" s="1"/>
  <c r="N301" i="25"/>
  <c r="X255" i="25"/>
  <c r="N255" i="25"/>
  <c r="O255" i="25"/>
  <c r="AI255" i="25" s="1"/>
  <c r="X270" i="25"/>
  <c r="N270" i="25"/>
  <c r="O270" i="25"/>
  <c r="AI270" i="25" s="1"/>
  <c r="N285" i="25"/>
  <c r="X269" i="25"/>
  <c r="O269" i="25"/>
  <c r="AI269" i="25" s="1"/>
  <c r="O281" i="25"/>
  <c r="AI281" i="25" s="1"/>
  <c r="N281" i="25"/>
  <c r="X281" i="25"/>
  <c r="N259" i="25"/>
  <c r="O283" i="25"/>
  <c r="AI283" i="25" s="1"/>
  <c r="N283" i="25"/>
  <c r="X283" i="25"/>
  <c r="O293" i="25"/>
  <c r="AI293" i="25" s="1"/>
  <c r="N293" i="25"/>
  <c r="X293" i="25"/>
  <c r="N269" i="25"/>
  <c r="N276" i="25"/>
  <c r="N273" i="25"/>
  <c r="N274" i="25"/>
  <c r="W280" i="25"/>
  <c r="N295" i="25"/>
  <c r="N277" i="25"/>
  <c r="N290" i="25"/>
  <c r="N300" i="25"/>
  <c r="W253" i="25"/>
  <c r="N251" i="25"/>
  <c r="N253" i="25"/>
  <c r="N267" i="25"/>
  <c r="N296" i="25"/>
  <c r="N291" i="25"/>
  <c r="N262" i="25"/>
  <c r="N258" i="25"/>
  <c r="N272" i="25"/>
  <c r="N282" i="25"/>
  <c r="N284" i="25"/>
  <c r="N264" i="25"/>
  <c r="N289" i="25"/>
  <c r="N265" i="25"/>
  <c r="N280" i="25"/>
  <c r="W356" i="25"/>
  <c r="W324" i="25"/>
  <c r="W343" i="25"/>
  <c r="W311" i="25"/>
  <c r="W330" i="25"/>
  <c r="W345" i="25"/>
  <c r="W313" i="25"/>
  <c r="W312" i="25"/>
  <c r="O340" i="25"/>
  <c r="AI340" i="25" s="1"/>
  <c r="X340" i="25"/>
  <c r="O335" i="25"/>
  <c r="AI335" i="25" s="1"/>
  <c r="X335" i="25"/>
  <c r="W334" i="25"/>
  <c r="W350" i="25"/>
  <c r="X337" i="25"/>
  <c r="O337" i="25"/>
  <c r="AI337" i="25" s="1"/>
  <c r="X314" i="25"/>
  <c r="O314" i="25"/>
  <c r="AI314" i="25" s="1"/>
  <c r="W346" i="25"/>
  <c r="W319" i="25"/>
  <c r="X333" i="25"/>
  <c r="O333" i="25"/>
  <c r="AI333" i="25" s="1"/>
  <c r="X336" i="25"/>
  <c r="O336" i="25"/>
  <c r="AI336" i="25" s="1"/>
  <c r="W310" i="25"/>
  <c r="X351" i="25"/>
  <c r="O351" i="25"/>
  <c r="AI351" i="25" s="1"/>
  <c r="X308" i="25"/>
  <c r="O308" i="25"/>
  <c r="AI308" i="25" s="1"/>
  <c r="W344" i="25"/>
  <c r="X315" i="25"/>
  <c r="O315" i="25"/>
  <c r="AI315" i="25" s="1"/>
  <c r="X326" i="25"/>
  <c r="O326" i="25"/>
  <c r="AI326" i="25" s="1"/>
  <c r="W355" i="25"/>
  <c r="W307" i="25"/>
  <c r="X321" i="25"/>
  <c r="O321" i="25"/>
  <c r="AI321" i="25" s="1"/>
  <c r="O327" i="25"/>
  <c r="AI327" i="25" s="1"/>
  <c r="X327" i="25"/>
  <c r="W328" i="25"/>
  <c r="W342" i="25"/>
  <c r="W349" i="25"/>
  <c r="O334" i="25"/>
  <c r="AI334" i="25" s="1"/>
  <c r="X334" i="25"/>
  <c r="W329" i="25"/>
  <c r="W309" i="25"/>
  <c r="W315" i="25"/>
  <c r="O318" i="25"/>
  <c r="AI318" i="25" s="1"/>
  <c r="X318" i="25"/>
  <c r="W352" i="25"/>
  <c r="W320" i="25"/>
  <c r="W339" i="25"/>
  <c r="W326" i="25"/>
  <c r="W341" i="25"/>
  <c r="X322" i="25"/>
  <c r="O322" i="25"/>
  <c r="AI322" i="25" s="1"/>
  <c r="W335" i="25"/>
  <c r="O354" i="25"/>
  <c r="AI354" i="25" s="1"/>
  <c r="X354" i="25"/>
  <c r="W314" i="25"/>
  <c r="X346" i="25"/>
  <c r="O346" i="25"/>
  <c r="AI346" i="25" s="1"/>
  <c r="X331" i="25"/>
  <c r="O331" i="25"/>
  <c r="AI331" i="25" s="1"/>
  <c r="W317" i="25"/>
  <c r="W336" i="25"/>
  <c r="X324" i="25"/>
  <c r="O324" i="25"/>
  <c r="AI324" i="25" s="1"/>
  <c r="O341" i="25"/>
  <c r="AI341" i="25" s="1"/>
  <c r="X341" i="25"/>
  <c r="W308" i="25"/>
  <c r="X344" i="25"/>
  <c r="O344" i="25"/>
  <c r="AI344" i="25" s="1"/>
  <c r="X323" i="25"/>
  <c r="O323" i="25"/>
  <c r="AI323" i="25" s="1"/>
  <c r="W316" i="25"/>
  <c r="X355" i="25"/>
  <c r="O355" i="25"/>
  <c r="AI355" i="25" s="1"/>
  <c r="W327" i="25"/>
  <c r="O345" i="25"/>
  <c r="AI345" i="25" s="1"/>
  <c r="X345" i="25"/>
  <c r="W338" i="25"/>
  <c r="W353" i="25"/>
  <c r="W325" i="25"/>
  <c r="W348" i="25"/>
  <c r="W321" i="25"/>
  <c r="W354" i="25"/>
  <c r="W322" i="25"/>
  <c r="W337" i="25"/>
  <c r="O349" i="25"/>
  <c r="AI349" i="25" s="1"/>
  <c r="X349" i="25"/>
  <c r="O339" i="25"/>
  <c r="AI339" i="25" s="1"/>
  <c r="N339" i="25"/>
  <c r="X339" i="25"/>
  <c r="N335" i="25"/>
  <c r="X332" i="25"/>
  <c r="O332" i="25"/>
  <c r="AI332" i="25" s="1"/>
  <c r="X356" i="25"/>
  <c r="N356" i="25"/>
  <c r="O356" i="25"/>
  <c r="AI356" i="25" s="1"/>
  <c r="N314" i="25"/>
  <c r="X329" i="25"/>
  <c r="O329" i="25"/>
  <c r="AI329" i="25" s="1"/>
  <c r="W331" i="25"/>
  <c r="X317" i="25"/>
  <c r="N317" i="25"/>
  <c r="O317" i="25"/>
  <c r="AI317" i="25" s="1"/>
  <c r="N336" i="25"/>
  <c r="X309" i="25"/>
  <c r="O309" i="25"/>
  <c r="AI309" i="25" s="1"/>
  <c r="X313" i="25"/>
  <c r="N313" i="25"/>
  <c r="O313" i="25"/>
  <c r="AI313" i="25" s="1"/>
  <c r="N308" i="25"/>
  <c r="O348" i="25"/>
  <c r="AI348" i="25" s="1"/>
  <c r="X348" i="25"/>
  <c r="W323" i="25"/>
  <c r="X316" i="25"/>
  <c r="N316" i="25"/>
  <c r="O316" i="25"/>
  <c r="AI316" i="25" s="1"/>
  <c r="N326" i="25"/>
  <c r="X325" i="25"/>
  <c r="O325" i="25"/>
  <c r="AI325" i="25" s="1"/>
  <c r="W318" i="25"/>
  <c r="X320" i="25"/>
  <c r="N320" i="25"/>
  <c r="O320" i="25"/>
  <c r="AI320" i="25" s="1"/>
  <c r="N327" i="25"/>
  <c r="O311" i="25"/>
  <c r="AI311" i="25" s="1"/>
  <c r="N311" i="25"/>
  <c r="X311" i="25"/>
  <c r="W340" i="25"/>
  <c r="N329" i="25"/>
  <c r="N309" i="25"/>
  <c r="N348" i="25"/>
  <c r="W333" i="25"/>
  <c r="X312" i="25"/>
  <c r="N312" i="25"/>
  <c r="O312" i="25"/>
  <c r="AI312" i="25" s="1"/>
  <c r="N322" i="25"/>
  <c r="X328" i="25"/>
  <c r="O328" i="25"/>
  <c r="AI328" i="25" s="1"/>
  <c r="W332" i="25"/>
  <c r="X350" i="25"/>
  <c r="N350" i="25"/>
  <c r="O350" i="25"/>
  <c r="AI350" i="25" s="1"/>
  <c r="N354" i="25"/>
  <c r="X338" i="25"/>
  <c r="N338" i="25"/>
  <c r="O338" i="25"/>
  <c r="AI338" i="25" s="1"/>
  <c r="X319" i="25"/>
  <c r="N319" i="25"/>
  <c r="O319" i="25"/>
  <c r="AI319" i="25" s="1"/>
  <c r="N331" i="25"/>
  <c r="O347" i="25"/>
  <c r="AI347" i="25" s="1"/>
  <c r="X347" i="25"/>
  <c r="X310" i="25"/>
  <c r="N310" i="25"/>
  <c r="O310" i="25"/>
  <c r="AI310" i="25" s="1"/>
  <c r="N341" i="25"/>
  <c r="X352" i="25"/>
  <c r="O352" i="25"/>
  <c r="AI352" i="25" s="1"/>
  <c r="X330" i="25"/>
  <c r="N330" i="25"/>
  <c r="O330" i="25"/>
  <c r="AI330" i="25" s="1"/>
  <c r="N323" i="25"/>
  <c r="O353" i="25"/>
  <c r="AI353" i="25" s="1"/>
  <c r="X353" i="25"/>
  <c r="O307" i="25"/>
  <c r="AI307" i="25" s="1"/>
  <c r="N307" i="25"/>
  <c r="X307" i="25"/>
  <c r="N318" i="25"/>
  <c r="X342" i="25"/>
  <c r="O342" i="25"/>
  <c r="AI342" i="25" s="1"/>
  <c r="X343" i="25"/>
  <c r="N343" i="25"/>
  <c r="O343" i="25"/>
  <c r="AI343" i="25" s="1"/>
  <c r="N332" i="25"/>
  <c r="W351" i="25"/>
  <c r="N342" i="25"/>
  <c r="N340" i="25"/>
  <c r="N337" i="25"/>
  <c r="N333" i="25"/>
  <c r="W347" i="25"/>
  <c r="N347" i="25"/>
  <c r="N351" i="25"/>
  <c r="N315" i="25"/>
  <c r="N321" i="25"/>
  <c r="N325" i="25"/>
  <c r="N353" i="25"/>
  <c r="N334" i="25"/>
  <c r="N346" i="25"/>
  <c r="N324" i="25"/>
  <c r="N344" i="25"/>
  <c r="N355" i="25"/>
  <c r="N345" i="25"/>
  <c r="N349" i="25"/>
  <c r="N328" i="25"/>
  <c r="N352" i="25"/>
  <c r="W412" i="25"/>
  <c r="W380" i="25"/>
  <c r="W399" i="25"/>
  <c r="W367" i="25"/>
  <c r="W386" i="25"/>
  <c r="W401" i="25"/>
  <c r="W369" i="25"/>
  <c r="O379" i="25"/>
  <c r="AI379" i="25" s="1"/>
  <c r="X379" i="25"/>
  <c r="W366" i="25"/>
  <c r="W377" i="25"/>
  <c r="O372" i="25"/>
  <c r="AI372" i="25" s="1"/>
  <c r="X372" i="25"/>
  <c r="X401" i="25"/>
  <c r="O401" i="25"/>
  <c r="AI401" i="25" s="1"/>
  <c r="W389" i="25"/>
  <c r="O406" i="25"/>
  <c r="AI406" i="25" s="1"/>
  <c r="X406" i="25"/>
  <c r="O412" i="25"/>
  <c r="AI412" i="25" s="1"/>
  <c r="X412" i="25"/>
  <c r="W394" i="25"/>
  <c r="W411" i="25"/>
  <c r="O373" i="25"/>
  <c r="AI373" i="25" s="1"/>
  <c r="X373" i="25"/>
  <c r="X364" i="25"/>
  <c r="O364" i="25"/>
  <c r="AI364" i="25" s="1"/>
  <c r="W374" i="25"/>
  <c r="W392" i="25"/>
  <c r="O393" i="25"/>
  <c r="AI393" i="25" s="1"/>
  <c r="X393" i="25"/>
  <c r="X380" i="25"/>
  <c r="O380" i="25"/>
  <c r="AI380" i="25" s="1"/>
  <c r="W385" i="25"/>
  <c r="W404" i="25"/>
  <c r="X398" i="25"/>
  <c r="O398" i="25"/>
  <c r="AI398" i="25" s="1"/>
  <c r="O391" i="25"/>
  <c r="AI391" i="25" s="1"/>
  <c r="X391" i="25"/>
  <c r="W395" i="25"/>
  <c r="W409" i="25"/>
  <c r="X396" i="25"/>
  <c r="O396" i="25"/>
  <c r="AI396" i="25" s="1"/>
  <c r="X388" i="25"/>
  <c r="O388" i="25"/>
  <c r="AI388" i="25" s="1"/>
  <c r="W368" i="25"/>
  <c r="O410" i="25"/>
  <c r="AI410" i="25" s="1"/>
  <c r="X410" i="25"/>
  <c r="X377" i="25"/>
  <c r="O377" i="25"/>
  <c r="AI377" i="25" s="1"/>
  <c r="O367" i="25"/>
  <c r="AI367" i="25" s="1"/>
  <c r="X367" i="25"/>
  <c r="X390" i="25"/>
  <c r="O390" i="25"/>
  <c r="AI390" i="25" s="1"/>
  <c r="O392" i="25"/>
  <c r="AI392" i="25" s="1"/>
  <c r="X392" i="25"/>
  <c r="X409" i="25"/>
  <c r="O409" i="25"/>
  <c r="AI409" i="25" s="1"/>
  <c r="X375" i="25"/>
  <c r="O375" i="25"/>
  <c r="AI375" i="25" s="1"/>
  <c r="W370" i="25"/>
  <c r="W375" i="25"/>
  <c r="W371" i="25"/>
  <c r="W398" i="25"/>
  <c r="W402" i="25"/>
  <c r="W408" i="25"/>
  <c r="W376" i="25"/>
  <c r="W363" i="25"/>
  <c r="W382" i="25"/>
  <c r="W397" i="25"/>
  <c r="W365" i="25"/>
  <c r="W379" i="25"/>
  <c r="O366" i="25"/>
  <c r="AI366" i="25" s="1"/>
  <c r="X366" i="25"/>
  <c r="N377" i="25"/>
  <c r="X387" i="25"/>
  <c r="O387" i="25"/>
  <c r="AI387" i="25" s="1"/>
  <c r="O389" i="25"/>
  <c r="AI389" i="25" s="1"/>
  <c r="X389" i="25"/>
  <c r="N367" i="25"/>
  <c r="O400" i="25"/>
  <c r="AI400" i="25" s="1"/>
  <c r="X400" i="25"/>
  <c r="W384" i="25"/>
  <c r="X394" i="25"/>
  <c r="N394" i="25"/>
  <c r="O394" i="25"/>
  <c r="AI394" i="25" s="1"/>
  <c r="O386" i="25"/>
  <c r="AI386" i="25" s="1"/>
  <c r="X386" i="25"/>
  <c r="W364" i="25"/>
  <c r="X374" i="25"/>
  <c r="O374" i="25"/>
  <c r="AI374" i="25" s="1"/>
  <c r="N392" i="25"/>
  <c r="O397" i="25"/>
  <c r="AI397" i="25" s="1"/>
  <c r="X397" i="25"/>
  <c r="O385" i="25"/>
  <c r="AI385" i="25" s="1"/>
  <c r="X385" i="25"/>
  <c r="O382" i="25"/>
  <c r="AI382" i="25" s="1"/>
  <c r="N382" i="25"/>
  <c r="X382" i="25"/>
  <c r="W383" i="25"/>
  <c r="W391" i="25"/>
  <c r="X395" i="25"/>
  <c r="N409" i="25"/>
  <c r="X368" i="25"/>
  <c r="O368" i="25"/>
  <c r="AI368" i="25" s="1"/>
  <c r="W388" i="25"/>
  <c r="N388" i="25"/>
  <c r="W406" i="25"/>
  <c r="X405" i="25"/>
  <c r="O405" i="25"/>
  <c r="AI405" i="25" s="1"/>
  <c r="N386" i="25"/>
  <c r="O378" i="25"/>
  <c r="AI378" i="25" s="1"/>
  <c r="X378" i="25"/>
  <c r="X404" i="25"/>
  <c r="N404" i="25"/>
  <c r="O404" i="25"/>
  <c r="AI404" i="25" s="1"/>
  <c r="O363" i="25"/>
  <c r="AI363" i="25" s="1"/>
  <c r="X363" i="25"/>
  <c r="W405" i="25"/>
  <c r="W372" i="25"/>
  <c r="W373" i="25"/>
  <c r="W393" i="25"/>
  <c r="W410" i="25"/>
  <c r="W378" i="25"/>
  <c r="O395" i="25"/>
  <c r="N379" i="25"/>
  <c r="X407" i="25"/>
  <c r="O407" i="25"/>
  <c r="AI407" i="25" s="1"/>
  <c r="W387" i="25"/>
  <c r="N387" i="25"/>
  <c r="X371" i="25"/>
  <c r="N371" i="25"/>
  <c r="O371" i="25"/>
  <c r="AI371" i="25" s="1"/>
  <c r="N401" i="25"/>
  <c r="O408" i="25"/>
  <c r="AI408" i="25" s="1"/>
  <c r="X408" i="25"/>
  <c r="W400" i="25"/>
  <c r="O384" i="25"/>
  <c r="AI384" i="25" s="1"/>
  <c r="N384" i="25"/>
  <c r="X384" i="25"/>
  <c r="N412" i="25"/>
  <c r="O403" i="25"/>
  <c r="AI403" i="25" s="1"/>
  <c r="X403" i="25"/>
  <c r="X376" i="25"/>
  <c r="N376" i="25"/>
  <c r="O376" i="25"/>
  <c r="AI376" i="25" s="1"/>
  <c r="N364" i="25"/>
  <c r="X399" i="25"/>
  <c r="O399" i="25"/>
  <c r="AI399" i="25" s="1"/>
  <c r="X365" i="25"/>
  <c r="N365" i="25"/>
  <c r="O365" i="25"/>
  <c r="AI365" i="25" s="1"/>
  <c r="N380" i="25"/>
  <c r="O381" i="25"/>
  <c r="AI381" i="25" s="1"/>
  <c r="X381" i="25"/>
  <c r="X383" i="25"/>
  <c r="N383" i="25"/>
  <c r="O383" i="25"/>
  <c r="AI383" i="25" s="1"/>
  <c r="N391" i="25"/>
  <c r="O402" i="25"/>
  <c r="AI402" i="25" s="1"/>
  <c r="N402" i="25"/>
  <c r="X402" i="25"/>
  <c r="O369" i="25"/>
  <c r="AI369" i="25" s="1"/>
  <c r="X369" i="25"/>
  <c r="N400" i="25"/>
  <c r="W403" i="25"/>
  <c r="N397" i="25"/>
  <c r="W381" i="25"/>
  <c r="X370" i="25"/>
  <c r="O370" i="25"/>
  <c r="AI370" i="25" s="1"/>
  <c r="N368" i="25"/>
  <c r="W390" i="25"/>
  <c r="N395" i="25"/>
  <c r="W407" i="25"/>
  <c r="X411" i="25"/>
  <c r="N411" i="25"/>
  <c r="O411" i="25"/>
  <c r="AI411" i="25" s="1"/>
  <c r="W396" i="25"/>
  <c r="N407" i="25"/>
  <c r="N408" i="25"/>
  <c r="N403" i="25"/>
  <c r="N399" i="25"/>
  <c r="N381" i="25"/>
  <c r="N363" i="25"/>
  <c r="N406" i="25"/>
  <c r="N393" i="25"/>
  <c r="N389" i="25"/>
  <c r="N410" i="25"/>
  <c r="N369" i="25"/>
  <c r="N405" i="25"/>
  <c r="N390" i="25"/>
  <c r="N378" i="25"/>
  <c r="N370" i="25"/>
  <c r="N375" i="25"/>
  <c r="N372" i="25"/>
  <c r="N373" i="25"/>
  <c r="N398" i="25"/>
  <c r="N396" i="25"/>
  <c r="N366" i="25"/>
  <c r="N374" i="25"/>
  <c r="N385" i="25"/>
  <c r="W464" i="25"/>
  <c r="W432" i="25"/>
  <c r="W455" i="25"/>
  <c r="W423" i="25"/>
  <c r="W446" i="25"/>
  <c r="W465" i="25"/>
  <c r="W433" i="25"/>
  <c r="W456" i="25"/>
  <c r="W417" i="25"/>
  <c r="X451" i="25"/>
  <c r="O451" i="25"/>
  <c r="AI451" i="25" s="1"/>
  <c r="O435" i="25"/>
  <c r="AI435" i="25" s="1"/>
  <c r="X435" i="25"/>
  <c r="W444" i="25"/>
  <c r="W434" i="25"/>
  <c r="O427" i="25"/>
  <c r="AI427" i="25" s="1"/>
  <c r="X427" i="25"/>
  <c r="X466" i="25"/>
  <c r="O466" i="25"/>
  <c r="AI466" i="25" s="1"/>
  <c r="W443" i="25"/>
  <c r="W431" i="25"/>
  <c r="X464" i="25"/>
  <c r="O464" i="25"/>
  <c r="AI464" i="25" s="1"/>
  <c r="X446" i="25"/>
  <c r="O446" i="25"/>
  <c r="AI446" i="25" s="1"/>
  <c r="W415" i="25"/>
  <c r="W430" i="25"/>
  <c r="X468" i="25"/>
  <c r="O468" i="25"/>
  <c r="AI468" i="25" s="1"/>
  <c r="O452" i="25"/>
  <c r="AI452" i="25" s="1"/>
  <c r="X452" i="25"/>
  <c r="W428" i="25"/>
  <c r="W449" i="25"/>
  <c r="X461" i="25"/>
  <c r="O461" i="25"/>
  <c r="AI461" i="25" s="1"/>
  <c r="X419" i="25"/>
  <c r="O419" i="25"/>
  <c r="AI419" i="25" s="1"/>
  <c r="W441" i="25"/>
  <c r="W459" i="25"/>
  <c r="O445" i="25"/>
  <c r="AI445" i="25" s="1"/>
  <c r="X445" i="25"/>
  <c r="X425" i="25"/>
  <c r="O425" i="25"/>
  <c r="AI425" i="25" s="1"/>
  <c r="W437" i="25"/>
  <c r="O454" i="25"/>
  <c r="AI454" i="25" s="1"/>
  <c r="X454" i="25"/>
  <c r="W453" i="25"/>
  <c r="X417" i="25"/>
  <c r="O417" i="25"/>
  <c r="AI417" i="25" s="1"/>
  <c r="W435" i="25"/>
  <c r="X434" i="25"/>
  <c r="O434" i="25"/>
  <c r="AI434" i="25" s="1"/>
  <c r="W466" i="25"/>
  <c r="W452" i="25"/>
  <c r="O449" i="25"/>
  <c r="AI449" i="25" s="1"/>
  <c r="X449" i="25"/>
  <c r="W419" i="25"/>
  <c r="W442" i="25"/>
  <c r="W448" i="25"/>
  <c r="W457" i="25"/>
  <c r="W463" i="25"/>
  <c r="W447" i="25"/>
  <c r="W439" i="25"/>
  <c r="W460" i="25"/>
  <c r="W451" i="25"/>
  <c r="W461" i="25"/>
  <c r="W429" i="25"/>
  <c r="O456" i="25"/>
  <c r="AI456" i="25" s="1"/>
  <c r="X456" i="25"/>
  <c r="N417" i="25"/>
  <c r="X432" i="25"/>
  <c r="O432" i="25"/>
  <c r="AI432" i="25" s="1"/>
  <c r="W467" i="25"/>
  <c r="X444" i="25"/>
  <c r="O444" i="25"/>
  <c r="AI444" i="25" s="1"/>
  <c r="N434" i="25"/>
  <c r="O463" i="25"/>
  <c r="AI463" i="25" s="1"/>
  <c r="X463" i="25"/>
  <c r="W436" i="25"/>
  <c r="O443" i="25"/>
  <c r="AI443" i="25" s="1"/>
  <c r="X443" i="25"/>
  <c r="X423" i="25"/>
  <c r="N423" i="25"/>
  <c r="O423" i="25"/>
  <c r="AI423" i="25" s="1"/>
  <c r="W426" i="25"/>
  <c r="O415" i="25"/>
  <c r="AI415" i="25" s="1"/>
  <c r="X415" i="25"/>
  <c r="X448" i="25"/>
  <c r="N448" i="25"/>
  <c r="O448" i="25"/>
  <c r="AI448" i="25" s="1"/>
  <c r="X428" i="25"/>
  <c r="O428" i="25"/>
  <c r="AI428" i="25" s="1"/>
  <c r="N449" i="25"/>
  <c r="X440" i="25"/>
  <c r="O440" i="25"/>
  <c r="AI440" i="25" s="1"/>
  <c r="W462" i="25"/>
  <c r="O441" i="25"/>
  <c r="AI441" i="25" s="1"/>
  <c r="X441" i="25"/>
  <c r="X416" i="25"/>
  <c r="O416" i="25"/>
  <c r="AI416" i="25" s="1"/>
  <c r="W422" i="25"/>
  <c r="W425" i="25"/>
  <c r="X437" i="25"/>
  <c r="O437" i="25"/>
  <c r="AI437" i="25" s="1"/>
  <c r="X421" i="25"/>
  <c r="O421" i="25"/>
  <c r="AI421" i="25" s="1"/>
  <c r="W420" i="25"/>
  <c r="W458" i="25"/>
  <c r="O457" i="25"/>
  <c r="AI457" i="25" s="1"/>
  <c r="X457" i="25"/>
  <c r="N463" i="25"/>
  <c r="X438" i="25"/>
  <c r="O438" i="25"/>
  <c r="AI438" i="25" s="1"/>
  <c r="X439" i="25"/>
  <c r="O439" i="25"/>
  <c r="AI439" i="25" s="1"/>
  <c r="X433" i="25"/>
  <c r="N433" i="25"/>
  <c r="O433" i="25"/>
  <c r="AI433" i="25" s="1"/>
  <c r="W450" i="25"/>
  <c r="W438" i="25"/>
  <c r="W424" i="25"/>
  <c r="O458" i="25"/>
  <c r="AI458" i="25" s="1"/>
  <c r="N458" i="25"/>
  <c r="X458" i="25"/>
  <c r="O467" i="25"/>
  <c r="AI467" i="25" s="1"/>
  <c r="N467" i="25"/>
  <c r="X467" i="25"/>
  <c r="N435" i="25"/>
  <c r="X460" i="25"/>
  <c r="N460" i="25"/>
  <c r="O460" i="25"/>
  <c r="AI460" i="25" s="1"/>
  <c r="O436" i="25"/>
  <c r="AI436" i="25" s="1"/>
  <c r="N436" i="25"/>
  <c r="X436" i="25"/>
  <c r="N466" i="25"/>
  <c r="X420" i="25"/>
  <c r="O420" i="25"/>
  <c r="AI420" i="25" s="1"/>
  <c r="X426" i="25"/>
  <c r="N426" i="25"/>
  <c r="O426" i="25"/>
  <c r="AI426" i="25" s="1"/>
  <c r="N446" i="25"/>
  <c r="X455" i="25"/>
  <c r="O455" i="25"/>
  <c r="AI455" i="25" s="1"/>
  <c r="O465" i="25"/>
  <c r="AI465" i="25" s="1"/>
  <c r="N465" i="25"/>
  <c r="X465" i="25"/>
  <c r="N452" i="25"/>
  <c r="O418" i="25"/>
  <c r="AI418" i="25" s="1"/>
  <c r="X418" i="25"/>
  <c r="N440" i="25"/>
  <c r="W440" i="25"/>
  <c r="X462" i="25"/>
  <c r="N462" i="25"/>
  <c r="O462" i="25"/>
  <c r="AI462" i="25" s="1"/>
  <c r="N419" i="25"/>
  <c r="O453" i="25"/>
  <c r="AI453" i="25" s="1"/>
  <c r="X453" i="25"/>
  <c r="W416" i="25"/>
  <c r="N416" i="25"/>
  <c r="O422" i="25"/>
  <c r="AI422" i="25" s="1"/>
  <c r="N422" i="25"/>
  <c r="X422" i="25"/>
  <c r="N425" i="25"/>
  <c r="X442" i="25"/>
  <c r="O442" i="25"/>
  <c r="AI442" i="25" s="1"/>
  <c r="W421" i="25"/>
  <c r="O429" i="25"/>
  <c r="AI429" i="25" s="1"/>
  <c r="N429" i="25"/>
  <c r="X429" i="25"/>
  <c r="N432" i="25"/>
  <c r="X424" i="25"/>
  <c r="O424" i="25"/>
  <c r="AI424" i="25" s="1"/>
  <c r="O431" i="25"/>
  <c r="AI431" i="25" s="1"/>
  <c r="N431" i="25"/>
  <c r="X431" i="25"/>
  <c r="O450" i="25"/>
  <c r="AI450" i="25" s="1"/>
  <c r="X450" i="25"/>
  <c r="X430" i="25"/>
  <c r="N430" i="25"/>
  <c r="O430" i="25"/>
  <c r="AI430" i="25" s="1"/>
  <c r="W418" i="25"/>
  <c r="X447" i="25"/>
  <c r="O447" i="25"/>
  <c r="AI447" i="25" s="1"/>
  <c r="O459" i="25"/>
  <c r="AI459" i="25" s="1"/>
  <c r="N459" i="25"/>
  <c r="X459" i="25"/>
  <c r="N421" i="25"/>
  <c r="N420" i="25"/>
  <c r="W445" i="25"/>
  <c r="N457" i="25"/>
  <c r="W427" i="25"/>
  <c r="N424" i="25"/>
  <c r="N450" i="25"/>
  <c r="W468" i="25"/>
  <c r="N438" i="25"/>
  <c r="N447" i="25"/>
  <c r="N439" i="25"/>
  <c r="W454" i="25"/>
  <c r="N444" i="25"/>
  <c r="N415" i="25"/>
  <c r="N441" i="25"/>
  <c r="N455" i="25"/>
  <c r="N451" i="25"/>
  <c r="N427" i="25"/>
  <c r="N464" i="25"/>
  <c r="N468" i="25"/>
  <c r="N461" i="25"/>
  <c r="N445" i="25"/>
  <c r="N454" i="25"/>
  <c r="N456" i="25"/>
  <c r="N443" i="25"/>
  <c r="N428" i="25"/>
  <c r="N437" i="25"/>
  <c r="N418" i="25"/>
  <c r="N453" i="25"/>
  <c r="N442" i="25"/>
  <c r="W471" i="25"/>
  <c r="W478" i="25"/>
  <c r="X479" i="25"/>
  <c r="W473" i="25"/>
  <c r="W475" i="25"/>
  <c r="X477" i="25"/>
  <c r="X474" i="25"/>
  <c r="W477" i="25"/>
  <c r="X478" i="25"/>
  <c r="W479" i="25"/>
  <c r="X473" i="25"/>
  <c r="W474" i="25"/>
  <c r="X472" i="25"/>
  <c r="X471" i="25"/>
  <c r="X476" i="25"/>
  <c r="W472" i="25"/>
  <c r="W476" i="25"/>
  <c r="X475" i="25"/>
  <c r="W514" i="25"/>
  <c r="W513" i="25"/>
  <c r="W508" i="25"/>
  <c r="W503" i="25"/>
  <c r="W501" i="25"/>
  <c r="W493" i="25"/>
  <c r="X497" i="25"/>
  <c r="O497" i="25"/>
  <c r="AI497" i="25" s="1"/>
  <c r="O513" i="25"/>
  <c r="AI513" i="25" s="1"/>
  <c r="X513" i="25"/>
  <c r="W487" i="25"/>
  <c r="W495" i="25"/>
  <c r="X504" i="25"/>
  <c r="O504" i="25"/>
  <c r="AI504" i="25" s="1"/>
  <c r="O508" i="25"/>
  <c r="AI508" i="25" s="1"/>
  <c r="X508" i="25"/>
  <c r="W490" i="25"/>
  <c r="W494" i="25"/>
  <c r="O486" i="25"/>
  <c r="AI486" i="25" s="1"/>
  <c r="X486" i="25"/>
  <c r="O507" i="25"/>
  <c r="AI507" i="25" s="1"/>
  <c r="X507" i="25"/>
  <c r="W506" i="25"/>
  <c r="W489" i="25"/>
  <c r="O491" i="25"/>
  <c r="AI491" i="25" s="1"/>
  <c r="X491" i="25"/>
  <c r="W505" i="25"/>
  <c r="O492" i="25"/>
  <c r="AI492" i="25" s="1"/>
  <c r="X492" i="25"/>
  <c r="W498" i="25"/>
  <c r="X511" i="25"/>
  <c r="O511" i="25"/>
  <c r="AI511" i="25" s="1"/>
  <c r="X498" i="25"/>
  <c r="O498" i="25"/>
  <c r="AI498" i="25" s="1"/>
  <c r="W510" i="25"/>
  <c r="W509" i="25"/>
  <c r="W504" i="25"/>
  <c r="W499" i="25"/>
  <c r="O501" i="25"/>
  <c r="AI501" i="25" s="1"/>
  <c r="X501" i="25"/>
  <c r="X505" i="25"/>
  <c r="O505" i="25"/>
  <c r="AI505" i="25" s="1"/>
  <c r="W512" i="25"/>
  <c r="X487" i="25"/>
  <c r="O487" i="25"/>
  <c r="AI487" i="25" s="1"/>
  <c r="O510" i="25"/>
  <c r="AI510" i="25" s="1"/>
  <c r="X510" i="25"/>
  <c r="X490" i="25"/>
  <c r="O490" i="25"/>
  <c r="AI490" i="25" s="1"/>
  <c r="W488" i="25"/>
  <c r="N507" i="25"/>
  <c r="W507" i="25"/>
  <c r="X506" i="25"/>
  <c r="O506" i="25"/>
  <c r="AI506" i="25" s="1"/>
  <c r="O503" i="25"/>
  <c r="AI503" i="25" s="1"/>
  <c r="X503" i="25"/>
  <c r="N513" i="25"/>
  <c r="X509" i="25"/>
  <c r="N509" i="25"/>
  <c r="O509" i="25"/>
  <c r="AI509" i="25" s="1"/>
  <c r="W511" i="25"/>
  <c r="W492" i="25"/>
  <c r="W500" i="25"/>
  <c r="W502" i="25"/>
  <c r="W496" i="25"/>
  <c r="W491" i="25"/>
  <c r="O493" i="25"/>
  <c r="AI493" i="25" s="1"/>
  <c r="N493" i="25"/>
  <c r="X493" i="25"/>
  <c r="N505" i="25"/>
  <c r="X496" i="25"/>
  <c r="N496" i="25"/>
  <c r="O496" i="25"/>
  <c r="AI496" i="25" s="1"/>
  <c r="O495" i="25"/>
  <c r="AI495" i="25" s="1"/>
  <c r="N495" i="25"/>
  <c r="X495" i="25"/>
  <c r="N510" i="25"/>
  <c r="O499" i="25"/>
  <c r="AI499" i="25" s="1"/>
  <c r="X499" i="25"/>
  <c r="O494" i="25"/>
  <c r="AI494" i="25" s="1"/>
  <c r="N494" i="25"/>
  <c r="X494" i="25"/>
  <c r="N511" i="25"/>
  <c r="O502" i="25"/>
  <c r="AI502" i="25" s="1"/>
  <c r="X502" i="25"/>
  <c r="O489" i="25"/>
  <c r="AI489" i="25" s="1"/>
  <c r="N489" i="25"/>
  <c r="X489" i="25"/>
  <c r="N498" i="25"/>
  <c r="N492" i="25"/>
  <c r="W497" i="25"/>
  <c r="N499" i="25"/>
  <c r="N503" i="25"/>
  <c r="N497" i="25"/>
  <c r="X512" i="25"/>
  <c r="N512" i="25"/>
  <c r="O512" i="25"/>
  <c r="AI512" i="25" s="1"/>
  <c r="X514" i="25"/>
  <c r="N514" i="25"/>
  <c r="O514" i="25"/>
  <c r="AI514" i="25" s="1"/>
  <c r="N504" i="25"/>
  <c r="X488" i="25"/>
  <c r="N488" i="25"/>
  <c r="O488" i="25"/>
  <c r="AI488" i="25" s="1"/>
  <c r="O500" i="25"/>
  <c r="AI500" i="25" s="1"/>
  <c r="N500" i="25"/>
  <c r="X500" i="25"/>
  <c r="N491" i="25"/>
  <c r="W486" i="25"/>
  <c r="N486" i="25"/>
  <c r="N501" i="25"/>
  <c r="N487" i="25"/>
  <c r="N490" i="25"/>
  <c r="N506" i="25"/>
  <c r="N508" i="25"/>
  <c r="N502" i="25"/>
  <c r="W560" i="25"/>
  <c r="W528" i="25"/>
  <c r="W551" i="25"/>
  <c r="W541" i="25"/>
  <c r="W542" i="25"/>
  <c r="W557" i="25"/>
  <c r="O558" i="25"/>
  <c r="AI558" i="25" s="1"/>
  <c r="X558" i="25"/>
  <c r="W523" i="25"/>
  <c r="O536" i="25"/>
  <c r="AI536" i="25" s="1"/>
  <c r="X536" i="25"/>
  <c r="X555" i="25"/>
  <c r="O555" i="25"/>
  <c r="AI555" i="25" s="1"/>
  <c r="W525" i="25"/>
  <c r="X554" i="25"/>
  <c r="O554" i="25"/>
  <c r="AI554" i="25" s="1"/>
  <c r="O544" i="25"/>
  <c r="AI544" i="25" s="1"/>
  <c r="X544" i="25"/>
  <c r="W553" i="25"/>
  <c r="X535" i="25"/>
  <c r="O535" i="25"/>
  <c r="AI535" i="25" s="1"/>
  <c r="X540" i="25"/>
  <c r="O540" i="25"/>
  <c r="AI540" i="25" s="1"/>
  <c r="W531" i="25"/>
  <c r="W548" i="25"/>
  <c r="O542" i="25"/>
  <c r="AI542" i="25" s="1"/>
  <c r="X542" i="25"/>
  <c r="O534" i="25"/>
  <c r="AI534" i="25" s="1"/>
  <c r="X534" i="25"/>
  <c r="W539" i="25"/>
  <c r="O556" i="25"/>
  <c r="AI556" i="25" s="1"/>
  <c r="X556" i="25"/>
  <c r="X524" i="25"/>
  <c r="O524" i="25"/>
  <c r="AI524" i="25" s="1"/>
  <c r="W552" i="25"/>
  <c r="W543" i="25"/>
  <c r="W529" i="25"/>
  <c r="W534" i="25"/>
  <c r="O537" i="25"/>
  <c r="AI537" i="25" s="1"/>
  <c r="X537" i="25"/>
  <c r="O532" i="25"/>
  <c r="AI532" i="25" s="1"/>
  <c r="X532" i="25"/>
  <c r="O522" i="25"/>
  <c r="AI522" i="25" s="1"/>
  <c r="X522" i="25"/>
  <c r="X530" i="25"/>
  <c r="O530" i="25"/>
  <c r="AI530" i="25" s="1"/>
  <c r="X526" i="25"/>
  <c r="O526" i="25"/>
  <c r="AI526" i="25" s="1"/>
  <c r="X527" i="25"/>
  <c r="O527" i="25"/>
  <c r="AI527" i="25" s="1"/>
  <c r="N534" i="25"/>
  <c r="X560" i="25"/>
  <c r="O560" i="25"/>
  <c r="AI560" i="25" s="1"/>
  <c r="W556" i="25"/>
  <c r="W524" i="25"/>
  <c r="W547" i="25"/>
  <c r="W533" i="25"/>
  <c r="W538" i="25"/>
  <c r="X545" i="25"/>
  <c r="O545" i="25"/>
  <c r="AI545" i="25" s="1"/>
  <c r="W537" i="25"/>
  <c r="N537" i="25"/>
  <c r="N558" i="25"/>
  <c r="W558" i="25"/>
  <c r="O528" i="25"/>
  <c r="AI528" i="25" s="1"/>
  <c r="X528" i="25"/>
  <c r="X546" i="25"/>
  <c r="O546" i="25"/>
  <c r="AI546" i="25" s="1"/>
  <c r="W532" i="25"/>
  <c r="N532" i="25"/>
  <c r="N555" i="25"/>
  <c r="W555" i="25"/>
  <c r="O557" i="25"/>
  <c r="AI557" i="25" s="1"/>
  <c r="X557" i="25"/>
  <c r="X520" i="25"/>
  <c r="O520" i="25"/>
  <c r="AI520" i="25" s="1"/>
  <c r="N522" i="25"/>
  <c r="W522" i="25"/>
  <c r="N544" i="25"/>
  <c r="W544" i="25"/>
  <c r="O553" i="25"/>
  <c r="AI553" i="25" s="1"/>
  <c r="X553" i="25"/>
  <c r="N560" i="25"/>
  <c r="X559" i="25"/>
  <c r="O559" i="25"/>
  <c r="AI559" i="25" s="1"/>
  <c r="N530" i="25"/>
  <c r="W530" i="25"/>
  <c r="W540" i="25"/>
  <c r="O531" i="25"/>
  <c r="AI531" i="25" s="1"/>
  <c r="X531" i="25"/>
  <c r="X521" i="25"/>
  <c r="O521" i="25"/>
  <c r="AI521" i="25" s="1"/>
  <c r="N527" i="25"/>
  <c r="W527" i="25"/>
  <c r="O539" i="25"/>
  <c r="AI539" i="25" s="1"/>
  <c r="X539" i="25"/>
  <c r="W520" i="25"/>
  <c r="W545" i="25"/>
  <c r="X538" i="25"/>
  <c r="O538" i="25"/>
  <c r="AI538" i="25" s="1"/>
  <c r="W546" i="25"/>
  <c r="O552" i="25"/>
  <c r="AI552" i="25" s="1"/>
  <c r="X552" i="25"/>
  <c r="X543" i="25"/>
  <c r="O543" i="25"/>
  <c r="AI543" i="25" s="1"/>
  <c r="W559" i="25"/>
  <c r="N540" i="25"/>
  <c r="W521" i="25"/>
  <c r="O547" i="25"/>
  <c r="AI547" i="25" s="1"/>
  <c r="X547" i="25"/>
  <c r="N545" i="25"/>
  <c r="O549" i="25"/>
  <c r="AI549" i="25" s="1"/>
  <c r="X549" i="25"/>
  <c r="O523" i="25"/>
  <c r="AI523" i="25" s="1"/>
  <c r="N523" i="25"/>
  <c r="X523" i="25"/>
  <c r="N546" i="25"/>
  <c r="X533" i="25"/>
  <c r="O533" i="25"/>
  <c r="AI533" i="25" s="1"/>
  <c r="X525" i="25"/>
  <c r="N525" i="25"/>
  <c r="O525" i="25"/>
  <c r="AI525" i="25" s="1"/>
  <c r="N520" i="25"/>
  <c r="X529" i="25"/>
  <c r="O529" i="25"/>
  <c r="AI529" i="25" s="1"/>
  <c r="N559" i="25"/>
  <c r="X541" i="25"/>
  <c r="O541" i="25"/>
  <c r="AI541" i="25" s="1"/>
  <c r="W526" i="25"/>
  <c r="O548" i="25"/>
  <c r="AI548" i="25" s="1"/>
  <c r="N548" i="25"/>
  <c r="X548" i="25"/>
  <c r="N521" i="25"/>
  <c r="X550" i="25"/>
  <c r="O550" i="25"/>
  <c r="AI550" i="25" s="1"/>
  <c r="O551" i="25"/>
  <c r="AI551" i="25" s="1"/>
  <c r="N551" i="25"/>
  <c r="X551" i="25"/>
  <c r="N524" i="25"/>
  <c r="N542" i="25"/>
  <c r="W536" i="25"/>
  <c r="N557" i="25"/>
  <c r="W535" i="25"/>
  <c r="W549" i="25"/>
  <c r="N538" i="25"/>
  <c r="N552" i="25"/>
  <c r="N543" i="25"/>
  <c r="N526" i="25"/>
  <c r="W550" i="25"/>
  <c r="N547" i="25"/>
  <c r="N536" i="25"/>
  <c r="N535" i="25"/>
  <c r="W554" i="25"/>
  <c r="N554" i="25"/>
  <c r="N553" i="25"/>
  <c r="N549" i="25"/>
  <c r="N533" i="25"/>
  <c r="N529" i="25"/>
  <c r="N541" i="25"/>
  <c r="N550" i="25"/>
  <c r="N556" i="25"/>
  <c r="N528" i="25"/>
  <c r="N531" i="25"/>
  <c r="N539" i="25"/>
  <c r="W596" i="25"/>
  <c r="W595" i="25"/>
  <c r="W590" i="25"/>
  <c r="W585" i="25"/>
  <c r="W568" i="25"/>
  <c r="W579" i="25"/>
  <c r="O572" i="25"/>
  <c r="AI572" i="25" s="1"/>
  <c r="X572" i="25"/>
  <c r="X587" i="25"/>
  <c r="O587" i="25"/>
  <c r="AI587" i="25" s="1"/>
  <c r="W575" i="25"/>
  <c r="W582" i="25"/>
  <c r="X576" i="25"/>
  <c r="O576" i="25"/>
  <c r="AI576" i="25" s="1"/>
  <c r="O586" i="25"/>
  <c r="AI586" i="25" s="1"/>
  <c r="X586" i="25"/>
  <c r="W570" i="25"/>
  <c r="W583" i="25"/>
  <c r="X580" i="25"/>
  <c r="O580" i="25"/>
  <c r="AI580" i="25" s="1"/>
  <c r="O573" i="25"/>
  <c r="AI573" i="25" s="1"/>
  <c r="X573" i="25"/>
  <c r="W569" i="25"/>
  <c r="O594" i="25"/>
  <c r="AI594" i="25" s="1"/>
  <c r="X594" i="25"/>
  <c r="W578" i="25"/>
  <c r="W592" i="25"/>
  <c r="W576" i="25"/>
  <c r="W589" i="25"/>
  <c r="X575" i="25"/>
  <c r="O575" i="25"/>
  <c r="AI575" i="25" s="1"/>
  <c r="W594" i="25"/>
  <c r="O596" i="25"/>
  <c r="AI596" i="25" s="1"/>
  <c r="X596" i="25"/>
  <c r="W591" i="25"/>
  <c r="W586" i="25"/>
  <c r="W581" i="25"/>
  <c r="O568" i="25"/>
  <c r="AI568" i="25" s="1"/>
  <c r="X568" i="25"/>
  <c r="X591" i="25"/>
  <c r="O591" i="25"/>
  <c r="AI591" i="25" s="1"/>
  <c r="W571" i="25"/>
  <c r="W587" i="25"/>
  <c r="O592" i="25"/>
  <c r="AI592" i="25" s="1"/>
  <c r="X592" i="25"/>
  <c r="W574" i="25"/>
  <c r="O570" i="25"/>
  <c r="AI570" i="25" s="1"/>
  <c r="X570" i="25"/>
  <c r="X585" i="25"/>
  <c r="O585" i="25"/>
  <c r="AI585" i="25" s="1"/>
  <c r="W573" i="25"/>
  <c r="X569" i="25"/>
  <c r="O569" i="25"/>
  <c r="AI569" i="25" s="1"/>
  <c r="N596" i="25"/>
  <c r="X590" i="25"/>
  <c r="O590" i="25"/>
  <c r="AI590" i="25" s="1"/>
  <c r="W593" i="25"/>
  <c r="W580" i="25"/>
  <c r="O593" i="25"/>
  <c r="AI593" i="25" s="1"/>
  <c r="N593" i="25"/>
  <c r="X593" i="25"/>
  <c r="W588" i="25"/>
  <c r="W577" i="25"/>
  <c r="O589" i="25"/>
  <c r="AI589" i="25" s="1"/>
  <c r="N589" i="25"/>
  <c r="X589" i="25"/>
  <c r="X571" i="25"/>
  <c r="N571" i="25"/>
  <c r="O571" i="25"/>
  <c r="AI571" i="25" s="1"/>
  <c r="N587" i="25"/>
  <c r="X588" i="25"/>
  <c r="O588" i="25"/>
  <c r="AI588" i="25" s="1"/>
  <c r="O574" i="25"/>
  <c r="AI574" i="25" s="1"/>
  <c r="N574" i="25"/>
  <c r="X574" i="25"/>
  <c r="N586" i="25"/>
  <c r="X584" i="25"/>
  <c r="O584" i="25"/>
  <c r="AI584" i="25" s="1"/>
  <c r="X581" i="25"/>
  <c r="N581" i="25"/>
  <c r="O581" i="25"/>
  <c r="AI581" i="25" s="1"/>
  <c r="N573" i="25"/>
  <c r="O595" i="25"/>
  <c r="AI595" i="25" s="1"/>
  <c r="X595" i="25"/>
  <c r="N588" i="25"/>
  <c r="W584" i="25"/>
  <c r="N584" i="25"/>
  <c r="O579" i="25"/>
  <c r="AI579" i="25" s="1"/>
  <c r="N579" i="25"/>
  <c r="X579" i="25"/>
  <c r="N591" i="25"/>
  <c r="X578" i="25"/>
  <c r="N578" i="25"/>
  <c r="O578" i="25"/>
  <c r="AI578" i="25" s="1"/>
  <c r="X582" i="25"/>
  <c r="N582" i="25"/>
  <c r="O582" i="25"/>
  <c r="AI582" i="25" s="1"/>
  <c r="N592" i="25"/>
  <c r="O577" i="25"/>
  <c r="AI577" i="25" s="1"/>
  <c r="N577" i="25"/>
  <c r="X577" i="25"/>
  <c r="X583" i="25"/>
  <c r="N583" i="25"/>
  <c r="O583" i="25"/>
  <c r="AI583" i="25" s="1"/>
  <c r="N585" i="25"/>
  <c r="N590" i="25"/>
  <c r="N595" i="25"/>
  <c r="W572" i="25"/>
  <c r="N572" i="25"/>
  <c r="N576" i="25"/>
  <c r="N580" i="25"/>
  <c r="N594" i="25"/>
  <c r="N568" i="25"/>
  <c r="N575" i="25"/>
  <c r="N570" i="25"/>
  <c r="N569" i="25"/>
  <c r="W614" i="25"/>
  <c r="W624" i="25"/>
  <c r="W610" i="25"/>
  <c r="O625" i="25"/>
  <c r="AI625" i="25" s="1"/>
  <c r="O614" i="25"/>
  <c r="AI614" i="25" s="1"/>
  <c r="W630" i="25"/>
  <c r="O618" i="25"/>
  <c r="AI618" i="25" s="1"/>
  <c r="X618" i="25"/>
  <c r="O617" i="25"/>
  <c r="AI617" i="25" s="1"/>
  <c r="W638" i="25"/>
  <c r="O621" i="25"/>
  <c r="AI621" i="25" s="1"/>
  <c r="O623" i="25"/>
  <c r="AI623" i="25" s="1"/>
  <c r="W612" i="25"/>
  <c r="O631" i="25"/>
  <c r="AI631" i="25" s="1"/>
  <c r="O637" i="25"/>
  <c r="AI637" i="25" s="1"/>
  <c r="W606" i="25"/>
  <c r="W634" i="25"/>
  <c r="O607" i="25"/>
  <c r="AI607" i="25" s="1"/>
  <c r="O605" i="25"/>
  <c r="AI605" i="25" s="1"/>
  <c r="W618" i="25"/>
  <c r="O609" i="25"/>
  <c r="AI609" i="25" s="1"/>
  <c r="N609" i="25"/>
  <c r="O612" i="25"/>
  <c r="AI612" i="25" s="1"/>
  <c r="X612" i="25"/>
  <c r="O634" i="25"/>
  <c r="AI634" i="25" s="1"/>
  <c r="W620" i="25"/>
  <c r="O639" i="25"/>
  <c r="AI639" i="25" s="1"/>
  <c r="W626" i="25"/>
  <c r="O624" i="25"/>
  <c r="AI624" i="25" s="1"/>
  <c r="O635" i="25"/>
  <c r="AI635" i="25" s="1"/>
  <c r="W622" i="25"/>
  <c r="O603" i="25"/>
  <c r="AI603" i="25" s="1"/>
  <c r="W602" i="25"/>
  <c r="O627" i="25"/>
  <c r="AI627" i="25" s="1"/>
  <c r="N612" i="25"/>
  <c r="O616" i="25"/>
  <c r="AI616" i="25" s="1"/>
  <c r="W608" i="25"/>
  <c r="X606" i="25"/>
  <c r="O606" i="25"/>
  <c r="AI606" i="25" s="1"/>
  <c r="N634" i="25"/>
  <c r="W604" i="25"/>
  <c r="W628" i="25"/>
  <c r="O611" i="25"/>
  <c r="AI611" i="25" s="1"/>
  <c r="N627" i="25"/>
  <c r="O615" i="25"/>
  <c r="AI615" i="25" s="1"/>
  <c r="W616" i="25"/>
  <c r="N626" i="25"/>
  <c r="O626" i="25"/>
  <c r="AI626" i="25" s="1"/>
  <c r="N614" i="25"/>
  <c r="O633" i="25"/>
  <c r="AI633" i="25" s="1"/>
  <c r="X622" i="25"/>
  <c r="N622" i="25"/>
  <c r="O622" i="25"/>
  <c r="AI622" i="25" s="1"/>
  <c r="N617" i="25"/>
  <c r="X632" i="25"/>
  <c r="O632" i="25"/>
  <c r="AI632" i="25" s="1"/>
  <c r="O602" i="25"/>
  <c r="AI602" i="25" s="1"/>
  <c r="N602" i="25"/>
  <c r="N623" i="25"/>
  <c r="O636" i="25"/>
  <c r="AI636" i="25" s="1"/>
  <c r="X608" i="25"/>
  <c r="N608" i="25"/>
  <c r="O608" i="25"/>
  <c r="AI608" i="25" s="1"/>
  <c r="N637" i="25"/>
  <c r="O628" i="25"/>
  <c r="AI628" i="25" s="1"/>
  <c r="X628" i="25"/>
  <c r="N629" i="25"/>
  <c r="O629" i="25"/>
  <c r="AI629" i="25" s="1"/>
  <c r="N605" i="25"/>
  <c r="X604" i="25"/>
  <c r="N604" i="25"/>
  <c r="O604" i="25"/>
  <c r="AI604" i="25" s="1"/>
  <c r="N610" i="25"/>
  <c r="O610" i="25"/>
  <c r="AI610" i="25" s="1"/>
  <c r="N639" i="25"/>
  <c r="O619" i="25"/>
  <c r="AI619" i="25" s="1"/>
  <c r="X630" i="25"/>
  <c r="N630" i="25"/>
  <c r="O630" i="25"/>
  <c r="AI630" i="25" s="1"/>
  <c r="N635" i="25"/>
  <c r="W632" i="25"/>
  <c r="O638" i="25"/>
  <c r="AI638" i="25" s="1"/>
  <c r="N638" i="25"/>
  <c r="N603" i="25"/>
  <c r="O620" i="25"/>
  <c r="AI620" i="25" s="1"/>
  <c r="N620" i="25"/>
  <c r="N616" i="25"/>
  <c r="N619" i="25"/>
  <c r="N633" i="25"/>
  <c r="N611" i="25"/>
  <c r="N632" i="25"/>
  <c r="N636" i="25"/>
  <c r="N615" i="25"/>
  <c r="N628" i="25"/>
  <c r="N606" i="25"/>
  <c r="N613" i="25"/>
  <c r="O613" i="25"/>
  <c r="N625" i="25"/>
  <c r="N618" i="25"/>
  <c r="N621" i="25"/>
  <c r="N631" i="25"/>
  <c r="N607" i="25"/>
  <c r="N624" i="25"/>
  <c r="O685" i="25"/>
  <c r="N685" i="25"/>
  <c r="O686" i="25"/>
  <c r="N686" i="25"/>
  <c r="N692" i="25"/>
  <c r="N693" i="25"/>
  <c r="Z613" i="25" l="1"/>
  <c r="AI613" i="25"/>
  <c r="Z395" i="25"/>
  <c r="AI395" i="25"/>
  <c r="Z16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Thi Thuy</author>
  </authors>
  <commentList>
    <comment ref="AM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Hoang Thi Thuy:</t>
        </r>
        <r>
          <rPr>
            <sz val="9"/>
            <color indexed="81"/>
            <rFont val="Tahoma"/>
            <family val="2"/>
          </rPr>
          <t xml:space="preserve">
YY: 4 số; năm bidding
MM: 2 số; tháng issue báo giá; có update
XX: 2 số; lần báo giá/ lần update</t>
        </r>
      </text>
    </comment>
    <comment ref="AH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Hoang Thi Thuy:</t>
        </r>
        <r>
          <rPr>
            <sz val="9"/>
            <color indexed="81"/>
            <rFont val="Tahoma"/>
            <family val="2"/>
          </rPr>
          <t xml:space="preserve">
ngày/tháng gửi báo giá được thỏa thuận final</t>
        </r>
      </text>
    </comment>
    <comment ref="AH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Hoang Thi Thuy:</t>
        </r>
        <r>
          <rPr>
            <sz val="9"/>
            <color indexed="81"/>
            <rFont val="Tahoma"/>
            <family val="2"/>
          </rPr>
          <t xml:space="preserve">
ngày/tháng có hiệu lực; trùng với tháng bắt đầu có hiệu lực của HĐ</t>
        </r>
      </text>
    </comment>
    <comment ref="P1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Hoang Thi Thuy:</t>
        </r>
        <r>
          <rPr>
            <sz val="9"/>
            <color indexed="81"/>
            <rFont val="Tahoma"/>
            <family val="2"/>
          </rPr>
          <t xml:space="preserve">
update theo số hợp đồng đang có hiệu lực: CVNLOG-MBF-2023-001
( vì thời hạn 24/12/2024 mới hết hạn nên ko phải ký mới)</t>
        </r>
      </text>
    </comment>
  </commentList>
</comments>
</file>

<file path=xl/sharedStrings.xml><?xml version="1.0" encoding="utf-8"?>
<sst xmlns="http://schemas.openxmlformats.org/spreadsheetml/2006/main" count="2838" uniqueCount="487">
  <si>
    <t>We deeply wish that our offer will satisfy your requirement.  If you have any comment, please feel free to contact us at anytime.</t>
  </si>
  <si>
    <t>Your kind attention to above would be highly appreciated.</t>
  </si>
  <si>
    <t>Dear sirs,</t>
  </si>
  <si>
    <t>To:</t>
  </si>
  <si>
    <t>Attn.:</t>
  </si>
  <si>
    <t>Tel:</t>
  </si>
  <si>
    <t>From:</t>
  </si>
  <si>
    <t>Subject:</t>
  </si>
  <si>
    <t xml:space="preserve">Thank you very much for your kind attention and support to our company as always. </t>
  </si>
  <si>
    <t>·</t>
  </si>
  <si>
    <t>Contact:</t>
  </si>
  <si>
    <t>1.</t>
  </si>
  <si>
    <t>CUSTOMS CLEARANCE FEE</t>
  </si>
  <si>
    <t>Total</t>
  </si>
  <si>
    <t>2.</t>
  </si>
  <si>
    <t>FROM</t>
  </si>
  <si>
    <t>TO</t>
  </si>
  <si>
    <t>LOGISTICS QUOTATION LIST OF HANDLING IMPORT/EXPORT CARGO</t>
  </si>
  <si>
    <t>CANON VIETNAM CO., LTD-THANGLONG FACTORY (CTL)
CANON VIETNAM CO., LTD-QUEVO FACTORY (CQV)
CANON VIETNAM CO., LTD-TIENSON FACTORY (CTS)</t>
  </si>
  <si>
    <t>Ref No:</t>
  </si>
  <si>
    <t xml:space="preserve">+(84)(24)-3.881.2111
+(84)(222)-3.622.111
+(84)(222)-3.712.111 </t>
  </si>
  <si>
    <t>CANON VIETNAM CO., LTD</t>
  </si>
  <si>
    <t>Until further notice</t>
  </si>
  <si>
    <t>Issue Date:</t>
  </si>
  <si>
    <t>Effect Date:</t>
  </si>
  <si>
    <t>Expiry Date:</t>
  </si>
  <si>
    <t>FOLLOWING CONTRACT NO:</t>
  </si>
  <si>
    <t xml:space="preserve">Name: </t>
  </si>
  <si>
    <t xml:space="preserve">Tel: </t>
  </si>
  <si>
    <t xml:space="preserve">This Quotation is replaced for Quotation No: </t>
  </si>
  <si>
    <t xml:space="preserve">This quotation rate is based on fuel price: </t>
  </si>
  <si>
    <t>Email</t>
  </si>
  <si>
    <t>Quotation no:</t>
  </si>
  <si>
    <t>Factory</t>
  </si>
  <si>
    <t>Item</t>
  </si>
  <si>
    <t>40FT</t>
  </si>
  <si>
    <t>20FT</t>
  </si>
  <si>
    <t>Remark</t>
  </si>
  <si>
    <t>Fuel fee</t>
  </si>
  <si>
    <t>Routing</t>
  </si>
  <si>
    <t>KIND</t>
  </si>
  <si>
    <t>Distance
( km)</t>
  </si>
  <si>
    <t>2.1.</t>
  </si>
  <si>
    <t>*</t>
  </si>
  <si>
    <t>Detention:</t>
  </si>
  <si>
    <t>2.2.</t>
  </si>
  <si>
    <t>LHP</t>
  </si>
  <si>
    <t>OVERTIME &amp; OTHER ARRANGEMENT</t>
  </si>
  <si>
    <t xml:space="preserve">CURRENCY: VND </t>
  </si>
  <si>
    <t xml:space="preserve">GENERAL QUOTATION FOR HANDLING IMPORT-EXPORT CARGO
</t>
  </si>
  <si>
    <t xml:space="preserve">effective date: </t>
  </si>
  <si>
    <t xml:space="preserve">DRAYAGE BY TRIP </t>
  </si>
  <si>
    <t xml:space="preserve">HAI PHONG PORT </t>
  </si>
  <si>
    <t>Transportation 1 way of Import/Export</t>
  </si>
  <si>
    <t>The quotation will be renewed automatically after the above expired date if there is no contrary from any party.</t>
  </si>
  <si>
    <t>2.2.2</t>
  </si>
  <si>
    <t>Internal CRU transportation</t>
  </si>
  <si>
    <t>External CRU transportation</t>
  </si>
  <si>
    <t>2.1.1</t>
  </si>
  <si>
    <t>2.1.2</t>
  </si>
  <si>
    <t xml:space="preserve">LACH HUYEN PORT </t>
  </si>
  <si>
    <t>2.2.1</t>
  </si>
  <si>
    <r>
      <t xml:space="preserve">This attached file is an integral part of the </t>
    </r>
    <r>
      <rPr>
        <sz val="15"/>
        <rFont val="Calibri"/>
        <family val="2"/>
      </rPr>
      <t xml:space="preserve">Quotation No: </t>
    </r>
  </si>
  <si>
    <t>3.</t>
  </si>
  <si>
    <t>HPP</t>
  </si>
  <si>
    <t xml:space="preserve">TRUCK DISCONNECT WITH CHASSIS TO HAI PHONG PORT </t>
  </si>
  <si>
    <t>TRUCK CONNECT WITH CHASSIS TO HAI PHONG PORT</t>
  </si>
  <si>
    <t>TRUCK DISCONNECT WITH CHASSIS TO LACH HUYEN PORT</t>
  </si>
  <si>
    <t>TRUCK CONNECT WITH CHASSIS TO LACH HUYEN PORT</t>
  </si>
  <si>
    <t xml:space="preserve">Transportation fee </t>
  </si>
  <si>
    <t>MBF JOINT STOCK COMPANY</t>
  </si>
  <si>
    <t>Tel: 84-24-39449616 - Fax 84-24-39449618</t>
  </si>
  <si>
    <t xml:space="preserve"> http://mbf.com.vn</t>
  </si>
  <si>
    <t>Nguyen Thu Thuy</t>
  </si>
  <si>
    <t>+(84) 949369699</t>
  </si>
  <si>
    <t>thuy_nguyen@mbf.com.vn</t>
  </si>
  <si>
    <t xml:space="preserve">Issued by MBF JOINT STOCK COMPANY on: </t>
  </si>
  <si>
    <t>40FT/20FT</t>
  </si>
  <si>
    <t>TL/TS/QV</t>
  </si>
  <si>
    <t>Import/ Export</t>
  </si>
  <si>
    <t>Liquidation at port, submit CD + EIR in working hour before cut off time</t>
  </si>
  <si>
    <t>TS</t>
  </si>
  <si>
    <t>TL</t>
  </si>
  <si>
    <t>QV</t>
  </si>
  <si>
    <t>CEV</t>
  </si>
  <si>
    <t>VSIP</t>
  </si>
  <si>
    <t>ICDQV</t>
  </si>
  <si>
    <t>TL(IM HPP)</t>
  </si>
  <si>
    <t>TS(IM HPP)</t>
  </si>
  <si>
    <t>QV(IM HPP)</t>
  </si>
  <si>
    <t>TL(IM ICDQV)</t>
  </si>
  <si>
    <t>TS(IM ICDQV)</t>
  </si>
  <si>
    <t>QV(IM ICDQV)</t>
  </si>
  <si>
    <t>BG</t>
  </si>
  <si>
    <t>HY</t>
  </si>
  <si>
    <t>For truck connect with chassis</t>
  </si>
  <si>
    <t>Free time</t>
  </si>
  <si>
    <t>12 hours</t>
  </si>
  <si>
    <t>After free time, detention per day</t>
  </si>
  <si>
    <t>VND 800,000 / Cont</t>
  </si>
  <si>
    <t>For truck disconnect with chassis</t>
  </si>
  <si>
    <t>2 hours</t>
  </si>
  <si>
    <t>After free time, the rate of truck connect with chassis will be applied</t>
  </si>
  <si>
    <t>Before 24H</t>
  </si>
  <si>
    <t>Free</t>
  </si>
  <si>
    <t>Less than 24H</t>
  </si>
  <si>
    <t>VND 1,000,000 / Cont</t>
  </si>
  <si>
    <t>Truck at factory</t>
  </si>
  <si>
    <t>Trucking price</t>
  </si>
  <si>
    <t>Kind</t>
  </si>
  <si>
    <t>Unit</t>
  </si>
  <si>
    <t>Price</t>
  </si>
  <si>
    <t>Ocean port</t>
  </si>
  <si>
    <t>High way HPH-TL</t>
  </si>
  <si>
    <t>At cost</t>
  </si>
  <si>
    <t>One way</t>
  </si>
  <si>
    <t>High way HPH-TS/ QV</t>
  </si>
  <si>
    <t>TRANSPORTATION FEE FOR COMBINATION OF 2X20FT</t>
  </si>
  <si>
    <t>-</t>
  </si>
  <si>
    <t>Combination of 2x20FT of CVN: Price of 2x20FT = Price of 40FT + VND 2,100,000</t>
  </si>
  <si>
    <t>Combination of CVN's  1x20FT and MBF customer's 1x20FT:</t>
  </si>
  <si>
    <t>+</t>
  </si>
  <si>
    <t>Container is reposited at CVN by CVN: Price per 20FT = Price of single 20FT - VND 900,000</t>
  </si>
  <si>
    <t>Container is NOT reposited at CVN by CVN: Price per 20FT = Price of single 20F</t>
  </si>
  <si>
    <t xml:space="preserve">TRANSPORTATION FEE FOR COMBINATION OF 2 FACTORIES: </t>
  </si>
  <si>
    <t>VND 800,000 (base on 1st Fact's price)</t>
  </si>
  <si>
    <t xml:space="preserve">TRANSPORTATION FEE FOR COMBINATION OF 3 FACTORIES: </t>
  </si>
  <si>
    <t>VND 1,300,000 (base on TL's price)</t>
  </si>
  <si>
    <t>TRANSPORTATION FEE FOR TRUCK COMEBACK TO ICD WITHOUT CONTAINER:</t>
  </si>
  <si>
    <t>Free charge for 5 containers/ month</t>
  </si>
  <si>
    <t>From the 6th container:</t>
  </si>
  <si>
    <t>50% ROUTE ICD-FACTORY-ICD</t>
  </si>
  <si>
    <t>HN</t>
  </si>
  <si>
    <t>2.3.</t>
  </si>
  <si>
    <t>ICD QV</t>
  </si>
  <si>
    <t>2.3.1</t>
  </si>
  <si>
    <t>TRUCK DISCONNECT WITH CHASSIS TO ICD QV</t>
  </si>
  <si>
    <t>2.3.2</t>
  </si>
  <si>
    <t>TRUCK CONNECT WITH CHASSIS TO ICD QV</t>
  </si>
  <si>
    <t>2.4.1</t>
  </si>
  <si>
    <t>2.4.2</t>
  </si>
  <si>
    <t>RU FEE VIA ONE</t>
  </si>
  <si>
    <t xml:space="preserve">Split 50/50 for export and import. </t>
  </si>
  <si>
    <t>Ms. Nguyen Thu Thuy</t>
  </si>
  <si>
    <t>Director</t>
  </si>
  <si>
    <t>Transportation
 1 way of
 Import/Export</t>
  </si>
  <si>
    <t>ICD TP</t>
  </si>
  <si>
    <t>TRUCK DISCONNECT WITH CHASSIS TO ICD TP</t>
  </si>
  <si>
    <t>TRUCK CONNECT WITH CHASSIS TO ICD TP</t>
  </si>
  <si>
    <t>VND 400,000/ Cont</t>
  </si>
  <si>
    <t xml:space="preserve"> Diana</t>
  </si>
  <si>
    <t>DETENTION, CANCEL CONTAINER FEE, OTHER FEE</t>
  </si>
  <si>
    <t>Additional fee for laden container at LHP (Route TP)</t>
  </si>
  <si>
    <t xml:space="preserve">Other fee: </t>
  </si>
  <si>
    <t>Cancel fee:</t>
  </si>
  <si>
    <t>VND 300,000/ Cont</t>
  </si>
  <si>
    <t>VND 500,000/ Cont</t>
  </si>
  <si>
    <t>Submit CD + EIR overtime</t>
  </si>
  <si>
    <t>Submit CD in working hour before cut off time, no EIR</t>
  </si>
  <si>
    <t>Submit CD + EIR overtime in Tet holiday</t>
  </si>
  <si>
    <t>VND 1,000,000/ Cont</t>
  </si>
  <si>
    <t>ICDTP</t>
  </si>
  <si>
    <t>DABACO</t>
  </si>
  <si>
    <t>TL(IM ICDTP)</t>
  </si>
  <si>
    <t>TS(IM ICDTP)</t>
  </si>
  <si>
    <t>QV(IM ICDTP)</t>
  </si>
  <si>
    <t>TL(IM DABACO)</t>
  </si>
  <si>
    <t>TS(IM DABACO)</t>
  </si>
  <si>
    <t>QV(IM DABACO)</t>
  </si>
  <si>
    <t>CVNLOG-MBF-2025-001</t>
  </si>
  <si>
    <t>HPPTLHPP</t>
  </si>
  <si>
    <t>HPPTSHPP</t>
  </si>
  <si>
    <t>HPPQVHPP</t>
  </si>
  <si>
    <t>HPPTLTSHPP</t>
  </si>
  <si>
    <t>HPPTLQVHPP</t>
  </si>
  <si>
    <t>HPPTSQVHPP</t>
  </si>
  <si>
    <t>HPPTLTSQVHPP</t>
  </si>
  <si>
    <t>HPPCEVTSHPP</t>
  </si>
  <si>
    <t>HPPVSIPTSHPP</t>
  </si>
  <si>
    <t>HPPVSIPQVHPP</t>
  </si>
  <si>
    <t>HPPVSIPTSQVHPP</t>
  </si>
  <si>
    <t>ICDQVTLHPP</t>
  </si>
  <si>
    <t>ICDQVTSHPP</t>
  </si>
  <si>
    <t>ICDQVQVHPP</t>
  </si>
  <si>
    <t>ICDQVTLTSHPP</t>
  </si>
  <si>
    <t>ICDQVTLQVHPP</t>
  </si>
  <si>
    <t>ICDQVTSQVHPP</t>
  </si>
  <si>
    <t>ICDQVTLTSQVHPP</t>
  </si>
  <si>
    <t>ICDTPTLHPP</t>
  </si>
  <si>
    <t>ICDTPTSHPP</t>
  </si>
  <si>
    <t>ICDTPQVHPP</t>
  </si>
  <si>
    <t>ICDTPTLTSHPP</t>
  </si>
  <si>
    <t>ICDTPTLQVHPP</t>
  </si>
  <si>
    <t>ICDTPTSQVHPP</t>
  </si>
  <si>
    <t>ICDTPTLTSQVHPP</t>
  </si>
  <si>
    <t>DABACOTLHPP</t>
  </si>
  <si>
    <t>DABACOTSHPP</t>
  </si>
  <si>
    <t>DABACOQVHPP</t>
  </si>
  <si>
    <t>DABACOTLTSHPP</t>
  </si>
  <si>
    <t>DABACOTLQVHPP</t>
  </si>
  <si>
    <t>DABACOTSQVHPP</t>
  </si>
  <si>
    <t>DABACOTLTSQVHPP</t>
  </si>
  <si>
    <t>HPPTL(IM HPP)</t>
  </si>
  <si>
    <t>TL(IM HPP)TLHPP</t>
  </si>
  <si>
    <t>TL(IM HPP)TSHPP</t>
  </si>
  <si>
    <t>TL(IM HPP)QVHPP</t>
  </si>
  <si>
    <t>HPPTS(IM HPP)</t>
  </si>
  <si>
    <t>TS(IM HPP)TLHPP</t>
  </si>
  <si>
    <t>TS(IM HPP)TSHPP</t>
  </si>
  <si>
    <t>TS(IM HPP)QVHPP</t>
  </si>
  <si>
    <t>HPPQV(IM HPP)</t>
  </si>
  <si>
    <t>QV(IM HPP)TLHPP</t>
  </si>
  <si>
    <t>QV(IM HPP)TSHPP</t>
  </si>
  <si>
    <t>QV(IM HPP)QVHPP</t>
  </si>
  <si>
    <t>ICDQVTL(IM ICDQV)</t>
  </si>
  <si>
    <t>TL(IM ICDQV)TLHPP</t>
  </si>
  <si>
    <t>TL(IM ICDQV)TSHPP</t>
  </si>
  <si>
    <t>TL(IM ICDQV)QVHPP</t>
  </si>
  <si>
    <t>ICDQVTS(IM ICDQV)</t>
  </si>
  <si>
    <t>TS(IM ICDQV)TLHPP</t>
  </si>
  <si>
    <t>TS(IM ICDQV)TSHPP</t>
  </si>
  <si>
    <t>TS(IM ICDQV)QVHPP</t>
  </si>
  <si>
    <t>ICDQVQV(IM ICDQV)</t>
  </si>
  <si>
    <t>QV(IM ICDQV)TLHPP</t>
  </si>
  <si>
    <t>QV(IM ICDQV)TSHPP</t>
  </si>
  <si>
    <t>QV(IM ICDQV)QVHPP</t>
  </si>
  <si>
    <t>ICDTPTL(IM ICDTP)</t>
  </si>
  <si>
    <t>TL(IM ICDTP)TLHPP</t>
  </si>
  <si>
    <t>TL(IM ICDTP)TSHPP</t>
  </si>
  <si>
    <t>TL(IM ICDTP)QVHPP</t>
  </si>
  <si>
    <t>ICDTPTS(IM ICDTP)</t>
  </si>
  <si>
    <t>TS(IM ICDTP)TLHPP</t>
  </si>
  <si>
    <t>TS(IM ICDTP)TSHPP</t>
  </si>
  <si>
    <t>TS(IM ICDTP)QVHPP</t>
  </si>
  <si>
    <t>ICDTPQV(IM ICDTP)</t>
  </si>
  <si>
    <t>QV(IM ICDTP)TLHPP</t>
  </si>
  <si>
    <t>QV(IM ICDTP)TSHPP</t>
  </si>
  <si>
    <t>QV(IM ICDTP)QVHPP</t>
  </si>
  <si>
    <t>DABACOTL(IM DABACO)</t>
  </si>
  <si>
    <t>TL(IM DABACO)TLHPP</t>
  </si>
  <si>
    <t>TL(IM DABACO)TSHPP</t>
  </si>
  <si>
    <t>TL(IM DABACO)QVHPP</t>
  </si>
  <si>
    <t>DABACOTS(IM DABACO)</t>
  </si>
  <si>
    <t>TS(IM DABACO)TLHPP</t>
  </si>
  <si>
    <t>TS(IM DABACO)TSHPP</t>
  </si>
  <si>
    <t>TS(IM DABACO)QVHPP</t>
  </si>
  <si>
    <t>DABACOQV(IM DABACO)</t>
  </si>
  <si>
    <t>QV(IM DABACO)TLHPP</t>
  </si>
  <si>
    <t>QV(IM DABACO)TSHPP</t>
  </si>
  <si>
    <t>QV(IM DABACO)QVHPP</t>
  </si>
  <si>
    <t>FROMTOTOTOTO</t>
  </si>
  <si>
    <t>HNTLHPP</t>
  </si>
  <si>
    <t>HNTSHPP</t>
  </si>
  <si>
    <t>HNQVHPP</t>
  </si>
  <si>
    <t>BGTLHPP</t>
  </si>
  <si>
    <t>BGTSHPP</t>
  </si>
  <si>
    <t>BGQVHPP</t>
  </si>
  <si>
    <t>HYTLHPP</t>
  </si>
  <si>
    <t>HYTSHPP</t>
  </si>
  <si>
    <t>HYQVHPP</t>
  </si>
  <si>
    <t/>
  </si>
  <si>
    <t>HPPTLLHP</t>
  </si>
  <si>
    <t>HPPTSLHP</t>
  </si>
  <si>
    <t>HPPQVLHP</t>
  </si>
  <si>
    <t>HPPTLTSLHP</t>
  </si>
  <si>
    <t>HPPTLQVLHP</t>
  </si>
  <si>
    <t>HPPTSQVLHP</t>
  </si>
  <si>
    <t>HPPTLTSQVLHP</t>
  </si>
  <si>
    <t>HPPCEVTSLHP</t>
  </si>
  <si>
    <t>HPPVSIPTSLHP</t>
  </si>
  <si>
    <t>HPPVSIPQVLHP</t>
  </si>
  <si>
    <t>HPPVSIPTSQVLHP</t>
  </si>
  <si>
    <t>ICDQVTLLHP</t>
  </si>
  <si>
    <t>ICDQVTSLHP</t>
  </si>
  <si>
    <t>ICDQVQVLHP</t>
  </si>
  <si>
    <t>ICDQVTLTSLHP</t>
  </si>
  <si>
    <t>ICDQVTLQVLHP</t>
  </si>
  <si>
    <t>ICDQVTSQVLHP</t>
  </si>
  <si>
    <t>ICDQVTLTSQVLHP</t>
  </si>
  <si>
    <t>ICDTPTLLHP</t>
  </si>
  <si>
    <t>ICDTPTSLHP</t>
  </si>
  <si>
    <t>ICDTPQVLHP</t>
  </si>
  <si>
    <t>ICDTPTLTSLHP</t>
  </si>
  <si>
    <t>ICDTPTLQVLHP</t>
  </si>
  <si>
    <t>ICDTPTSQVLHP</t>
  </si>
  <si>
    <t>ICDTPTLTSQVLHP</t>
  </si>
  <si>
    <t>DABACOTLLHP</t>
  </si>
  <si>
    <t>DABACOTSLHP</t>
  </si>
  <si>
    <t>DABACOQVLHP</t>
  </si>
  <si>
    <t>DABACOTLTSLHP</t>
  </si>
  <si>
    <t>DABACOTLQVLHP</t>
  </si>
  <si>
    <t>DABACOTSQVLHP</t>
  </si>
  <si>
    <t>DABACOTLTSQVLHP</t>
  </si>
  <si>
    <t>TL(IM HPP)TLLHP</t>
  </si>
  <si>
    <t>TL(IM HPP)TSLHP</t>
  </si>
  <si>
    <t>TL(IM HPP)QVLHP</t>
  </si>
  <si>
    <t>TS(IM HPP)TLLHP</t>
  </si>
  <si>
    <t>TS(IM HPP)TSLHP</t>
  </si>
  <si>
    <t>TS(IM HPP)QVLHP</t>
  </si>
  <si>
    <t>QV(IM HPP)TLLHP</t>
  </si>
  <si>
    <t>QV(IM HPP)TSLHP</t>
  </si>
  <si>
    <t>QV(IM HPP)QVLHP</t>
  </si>
  <si>
    <t>TL(IM ICDQV)TLLHP</t>
  </si>
  <si>
    <t>TL(IM ICDQV)TSLHP</t>
  </si>
  <si>
    <t>TL(IM ICDQV)QVLHP</t>
  </si>
  <si>
    <t>TS(IM ICDQV)TLLHP</t>
  </si>
  <si>
    <t>TS(IM ICDQV)TSLHP</t>
  </si>
  <si>
    <t>TS(IM ICDQV)QVLHP</t>
  </si>
  <si>
    <t>QV(IM ICDQV)TLLHP</t>
  </si>
  <si>
    <t>QV(IM ICDQV)TSLHP</t>
  </si>
  <si>
    <t>QV(IM ICDQV)QVLHP</t>
  </si>
  <si>
    <t>TL(IM ICDTP)TLLHP</t>
  </si>
  <si>
    <t>TL(IM ICDTP)TSLHP</t>
  </si>
  <si>
    <t>TL(IM ICDTP)QVLHP</t>
  </si>
  <si>
    <t>TS(IM ICDTP)TLLHP</t>
  </si>
  <si>
    <t>TS(IM ICDTP)TSLHP</t>
  </si>
  <si>
    <t>TS(IM ICDTP)QVLHP</t>
  </si>
  <si>
    <t>QV(IM ICDTP)TLLHP</t>
  </si>
  <si>
    <t>QV(IM ICDTP)TSLHP</t>
  </si>
  <si>
    <t>QV(IM ICDTP)QVLHP</t>
  </si>
  <si>
    <t>TL(IM DABACO)TLLHP</t>
  </si>
  <si>
    <t>TL(IM DABACO)TSLHP</t>
  </si>
  <si>
    <t>TL(IM DABACO)QVLHP</t>
  </si>
  <si>
    <t>TS(IM DABACO)TLLHP</t>
  </si>
  <si>
    <t>TS(IM DABACO)TSLHP</t>
  </si>
  <si>
    <t>TS(IM DABACO)QVLHP</t>
  </si>
  <si>
    <t>QV(IM DABACO)TLLHP</t>
  </si>
  <si>
    <t>QV(IM DABACO)TSLHP</t>
  </si>
  <si>
    <t>QV(IM DABACO)QVLHP</t>
  </si>
  <si>
    <t>HNTLLHP</t>
  </si>
  <si>
    <t>HNTSLHP</t>
  </si>
  <si>
    <t>HNQVLHP</t>
  </si>
  <si>
    <t>BGTLLHP</t>
  </si>
  <si>
    <t>BGTSLHP</t>
  </si>
  <si>
    <t>BGQVLHP</t>
  </si>
  <si>
    <t>HYTLLHP</t>
  </si>
  <si>
    <t>HYTSLHP</t>
  </si>
  <si>
    <t>HYQVLHP</t>
  </si>
  <si>
    <t>ICDQVTLICDQV</t>
  </si>
  <si>
    <t>ICDQVTSICDQV</t>
  </si>
  <si>
    <t>ICDQVQVICDQV</t>
  </si>
  <si>
    <t>ICDQVTLTSICDQV</t>
  </si>
  <si>
    <t>ICDQVTLQVICDQV</t>
  </si>
  <si>
    <t>ICDQVTSQVICDQV</t>
  </si>
  <si>
    <t>ICDQVTLTSQVICDQV</t>
  </si>
  <si>
    <t>ICDQVCEVTSICDQV</t>
  </si>
  <si>
    <t>ICDQVVSIPTSICDQV</t>
  </si>
  <si>
    <t>ICDQVVSIPQVICDQV</t>
  </si>
  <si>
    <t>ICDQVVSIPTSQVICDQV</t>
  </si>
  <si>
    <t>TL(IM ICDQV)TLICDQV</t>
  </si>
  <si>
    <t>TL(IM ICDQV)TSICDQV</t>
  </si>
  <si>
    <t>TL(IM ICDQV)QVICDQV</t>
  </si>
  <si>
    <t>TS(IM ICDQV)TLICDQV</t>
  </si>
  <si>
    <t>TS(IM ICDQV)TSICDQV</t>
  </si>
  <si>
    <t>TS(IM ICDQV)QVICDQV</t>
  </si>
  <si>
    <t>QV(IM ICDQV)TLICDQV</t>
  </si>
  <si>
    <t>QV(IM ICDQV)TSICDQV</t>
  </si>
  <si>
    <t>QV(IM ICDQV)QVICDQV</t>
  </si>
  <si>
    <t>HNTLICDQV</t>
  </si>
  <si>
    <t>HNTSICDQV</t>
  </si>
  <si>
    <t>HNQVICDQV</t>
  </si>
  <si>
    <t>BGTLICDQV</t>
  </si>
  <si>
    <t>BGTSICDQV</t>
  </si>
  <si>
    <t>BGQVICDQV</t>
  </si>
  <si>
    <t xml:space="preserve"> DianaTLICDQV</t>
  </si>
  <si>
    <t xml:space="preserve"> DianaTSICDQV</t>
  </si>
  <si>
    <t xml:space="preserve"> DianaQVICDQV</t>
  </si>
  <si>
    <t>HYTLICDQV</t>
  </si>
  <si>
    <t>HYTSICDQV</t>
  </si>
  <si>
    <t>HYQVICDQV</t>
  </si>
  <si>
    <t>ICDTPTLICDTP</t>
  </si>
  <si>
    <t>ICDTPTSICDTP</t>
  </si>
  <si>
    <t>ICDTPQVICDTP</t>
  </si>
  <si>
    <t>ICDTPTLTSICDTP</t>
  </si>
  <si>
    <t>ICDTPTLQVICDTP</t>
  </si>
  <si>
    <t>ICDTPTSQVICDTP</t>
  </si>
  <si>
    <t>ICDTPTLTSQVICDTP</t>
  </si>
  <si>
    <t>ICDTPCEVTSICDTP</t>
  </si>
  <si>
    <t>ICDTPVSIPTSICDTP</t>
  </si>
  <si>
    <t>ICDTPVSIPQVICDTP</t>
  </si>
  <si>
    <t>ICDTPVSIPTSQVICDTP</t>
  </si>
  <si>
    <t>TL(IM ICDTP)TLICDTP</t>
  </si>
  <si>
    <t>TL(IM ICDTP)TSICDTP</t>
  </si>
  <si>
    <t>TL(IM ICDTP)QVICDTP</t>
  </si>
  <si>
    <t>TS(IM ICDTP)TLICDTP</t>
  </si>
  <si>
    <t>TS(IM ICDTP)TSICDTP</t>
  </si>
  <si>
    <t>TS(IM ICDTP)QVICDTP</t>
  </si>
  <si>
    <t>QV(IM ICDTP)TLICDTP</t>
  </si>
  <si>
    <t>QV(IM ICDTP)TSICDTP</t>
  </si>
  <si>
    <t>QV(IM ICDTP)QVICDTP</t>
  </si>
  <si>
    <t>HNTLICDTP</t>
  </si>
  <si>
    <t>HNTSICDTP</t>
  </si>
  <si>
    <t>HNQVICDTP</t>
  </si>
  <si>
    <t>BGTLICDTP</t>
  </si>
  <si>
    <t>BGTSICDTP</t>
  </si>
  <si>
    <t>BGQVICDTP</t>
  </si>
  <si>
    <t>HYTLICDTP</t>
  </si>
  <si>
    <t>HYTSICDTP</t>
  </si>
  <si>
    <t>HYQVICDTP</t>
  </si>
  <si>
    <t>Regarding to fuel price change, currently is</t>
  </si>
  <si>
    <t>compare with price</t>
  </si>
  <si>
    <t>We would like to send you herewith our revised Quotation as attachment.</t>
  </si>
  <si>
    <t>REMARK</t>
  </si>
  <si>
    <t>Mr. Masafumi Shinjin</t>
  </si>
  <si>
    <t>No. 58, Gieng Hamlet, Co Dien A Village, Thanh Tri Commune, Hanoi, Vietnam</t>
  </si>
  <si>
    <t>Logistics General Manager</t>
  </si>
  <si>
    <t>Sunday Driver Gratuity Fee</t>
  </si>
  <si>
    <t>VND 250,000 VND / Cont</t>
  </si>
  <si>
    <t>4.</t>
  </si>
  <si>
    <t>BARGING BY TRIP</t>
  </si>
  <si>
    <t>3.1.</t>
  </si>
  <si>
    <t>DRY CONTAINER</t>
  </si>
  <si>
    <t>Barge  Rate + LOLO</t>
  </si>
  <si>
    <t>3.2.</t>
  </si>
  <si>
    <t>NOR CONTAINER</t>
  </si>
  <si>
    <t>Lấy HPH - TL EX - Hạ HPH Disconnect</t>
  </si>
  <si>
    <t>Lấy HPH - TS EX - Hạ HPH Disconnect</t>
  </si>
  <si>
    <t>Lấy HPH - QV EX - Hạ HPH Disconnect</t>
  </si>
  <si>
    <t>Lấy ICD - TL EX - Hạ HPH Disconnect</t>
  </si>
  <si>
    <t>Lấy ICD - TS EX - Hạ HPH Disconnect</t>
  </si>
  <si>
    <t>Lấy ICD - QV EX - Hạ HPH Disconnect</t>
  </si>
  <si>
    <t>Lấy TP - TL EX - Hạ HPH Disconnect</t>
  </si>
  <si>
    <t>Lấy TP - TS EX - Hạ HPH Disconnect</t>
  </si>
  <si>
    <t>Lấy TP - QV EX - Hạ HPH Disconnect</t>
  </si>
  <si>
    <t>Lấy ICD - QV IM - RU QV EX - Hạ HPH Disconnect</t>
  </si>
  <si>
    <t>Lấy HPH - TL EX - Hạ HPH Connect</t>
  </si>
  <si>
    <t>Lấy HPH - TS EX - Hạ HPH Connect</t>
  </si>
  <si>
    <t>Lấy HPH - QV EX - Hạ HPH Connect</t>
  </si>
  <si>
    <t>Lấy ICD - TL EX - Hạ HPH Connect</t>
  </si>
  <si>
    <t>Lấy ICD - TS EX - Hạ HPH Connect</t>
  </si>
  <si>
    <t>Lấy ICD - QV EX - Hạ HPH Connect</t>
  </si>
  <si>
    <t>Lấy TP - QV EX - Hạ HPH Connect</t>
  </si>
  <si>
    <t>Lấy HPH - TL IM - RU TL EX - Hạ HPH</t>
  </si>
  <si>
    <t>Lấy HPH - Trả nhập 2 điểm TS , TL - RU TL EX - Hạ HPH</t>
  </si>
  <si>
    <t>Lấy HPH - TS IM - RU TL EX - Hạ HPH</t>
  </si>
  <si>
    <t>Lấy HPH - TS IM - RU TS EX - Hạ HPH</t>
  </si>
  <si>
    <t>Lấy HPH - TS IM - RU QV EX - Hạ HPH</t>
  </si>
  <si>
    <t>Lấy HPH - QV IM - RU TL EX - Hạ HPH</t>
  </si>
  <si>
    <t>Lấy HPH - QV IM - RU TS EX - Hạ HPH</t>
  </si>
  <si>
    <t>Lấy HPH - QV IM - RU QV EX - Hạ HPH</t>
  </si>
  <si>
    <t>Lấy Hà Nội - RU TL EX - Hạ HPH</t>
  </si>
  <si>
    <t>Lấy Hà Nội - RU TS EX - Hạ HPH</t>
  </si>
  <si>
    <t>Lấy Hà Nội - RU QV EX - Hạ HPH</t>
  </si>
  <si>
    <t>Lấy Bắc Giang - RU TL EX - Hạ HPH</t>
  </si>
  <si>
    <t>Lấy Bắc Giang - RU TS EX - Hạ HPH</t>
  </si>
  <si>
    <t>Lấy Bắc Giang - RU QV EX - Hạ HPH</t>
  </si>
  <si>
    <t>Lấy Hưng Yên - RU TL EX - Hạ HPH</t>
  </si>
  <si>
    <t>Lấy Hưng Yên - RU TS EX - Hạ HPH</t>
  </si>
  <si>
    <t>Lấy Hưng Yên - RU QV EX - Hạ HPH</t>
  </si>
  <si>
    <t>Lấy HPH - TL EX - Hạ Lạch Huyện Disconnect</t>
  </si>
  <si>
    <t>Lấy HPH - TS EX - Hạ Lạch Huyện Disconnect</t>
  </si>
  <si>
    <t>Lấy HPH - QV EX - Hạ Lạch Huyện Disconnect</t>
  </si>
  <si>
    <t>Lấy ICD - TL EX - Hạ Lạch Huyện Disconnect</t>
  </si>
  <si>
    <t>Lấy ICD - TS EX - Hạ Lạch Huyện Disconnect</t>
  </si>
  <si>
    <t>Lấy ICD - QV EX - Hạ Lạch Huyện Disconnect</t>
  </si>
  <si>
    <t>Lấy TP - TL EX - Hạ Lạch Huyện Disconnect</t>
  </si>
  <si>
    <t>Lấy TP - TS EX - Hạ Lạch Huyện Disconnect</t>
  </si>
  <si>
    <t>Lấy TP - QV EX - Hạ Lạch Huyện Disconnect</t>
  </si>
  <si>
    <t>Lấy HPH - TL EX - Hạ Lạch Huyện Connect</t>
  </si>
  <si>
    <t>Lấy HPH - TS EX - Hạ Lạch Huyện Connect</t>
  </si>
  <si>
    <t>Lấy HPH - QV EX - Hạ Lạch Huyện Connect</t>
  </si>
  <si>
    <t>Lấy ICD - TL EX - Hạ Lạch Huyện Connect</t>
  </si>
  <si>
    <t>Lấy ICD - TS EX - Hạ Lạch Huyện Connect</t>
  </si>
  <si>
    <t>Lấy ICD - QV EX - Hạ Lạch Huyện Connect</t>
  </si>
  <si>
    <t>Lấy TP - TL EX - Hạ Lạch Huyện Connect</t>
  </si>
  <si>
    <t>Lấy TP - TS EX - Hạ Lạch Huyện Connect</t>
  </si>
  <si>
    <t>Lấy TP - QV EX - Hạ Lạch Huyện Connect</t>
  </si>
  <si>
    <t>Lấy HPH - TS IM - RU TL EX - Hạ Lạch Huyện</t>
  </si>
  <si>
    <t>Lấy HPH - TS IM - RU TS EX - Hạ Lạch Huyện</t>
  </si>
  <si>
    <t>Lấy HPH - TS IM - RU QV EX - Hạ Lạch Huyện</t>
  </si>
  <si>
    <t>Lấy HPH - QV IM - RU TL EX - Hạ Lạch Huyện</t>
  </si>
  <si>
    <t>Lấy Hà Nội - RU TL EX - Hạ Lạch Huyện</t>
  </si>
  <si>
    <t>Lấy Hà Nội - RU TS EX - Hạ Lạch Huyện</t>
  </si>
  <si>
    <t>Lấy Hà Nội - RU QV EX - Hạ Lạch Huyện</t>
  </si>
  <si>
    <t>Lấy Bắc Giang - RU TL EX - Hạ Lạch Huyện</t>
  </si>
  <si>
    <t>Lấy Bắc Giang - RU TS EX - Hạ Lạch Huyện</t>
  </si>
  <si>
    <t>Lấy Bắc Giang - RU QV EX - Hạ Lạch Huyện</t>
  </si>
  <si>
    <t>Lấy Hưng Yên - RU TL EX - Hạ Lạch Huyện</t>
  </si>
  <si>
    <t>Lấy Hưng Yên - RU TS EX - Hạ Lạch Huyện</t>
  </si>
  <si>
    <t>Lấy Hưng Yên - RU QV EX - Hạ Lạch Huyện</t>
  </si>
  <si>
    <t>Lấy Hà Nội - RU TL EX - Hạ ICD</t>
  </si>
  <si>
    <t>MBF-202606-01</t>
  </si>
  <si>
    <t>MBF-202606-02</t>
  </si>
  <si>
    <t>For  Internal CRU ( Effective from January 1, 2026 ) :</t>
  </si>
  <si>
    <t>VND 1,600,000/ Cont</t>
  </si>
  <si>
    <t>For  External CRU ( Effective from January 1, 2026 ) :</t>
  </si>
  <si>
    <t xml:space="preserve">VND 800,000/ Cont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</si>
</sst>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Q-DRACO-MDHN-&quot;yymm&quot;- &quot;"/>
    <numFmt numFmtId="167" formatCode="mmmm\.\ dd\,\ yyyy"/>
    <numFmt numFmtId="168" formatCode="[$-409]mmmm\ d\,\ yyyy;@"/>
    <numFmt numFmtId="169" formatCode="[$-409]d\-mmm\-yy;@"/>
    <numFmt numFmtId="170" formatCode="_(* #,##0_);_(* \(#,##0\);_(* &quot;-&quot;??_);_(@_)"/>
    <numFmt numFmtId="171" formatCode="#,##0.000_);[Red]\(#,##0.000\)"/>
    <numFmt numFmtId="172" formatCode="&quot;VND&quot;\ #,##0&quot;/liter&quot;"/>
    <numFmt numFmtId="173" formatCode="&quot;on &quot;dd/mmm/yyyy"/>
    <numFmt numFmtId="174" formatCode="_-* #,##0.0000_-;\-* #,##0.0000_-;_-* &quot;-&quot;_-;_-@_-"/>
    <numFmt numFmtId="175" formatCode="_(* #,##0.00000_);_(* \(#,##0.00000\);_(* &quot;-&quot;??_);_(@_)"/>
    <numFmt numFmtId="176" formatCode="#,##0.0000_);[Red]\(#,##0.0000\)"/>
    <numFmt numFmtId="177" formatCode="#,##0.00000_);[Red]\(#,##0.00000\)"/>
    <numFmt numFmtId="178" formatCode="#,##0.000000_);[Red]\(#,##0.000000\)"/>
  </numFmts>
  <fonts count="79"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2"/>
      <name val=".VnTime"/>
      <family val="2"/>
    </font>
    <font>
      <sz val="10"/>
      <name val="Arial"/>
      <family val="2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name val="Symbol"/>
      <family val="1"/>
      <charset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color indexed="55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i/>
      <sz val="12"/>
      <name val="Calibri"/>
      <family val="2"/>
      <scheme val="minor"/>
    </font>
    <font>
      <b/>
      <sz val="30"/>
      <color rgb="FF0000CC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3"/>
      <color indexed="8"/>
      <name val="Calibri"/>
      <family val="2"/>
      <scheme val="minor"/>
    </font>
    <font>
      <sz val="13"/>
      <color indexed="8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15"/>
      <name val="Calibri"/>
      <family val="2"/>
      <scheme val="minor"/>
    </font>
    <font>
      <sz val="13"/>
      <color rgb="FFFF0000"/>
      <name val="Calibri"/>
      <family val="2"/>
      <scheme val="minor"/>
    </font>
    <font>
      <u/>
      <sz val="11"/>
      <color theme="10"/>
      <name val="ＭＳ Ｐゴシック"/>
      <family val="3"/>
      <charset val="128"/>
    </font>
    <font>
      <sz val="1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5"/>
      <color rgb="FF000099"/>
      <name val="Calibri"/>
      <family val="2"/>
      <scheme val="minor"/>
    </font>
    <font>
      <sz val="15"/>
      <color rgb="FF000099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15"/>
      <name val="Calibri"/>
      <family val="2"/>
    </font>
    <font>
      <b/>
      <sz val="13"/>
      <color rgb="FF0070C0"/>
      <name val="Calibri"/>
      <family val="2"/>
      <scheme val="minor"/>
    </font>
    <font>
      <b/>
      <sz val="3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sz val="13.5"/>
      <name val="Calibri"/>
      <family val="2"/>
      <scheme val="minor"/>
    </font>
    <font>
      <b/>
      <u/>
      <sz val="13.5"/>
      <color indexed="8"/>
      <name val="Calibri"/>
      <family val="2"/>
      <scheme val="minor"/>
    </font>
    <font>
      <sz val="13.5"/>
      <color rgb="FFFF0000"/>
      <name val="Calibri"/>
      <family val="2"/>
      <scheme val="minor"/>
    </font>
    <font>
      <i/>
      <u/>
      <sz val="13.5"/>
      <color indexed="8"/>
      <name val="Calibri"/>
      <family val="2"/>
      <scheme val="minor"/>
    </font>
    <font>
      <sz val="13.5"/>
      <color indexed="8"/>
      <name val="Calibri"/>
      <family val="2"/>
      <scheme val="minor"/>
    </font>
    <font>
      <b/>
      <sz val="13.5"/>
      <color rgb="FF0070C0"/>
      <name val="Calibri"/>
      <family val="2"/>
      <scheme val="minor"/>
    </font>
    <font>
      <b/>
      <sz val="13.5"/>
      <name val="Calibri"/>
      <family val="2"/>
      <scheme val="minor"/>
    </font>
    <font>
      <sz val="13.5"/>
      <name val="ＭＳ Ｐゴシック"/>
      <family val="3"/>
      <charset val="128"/>
    </font>
    <font>
      <b/>
      <sz val="13.5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.5"/>
      <color rgb="FF000099"/>
      <name val="Calibri"/>
      <family val="2"/>
      <scheme val="minor"/>
    </font>
    <font>
      <sz val="11"/>
      <color rgb="FFFFFFCC"/>
      <name val="Segoe UI"/>
      <family val="2"/>
    </font>
    <font>
      <sz val="11"/>
      <color rgb="FFFFFFCC"/>
      <name val="Calibri"/>
      <family val="2"/>
      <scheme val="minor"/>
    </font>
    <font>
      <b/>
      <sz val="11"/>
      <color rgb="FFFFFFCC"/>
      <name val="Calibri"/>
      <family val="2"/>
      <scheme val="minor"/>
    </font>
    <font>
      <b/>
      <i/>
      <sz val="11"/>
      <color rgb="FFFFFFCC"/>
      <name val="Calibri"/>
      <family val="2"/>
      <scheme val="minor"/>
    </font>
    <font>
      <i/>
      <sz val="12"/>
      <color rgb="FF00206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indexed="8"/>
      <name val="Calibri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2"/>
      <name val="Times New Roman"/>
      <family val="1"/>
    </font>
    <font>
      <sz val="14.5"/>
      <color theme="1"/>
      <name val="Times New Roman"/>
      <family val="1"/>
    </font>
    <font>
      <sz val="12"/>
      <color theme="1"/>
      <name val="Cambria"/>
      <family val="2"/>
      <scheme val="major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/>
      <top style="thin">
        <color indexed="48"/>
      </top>
      <bottom/>
      <diagonal/>
    </border>
    <border>
      <left/>
      <right/>
      <top style="thin">
        <color indexed="48"/>
      </top>
      <bottom/>
      <diagonal/>
    </border>
    <border>
      <left/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/>
      <bottom style="thin">
        <color indexed="48"/>
      </bottom>
      <diagonal/>
    </border>
    <border>
      <left/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8">
    <xf numFmtId="0" fontId="0" fillId="0" borderId="0">
      <alignment vertical="center"/>
    </xf>
    <xf numFmtId="40" fontId="2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11" fillId="0" borderId="0"/>
    <xf numFmtId="9" fontId="6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43" fontId="6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/>
    <xf numFmtId="0" fontId="5" fillId="0" borderId="0"/>
    <xf numFmtId="0" fontId="12" fillId="0" borderId="0"/>
    <xf numFmtId="0" fontId="4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/>
  </cellStyleXfs>
  <cellXfs count="410">
    <xf numFmtId="0" fontId="0" fillId="0" borderId="0" xfId="0">
      <alignment vertical="center"/>
    </xf>
    <xf numFmtId="0" fontId="13" fillId="2" borderId="0" xfId="0" applyFont="1" applyFill="1">
      <alignment vertical="center"/>
    </xf>
    <xf numFmtId="38" fontId="14" fillId="2" borderId="0" xfId="1" applyNumberFormat="1" applyFont="1" applyFill="1" applyAlignment="1">
      <alignment vertical="center"/>
    </xf>
    <xf numFmtId="0" fontId="14" fillId="2" borderId="0" xfId="0" applyFont="1" applyFill="1">
      <alignment vertical="center"/>
    </xf>
    <xf numFmtId="0" fontId="13" fillId="0" borderId="0" xfId="0" applyFont="1">
      <alignment vertical="center"/>
    </xf>
    <xf numFmtId="38" fontId="15" fillId="0" borderId="0" xfId="1" applyNumberFormat="1" applyFont="1">
      <alignment vertical="center"/>
    </xf>
    <xf numFmtId="0" fontId="15" fillId="0" borderId="0" xfId="0" applyFont="1">
      <alignment vertical="center"/>
    </xf>
    <xf numFmtId="0" fontId="15" fillId="2" borderId="0" xfId="0" applyFont="1" applyFill="1">
      <alignment vertical="center"/>
    </xf>
    <xf numFmtId="38" fontId="15" fillId="2" borderId="0" xfId="1" applyNumberFormat="1" applyFont="1" applyFill="1" applyAlignment="1">
      <alignment vertical="center"/>
    </xf>
    <xf numFmtId="0" fontId="16" fillId="0" borderId="0" xfId="0" applyFont="1">
      <alignment vertical="center"/>
    </xf>
    <xf numFmtId="38" fontId="16" fillId="0" borderId="0" xfId="1" applyNumberFormat="1" applyFont="1">
      <alignment vertical="center"/>
    </xf>
    <xf numFmtId="0" fontId="16" fillId="2" borderId="0" xfId="0" applyFont="1" applyFill="1">
      <alignment vertical="center"/>
    </xf>
    <xf numFmtId="0" fontId="17" fillId="2" borderId="0" xfId="0" applyFont="1" applyFill="1">
      <alignment vertical="center"/>
    </xf>
    <xf numFmtId="38" fontId="16" fillId="2" borderId="0" xfId="1" applyNumberFormat="1" applyFont="1" applyFill="1" applyAlignment="1">
      <alignment vertical="center"/>
    </xf>
    <xf numFmtId="0" fontId="17" fillId="0" borderId="0" xfId="0" applyFont="1">
      <alignment vertical="center"/>
    </xf>
    <xf numFmtId="0" fontId="19" fillId="0" borderId="0" xfId="0" applyFont="1" applyProtection="1">
      <alignment vertical="center"/>
      <protection locked="0"/>
    </xf>
    <xf numFmtId="0" fontId="20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19" fillId="0" borderId="0" xfId="0" applyFont="1">
      <alignment vertical="center"/>
    </xf>
    <xf numFmtId="40" fontId="16" fillId="0" borderId="0" xfId="1" applyFont="1">
      <alignment vertical="center"/>
    </xf>
    <xf numFmtId="0" fontId="21" fillId="0" borderId="0" xfId="0" applyFont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9" fillId="2" borderId="0" xfId="0" applyFont="1" applyFill="1" applyAlignment="1">
      <alignment horizontal="left" vertical="top"/>
    </xf>
    <xf numFmtId="38" fontId="19" fillId="2" borderId="0" xfId="1" applyNumberFormat="1" applyFont="1" applyFill="1" applyAlignment="1">
      <alignment horizontal="left" vertical="top"/>
    </xf>
    <xf numFmtId="40" fontId="19" fillId="2" borderId="0" xfId="1" applyFont="1" applyFill="1" applyAlignment="1">
      <alignment horizontal="left" vertical="top"/>
    </xf>
    <xf numFmtId="0" fontId="19" fillId="0" borderId="0" xfId="0" applyFont="1" applyAlignment="1">
      <alignment horizontal="left" vertical="top"/>
    </xf>
    <xf numFmtId="0" fontId="22" fillId="0" borderId="0" xfId="0" applyFont="1" applyAlignment="1" applyProtection="1">
      <alignment horizontal="left" vertical="top" wrapText="1"/>
      <protection locked="0"/>
    </xf>
    <xf numFmtId="0" fontId="23" fillId="0" borderId="0" xfId="0" applyFont="1">
      <alignment vertical="center"/>
    </xf>
    <xf numFmtId="38" fontId="23" fillId="0" borderId="0" xfId="1" applyNumberFormat="1" applyFont="1">
      <alignment vertical="center"/>
    </xf>
    <xf numFmtId="0" fontId="23" fillId="2" borderId="0" xfId="0" applyFont="1" applyFill="1">
      <alignment vertical="center"/>
    </xf>
    <xf numFmtId="0" fontId="24" fillId="2" borderId="0" xfId="0" applyFont="1" applyFill="1">
      <alignment vertical="center"/>
    </xf>
    <xf numFmtId="38" fontId="23" fillId="2" borderId="0" xfId="1" applyNumberFormat="1" applyFont="1" applyFill="1" applyAlignment="1">
      <alignment vertical="center"/>
    </xf>
    <xf numFmtId="0" fontId="24" fillId="0" borderId="0" xfId="0" applyFont="1">
      <alignment vertical="center"/>
    </xf>
    <xf numFmtId="40" fontId="23" fillId="0" borderId="0" xfId="1" applyFont="1">
      <alignment vertical="center"/>
    </xf>
    <xf numFmtId="0" fontId="23" fillId="0" borderId="0" xfId="0" applyFont="1" applyProtection="1">
      <alignment vertical="center"/>
      <protection locked="0"/>
    </xf>
    <xf numFmtId="0" fontId="24" fillId="3" borderId="0" xfId="0" applyFont="1" applyFill="1">
      <alignment vertical="center"/>
    </xf>
    <xf numFmtId="0" fontId="26" fillId="0" borderId="0" xfId="0" applyFont="1">
      <alignment vertical="center"/>
    </xf>
    <xf numFmtId="0" fontId="28" fillId="2" borderId="0" xfId="0" applyFont="1" applyFill="1">
      <alignment vertical="center"/>
    </xf>
    <xf numFmtId="0" fontId="23" fillId="3" borderId="0" xfId="0" applyFont="1" applyFill="1">
      <alignment vertical="center"/>
    </xf>
    <xf numFmtId="0" fontId="34" fillId="0" borderId="0" xfId="0" applyFont="1" applyProtection="1">
      <alignment vertical="center"/>
      <protection locked="0"/>
    </xf>
    <xf numFmtId="0" fontId="34" fillId="0" borderId="0" xfId="0" applyFont="1">
      <alignment vertical="center"/>
    </xf>
    <xf numFmtId="0" fontId="36" fillId="0" borderId="0" xfId="0" applyFont="1" applyProtection="1">
      <alignment vertical="center"/>
      <protection locked="0"/>
    </xf>
    <xf numFmtId="0" fontId="34" fillId="0" borderId="0" xfId="0" applyFont="1" applyAlignment="1" applyProtection="1">
      <alignment horizontal="left" vertical="center"/>
      <protection locked="0"/>
    </xf>
    <xf numFmtId="0" fontId="27" fillId="0" borderId="0" xfId="0" quotePrefix="1" applyFont="1" applyAlignment="1" applyProtection="1">
      <alignment horizontal="right"/>
      <protection locked="0"/>
    </xf>
    <xf numFmtId="0" fontId="37" fillId="0" borderId="0" xfId="0" applyFont="1" applyProtection="1">
      <alignment vertical="center"/>
      <protection locked="0"/>
    </xf>
    <xf numFmtId="0" fontId="37" fillId="0" borderId="0" xfId="0" applyFont="1">
      <alignment vertical="center"/>
    </xf>
    <xf numFmtId="0" fontId="39" fillId="2" borderId="0" xfId="0" applyFont="1" applyFill="1">
      <alignment vertical="center"/>
    </xf>
    <xf numFmtId="0" fontId="17" fillId="3" borderId="0" xfId="0" applyFont="1" applyFill="1">
      <alignment vertical="center"/>
    </xf>
    <xf numFmtId="0" fontId="44" fillId="0" borderId="0" xfId="0" quotePrefix="1" applyFont="1" applyProtection="1">
      <alignment vertical="center"/>
      <protection locked="0"/>
    </xf>
    <xf numFmtId="0" fontId="44" fillId="0" borderId="0" xfId="0" applyFont="1" applyAlignment="1" applyProtection="1">
      <alignment horizontal="left" vertical="center"/>
      <protection locked="0"/>
    </xf>
    <xf numFmtId="0" fontId="44" fillId="0" borderId="0" xfId="0" applyFont="1" applyProtection="1">
      <alignment vertical="center"/>
      <protection locked="0"/>
    </xf>
    <xf numFmtId="0" fontId="44" fillId="0" borderId="0" xfId="0" applyFont="1">
      <alignment vertical="center"/>
    </xf>
    <xf numFmtId="0" fontId="44" fillId="0" borderId="0" xfId="0" quotePrefix="1" applyFont="1" applyAlignment="1" applyProtection="1">
      <alignment horizontal="left" vertical="center"/>
      <protection locked="0"/>
    </xf>
    <xf numFmtId="0" fontId="45" fillId="2" borderId="0" xfId="0" applyFont="1" applyFill="1">
      <alignment vertical="center"/>
    </xf>
    <xf numFmtId="0" fontId="29" fillId="3" borderId="0" xfId="0" applyFont="1" applyFill="1">
      <alignment vertical="center"/>
    </xf>
    <xf numFmtId="0" fontId="16" fillId="3" borderId="0" xfId="0" applyFont="1" applyFill="1">
      <alignment vertical="center"/>
    </xf>
    <xf numFmtId="0" fontId="39" fillId="0" borderId="0" xfId="0" applyFont="1">
      <alignment vertical="center"/>
    </xf>
    <xf numFmtId="0" fontId="20" fillId="0" borderId="0" xfId="0" applyFont="1" applyAlignment="1" applyProtection="1">
      <alignment vertical="top"/>
      <protection locked="0"/>
    </xf>
    <xf numFmtId="164" fontId="23" fillId="0" borderId="19" xfId="3" applyFont="1" applyBorder="1" applyAlignment="1">
      <alignment vertical="center"/>
    </xf>
    <xf numFmtId="0" fontId="33" fillId="0" borderId="0" xfId="7" applyFont="1" applyAlignment="1">
      <alignment horizontal="center" vertical="center"/>
    </xf>
    <xf numFmtId="0" fontId="33" fillId="0" borderId="0" xfId="7" applyFont="1" applyAlignment="1">
      <alignment horizontal="left" vertical="center"/>
    </xf>
    <xf numFmtId="0" fontId="33" fillId="4" borderId="26" xfId="7" applyFont="1" applyFill="1" applyBorder="1" applyAlignment="1">
      <alignment horizontal="center" vertical="center"/>
    </xf>
    <xf numFmtId="0" fontId="23" fillId="3" borderId="26" xfId="7" applyFont="1" applyFill="1" applyBorder="1" applyAlignment="1">
      <alignment horizontal="center" vertical="center"/>
    </xf>
    <xf numFmtId="0" fontId="35" fillId="3" borderId="26" xfId="7" applyFont="1" applyFill="1" applyBorder="1" applyAlignment="1">
      <alignment horizontal="center" vertical="center"/>
    </xf>
    <xf numFmtId="164" fontId="23" fillId="3" borderId="26" xfId="3" applyFont="1" applyFill="1" applyBorder="1" applyAlignment="1">
      <alignment vertical="center"/>
    </xf>
    <xf numFmtId="164" fontId="33" fillId="3" borderId="26" xfId="3" applyFont="1" applyFill="1" applyBorder="1" applyAlignment="1">
      <alignment vertical="center"/>
    </xf>
    <xf numFmtId="164" fontId="35" fillId="3" borderId="26" xfId="3" applyFont="1" applyFill="1" applyBorder="1" applyAlignment="1">
      <alignment vertical="center"/>
    </xf>
    <xf numFmtId="0" fontId="32" fillId="3" borderId="0" xfId="0" applyFont="1" applyFill="1" applyAlignment="1">
      <alignment horizontal="center" vertical="center" textRotation="90" wrapText="1"/>
    </xf>
    <xf numFmtId="0" fontId="35" fillId="3" borderId="0" xfId="7" applyFont="1" applyFill="1" applyAlignment="1">
      <alignment horizontal="center" vertical="center"/>
    </xf>
    <xf numFmtId="164" fontId="23" fillId="3" borderId="0" xfId="3" applyFont="1" applyFill="1" applyBorder="1" applyAlignment="1">
      <alignment vertical="center"/>
    </xf>
    <xf numFmtId="164" fontId="33" fillId="3" borderId="0" xfId="3" applyFont="1" applyFill="1" applyBorder="1" applyAlignment="1">
      <alignment vertical="center"/>
    </xf>
    <xf numFmtId="0" fontId="48" fillId="0" borderId="0" xfId="7" applyFont="1" applyAlignment="1">
      <alignment horizontal="left" vertical="center"/>
    </xf>
    <xf numFmtId="164" fontId="48" fillId="0" borderId="0" xfId="3" applyFont="1" applyBorder="1" applyAlignment="1">
      <alignment vertical="center"/>
    </xf>
    <xf numFmtId="0" fontId="17" fillId="3" borderId="0" xfId="0" applyFont="1" applyFill="1" applyAlignment="1">
      <alignment horizontal="right" vertical="center"/>
    </xf>
    <xf numFmtId="0" fontId="30" fillId="3" borderId="0" xfId="0" applyFont="1" applyFill="1" applyAlignment="1">
      <alignment vertical="center" wrapText="1"/>
    </xf>
    <xf numFmtId="0" fontId="17" fillId="3" borderId="0" xfId="0" applyFont="1" applyFill="1" applyAlignment="1">
      <alignment horizontal="right" vertical="center" wrapText="1"/>
    </xf>
    <xf numFmtId="0" fontId="49" fillId="3" borderId="0" xfId="0" applyFont="1" applyFill="1" applyAlignment="1">
      <alignment horizontal="right" vertical="center" wrapText="1"/>
    </xf>
    <xf numFmtId="0" fontId="30" fillId="3" borderId="4" xfId="0" applyFont="1" applyFill="1" applyBorder="1" applyAlignment="1">
      <alignment vertical="center" wrapText="1"/>
    </xf>
    <xf numFmtId="0" fontId="23" fillId="3" borderId="30" xfId="7" applyFont="1" applyFill="1" applyBorder="1" applyAlignment="1">
      <alignment horizontal="center" vertical="center"/>
    </xf>
    <xf numFmtId="164" fontId="23" fillId="3" borderId="30" xfId="3" applyFont="1" applyFill="1" applyBorder="1" applyAlignment="1">
      <alignment vertical="center"/>
    </xf>
    <xf numFmtId="0" fontId="35" fillId="3" borderId="30" xfId="7" applyFont="1" applyFill="1" applyBorder="1" applyAlignment="1">
      <alignment horizontal="center" vertical="center"/>
    </xf>
    <xf numFmtId="164" fontId="35" fillId="3" borderId="30" xfId="3" applyFont="1" applyFill="1" applyBorder="1" applyAlignment="1">
      <alignment vertical="center"/>
    </xf>
    <xf numFmtId="0" fontId="34" fillId="3" borderId="0" xfId="0" applyFont="1" applyFill="1" applyProtection="1">
      <alignment vertical="center"/>
      <protection locked="0"/>
    </xf>
    <xf numFmtId="0" fontId="34" fillId="3" borderId="0" xfId="0" applyFont="1" applyFill="1">
      <alignment vertical="center"/>
    </xf>
    <xf numFmtId="0" fontId="27" fillId="3" borderId="0" xfId="0" quotePrefix="1" applyFont="1" applyFill="1" applyAlignment="1" applyProtection="1">
      <alignment horizontal="right"/>
      <protection locked="0"/>
    </xf>
    <xf numFmtId="0" fontId="53" fillId="3" borderId="0" xfId="0" applyFont="1" applyFill="1" applyAlignment="1" applyProtection="1">
      <alignment horizontal="left" vertical="center"/>
      <protection locked="0"/>
    </xf>
    <xf numFmtId="0" fontId="51" fillId="3" borderId="0" xfId="7" applyFont="1" applyFill="1" applyAlignment="1">
      <alignment horizontal="center" vertical="center"/>
    </xf>
    <xf numFmtId="38" fontId="52" fillId="3" borderId="0" xfId="1" applyNumberFormat="1" applyFont="1" applyFill="1" applyBorder="1" applyAlignment="1">
      <alignment vertical="center"/>
    </xf>
    <xf numFmtId="38" fontId="54" fillId="3" borderId="0" xfId="1" applyNumberFormat="1" applyFont="1" applyFill="1" applyBorder="1" applyAlignment="1">
      <alignment vertical="center"/>
    </xf>
    <xf numFmtId="0" fontId="55" fillId="3" borderId="0" xfId="0" applyFont="1" applyFill="1" applyAlignment="1" applyProtection="1">
      <alignment horizontal="left" vertical="center"/>
      <protection locked="0"/>
    </xf>
    <xf numFmtId="0" fontId="56" fillId="3" borderId="0" xfId="0" applyFont="1" applyFill="1" applyAlignment="1" applyProtection="1">
      <alignment horizontal="left" vertical="center"/>
      <protection locked="0"/>
    </xf>
    <xf numFmtId="0" fontId="51" fillId="3" borderId="0" xfId="7" applyFont="1" applyFill="1" applyAlignment="1">
      <alignment horizontal="left" vertical="center"/>
    </xf>
    <xf numFmtId="0" fontId="56" fillId="0" borderId="0" xfId="0" applyFont="1" applyAlignment="1" applyProtection="1">
      <alignment horizontal="left" vertical="center"/>
      <protection locked="0"/>
    </xf>
    <xf numFmtId="0" fontId="51" fillId="0" borderId="0" xfId="7" applyFont="1" applyAlignment="1">
      <alignment horizontal="center" vertical="center"/>
    </xf>
    <xf numFmtId="0" fontId="51" fillId="0" borderId="0" xfId="7" applyFont="1" applyAlignment="1">
      <alignment horizontal="left" vertical="center"/>
    </xf>
    <xf numFmtId="38" fontId="52" fillId="0" borderId="0" xfId="1" applyNumberFormat="1" applyFont="1" applyFill="1" applyBorder="1" applyAlignment="1">
      <alignment vertical="center"/>
    </xf>
    <xf numFmtId="38" fontId="54" fillId="0" borderId="0" xfId="1" applyNumberFormat="1" applyFont="1" applyFill="1" applyBorder="1" applyAlignment="1">
      <alignment vertical="center"/>
    </xf>
    <xf numFmtId="0" fontId="53" fillId="0" borderId="0" xfId="0" applyFont="1" applyAlignment="1" applyProtection="1">
      <alignment horizontal="left" vertical="center"/>
      <protection locked="0"/>
    </xf>
    <xf numFmtId="0" fontId="35" fillId="3" borderId="0" xfId="7" applyFont="1" applyFill="1" applyAlignment="1">
      <alignment horizontal="left" vertical="center"/>
    </xf>
    <xf numFmtId="38" fontId="51" fillId="0" borderId="0" xfId="1" applyNumberFormat="1" applyFont="1" applyAlignment="1">
      <alignment horizontal="left" vertical="center"/>
    </xf>
    <xf numFmtId="38" fontId="51" fillId="3" borderId="0" xfId="1" applyNumberFormat="1" applyFont="1" applyFill="1" applyAlignment="1">
      <alignment horizontal="left" vertical="center"/>
    </xf>
    <xf numFmtId="0" fontId="53" fillId="0" borderId="0" xfId="0" quotePrefix="1" applyFont="1" applyProtection="1">
      <alignment vertical="center"/>
      <protection locked="0"/>
    </xf>
    <xf numFmtId="0" fontId="50" fillId="0" borderId="0" xfId="7" applyFont="1" applyAlignment="1">
      <alignment horizontal="center" vertical="center"/>
    </xf>
    <xf numFmtId="0" fontId="50" fillId="0" borderId="0" xfId="7" applyFont="1" applyAlignment="1">
      <alignment horizontal="left" vertical="center"/>
    </xf>
    <xf numFmtId="0" fontId="57" fillId="0" borderId="0" xfId="7" applyFont="1" applyAlignment="1">
      <alignment horizontal="left" vertical="center"/>
    </xf>
    <xf numFmtId="38" fontId="57" fillId="0" borderId="0" xfId="1" applyNumberFormat="1" applyFont="1" applyAlignment="1">
      <alignment horizontal="left" vertical="center"/>
    </xf>
    <xf numFmtId="38" fontId="57" fillId="0" borderId="0" xfId="1" applyNumberFormat="1" applyFont="1" applyFill="1" applyBorder="1" applyAlignment="1">
      <alignment vertical="center"/>
    </xf>
    <xf numFmtId="38" fontId="57" fillId="0" borderId="0" xfId="1" applyNumberFormat="1" applyFont="1" applyBorder="1" applyAlignment="1">
      <alignment vertical="center"/>
    </xf>
    <xf numFmtId="0" fontId="23" fillId="3" borderId="0" xfId="7" applyFont="1" applyFill="1" applyAlignment="1">
      <alignment horizontal="center" vertical="center"/>
    </xf>
    <xf numFmtId="0" fontId="60" fillId="3" borderId="0" xfId="0" applyFont="1" applyFill="1" applyAlignment="1" applyProtection="1">
      <alignment horizontal="left" vertical="center"/>
      <protection locked="0"/>
    </xf>
    <xf numFmtId="0" fontId="56" fillId="3" borderId="0" xfId="0" applyFont="1" applyFill="1" applyAlignment="1" applyProtection="1">
      <alignment horizontal="right" vertical="center"/>
      <protection locked="0"/>
    </xf>
    <xf numFmtId="0" fontId="44" fillId="3" borderId="0" xfId="0" applyFont="1" applyFill="1" applyAlignment="1" applyProtection="1">
      <alignment horizontal="left" vertical="center"/>
      <protection locked="0"/>
    </xf>
    <xf numFmtId="0" fontId="28" fillId="3" borderId="0" xfId="0" applyFont="1" applyFill="1">
      <alignment vertical="center"/>
    </xf>
    <xf numFmtId="0" fontId="44" fillId="3" borderId="0" xfId="0" quotePrefix="1" applyFont="1" applyFill="1" applyAlignment="1" applyProtection="1">
      <alignment horizontal="left" vertical="center"/>
      <protection locked="0"/>
    </xf>
    <xf numFmtId="0" fontId="23" fillId="3" borderId="19" xfId="7" applyFont="1" applyFill="1" applyBorder="1" applyAlignment="1">
      <alignment horizontal="center" vertical="center"/>
    </xf>
    <xf numFmtId="164" fontId="23" fillId="3" borderId="19" xfId="3" applyFont="1" applyFill="1" applyBorder="1" applyAlignment="1">
      <alignment vertical="center"/>
    </xf>
    <xf numFmtId="0" fontId="33" fillId="4" borderId="7" xfId="7" applyFont="1" applyFill="1" applyBorder="1" applyAlignment="1">
      <alignment horizontal="center" vertical="center"/>
    </xf>
    <xf numFmtId="38" fontId="52" fillId="3" borderId="30" xfId="1" applyNumberFormat="1" applyFont="1" applyFill="1" applyBorder="1" applyAlignment="1">
      <alignment horizontal="center" vertical="center"/>
    </xf>
    <xf numFmtId="0" fontId="58" fillId="4" borderId="30" xfId="0" applyFont="1" applyFill="1" applyBorder="1" applyAlignment="1">
      <alignment horizontal="center" vertical="center"/>
    </xf>
    <xf numFmtId="0" fontId="23" fillId="0" borderId="26" xfId="7" applyFont="1" applyBorder="1" applyAlignment="1">
      <alignment horizontal="center" vertical="center"/>
    </xf>
    <xf numFmtId="164" fontId="23" fillId="0" borderId="26" xfId="3" applyFont="1" applyFill="1" applyBorder="1" applyAlignment="1">
      <alignment vertical="center"/>
    </xf>
    <xf numFmtId="164" fontId="33" fillId="0" borderId="26" xfId="3" applyFont="1" applyFill="1" applyBorder="1" applyAlignment="1">
      <alignment vertical="center"/>
    </xf>
    <xf numFmtId="0" fontId="32" fillId="3" borderId="0" xfId="0" applyFont="1" applyFill="1" applyAlignment="1">
      <alignment horizontal="left" vertical="center"/>
    </xf>
    <xf numFmtId="164" fontId="35" fillId="3" borderId="0" xfId="3" applyFont="1" applyFill="1" applyBorder="1" applyAlignment="1">
      <alignment vertical="center"/>
    </xf>
    <xf numFmtId="0" fontId="32" fillId="0" borderId="0" xfId="0" applyFont="1" applyAlignment="1">
      <alignment horizontal="center" vertical="center" textRotation="90" wrapText="1"/>
    </xf>
    <xf numFmtId="0" fontId="35" fillId="0" borderId="0" xfId="7" applyFont="1" applyAlignment="1">
      <alignment horizontal="center" vertical="center"/>
    </xf>
    <xf numFmtId="0" fontId="23" fillId="0" borderId="0" xfId="7" applyFont="1" applyAlignment="1">
      <alignment horizontal="center" vertical="center"/>
    </xf>
    <xf numFmtId="164" fontId="35" fillId="0" borderId="0" xfId="3" applyFont="1" applyFill="1" applyBorder="1" applyAlignment="1">
      <alignment vertical="center"/>
    </xf>
    <xf numFmtId="164" fontId="33" fillId="0" borderId="0" xfId="3" applyFont="1" applyFill="1" applyBorder="1" applyAlignment="1">
      <alignment vertical="center"/>
    </xf>
    <xf numFmtId="0" fontId="35" fillId="0" borderId="26" xfId="7" applyFont="1" applyBorder="1" applyAlignment="1">
      <alignment horizontal="center" vertical="center"/>
    </xf>
    <xf numFmtId="0" fontId="23" fillId="0" borderId="19" xfId="7" applyFont="1" applyBorder="1" applyAlignment="1">
      <alignment horizontal="center" vertical="center"/>
    </xf>
    <xf numFmtId="0" fontId="35" fillId="0" borderId="30" xfId="7" applyFont="1" applyBorder="1" applyAlignment="1">
      <alignment horizontal="center" vertical="center"/>
    </xf>
    <xf numFmtId="0" fontId="23" fillId="0" borderId="30" xfId="7" applyFont="1" applyBorder="1" applyAlignment="1">
      <alignment horizontal="center" vertical="center"/>
    </xf>
    <xf numFmtId="164" fontId="23" fillId="0" borderId="30" xfId="3" applyFont="1" applyFill="1" applyBorder="1" applyAlignment="1">
      <alignment vertical="center"/>
    </xf>
    <xf numFmtId="164" fontId="23" fillId="0" borderId="19" xfId="3" applyFont="1" applyFill="1" applyBorder="1" applyAlignment="1">
      <alignment vertical="center"/>
    </xf>
    <xf numFmtId="164" fontId="35" fillId="0" borderId="26" xfId="3" applyFont="1" applyFill="1" applyBorder="1" applyAlignment="1">
      <alignment vertical="center"/>
    </xf>
    <xf numFmtId="164" fontId="35" fillId="0" borderId="30" xfId="3" applyFont="1" applyFill="1" applyBorder="1" applyAlignment="1">
      <alignment vertical="center"/>
    </xf>
    <xf numFmtId="0" fontId="50" fillId="3" borderId="0" xfId="7" applyFont="1" applyFill="1" applyAlignment="1">
      <alignment horizontal="center" vertical="center"/>
    </xf>
    <xf numFmtId="0" fontId="50" fillId="3" borderId="0" xfId="7" applyFont="1" applyFill="1" applyAlignment="1">
      <alignment horizontal="left" vertical="center"/>
    </xf>
    <xf numFmtId="0" fontId="57" fillId="3" borderId="0" xfId="7" applyFont="1" applyFill="1" applyAlignment="1">
      <alignment horizontal="left" vertical="center"/>
    </xf>
    <xf numFmtId="38" fontId="57" fillId="3" borderId="0" xfId="1" applyNumberFormat="1" applyFont="1" applyFill="1" applyAlignment="1">
      <alignment horizontal="left" vertical="center"/>
    </xf>
    <xf numFmtId="38" fontId="57" fillId="3" borderId="0" xfId="1" applyNumberFormat="1" applyFont="1" applyFill="1" applyBorder="1" applyAlignment="1">
      <alignment vertical="center"/>
    </xf>
    <xf numFmtId="0" fontId="51" fillId="3" borderId="0" xfId="0" applyFont="1" applyFill="1" applyAlignment="1" applyProtection="1">
      <alignment horizontal="left" vertical="center"/>
      <protection locked="0"/>
    </xf>
    <xf numFmtId="0" fontId="52" fillId="3" borderId="0" xfId="7" applyFont="1" applyFill="1" applyAlignment="1">
      <alignment horizontal="left" vertical="center"/>
    </xf>
    <xf numFmtId="0" fontId="35" fillId="3" borderId="19" xfId="7" applyFont="1" applyFill="1" applyBorder="1" applyAlignment="1">
      <alignment horizontal="center" vertical="center"/>
    </xf>
    <xf numFmtId="164" fontId="35" fillId="3" borderId="19" xfId="3" applyFont="1" applyFill="1" applyBorder="1" applyAlignment="1">
      <alignment vertical="center"/>
    </xf>
    <xf numFmtId="0" fontId="51" fillId="0" borderId="0" xfId="0" applyFont="1" applyAlignment="1" applyProtection="1">
      <alignment horizontal="left" vertical="center"/>
      <protection locked="0"/>
    </xf>
    <xf numFmtId="0" fontId="52" fillId="0" borderId="0" xfId="7" applyFont="1" applyAlignment="1">
      <alignment horizontal="left" vertical="center"/>
    </xf>
    <xf numFmtId="0" fontId="65" fillId="3" borderId="0" xfId="0" applyFont="1" applyFill="1" applyAlignment="1" applyProtection="1">
      <alignment horizontal="left" vertical="center"/>
      <protection locked="0"/>
    </xf>
    <xf numFmtId="169" fontId="66" fillId="0" borderId="0" xfId="0" applyNumberFormat="1" applyFont="1">
      <alignment vertical="center"/>
    </xf>
    <xf numFmtId="0" fontId="67" fillId="0" borderId="0" xfId="0" applyFont="1">
      <alignment vertical="center"/>
    </xf>
    <xf numFmtId="38" fontId="66" fillId="0" borderId="0" xfId="1" applyNumberFormat="1" applyFont="1" applyAlignment="1">
      <alignment vertical="center"/>
    </xf>
    <xf numFmtId="40" fontId="67" fillId="0" borderId="0" xfId="1" applyFont="1" applyAlignment="1">
      <alignment vertical="center"/>
    </xf>
    <xf numFmtId="10" fontId="66" fillId="0" borderId="0" xfId="17" applyNumberFormat="1" applyFont="1" applyAlignment="1">
      <alignment vertical="center"/>
    </xf>
    <xf numFmtId="40" fontId="66" fillId="0" borderId="0" xfId="1" applyFont="1" applyAlignment="1">
      <alignment vertical="center"/>
    </xf>
    <xf numFmtId="0" fontId="66" fillId="0" borderId="0" xfId="0" applyFont="1">
      <alignment vertical="center"/>
    </xf>
    <xf numFmtId="171" fontId="67" fillId="0" borderId="0" xfId="1" applyNumberFormat="1" applyFont="1">
      <alignment vertical="center"/>
    </xf>
    <xf numFmtId="170" fontId="67" fillId="0" borderId="0" xfId="1" applyNumberFormat="1" applyFont="1" applyAlignment="1">
      <alignment vertical="center"/>
    </xf>
    <xf numFmtId="38" fontId="67" fillId="0" borderId="0" xfId="1" applyNumberFormat="1" applyFont="1">
      <alignment vertical="center"/>
    </xf>
    <xf numFmtId="0" fontId="67" fillId="3" borderId="0" xfId="0" applyFont="1" applyFill="1">
      <alignment vertical="center"/>
    </xf>
    <xf numFmtId="0" fontId="68" fillId="2" borderId="0" xfId="0" applyFont="1" applyFill="1">
      <alignment vertical="center"/>
    </xf>
    <xf numFmtId="0" fontId="68" fillId="0" borderId="0" xfId="0" applyFont="1">
      <alignment vertical="center"/>
    </xf>
    <xf numFmtId="0" fontId="69" fillId="0" borderId="0" xfId="0" applyFont="1" applyProtection="1">
      <alignment vertical="center"/>
      <protection locked="0"/>
    </xf>
    <xf numFmtId="0" fontId="68" fillId="0" borderId="0" xfId="0" applyFont="1" applyProtection="1">
      <alignment vertical="center"/>
      <protection locked="0"/>
    </xf>
    <xf numFmtId="0" fontId="69" fillId="0" borderId="0" xfId="0" applyFont="1" applyAlignment="1" applyProtection="1">
      <alignment horizontal="right" vertical="center"/>
      <protection locked="0"/>
    </xf>
    <xf numFmtId="0" fontId="68" fillId="4" borderId="0" xfId="7" applyFont="1" applyFill="1" applyAlignment="1">
      <alignment horizontal="center" vertical="center"/>
    </xf>
    <xf numFmtId="164" fontId="67" fillId="0" borderId="0" xfId="3" applyFont="1" applyBorder="1" applyAlignment="1">
      <alignment vertical="center"/>
    </xf>
    <xf numFmtId="164" fontId="68" fillId="0" borderId="0" xfId="3" applyFont="1" applyBorder="1" applyAlignment="1">
      <alignment vertical="center"/>
    </xf>
    <xf numFmtId="0" fontId="67" fillId="2" borderId="0" xfId="0" applyFont="1" applyFill="1">
      <alignment vertical="center"/>
    </xf>
    <xf numFmtId="164" fontId="68" fillId="0" borderId="0" xfId="3" applyFont="1" applyFill="1" applyBorder="1" applyAlignment="1">
      <alignment vertical="center"/>
    </xf>
    <xf numFmtId="164" fontId="68" fillId="3" borderId="0" xfId="3" applyFont="1" applyFill="1" applyBorder="1" applyAlignment="1">
      <alignment vertical="center"/>
    </xf>
    <xf numFmtId="38" fontId="67" fillId="3" borderId="0" xfId="1" applyNumberFormat="1" applyFont="1" applyFill="1" applyBorder="1" applyAlignment="1">
      <alignment vertical="center"/>
    </xf>
    <xf numFmtId="38" fontId="67" fillId="3" borderId="0" xfId="1" applyNumberFormat="1" applyFont="1" applyFill="1" applyAlignment="1">
      <alignment horizontal="left" vertical="center"/>
    </xf>
    <xf numFmtId="38" fontId="68" fillId="0" borderId="0" xfId="1" applyNumberFormat="1" applyFont="1" applyBorder="1" applyAlignment="1">
      <alignment vertical="center"/>
    </xf>
    <xf numFmtId="38" fontId="68" fillId="3" borderId="0" xfId="1" applyNumberFormat="1" applyFont="1" applyFill="1" applyBorder="1" applyAlignment="1">
      <alignment vertical="center"/>
    </xf>
    <xf numFmtId="0" fontId="68" fillId="4" borderId="0" xfId="0" applyFont="1" applyFill="1" applyAlignment="1">
      <alignment horizontal="center" vertical="center"/>
    </xf>
    <xf numFmtId="0" fontId="67" fillId="3" borderId="0" xfId="0" applyFont="1" applyFill="1" applyAlignment="1">
      <alignment horizontal="center" vertical="center"/>
    </xf>
    <xf numFmtId="0" fontId="9" fillId="3" borderId="0" xfId="0" applyFont="1" applyFill="1" applyAlignment="1" applyProtection="1">
      <alignment horizontal="left" vertical="center"/>
      <protection locked="0"/>
    </xf>
    <xf numFmtId="0" fontId="25" fillId="3" borderId="0" xfId="0" applyFont="1" applyFill="1">
      <alignment vertical="center"/>
    </xf>
    <xf numFmtId="173" fontId="71" fillId="3" borderId="0" xfId="0" applyNumberFormat="1" applyFont="1" applyFill="1" applyAlignment="1">
      <alignment horizontal="center" vertical="center"/>
    </xf>
    <xf numFmtId="0" fontId="71" fillId="3" borderId="0" xfId="0" applyFont="1" applyFill="1">
      <alignment vertical="center"/>
    </xf>
    <xf numFmtId="0" fontId="19" fillId="3" borderId="0" xfId="0" applyFont="1" applyFill="1" applyProtection="1">
      <alignment vertical="center"/>
      <protection locked="0"/>
    </xf>
    <xf numFmtId="10" fontId="20" fillId="3" borderId="0" xfId="0" applyNumberFormat="1" applyFont="1" applyFill="1" applyAlignment="1">
      <alignment horizontal="center" vertical="center"/>
    </xf>
    <xf numFmtId="0" fontId="20" fillId="3" borderId="0" xfId="0" applyFont="1" applyFill="1" applyProtection="1">
      <alignment vertical="center"/>
      <protection locked="0"/>
    </xf>
    <xf numFmtId="173" fontId="71" fillId="3" borderId="0" xfId="0" applyNumberFormat="1" applyFont="1" applyFill="1" applyAlignment="1">
      <alignment horizontal="centerContinuous" vertical="center"/>
    </xf>
    <xf numFmtId="172" fontId="22" fillId="3" borderId="0" xfId="0" applyNumberFormat="1" applyFont="1" applyFill="1" applyAlignment="1">
      <alignment horizontal="center" vertical="center" shrinkToFit="1"/>
    </xf>
    <xf numFmtId="173" fontId="70" fillId="3" borderId="0" xfId="0" applyNumberFormat="1" applyFont="1" applyFill="1" applyAlignment="1">
      <alignment horizontal="center" vertical="center"/>
    </xf>
    <xf numFmtId="0" fontId="18" fillId="3" borderId="0" xfId="0" applyFont="1" applyFill="1" applyProtection="1">
      <alignment vertical="center"/>
      <protection locked="0"/>
    </xf>
    <xf numFmtId="164" fontId="40" fillId="0" borderId="26" xfId="3" applyFont="1" applyFill="1" applyBorder="1" applyAlignment="1">
      <alignment vertical="center"/>
    </xf>
    <xf numFmtId="164" fontId="33" fillId="4" borderId="7" xfId="7" applyNumberFormat="1" applyFont="1" applyFill="1" applyBorder="1" applyAlignment="1">
      <alignment horizontal="center" vertical="center"/>
    </xf>
    <xf numFmtId="164" fontId="40" fillId="3" borderId="0" xfId="3" applyFont="1" applyFill="1" applyBorder="1" applyAlignment="1">
      <alignment vertical="center"/>
    </xf>
    <xf numFmtId="164" fontId="35" fillId="3" borderId="0" xfId="0" applyNumberFormat="1" applyFont="1" applyFill="1">
      <alignment vertical="center"/>
    </xf>
    <xf numFmtId="164" fontId="42" fillId="3" borderId="0" xfId="0" applyNumberFormat="1" applyFont="1" applyFill="1">
      <alignment vertical="center"/>
    </xf>
    <xf numFmtId="164" fontId="40" fillId="0" borderId="0" xfId="3" applyFont="1" applyFill="1" applyBorder="1" applyAlignment="1">
      <alignment vertical="center"/>
    </xf>
    <xf numFmtId="164" fontId="15" fillId="0" borderId="0" xfId="0" applyNumberFormat="1" applyFont="1">
      <alignment vertical="center"/>
    </xf>
    <xf numFmtId="164" fontId="32" fillId="2" borderId="0" xfId="0" applyNumberFormat="1" applyFont="1" applyFill="1">
      <alignment vertical="center"/>
    </xf>
    <xf numFmtId="164" fontId="46" fillId="0" borderId="0" xfId="0" applyNumberFormat="1" applyFont="1" applyProtection="1">
      <alignment vertical="center"/>
      <protection locked="0"/>
    </xf>
    <xf numFmtId="164" fontId="32" fillId="0" borderId="0" xfId="0" applyNumberFormat="1" applyFont="1" applyProtection="1">
      <alignment vertical="center"/>
      <protection locked="0"/>
    </xf>
    <xf numFmtId="164" fontId="33" fillId="0" borderId="0" xfId="0" applyNumberFormat="1" applyFont="1" applyProtection="1">
      <alignment vertical="center"/>
      <protection locked="0"/>
    </xf>
    <xf numFmtId="164" fontId="42" fillId="2" borderId="0" xfId="0" applyNumberFormat="1" applyFont="1" applyFill="1">
      <alignment vertical="center"/>
    </xf>
    <xf numFmtId="164" fontId="35" fillId="2" borderId="0" xfId="0" applyNumberFormat="1" applyFont="1" applyFill="1">
      <alignment vertical="center"/>
    </xf>
    <xf numFmtId="164" fontId="52" fillId="3" borderId="0" xfId="1" applyNumberFormat="1" applyFont="1" applyFill="1" applyBorder="1" applyAlignment="1">
      <alignment vertical="center"/>
    </xf>
    <xf numFmtId="164" fontId="52" fillId="0" borderId="0" xfId="1" applyNumberFormat="1" applyFont="1" applyFill="1" applyBorder="1" applyAlignment="1">
      <alignment vertical="center"/>
    </xf>
    <xf numFmtId="164" fontId="51" fillId="0" borderId="0" xfId="1" applyNumberFormat="1" applyFont="1" applyAlignment="1">
      <alignment horizontal="left" vertical="center"/>
    </xf>
    <xf numFmtId="164" fontId="57" fillId="0" borderId="0" xfId="1" applyNumberFormat="1" applyFont="1" applyFill="1" applyBorder="1" applyAlignment="1">
      <alignment vertical="center"/>
    </xf>
    <xf numFmtId="164" fontId="57" fillId="3" borderId="0" xfId="1" applyNumberFormat="1" applyFont="1" applyFill="1" applyBorder="1" applyAlignment="1">
      <alignment vertical="center"/>
    </xf>
    <xf numFmtId="164" fontId="15" fillId="2" borderId="0" xfId="0" applyNumberFormat="1" applyFont="1" applyFill="1">
      <alignment vertical="center"/>
    </xf>
    <xf numFmtId="0" fontId="32" fillId="0" borderId="0" xfId="0" quotePrefix="1" applyFont="1" applyAlignment="1" applyProtection="1">
      <alignment horizontal="right"/>
      <protection locked="0"/>
    </xf>
    <xf numFmtId="38" fontId="57" fillId="0" borderId="0" xfId="1" applyNumberFormat="1" applyFont="1" applyFill="1" applyAlignment="1">
      <alignment horizontal="left" vertical="center"/>
    </xf>
    <xf numFmtId="38" fontId="51" fillId="0" borderId="0" xfId="1" applyNumberFormat="1" applyFont="1" applyFill="1" applyAlignment="1">
      <alignment horizontal="left" vertical="center"/>
    </xf>
    <xf numFmtId="38" fontId="68" fillId="0" borderId="0" xfId="1" applyNumberFormat="1" applyFont="1" applyFill="1" applyBorder="1" applyAlignment="1">
      <alignment vertical="center"/>
    </xf>
    <xf numFmtId="0" fontId="18" fillId="0" borderId="0" xfId="0" applyFo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72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vertical="top" wrapText="1"/>
      <protection locked="0"/>
    </xf>
    <xf numFmtId="38" fontId="20" fillId="0" borderId="0" xfId="1" applyNumberFormat="1" applyFont="1" applyFill="1" applyAlignment="1">
      <alignment vertical="center"/>
    </xf>
    <xf numFmtId="0" fontId="20" fillId="0" borderId="0" xfId="0" applyFont="1">
      <alignment vertical="center"/>
    </xf>
    <xf numFmtId="164" fontId="23" fillId="2" borderId="0" xfId="0" applyNumberFormat="1" applyFont="1" applyFill="1">
      <alignment vertical="center"/>
    </xf>
    <xf numFmtId="38" fontId="19" fillId="0" borderId="0" xfId="1" applyNumberFormat="1" applyFont="1" applyFill="1" applyAlignment="1">
      <alignment horizontal="left" vertical="top"/>
    </xf>
    <xf numFmtId="40" fontId="19" fillId="0" borderId="0" xfId="1" applyFont="1" applyFill="1" applyAlignment="1">
      <alignment horizontal="left" vertical="top"/>
    </xf>
    <xf numFmtId="38" fontId="40" fillId="2" borderId="19" xfId="0" applyNumberFormat="1" applyFont="1" applyFill="1" applyBorder="1">
      <alignment vertical="center"/>
    </xf>
    <xf numFmtId="174" fontId="16" fillId="0" borderId="0" xfId="0" applyNumberFormat="1" applyFont="1">
      <alignment vertical="center"/>
    </xf>
    <xf numFmtId="174" fontId="39" fillId="0" borderId="0" xfId="0" applyNumberFormat="1" applyFont="1">
      <alignment vertical="center"/>
    </xf>
    <xf numFmtId="174" fontId="34" fillId="0" borderId="0" xfId="0" applyNumberFormat="1" applyFont="1">
      <alignment vertical="center"/>
    </xf>
    <xf numFmtId="174" fontId="44" fillId="0" borderId="0" xfId="0" applyNumberFormat="1" applyFont="1">
      <alignment vertical="center"/>
    </xf>
    <xf numFmtId="174" fontId="37" fillId="0" borderId="0" xfId="0" applyNumberFormat="1" applyFont="1">
      <alignment vertical="center"/>
    </xf>
    <xf numFmtId="174" fontId="45" fillId="2" borderId="0" xfId="0" applyNumberFormat="1" applyFont="1" applyFill="1">
      <alignment vertical="center"/>
    </xf>
    <xf numFmtId="174" fontId="23" fillId="0" borderId="0" xfId="0" applyNumberFormat="1" applyFont="1">
      <alignment vertical="center"/>
    </xf>
    <xf numFmtId="174" fontId="28" fillId="2" borderId="0" xfId="0" applyNumberFormat="1" applyFont="1" applyFill="1">
      <alignment vertical="center"/>
    </xf>
    <xf numFmtId="174" fontId="23" fillId="2" borderId="0" xfId="0" applyNumberFormat="1" applyFont="1" applyFill="1">
      <alignment vertical="center"/>
    </xf>
    <xf numFmtId="174" fontId="23" fillId="3" borderId="0" xfId="0" applyNumberFormat="1" applyFont="1" applyFill="1">
      <alignment vertical="center"/>
    </xf>
    <xf numFmtId="174" fontId="16" fillId="3" borderId="0" xfId="0" applyNumberFormat="1" applyFont="1" applyFill="1">
      <alignment vertical="center"/>
    </xf>
    <xf numFmtId="0" fontId="52" fillId="0" borderId="0" xfId="0" applyFont="1">
      <alignment vertical="center"/>
    </xf>
    <xf numFmtId="38" fontId="39" fillId="0" borderId="0" xfId="1" applyNumberFormat="1" applyFont="1">
      <alignment vertical="center"/>
    </xf>
    <xf numFmtId="38" fontId="34" fillId="0" borderId="0" xfId="1" applyNumberFormat="1" applyFont="1">
      <alignment vertical="center"/>
    </xf>
    <xf numFmtId="38" fontId="44" fillId="0" borderId="0" xfId="1" applyNumberFormat="1" applyFont="1">
      <alignment vertical="center"/>
    </xf>
    <xf numFmtId="38" fontId="37" fillId="0" borderId="0" xfId="1" applyNumberFormat="1" applyFont="1">
      <alignment vertical="center"/>
    </xf>
    <xf numFmtId="38" fontId="45" fillId="2" borderId="0" xfId="1" applyNumberFormat="1" applyFont="1" applyFill="1">
      <alignment vertical="center"/>
    </xf>
    <xf numFmtId="38" fontId="28" fillId="2" borderId="0" xfId="1" applyNumberFormat="1" applyFont="1" applyFill="1">
      <alignment vertical="center"/>
    </xf>
    <xf numFmtId="38" fontId="23" fillId="2" borderId="0" xfId="1" applyNumberFormat="1" applyFont="1" applyFill="1">
      <alignment vertical="center"/>
    </xf>
    <xf numFmtId="38" fontId="23" fillId="3" borderId="0" xfId="1" applyNumberFormat="1" applyFont="1" applyFill="1">
      <alignment vertical="center"/>
    </xf>
    <xf numFmtId="38" fontId="16" fillId="3" borderId="0" xfId="1" applyNumberFormat="1" applyFont="1" applyFill="1">
      <alignment vertical="center"/>
    </xf>
    <xf numFmtId="38" fontId="16" fillId="0" borderId="0" xfId="1" applyNumberFormat="1" applyFont="1" applyFill="1">
      <alignment vertical="center"/>
    </xf>
    <xf numFmtId="0" fontId="60" fillId="0" borderId="0" xfId="0" applyFont="1" applyAlignment="1" applyProtection="1">
      <alignment horizontal="left" vertical="center"/>
      <protection locked="0"/>
    </xf>
    <xf numFmtId="38" fontId="67" fillId="0" borderId="0" xfId="1" applyNumberFormat="1" applyFont="1" applyFill="1" applyBorder="1" applyAlignment="1">
      <alignment vertical="center"/>
    </xf>
    <xf numFmtId="38" fontId="23" fillId="0" borderId="0" xfId="1" applyNumberFormat="1" applyFont="1" applyFill="1">
      <alignment vertical="center"/>
    </xf>
    <xf numFmtId="0" fontId="56" fillId="0" borderId="0" xfId="0" applyFont="1" applyAlignment="1" applyProtection="1">
      <alignment horizontal="right" vertical="center"/>
      <protection locked="0"/>
    </xf>
    <xf numFmtId="0" fontId="45" fillId="0" borderId="0" xfId="0" applyFont="1">
      <alignment vertical="center"/>
    </xf>
    <xf numFmtId="38" fontId="45" fillId="0" borderId="0" xfId="1" applyNumberFormat="1" applyFont="1" applyFill="1">
      <alignment vertical="center"/>
    </xf>
    <xf numFmtId="174" fontId="45" fillId="0" borderId="0" xfId="0" applyNumberFormat="1" applyFont="1">
      <alignment vertical="center"/>
    </xf>
    <xf numFmtId="0" fontId="60" fillId="0" borderId="0" xfId="0" applyFont="1" applyAlignment="1" applyProtection="1">
      <alignment horizontal="right" vertical="center"/>
      <protection locked="0"/>
    </xf>
    <xf numFmtId="175" fontId="23" fillId="2" borderId="0" xfId="0" applyNumberFormat="1" applyFont="1" applyFill="1">
      <alignment vertical="center"/>
    </xf>
    <xf numFmtId="38" fontId="73" fillId="0" borderId="19" xfId="1" applyNumberFormat="1" applyFont="1" applyFill="1" applyBorder="1" applyAlignment="1">
      <alignment horizontal="center" vertical="center" wrapText="1"/>
    </xf>
    <xf numFmtId="176" fontId="23" fillId="0" borderId="0" xfId="1" applyNumberFormat="1" applyFont="1">
      <alignment vertical="center"/>
    </xf>
    <xf numFmtId="176" fontId="23" fillId="2" borderId="0" xfId="1" applyNumberFormat="1" applyFont="1" applyFill="1">
      <alignment vertical="center"/>
    </xf>
    <xf numFmtId="43" fontId="23" fillId="0" borderId="0" xfId="0" applyNumberFormat="1" applyFont="1">
      <alignment vertical="center"/>
    </xf>
    <xf numFmtId="38" fontId="23" fillId="2" borderId="0" xfId="0" applyNumberFormat="1" applyFont="1" applyFill="1">
      <alignment vertical="center"/>
    </xf>
    <xf numFmtId="164" fontId="40" fillId="0" borderId="19" xfId="3" applyFont="1" applyFill="1" applyBorder="1" applyAlignment="1">
      <alignment vertical="center"/>
    </xf>
    <xf numFmtId="164" fontId="23" fillId="3" borderId="0" xfId="0" applyNumberFormat="1" applyFont="1" applyFill="1">
      <alignment vertical="center"/>
    </xf>
    <xf numFmtId="38" fontId="23" fillId="0" borderId="0" xfId="1" applyNumberFormat="1" applyFont="1" applyBorder="1">
      <alignment vertical="center"/>
    </xf>
    <xf numFmtId="176" fontId="28" fillId="2" borderId="0" xfId="1" applyNumberFormat="1" applyFont="1" applyFill="1">
      <alignment vertical="center"/>
    </xf>
    <xf numFmtId="2" fontId="73" fillId="0" borderId="19" xfId="0" applyNumberFormat="1" applyFont="1" applyBorder="1" applyAlignment="1">
      <alignment horizontal="center" vertical="center" wrapText="1"/>
    </xf>
    <xf numFmtId="0" fontId="73" fillId="0" borderId="19" xfId="0" applyFont="1" applyBorder="1" applyAlignment="1">
      <alignment horizontal="center" vertical="center" wrapText="1"/>
    </xf>
    <xf numFmtId="2" fontId="74" fillId="0" borderId="19" xfId="0" applyNumberFormat="1" applyFont="1" applyBorder="1" applyAlignment="1">
      <alignment horizontal="center" vertical="center" wrapText="1"/>
    </xf>
    <xf numFmtId="0" fontId="75" fillId="0" borderId="19" xfId="0" applyFont="1" applyBorder="1" applyAlignment="1">
      <alignment horizontal="center" vertical="center" wrapText="1"/>
    </xf>
    <xf numFmtId="1" fontId="76" fillId="0" borderId="19" xfId="0" applyNumberFormat="1" applyFont="1" applyBorder="1" applyAlignment="1">
      <alignment horizontal="center" vertical="center" wrapText="1"/>
    </xf>
    <xf numFmtId="1" fontId="77" fillId="0" borderId="19" xfId="0" applyNumberFormat="1" applyFont="1" applyBorder="1" applyAlignment="1">
      <alignment horizontal="center" vertical="center" wrapText="1"/>
    </xf>
    <xf numFmtId="0" fontId="33" fillId="4" borderId="19" xfId="7" applyFont="1" applyFill="1" applyBorder="1" applyAlignment="1">
      <alignment horizontal="center" vertical="center"/>
    </xf>
    <xf numFmtId="164" fontId="33" fillId="4" borderId="19" xfId="7" applyNumberFormat="1" applyFont="1" applyFill="1" applyBorder="1" applyAlignment="1">
      <alignment horizontal="center" vertical="center"/>
    </xf>
    <xf numFmtId="0" fontId="51" fillId="0" borderId="19" xfId="0" applyFont="1" applyBorder="1" applyAlignment="1" applyProtection="1">
      <alignment horizontal="center" vertical="center"/>
      <protection locked="0"/>
    </xf>
    <xf numFmtId="0" fontId="16" fillId="0" borderId="19" xfId="0" applyFont="1" applyBorder="1">
      <alignment vertical="center"/>
    </xf>
    <xf numFmtId="0" fontId="16" fillId="0" borderId="19" xfId="0" applyFont="1" applyBorder="1" applyAlignment="1">
      <alignment horizontal="center" vertical="center"/>
    </xf>
    <xf numFmtId="0" fontId="52" fillId="0" borderId="19" xfId="0" applyFont="1" applyBorder="1">
      <alignment vertical="center"/>
    </xf>
    <xf numFmtId="38" fontId="23" fillId="0" borderId="19" xfId="1" applyNumberFormat="1" applyFont="1" applyFill="1" applyBorder="1">
      <alignment vertical="center"/>
    </xf>
    <xf numFmtId="164" fontId="40" fillId="0" borderId="19" xfId="0" applyNumberFormat="1" applyFont="1" applyBorder="1">
      <alignment vertical="center"/>
    </xf>
    <xf numFmtId="164" fontId="23" fillId="0" borderId="19" xfId="0" applyNumberFormat="1" applyFont="1" applyBorder="1">
      <alignment vertical="center"/>
    </xf>
    <xf numFmtId="0" fontId="35" fillId="0" borderId="19" xfId="0" applyFont="1" applyBorder="1" applyAlignment="1" applyProtection="1">
      <alignment horizontal="center" vertical="center"/>
      <protection locked="0"/>
    </xf>
    <xf numFmtId="0" fontId="23" fillId="0" borderId="19" xfId="0" applyFont="1" applyBorder="1">
      <alignment vertical="center"/>
    </xf>
    <xf numFmtId="0" fontId="23" fillId="0" borderId="19" xfId="0" applyFont="1" applyBorder="1" applyAlignment="1">
      <alignment horizontal="center" vertical="center"/>
    </xf>
    <xf numFmtId="43" fontId="23" fillId="0" borderId="19" xfId="1" applyNumberFormat="1" applyFont="1" applyFill="1" applyBorder="1">
      <alignment vertical="center"/>
    </xf>
    <xf numFmtId="177" fontId="34" fillId="0" borderId="0" xfId="1" applyNumberFormat="1" applyFont="1">
      <alignment vertical="center"/>
    </xf>
    <xf numFmtId="177" fontId="16" fillId="0" borderId="0" xfId="1" applyNumberFormat="1" applyFont="1">
      <alignment vertical="center"/>
    </xf>
    <xf numFmtId="0" fontId="35" fillId="0" borderId="19" xfId="7" applyFont="1" applyBorder="1" applyAlignment="1">
      <alignment horizontal="center" vertical="center"/>
    </xf>
    <xf numFmtId="164" fontId="35" fillId="0" borderId="19" xfId="3" applyFont="1" applyFill="1" applyBorder="1" applyAlignment="1">
      <alignment vertical="center"/>
    </xf>
    <xf numFmtId="164" fontId="33" fillId="0" borderId="19" xfId="3" applyFont="1" applyFill="1" applyBorder="1" applyAlignment="1">
      <alignment vertical="center"/>
    </xf>
    <xf numFmtId="177" fontId="23" fillId="2" borderId="0" xfId="1" applyNumberFormat="1" applyFont="1" applyFill="1">
      <alignment vertical="center"/>
    </xf>
    <xf numFmtId="38" fontId="78" fillId="0" borderId="19" xfId="1" applyNumberFormat="1" applyFont="1" applyFill="1" applyBorder="1" applyAlignment="1">
      <alignment horizontal="center" vertical="center" wrapText="1"/>
    </xf>
    <xf numFmtId="38" fontId="75" fillId="0" borderId="19" xfId="1" applyNumberFormat="1" applyFont="1" applyFill="1" applyBorder="1" applyAlignment="1">
      <alignment horizontal="center" vertical="center" wrapText="1"/>
    </xf>
    <xf numFmtId="38" fontId="23" fillId="2" borderId="19" xfId="1" applyNumberFormat="1" applyFont="1" applyFill="1" applyBorder="1">
      <alignment vertical="center"/>
    </xf>
    <xf numFmtId="178" fontId="23" fillId="2" borderId="0" xfId="1" applyNumberFormat="1" applyFont="1" applyFill="1">
      <alignment vertical="center"/>
    </xf>
    <xf numFmtId="38" fontId="23" fillId="2" borderId="19" xfId="0" applyNumberFormat="1" applyFont="1" applyFill="1" applyBorder="1">
      <alignment vertical="center"/>
    </xf>
    <xf numFmtId="38" fontId="24" fillId="0" borderId="0" xfId="1" applyNumberFormat="1" applyFont="1">
      <alignment vertical="center"/>
    </xf>
    <xf numFmtId="164" fontId="24" fillId="4" borderId="7" xfId="7" applyNumberFormat="1" applyFont="1" applyFill="1" applyBorder="1" applyAlignment="1">
      <alignment horizontal="center" vertical="center"/>
    </xf>
    <xf numFmtId="164" fontId="28" fillId="3" borderId="0" xfId="0" applyNumberFormat="1" applyFont="1" applyFill="1">
      <alignment vertical="center"/>
    </xf>
    <xf numFmtId="164" fontId="23" fillId="0" borderId="0" xfId="3" applyFont="1" applyFill="1" applyBorder="1" applyAlignment="1">
      <alignment vertical="center"/>
    </xf>
    <xf numFmtId="38" fontId="28" fillId="0" borderId="0" xfId="1" applyNumberFormat="1" applyFont="1" applyFill="1">
      <alignment vertical="center"/>
    </xf>
    <xf numFmtId="0" fontId="28" fillId="0" borderId="0" xfId="0" applyFont="1">
      <alignment vertical="center"/>
    </xf>
    <xf numFmtId="0" fontId="33" fillId="0" borderId="36" xfId="0" quotePrefix="1" applyFont="1" applyBorder="1" applyAlignment="1" applyProtection="1">
      <alignment horizontal="center"/>
      <protection locked="0"/>
    </xf>
    <xf numFmtId="0" fontId="33" fillId="0" borderId="12" xfId="0" quotePrefix="1" applyFont="1" applyBorder="1" applyAlignment="1" applyProtection="1">
      <alignment horizontal="center"/>
      <protection locked="0"/>
    </xf>
    <xf numFmtId="0" fontId="33" fillId="4" borderId="36" xfId="7" applyFont="1" applyFill="1" applyBorder="1" applyAlignment="1">
      <alignment horizontal="center" vertical="center"/>
    </xf>
    <xf numFmtId="0" fontId="33" fillId="4" borderId="12" xfId="7" applyFont="1" applyFill="1" applyBorder="1" applyAlignment="1">
      <alignment horizontal="center" vertical="center"/>
    </xf>
    <xf numFmtId="0" fontId="33" fillId="4" borderId="31" xfId="7" applyFont="1" applyFill="1" applyBorder="1" applyAlignment="1">
      <alignment horizontal="center" vertical="center"/>
    </xf>
    <xf numFmtId="0" fontId="33" fillId="4" borderId="35" xfId="7" applyFont="1" applyFill="1" applyBorder="1" applyAlignment="1">
      <alignment horizontal="center" vertical="center"/>
    </xf>
    <xf numFmtId="0" fontId="33" fillId="4" borderId="32" xfId="7" applyFont="1" applyFill="1" applyBorder="1" applyAlignment="1">
      <alignment horizontal="center" vertical="center"/>
    </xf>
    <xf numFmtId="0" fontId="33" fillId="4" borderId="36" xfId="7" applyFont="1" applyFill="1" applyBorder="1" applyAlignment="1">
      <alignment horizontal="center" vertical="center" wrapText="1"/>
    </xf>
    <xf numFmtId="0" fontId="33" fillId="4" borderId="19" xfId="7" applyFont="1" applyFill="1" applyBorder="1" applyAlignment="1">
      <alignment horizontal="center" vertical="center"/>
    </xf>
    <xf numFmtId="164" fontId="33" fillId="4" borderId="31" xfId="7" applyNumberFormat="1" applyFont="1" applyFill="1" applyBorder="1" applyAlignment="1">
      <alignment horizontal="center" vertical="center"/>
    </xf>
    <xf numFmtId="164" fontId="33" fillId="4" borderId="32" xfId="7" applyNumberFormat="1" applyFont="1" applyFill="1" applyBorder="1" applyAlignment="1">
      <alignment horizontal="center" vertical="center"/>
    </xf>
    <xf numFmtId="0" fontId="32" fillId="0" borderId="36" xfId="0" quotePrefix="1" applyFont="1" applyBorder="1" applyAlignment="1" applyProtection="1">
      <alignment horizontal="center"/>
      <protection locked="0"/>
    </xf>
    <xf numFmtId="0" fontId="32" fillId="0" borderId="12" xfId="0" quotePrefix="1" applyFont="1" applyBorder="1" applyAlignment="1" applyProtection="1">
      <alignment horizontal="center"/>
      <protection locked="0"/>
    </xf>
    <xf numFmtId="0" fontId="33" fillId="4" borderId="7" xfId="7" applyFont="1" applyFill="1" applyBorder="1" applyAlignment="1">
      <alignment horizontal="center" vertical="center"/>
    </xf>
    <xf numFmtId="0" fontId="32" fillId="3" borderId="36" xfId="0" applyFont="1" applyFill="1" applyBorder="1" applyAlignment="1">
      <alignment horizontal="center" vertical="center" textRotation="90" wrapText="1"/>
    </xf>
    <xf numFmtId="0" fontId="32" fillId="3" borderId="18" xfId="0" applyFont="1" applyFill="1" applyBorder="1" applyAlignment="1">
      <alignment horizontal="center" vertical="center" textRotation="90" wrapText="1"/>
    </xf>
    <xf numFmtId="0" fontId="32" fillId="3" borderId="12" xfId="0" applyFont="1" applyFill="1" applyBorder="1" applyAlignment="1">
      <alignment horizontal="center" vertical="center" textRotation="90" wrapText="1"/>
    </xf>
    <xf numFmtId="0" fontId="33" fillId="4" borderId="8" xfId="7" applyFont="1" applyFill="1" applyBorder="1" applyAlignment="1">
      <alignment horizontal="center" vertical="center"/>
    </xf>
    <xf numFmtId="0" fontId="33" fillId="4" borderId="9" xfId="7" applyFont="1" applyFill="1" applyBorder="1" applyAlignment="1">
      <alignment horizontal="center" vertical="center"/>
    </xf>
    <xf numFmtId="0" fontId="33" fillId="4" borderId="10" xfId="7" applyFont="1" applyFill="1" applyBorder="1" applyAlignment="1">
      <alignment horizontal="center" vertical="center"/>
    </xf>
    <xf numFmtId="0" fontId="33" fillId="4" borderId="11" xfId="7" applyFont="1" applyFill="1" applyBorder="1" applyAlignment="1">
      <alignment horizontal="center" vertical="center"/>
    </xf>
    <xf numFmtId="0" fontId="33" fillId="4" borderId="8" xfId="7" applyFont="1" applyFill="1" applyBorder="1" applyAlignment="1">
      <alignment horizontal="center" vertical="center" wrapText="1"/>
    </xf>
    <xf numFmtId="0" fontId="43" fillId="4" borderId="7" xfId="7" applyFont="1" applyFill="1" applyBorder="1" applyAlignment="1">
      <alignment horizontal="center" vertical="center"/>
    </xf>
    <xf numFmtId="0" fontId="32" fillId="3" borderId="36" xfId="0" applyFont="1" applyFill="1" applyBorder="1" applyAlignment="1">
      <alignment horizontal="center" vertical="center" textRotation="90"/>
    </xf>
    <xf numFmtId="0" fontId="32" fillId="3" borderId="18" xfId="0" applyFont="1" applyFill="1" applyBorder="1" applyAlignment="1">
      <alignment horizontal="center" vertical="center" textRotation="90"/>
    </xf>
    <xf numFmtId="0" fontId="32" fillId="3" borderId="12" xfId="0" applyFont="1" applyFill="1" applyBorder="1" applyAlignment="1">
      <alignment horizontal="center" vertical="center" textRotation="90"/>
    </xf>
    <xf numFmtId="0" fontId="52" fillId="3" borderId="31" xfId="0" applyFont="1" applyFill="1" applyBorder="1" applyAlignment="1">
      <alignment horizontal="center" vertical="center"/>
    </xf>
    <xf numFmtId="0" fontId="52" fillId="3" borderId="32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left" vertical="center"/>
    </xf>
    <xf numFmtId="0" fontId="52" fillId="3" borderId="35" xfId="0" applyFont="1" applyFill="1" applyBorder="1" applyAlignment="1">
      <alignment horizontal="left" vertical="center"/>
    </xf>
    <xf numFmtId="0" fontId="52" fillId="3" borderId="32" xfId="0" applyFont="1" applyFill="1" applyBorder="1" applyAlignment="1">
      <alignment horizontal="left" vertical="center"/>
    </xf>
    <xf numFmtId="164" fontId="52" fillId="3" borderId="30" xfId="1" applyNumberFormat="1" applyFont="1" applyFill="1" applyBorder="1" applyAlignment="1">
      <alignment horizontal="center" vertical="center"/>
    </xf>
    <xf numFmtId="0" fontId="58" fillId="4" borderId="30" xfId="0" applyFont="1" applyFill="1" applyBorder="1" applyAlignment="1">
      <alignment horizontal="center" vertical="center"/>
    </xf>
    <xf numFmtId="0" fontId="52" fillId="3" borderId="33" xfId="0" applyFont="1" applyFill="1" applyBorder="1" applyAlignment="1">
      <alignment horizontal="center" vertical="center"/>
    </xf>
    <xf numFmtId="0" fontId="52" fillId="3" borderId="34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17" xfId="0" applyFont="1" applyFill="1" applyBorder="1" applyAlignment="1">
      <alignment horizontal="center" vertical="center"/>
    </xf>
    <xf numFmtId="0" fontId="52" fillId="3" borderId="13" xfId="0" applyFont="1" applyFill="1" applyBorder="1" applyAlignment="1">
      <alignment horizontal="center" vertical="center"/>
    </xf>
    <xf numFmtId="0" fontId="52" fillId="3" borderId="15" xfId="0" applyFont="1" applyFill="1" applyBorder="1" applyAlignment="1">
      <alignment horizontal="center" vertical="center"/>
    </xf>
    <xf numFmtId="0" fontId="58" fillId="4" borderId="31" xfId="0" applyFont="1" applyFill="1" applyBorder="1" applyAlignment="1">
      <alignment horizontal="center" vertical="center"/>
    </xf>
    <xf numFmtId="0" fontId="58" fillId="4" borderId="32" xfId="0" applyFont="1" applyFill="1" applyBorder="1" applyAlignment="1">
      <alignment horizontal="center" vertical="center"/>
    </xf>
    <xf numFmtId="0" fontId="58" fillId="4" borderId="35" xfId="0" applyFont="1" applyFill="1" applyBorder="1" applyAlignment="1">
      <alignment horizontal="center" vertical="center"/>
    </xf>
    <xf numFmtId="164" fontId="58" fillId="4" borderId="31" xfId="1" applyNumberFormat="1" applyFont="1" applyFill="1" applyBorder="1" applyAlignment="1">
      <alignment horizontal="center" vertical="center"/>
    </xf>
    <xf numFmtId="164" fontId="59" fillId="0" borderId="32" xfId="1" applyNumberFormat="1" applyFont="1" applyBorder="1" applyAlignment="1">
      <alignment horizontal="center" vertical="center"/>
    </xf>
    <xf numFmtId="0" fontId="36" fillId="0" borderId="14" xfId="0" applyFont="1" applyBorder="1" applyAlignment="1" applyProtection="1">
      <alignment horizontal="right" vertical="center"/>
      <protection locked="0"/>
    </xf>
    <xf numFmtId="0" fontId="50" fillId="4" borderId="30" xfId="7" applyFont="1" applyFill="1" applyBorder="1" applyAlignment="1">
      <alignment horizontal="center" vertical="center"/>
    </xf>
    <xf numFmtId="0" fontId="33" fillId="4" borderId="33" xfId="7" applyFont="1" applyFill="1" applyBorder="1" applyAlignment="1">
      <alignment horizontal="center" vertical="center"/>
    </xf>
    <xf numFmtId="0" fontId="33" fillId="4" borderId="34" xfId="7" applyFont="1" applyFill="1" applyBorder="1" applyAlignment="1">
      <alignment horizontal="center" vertical="center"/>
    </xf>
    <xf numFmtId="0" fontId="38" fillId="2" borderId="0" xfId="0" applyFont="1" applyFill="1">
      <alignment vertical="center"/>
    </xf>
    <xf numFmtId="164" fontId="33" fillId="4" borderId="7" xfId="7" applyNumberFormat="1" applyFont="1" applyFill="1" applyBorder="1" applyAlignment="1">
      <alignment horizontal="center" vertical="center"/>
    </xf>
    <xf numFmtId="0" fontId="50" fillId="0" borderId="30" xfId="7" applyFont="1" applyBorder="1" applyAlignment="1">
      <alignment horizontal="center" vertical="center"/>
    </xf>
    <xf numFmtId="0" fontId="33" fillId="0" borderId="30" xfId="7" applyFont="1" applyBorder="1" applyAlignment="1">
      <alignment horizontal="center" vertical="center"/>
    </xf>
    <xf numFmtId="0" fontId="35" fillId="0" borderId="31" xfId="7" applyFont="1" applyBorder="1" applyAlignment="1">
      <alignment horizontal="left" vertical="center"/>
    </xf>
    <xf numFmtId="0" fontId="35" fillId="0" borderId="35" xfId="7" applyFont="1" applyBorder="1" applyAlignment="1">
      <alignment horizontal="left" vertical="center"/>
    </xf>
    <xf numFmtId="0" fontId="35" fillId="0" borderId="32" xfId="7" applyFont="1" applyBorder="1" applyAlignment="1">
      <alignment horizontal="left" vertical="center"/>
    </xf>
    <xf numFmtId="168" fontId="38" fillId="2" borderId="0" xfId="0" quotePrefix="1" applyNumberFormat="1" applyFont="1" applyFill="1" applyAlignment="1">
      <alignment horizontal="left" vertical="center"/>
    </xf>
    <xf numFmtId="168" fontId="38" fillId="2" borderId="0" xfId="0" applyNumberFormat="1" applyFont="1" applyFill="1" applyAlignment="1">
      <alignment horizontal="left" vertical="center"/>
    </xf>
    <xf numFmtId="0" fontId="32" fillId="3" borderId="19" xfId="0" applyFont="1" applyFill="1" applyBorder="1" applyAlignment="1">
      <alignment horizontal="center" vertical="center" textRotation="90" wrapText="1"/>
    </xf>
    <xf numFmtId="0" fontId="15" fillId="4" borderId="5" xfId="0" applyFont="1" applyFill="1" applyBorder="1" applyAlignment="1">
      <alignment horizontal="left" vertical="center" shrinkToFit="1"/>
    </xf>
    <xf numFmtId="0" fontId="63" fillId="0" borderId="1" xfId="0" applyFont="1" applyBorder="1" applyAlignment="1" applyProtection="1">
      <alignment horizontal="left" vertical="center" wrapText="1"/>
      <protection locked="0"/>
    </xf>
    <xf numFmtId="0" fontId="63" fillId="0" borderId="2" xfId="0" applyFont="1" applyBorder="1" applyAlignment="1" applyProtection="1">
      <alignment horizontal="left" vertical="center" wrapText="1"/>
      <protection locked="0"/>
    </xf>
    <xf numFmtId="0" fontId="63" fillId="0" borderId="3" xfId="0" applyFont="1" applyBorder="1" applyAlignment="1" applyProtection="1">
      <alignment horizontal="left" vertical="center" wrapText="1"/>
      <protection locked="0"/>
    </xf>
    <xf numFmtId="0" fontId="31" fillId="0" borderId="1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31" fillId="0" borderId="3" xfId="0" applyFont="1" applyBorder="1" applyAlignment="1" applyProtection="1">
      <alignment horizontal="left" vertical="center" wrapText="1"/>
      <protection locked="0"/>
    </xf>
    <xf numFmtId="0" fontId="29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right" vertical="center"/>
    </xf>
    <xf numFmtId="0" fontId="15" fillId="3" borderId="1" xfId="0" applyFont="1" applyFill="1" applyBorder="1" applyAlignment="1" applyProtection="1">
      <alignment horizontal="left" vertical="center"/>
      <protection locked="0"/>
    </xf>
    <xf numFmtId="0" fontId="15" fillId="3" borderId="2" xfId="0" applyFont="1" applyFill="1" applyBorder="1" applyAlignment="1" applyProtection="1">
      <alignment horizontal="left" vertical="center"/>
      <protection locked="0"/>
    </xf>
    <xf numFmtId="0" fontId="15" fillId="3" borderId="3" xfId="0" applyFont="1" applyFill="1" applyBorder="1" applyAlignment="1" applyProtection="1">
      <alignment horizontal="left" vertical="center"/>
      <protection locked="0"/>
    </xf>
    <xf numFmtId="172" fontId="29" fillId="3" borderId="0" xfId="0" applyNumberFormat="1" applyFont="1" applyFill="1" applyAlignment="1">
      <alignment horizontal="left" vertical="center"/>
    </xf>
    <xf numFmtId="0" fontId="41" fillId="3" borderId="27" xfId="16" applyFill="1" applyBorder="1" applyAlignment="1" applyProtection="1">
      <alignment horizontal="left" vertical="center"/>
      <protection locked="0"/>
    </xf>
    <xf numFmtId="0" fontId="1" fillId="3" borderId="28" xfId="0" applyFont="1" applyFill="1" applyBorder="1" applyAlignment="1" applyProtection="1">
      <alignment horizontal="left" vertical="center"/>
      <protection locked="0"/>
    </xf>
    <xf numFmtId="0" fontId="1" fillId="3" borderId="29" xfId="0" applyFont="1" applyFill="1" applyBorder="1" applyAlignment="1" applyProtection="1">
      <alignment horizontal="left" vertical="center"/>
      <protection locked="0"/>
    </xf>
    <xf numFmtId="172" fontId="17" fillId="3" borderId="0" xfId="0" applyNumberFormat="1" applyFont="1" applyFill="1" applyAlignment="1">
      <alignment horizontal="center" vertical="center" shrinkToFit="1"/>
    </xf>
    <xf numFmtId="173" fontId="70" fillId="3" borderId="0" xfId="0" applyNumberFormat="1" applyFont="1" applyFill="1" applyAlignment="1">
      <alignment horizontal="left" vertical="center"/>
    </xf>
    <xf numFmtId="10" fontId="20" fillId="3" borderId="0" xfId="0" applyNumberFormat="1" applyFont="1" applyFill="1" applyAlignment="1">
      <alignment horizontal="center" vertical="center"/>
    </xf>
    <xf numFmtId="166" fontId="31" fillId="2" borderId="1" xfId="0" applyNumberFormat="1" applyFont="1" applyFill="1" applyBorder="1" applyAlignment="1">
      <alignment horizontal="center" vertical="center"/>
    </xf>
    <xf numFmtId="166" fontId="31" fillId="2" borderId="2" xfId="0" applyNumberFormat="1" applyFont="1" applyFill="1" applyBorder="1" applyAlignment="1">
      <alignment horizontal="center" vertical="center"/>
    </xf>
    <xf numFmtId="166" fontId="31" fillId="2" borderId="3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2" xfId="0" quotePrefix="1" applyFont="1" applyBorder="1" applyAlignment="1" applyProtection="1">
      <alignment horizontal="left" vertical="center" wrapText="1"/>
      <protection locked="0"/>
    </xf>
    <xf numFmtId="0" fontId="15" fillId="0" borderId="2" xfId="0" applyFont="1" applyBorder="1" applyAlignment="1" applyProtection="1">
      <alignment horizontal="left" vertical="center"/>
      <protection locked="0"/>
    </xf>
    <xf numFmtId="0" fontId="15" fillId="0" borderId="3" xfId="0" applyFont="1" applyBorder="1" applyAlignment="1" applyProtection="1">
      <alignment horizontal="left" vertical="center"/>
      <protection locked="0"/>
    </xf>
    <xf numFmtId="0" fontId="31" fillId="0" borderId="5" xfId="0" applyFont="1" applyBorder="1" applyAlignment="1" applyProtection="1">
      <alignment horizontal="left" vertical="center" wrapText="1"/>
      <protection locked="0"/>
    </xf>
    <xf numFmtId="0" fontId="31" fillId="0" borderId="5" xfId="0" applyFont="1" applyBorder="1" applyAlignment="1" applyProtection="1">
      <alignment horizontal="left" vertical="center"/>
      <protection locked="0"/>
    </xf>
    <xf numFmtId="167" fontId="64" fillId="0" borderId="5" xfId="0" applyNumberFormat="1" applyFont="1" applyBorder="1" applyAlignment="1" applyProtection="1">
      <alignment horizontal="left" vertical="center"/>
      <protection locked="0"/>
    </xf>
    <xf numFmtId="0" fontId="15" fillId="0" borderId="1" xfId="0" quotePrefix="1" applyFont="1" applyBorder="1" applyAlignment="1" applyProtection="1">
      <alignment horizontal="left" vertical="center" wrapText="1"/>
      <protection locked="0"/>
    </xf>
    <xf numFmtId="166" fontId="31" fillId="0" borderId="1" xfId="0" applyNumberFormat="1" applyFont="1" applyBorder="1" applyAlignment="1">
      <alignment horizontal="left" vertical="center"/>
    </xf>
    <xf numFmtId="166" fontId="31" fillId="0" borderId="2" xfId="0" applyNumberFormat="1" applyFont="1" applyBorder="1" applyAlignment="1">
      <alignment horizontal="left" vertical="center"/>
    </xf>
    <xf numFmtId="166" fontId="31" fillId="0" borderId="3" xfId="0" applyNumberFormat="1" applyFont="1" applyBorder="1" applyAlignment="1">
      <alignment horizontal="left" vertical="center"/>
    </xf>
    <xf numFmtId="0" fontId="15" fillId="4" borderId="20" xfId="0" applyFont="1" applyFill="1" applyBorder="1" applyAlignment="1">
      <alignment horizontal="left" vertical="top" shrinkToFit="1"/>
    </xf>
    <xf numFmtId="0" fontId="15" fillId="4" borderId="21" xfId="0" applyFont="1" applyFill="1" applyBorder="1" applyAlignment="1">
      <alignment horizontal="left" vertical="top" shrinkToFit="1"/>
    </xf>
    <xf numFmtId="0" fontId="15" fillId="4" borderId="22" xfId="0" applyFont="1" applyFill="1" applyBorder="1" applyAlignment="1">
      <alignment horizontal="left" vertical="top" shrinkToFit="1"/>
    </xf>
    <xf numFmtId="0" fontId="15" fillId="4" borderId="23" xfId="0" applyFont="1" applyFill="1" applyBorder="1" applyAlignment="1">
      <alignment horizontal="left" vertical="top" shrinkToFit="1"/>
    </xf>
    <xf numFmtId="0" fontId="15" fillId="4" borderId="4" xfId="0" applyFont="1" applyFill="1" applyBorder="1" applyAlignment="1">
      <alignment horizontal="left" vertical="top" shrinkToFit="1"/>
    </xf>
    <xf numFmtId="0" fontId="15" fillId="4" borderId="24" xfId="0" applyFont="1" applyFill="1" applyBorder="1" applyAlignment="1">
      <alignment horizontal="left" vertical="top" shrinkToFit="1"/>
    </xf>
    <xf numFmtId="167" fontId="64" fillId="0" borderId="37" xfId="0" applyNumberFormat="1" applyFont="1" applyBorder="1" applyAlignment="1" applyProtection="1">
      <alignment horizontal="left" vertical="center"/>
      <protection locked="0"/>
    </xf>
    <xf numFmtId="167" fontId="64" fillId="0" borderId="38" xfId="0" applyNumberFormat="1" applyFont="1" applyBorder="1" applyAlignment="1" applyProtection="1">
      <alignment horizontal="left" vertical="center"/>
      <protection locked="0"/>
    </xf>
    <xf numFmtId="167" fontId="64" fillId="0" borderId="39" xfId="0" applyNumberFormat="1" applyFont="1" applyBorder="1" applyAlignment="1" applyProtection="1">
      <alignment horizontal="left" vertical="center"/>
      <protection locked="0"/>
    </xf>
    <xf numFmtId="0" fontId="15" fillId="0" borderId="5" xfId="0" applyFont="1" applyBorder="1" applyAlignment="1" applyProtection="1">
      <alignment horizontal="left" vertical="center"/>
      <protection locked="0"/>
    </xf>
    <xf numFmtId="0" fontId="17" fillId="3" borderId="0" xfId="0" applyFont="1" applyFill="1" applyAlignment="1">
      <alignment horizontal="right" vertical="center" wrapText="1"/>
    </xf>
    <xf numFmtId="0" fontId="1" fillId="3" borderId="27" xfId="0" applyFont="1" applyFill="1" applyBorder="1" applyAlignment="1" applyProtection="1">
      <alignment horizontal="left" vertical="center"/>
      <protection locked="0"/>
    </xf>
    <xf numFmtId="0" fontId="15" fillId="0" borderId="5" xfId="0" applyFont="1" applyBorder="1" applyAlignment="1" applyProtection="1">
      <alignment horizontal="left" vertical="center" wrapText="1"/>
      <protection locked="0"/>
    </xf>
    <xf numFmtId="0" fontId="15" fillId="4" borderId="25" xfId="0" applyFont="1" applyFill="1" applyBorder="1" applyAlignment="1">
      <alignment horizontal="left" vertical="top" shrinkToFit="1"/>
    </xf>
    <xf numFmtId="0" fontId="15" fillId="4" borderId="0" xfId="0" applyFont="1" applyFill="1" applyAlignment="1">
      <alignment horizontal="left" vertical="top" shrinkToFit="1"/>
    </xf>
    <xf numFmtId="0" fontId="15" fillId="4" borderId="6" xfId="0" applyFont="1" applyFill="1" applyBorder="1" applyAlignment="1">
      <alignment horizontal="left" vertical="top" shrinkToFit="1"/>
    </xf>
    <xf numFmtId="0" fontId="1" fillId="3" borderId="27" xfId="0" quotePrefix="1" applyFont="1" applyFill="1" applyBorder="1" applyAlignment="1" applyProtection="1">
      <alignment horizontal="left" vertical="center"/>
      <protection locked="0"/>
    </xf>
    <xf numFmtId="0" fontId="31" fillId="0" borderId="1" xfId="0" applyFont="1" applyBorder="1" applyAlignment="1" applyProtection="1">
      <alignment horizontal="left" vertical="top" wrapText="1"/>
      <protection locked="0"/>
    </xf>
    <xf numFmtId="0" fontId="31" fillId="0" borderId="2" xfId="0" applyFont="1" applyBorder="1" applyAlignment="1" applyProtection="1">
      <alignment horizontal="left" vertical="top" wrapText="1"/>
      <protection locked="0"/>
    </xf>
    <xf numFmtId="0" fontId="31" fillId="0" borderId="3" xfId="0" applyFont="1" applyBorder="1" applyAlignment="1" applyProtection="1">
      <alignment horizontal="left" vertical="top" wrapText="1"/>
      <protection locked="0"/>
    </xf>
    <xf numFmtId="167" fontId="15" fillId="0" borderId="5" xfId="0" applyNumberFormat="1" applyFont="1" applyBorder="1" applyAlignment="1" applyProtection="1">
      <alignment horizontal="left" vertical="center"/>
      <protection locked="0"/>
    </xf>
  </cellXfs>
  <cellStyles count="18">
    <cellStyle name="Comma" xfId="1" builtinId="3"/>
    <cellStyle name="Comma [0] 2" xfId="2" xr:uid="{00000000-0005-0000-0000-000001000000}"/>
    <cellStyle name="Comma [0] 4" xfId="3" xr:uid="{00000000-0005-0000-0000-000002000000}"/>
    <cellStyle name="Comma 2" xfId="4" xr:uid="{00000000-0005-0000-0000-000003000000}"/>
    <cellStyle name="Comma 3" xfId="5" xr:uid="{00000000-0005-0000-0000-000004000000}"/>
    <cellStyle name="Hyperlink" xfId="16" builtinId="8"/>
    <cellStyle name="Normal" xfId="0" builtinId="0"/>
    <cellStyle name="Normal 2" xfId="6" xr:uid="{00000000-0005-0000-0000-000007000000}"/>
    <cellStyle name="Normal 4" xfId="7" xr:uid="{00000000-0005-0000-0000-000008000000}"/>
    <cellStyle name="Percent" xfId="17" builtinId="5"/>
    <cellStyle name="Percent 2" xfId="8" xr:uid="{00000000-0005-0000-0000-00000A000000}"/>
    <cellStyle name="一般 2" xfId="9" xr:uid="{00000000-0005-0000-0000-00000B000000}"/>
    <cellStyle name="一般_PAKPAGE11" xfId="10" xr:uid="{00000000-0005-0000-0000-00000C000000}"/>
    <cellStyle name="桁区切り [0.00] 2" xfId="11" xr:uid="{00000000-0005-0000-0000-00000D000000}"/>
    <cellStyle name="桁区切り [0.00] 3" xfId="12" xr:uid="{00000000-0005-0000-0000-00000E000000}"/>
    <cellStyle name="桁区切り [0.00] 3 2" xfId="13" xr:uid="{00000000-0005-0000-0000-00000F000000}"/>
    <cellStyle name="標準 2" xfId="14" xr:uid="{00000000-0005-0000-0000-000010000000}"/>
    <cellStyle name="標準 3" xfId="15" xr:uid="{00000000-0005-0000-0000-000011000000}"/>
  </cellStyles>
  <dxfs count="0"/>
  <tableStyles count="0" defaultTableStyle="TableStyleMedium9" defaultPivotStyle="PivotStyleLight16"/>
  <colors>
    <mruColors>
      <color rgb="FFFFFFCC"/>
      <color rgb="FF0000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2</xdr:row>
      <xdr:rowOff>95250</xdr:rowOff>
    </xdr:from>
    <xdr:to>
      <xdr:col>6</xdr:col>
      <xdr:colOff>3755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9D5EA-2C19-4619-BAE6-767D59CB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0" y="352425"/>
          <a:ext cx="70860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38100</xdr:colOff>
      <xdr:row>3</xdr:row>
      <xdr:rowOff>0</xdr:rowOff>
    </xdr:from>
    <xdr:to>
      <xdr:col>14</xdr:col>
      <xdr:colOff>94297</xdr:colOff>
      <xdr:row>5</xdr:row>
      <xdr:rowOff>139701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3544D9-1B65-4A1E-B9E7-92221CB01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14450" y="457200"/>
          <a:ext cx="1761172" cy="539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n-filesv\PROJECT\SPECIAL\035.LOG%20Project\04.%20Bidding\2.%20Drayage%20_R2\2025\6.%20Result\FWD%20answer%20-%20Copy\8.%20MBF-%202025%20Bidding%20Format%20Main%20Ve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Format 1 Drayage by trip-HPP"/>
      <sheetName val="Format 2 Drayage by trip-LHP"/>
      <sheetName val="Format 3 Drayage by trip-ICD"/>
      <sheetName val="Format 4- Da Nang shpt"/>
      <sheetName val="Format 5- LCL-AIR Truck"/>
      <sheetName val="Format 6-Spot Domestics"/>
      <sheetName val="Format 7- Customs clearance"/>
      <sheetName val="Format 8- License acquisition"/>
      <sheetName val="Format 9- OT &amp; Other"/>
      <sheetName val="Format 10-Pick up SIK"/>
      <sheetName val="Contact window"/>
    </sheetNames>
    <sheetDataSet>
      <sheetData sheetId="0" refreshError="1"/>
      <sheetData sheetId="1"/>
      <sheetData sheetId="2"/>
      <sheetData sheetId="3">
        <row r="238">
          <cell r="H238" t="str">
            <v>ICDTPTLICDTP</v>
          </cell>
          <cell r="I238">
            <v>130</v>
          </cell>
          <cell r="J238">
            <v>1520000</v>
          </cell>
          <cell r="K238">
            <v>1520000</v>
          </cell>
          <cell r="L238">
            <v>834015</v>
          </cell>
          <cell r="M238">
            <v>834015</v>
          </cell>
          <cell r="N238">
            <v>2354015</v>
          </cell>
          <cell r="O238">
            <v>2354015</v>
          </cell>
        </row>
        <row r="239">
          <cell r="H239" t="str">
            <v>ICDTPTSICDTP</v>
          </cell>
          <cell r="I239">
            <v>40</v>
          </cell>
          <cell r="J239">
            <v>1240000</v>
          </cell>
          <cell r="K239">
            <v>1240000</v>
          </cell>
          <cell r="L239">
            <v>256620</v>
          </cell>
          <cell r="M239">
            <v>256620</v>
          </cell>
          <cell r="N239">
            <v>1496620</v>
          </cell>
          <cell r="O239">
            <v>1496620</v>
          </cell>
        </row>
        <row r="240">
          <cell r="H240" t="str">
            <v>ICDTPQVICDTP</v>
          </cell>
          <cell r="I240">
            <v>60</v>
          </cell>
          <cell r="J240">
            <v>1240000</v>
          </cell>
          <cell r="K240">
            <v>1240000</v>
          </cell>
          <cell r="L240">
            <v>384930</v>
          </cell>
          <cell r="M240">
            <v>384930</v>
          </cell>
          <cell r="N240">
            <v>1624930</v>
          </cell>
          <cell r="O240">
            <v>1624930</v>
          </cell>
        </row>
        <row r="241">
          <cell r="H241" t="str">
            <v>ICDTPTLTSICDTP</v>
          </cell>
          <cell r="I241">
            <v>140</v>
          </cell>
          <cell r="J241">
            <v>1850000</v>
          </cell>
          <cell r="K241">
            <v>1850000</v>
          </cell>
          <cell r="L241">
            <v>898170</v>
          </cell>
          <cell r="M241">
            <v>898170</v>
          </cell>
          <cell r="N241">
            <v>2748170</v>
          </cell>
          <cell r="O241">
            <v>2748170</v>
          </cell>
        </row>
        <row r="242">
          <cell r="H242" t="str">
            <v>ICDTPTLQVICDTP</v>
          </cell>
          <cell r="I242">
            <v>150</v>
          </cell>
          <cell r="J242">
            <v>1950000</v>
          </cell>
          <cell r="K242">
            <v>1950000</v>
          </cell>
          <cell r="L242">
            <v>962325</v>
          </cell>
          <cell r="M242">
            <v>962325</v>
          </cell>
          <cell r="N242">
            <v>2912325</v>
          </cell>
          <cell r="O242">
            <v>2912325</v>
          </cell>
        </row>
        <row r="243">
          <cell r="H243" t="str">
            <v>ICDTPTSQVICDTP</v>
          </cell>
          <cell r="I243">
            <v>70</v>
          </cell>
          <cell r="J243">
            <v>1450000</v>
          </cell>
          <cell r="K243">
            <v>1450000</v>
          </cell>
          <cell r="L243">
            <v>449085</v>
          </cell>
          <cell r="M243">
            <v>449085</v>
          </cell>
          <cell r="N243">
            <v>1899085</v>
          </cell>
          <cell r="O243">
            <v>1899085</v>
          </cell>
        </row>
        <row r="244">
          <cell r="H244" t="str">
            <v>ICDTPTLTSQVICDTP</v>
          </cell>
          <cell r="I244">
            <v>170</v>
          </cell>
          <cell r="J244">
            <v>1910000</v>
          </cell>
          <cell r="K244">
            <v>1910000</v>
          </cell>
          <cell r="L244">
            <v>1090635</v>
          </cell>
          <cell r="M244">
            <v>1090635</v>
          </cell>
          <cell r="N244">
            <v>3000635</v>
          </cell>
          <cell r="O244">
            <v>3000635</v>
          </cell>
        </row>
        <row r="245">
          <cell r="H245" t="str">
            <v>ICDTPCEVICDTP</v>
          </cell>
          <cell r="I245">
            <v>70</v>
          </cell>
          <cell r="J245">
            <v>2000000</v>
          </cell>
          <cell r="K245">
            <v>2000000</v>
          </cell>
          <cell r="L245">
            <v>449085</v>
          </cell>
          <cell r="M245">
            <v>449085</v>
          </cell>
          <cell r="N245">
            <v>2449085</v>
          </cell>
          <cell r="O245">
            <v>2449085</v>
          </cell>
        </row>
        <row r="246">
          <cell r="H246" t="str">
            <v>ICDTPCEVTLICDTP</v>
          </cell>
          <cell r="I246">
            <v>140</v>
          </cell>
          <cell r="J246">
            <v>3250000</v>
          </cell>
          <cell r="K246">
            <v>3250000</v>
          </cell>
          <cell r="L246">
            <v>898170</v>
          </cell>
          <cell r="M246">
            <v>898170</v>
          </cell>
          <cell r="N246">
            <v>4148170</v>
          </cell>
          <cell r="O246">
            <v>4148170</v>
          </cell>
        </row>
        <row r="247">
          <cell r="H247" t="str">
            <v>ICDTPCEVTSICDTP</v>
          </cell>
          <cell r="I247">
            <v>100</v>
          </cell>
          <cell r="J247">
            <v>2300000</v>
          </cell>
          <cell r="K247">
            <v>2300000</v>
          </cell>
          <cell r="L247">
            <v>641550</v>
          </cell>
          <cell r="M247">
            <v>641550</v>
          </cell>
          <cell r="N247">
            <v>2941550</v>
          </cell>
          <cell r="O247">
            <v>2941550</v>
          </cell>
        </row>
        <row r="248">
          <cell r="H248" t="str">
            <v>ICDTPVSIPICDTP</v>
          </cell>
          <cell r="I248">
            <v>40</v>
          </cell>
          <cell r="J248">
            <v>1250000</v>
          </cell>
          <cell r="K248">
            <v>1250000</v>
          </cell>
          <cell r="L248">
            <v>256620</v>
          </cell>
          <cell r="M248">
            <v>256620</v>
          </cell>
          <cell r="N248">
            <v>1506620</v>
          </cell>
          <cell r="O248">
            <v>1506620</v>
          </cell>
        </row>
        <row r="249">
          <cell r="H249" t="str">
            <v>ICDTPVSIPTSICDTP</v>
          </cell>
          <cell r="I249">
            <v>60</v>
          </cell>
          <cell r="J249">
            <v>1460000</v>
          </cell>
          <cell r="K249">
            <v>1460000</v>
          </cell>
          <cell r="L249">
            <v>384930</v>
          </cell>
          <cell r="M249">
            <v>384930</v>
          </cell>
          <cell r="N249">
            <v>1844930</v>
          </cell>
          <cell r="O249">
            <v>1844930</v>
          </cell>
        </row>
        <row r="250">
          <cell r="H250" t="str">
            <v>ICDTPVSIPQVICDTP</v>
          </cell>
          <cell r="I250">
            <v>80</v>
          </cell>
          <cell r="J250">
            <v>1430000</v>
          </cell>
          <cell r="K250">
            <v>1430000</v>
          </cell>
          <cell r="L250">
            <v>513240</v>
          </cell>
          <cell r="M250">
            <v>513240</v>
          </cell>
          <cell r="N250">
            <v>1943240</v>
          </cell>
          <cell r="O250">
            <v>1943240</v>
          </cell>
        </row>
        <row r="251">
          <cell r="H251" t="str">
            <v>ICDTPVSIPTSQVICDTP</v>
          </cell>
          <cell r="I251">
            <v>85</v>
          </cell>
          <cell r="J251">
            <v>2000000</v>
          </cell>
          <cell r="K251">
            <v>2000000</v>
          </cell>
          <cell r="L251">
            <v>545318</v>
          </cell>
          <cell r="M251">
            <v>545318</v>
          </cell>
          <cell r="N251">
            <v>2545318</v>
          </cell>
          <cell r="O251">
            <v>2545318</v>
          </cell>
        </row>
        <row r="252">
          <cell r="H252" t="str">
            <v>ICDTPTL(IM ICDTP)</v>
          </cell>
          <cell r="I252">
            <v>65</v>
          </cell>
          <cell r="J252">
            <v>1200000</v>
          </cell>
          <cell r="K252">
            <v>1200000</v>
          </cell>
          <cell r="L252">
            <v>476580</v>
          </cell>
          <cell r="M252">
            <v>476580</v>
          </cell>
          <cell r="N252">
            <v>1676580</v>
          </cell>
          <cell r="O252">
            <v>1676580</v>
          </cell>
        </row>
        <row r="253">
          <cell r="H253" t="str">
            <v>TL(IM ICDTP)TLICDTP</v>
          </cell>
          <cell r="I253">
            <v>65</v>
          </cell>
          <cell r="J253">
            <v>1200000</v>
          </cell>
          <cell r="K253">
            <v>1200000</v>
          </cell>
          <cell r="L253">
            <v>476580</v>
          </cell>
          <cell r="M253">
            <v>476580</v>
          </cell>
          <cell r="N253">
            <v>1676580</v>
          </cell>
          <cell r="O253">
            <v>1676580</v>
          </cell>
        </row>
        <row r="254">
          <cell r="H254" t="str">
            <v>ICDTPTL(IM ICDTP)</v>
          </cell>
          <cell r="I254">
            <v>65</v>
          </cell>
          <cell r="J254">
            <v>1200000</v>
          </cell>
          <cell r="K254">
            <v>1200000</v>
          </cell>
          <cell r="L254">
            <v>476580</v>
          </cell>
          <cell r="M254">
            <v>476580</v>
          </cell>
          <cell r="N254">
            <v>1676580</v>
          </cell>
          <cell r="O254">
            <v>1676580</v>
          </cell>
        </row>
        <row r="255">
          <cell r="H255" t="str">
            <v>TL(IM ICDTP)TSICDTP</v>
          </cell>
          <cell r="I255">
            <v>75</v>
          </cell>
          <cell r="J255">
            <v>1350000</v>
          </cell>
          <cell r="K255">
            <v>1350000</v>
          </cell>
          <cell r="L255">
            <v>549900</v>
          </cell>
          <cell r="M255">
            <v>549900</v>
          </cell>
          <cell r="N255">
            <v>1899900</v>
          </cell>
          <cell r="O255">
            <v>1899900</v>
          </cell>
        </row>
        <row r="256">
          <cell r="H256" t="str">
            <v>ICDTPTL(IM ICDTP)</v>
          </cell>
          <cell r="I256">
            <v>65</v>
          </cell>
          <cell r="J256">
            <v>1200000</v>
          </cell>
          <cell r="K256">
            <v>1200000</v>
          </cell>
          <cell r="L256">
            <v>476580</v>
          </cell>
          <cell r="M256">
            <v>476580</v>
          </cell>
          <cell r="N256">
            <v>1676580</v>
          </cell>
          <cell r="O256">
            <v>1676580</v>
          </cell>
        </row>
        <row r="257">
          <cell r="H257" t="str">
            <v>TL(IM ICDTP)QVICDTP</v>
          </cell>
          <cell r="I257">
            <v>85</v>
          </cell>
          <cell r="J257">
            <v>1350000</v>
          </cell>
          <cell r="K257">
            <v>1350000</v>
          </cell>
          <cell r="L257">
            <v>623220</v>
          </cell>
          <cell r="M257">
            <v>623220</v>
          </cell>
          <cell r="N257">
            <v>1973220</v>
          </cell>
          <cell r="O257">
            <v>1973220</v>
          </cell>
        </row>
        <row r="258">
          <cell r="H258" t="str">
            <v>ICDTPTS(IM ICDTP)</v>
          </cell>
          <cell r="I258">
            <v>20</v>
          </cell>
          <cell r="J258">
            <v>1100000</v>
          </cell>
          <cell r="K258">
            <v>1100000</v>
          </cell>
          <cell r="L258">
            <v>146640</v>
          </cell>
          <cell r="M258">
            <v>146640</v>
          </cell>
          <cell r="N258">
            <v>1246640</v>
          </cell>
          <cell r="O258">
            <v>1246640</v>
          </cell>
        </row>
        <row r="259">
          <cell r="H259" t="str">
            <v>TS(IM ICDTP)TLICDTP</v>
          </cell>
          <cell r="I259">
            <v>120</v>
          </cell>
          <cell r="J259">
            <v>1650000</v>
          </cell>
          <cell r="K259">
            <v>1650000</v>
          </cell>
          <cell r="L259">
            <v>879840</v>
          </cell>
          <cell r="M259">
            <v>879840</v>
          </cell>
          <cell r="N259">
            <v>2529840</v>
          </cell>
          <cell r="O259">
            <v>2529840</v>
          </cell>
        </row>
        <row r="260">
          <cell r="H260" t="str">
            <v>ICDTPTS(IM ICDTP)</v>
          </cell>
          <cell r="I260">
            <v>20</v>
          </cell>
          <cell r="J260">
            <v>1100000</v>
          </cell>
          <cell r="K260">
            <v>1100000</v>
          </cell>
          <cell r="L260">
            <v>146640</v>
          </cell>
          <cell r="M260">
            <v>146640</v>
          </cell>
          <cell r="N260">
            <v>1246640</v>
          </cell>
          <cell r="O260">
            <v>1246640</v>
          </cell>
        </row>
        <row r="261">
          <cell r="H261" t="str">
            <v>TS(IM ICDTP)TSICDTP</v>
          </cell>
          <cell r="I261">
            <v>20</v>
          </cell>
          <cell r="J261">
            <v>1100000</v>
          </cell>
          <cell r="K261">
            <v>1100000</v>
          </cell>
          <cell r="L261">
            <v>146640</v>
          </cell>
          <cell r="M261">
            <v>146640</v>
          </cell>
          <cell r="N261">
            <v>1246640</v>
          </cell>
          <cell r="O261">
            <v>1246640</v>
          </cell>
        </row>
        <row r="262">
          <cell r="H262" t="str">
            <v>ICDTPTS(IM ICDTP)</v>
          </cell>
          <cell r="I262">
            <v>20</v>
          </cell>
          <cell r="J262">
            <v>1100000</v>
          </cell>
          <cell r="K262">
            <v>1100000</v>
          </cell>
          <cell r="L262">
            <v>146640</v>
          </cell>
          <cell r="M262">
            <v>146640</v>
          </cell>
          <cell r="N262">
            <v>1246640</v>
          </cell>
          <cell r="O262">
            <v>1246640</v>
          </cell>
        </row>
        <row r="263">
          <cell r="H263" t="str">
            <v>TS(IM ICDTP)QVICDTP</v>
          </cell>
          <cell r="I263">
            <v>50</v>
          </cell>
          <cell r="J263">
            <v>1250000</v>
          </cell>
          <cell r="K263">
            <v>1250000</v>
          </cell>
          <cell r="L263">
            <v>366600</v>
          </cell>
          <cell r="M263">
            <v>366600</v>
          </cell>
          <cell r="N263">
            <v>1616600</v>
          </cell>
          <cell r="O263">
            <v>1616600</v>
          </cell>
        </row>
        <row r="264">
          <cell r="H264" t="str">
            <v>ICDTPQV(IM ICDTP)</v>
          </cell>
          <cell r="I264">
            <v>30</v>
          </cell>
          <cell r="J264">
            <v>1100000</v>
          </cell>
          <cell r="K264">
            <v>1100000</v>
          </cell>
          <cell r="L264">
            <v>219960</v>
          </cell>
          <cell r="M264">
            <v>219960</v>
          </cell>
          <cell r="N264">
            <v>1319960</v>
          </cell>
          <cell r="O264">
            <v>1319960</v>
          </cell>
        </row>
        <row r="265">
          <cell r="H265" t="str">
            <v>QV(IM ICDTP)TLICDTP</v>
          </cell>
          <cell r="I265">
            <v>120</v>
          </cell>
          <cell r="J265">
            <v>1650000</v>
          </cell>
          <cell r="K265">
            <v>1650000</v>
          </cell>
          <cell r="L265">
            <v>879840</v>
          </cell>
          <cell r="M265">
            <v>879840</v>
          </cell>
          <cell r="N265">
            <v>2529840</v>
          </cell>
          <cell r="O265">
            <v>2529840</v>
          </cell>
        </row>
        <row r="266">
          <cell r="H266" t="str">
            <v>ICDTPQV(IM ICDTP)</v>
          </cell>
          <cell r="I266">
            <v>30</v>
          </cell>
          <cell r="J266">
            <v>1100000</v>
          </cell>
          <cell r="K266">
            <v>1100000</v>
          </cell>
          <cell r="L266">
            <v>219960</v>
          </cell>
          <cell r="M266">
            <v>219960</v>
          </cell>
          <cell r="N266">
            <v>1319960</v>
          </cell>
          <cell r="O266">
            <v>1319960</v>
          </cell>
        </row>
        <row r="267">
          <cell r="H267" t="str">
            <v>QV(IM ICDTP)TSICDTP</v>
          </cell>
          <cell r="I267">
            <v>50</v>
          </cell>
          <cell r="J267">
            <v>1250000</v>
          </cell>
          <cell r="K267">
            <v>1250000</v>
          </cell>
          <cell r="L267">
            <v>366600</v>
          </cell>
          <cell r="M267">
            <v>366600</v>
          </cell>
          <cell r="N267">
            <v>1616600</v>
          </cell>
          <cell r="O267">
            <v>1616600</v>
          </cell>
        </row>
        <row r="268">
          <cell r="H268" t="str">
            <v>ICDTPQV(IM ICDTP)</v>
          </cell>
          <cell r="I268">
            <v>30</v>
          </cell>
          <cell r="J268">
            <v>1100000</v>
          </cell>
          <cell r="K268">
            <v>1100000</v>
          </cell>
          <cell r="L268">
            <v>219960</v>
          </cell>
          <cell r="M268">
            <v>219960</v>
          </cell>
          <cell r="N268">
            <v>1319960</v>
          </cell>
          <cell r="O268">
            <v>1319960</v>
          </cell>
        </row>
        <row r="269">
          <cell r="H269" t="str">
            <v>QV(IM ICDTP)QVICDTP</v>
          </cell>
          <cell r="I269">
            <v>30</v>
          </cell>
          <cell r="J269">
            <v>1100000</v>
          </cell>
          <cell r="K269">
            <v>1100000</v>
          </cell>
          <cell r="L269">
            <v>219960</v>
          </cell>
          <cell r="M269">
            <v>219960</v>
          </cell>
          <cell r="N269">
            <v>1319960</v>
          </cell>
          <cell r="O269">
            <v>1319960</v>
          </cell>
        </row>
        <row r="270">
          <cell r="H270" t="str">
            <v>VPTLICDTP</v>
          </cell>
          <cell r="N270">
            <v>0</v>
          </cell>
          <cell r="O270">
            <v>0</v>
          </cell>
        </row>
        <row r="271">
          <cell r="H271" t="str">
            <v>VPTSICDTP</v>
          </cell>
          <cell r="N271">
            <v>0</v>
          </cell>
          <cell r="O271">
            <v>0</v>
          </cell>
        </row>
        <row r="272">
          <cell r="H272" t="str">
            <v>VPQVICDTP</v>
          </cell>
          <cell r="N272">
            <v>0</v>
          </cell>
          <cell r="O272">
            <v>0</v>
          </cell>
        </row>
        <row r="273">
          <cell r="H273" t="str">
            <v>HNTLICDTP</v>
          </cell>
          <cell r="I273">
            <v>80</v>
          </cell>
          <cell r="J273">
            <v>1800000</v>
          </cell>
          <cell r="K273">
            <v>1800000</v>
          </cell>
          <cell r="L273">
            <v>586560</v>
          </cell>
          <cell r="M273">
            <v>586560</v>
          </cell>
          <cell r="N273">
            <v>2386560</v>
          </cell>
          <cell r="O273">
            <v>2386560</v>
          </cell>
        </row>
        <row r="274">
          <cell r="H274" t="str">
            <v>HNTSICDTP</v>
          </cell>
          <cell r="I274">
            <v>70</v>
          </cell>
          <cell r="J274">
            <v>1600000</v>
          </cell>
          <cell r="K274">
            <v>1600000</v>
          </cell>
          <cell r="L274">
            <v>513240</v>
          </cell>
          <cell r="M274">
            <v>513240</v>
          </cell>
          <cell r="N274">
            <v>2113240</v>
          </cell>
          <cell r="O274">
            <v>2113240</v>
          </cell>
        </row>
        <row r="275">
          <cell r="H275" t="str">
            <v>HNQVICDTP</v>
          </cell>
          <cell r="I275">
            <v>80</v>
          </cell>
          <cell r="J275">
            <v>1600000</v>
          </cell>
          <cell r="K275">
            <v>1600000</v>
          </cell>
          <cell r="L275">
            <v>586560</v>
          </cell>
          <cell r="M275">
            <v>586560</v>
          </cell>
          <cell r="N275">
            <v>2186560</v>
          </cell>
          <cell r="O275">
            <v>2186560</v>
          </cell>
        </row>
        <row r="276">
          <cell r="H276" t="str">
            <v>BGTLICDTP</v>
          </cell>
          <cell r="I276">
            <v>150</v>
          </cell>
          <cell r="J276">
            <v>2280000</v>
          </cell>
          <cell r="K276">
            <v>2280000</v>
          </cell>
          <cell r="L276">
            <v>1099800</v>
          </cell>
          <cell r="M276">
            <v>1099800</v>
          </cell>
          <cell r="N276">
            <v>3379800</v>
          </cell>
          <cell r="O276">
            <v>3379800</v>
          </cell>
        </row>
        <row r="277">
          <cell r="H277" t="str">
            <v>BGTSICDTP</v>
          </cell>
          <cell r="I277">
            <v>60</v>
          </cell>
          <cell r="J277">
            <v>1600000</v>
          </cell>
          <cell r="K277">
            <v>1600000</v>
          </cell>
          <cell r="L277">
            <v>439920</v>
          </cell>
          <cell r="M277">
            <v>439920</v>
          </cell>
          <cell r="N277">
            <v>2039920</v>
          </cell>
          <cell r="O277">
            <v>2039920</v>
          </cell>
        </row>
        <row r="278">
          <cell r="H278" t="str">
            <v>BGQVICDTP</v>
          </cell>
          <cell r="I278">
            <v>70</v>
          </cell>
          <cell r="J278">
            <v>1600000</v>
          </cell>
          <cell r="K278">
            <v>1600000</v>
          </cell>
          <cell r="L278">
            <v>513240</v>
          </cell>
          <cell r="M278">
            <v>513240</v>
          </cell>
          <cell r="N278">
            <v>2113240</v>
          </cell>
          <cell r="O278">
            <v>2113240</v>
          </cell>
        </row>
        <row r="279">
          <cell r="H279" t="str">
            <v>YPIZTLICDTP</v>
          </cell>
          <cell r="N279">
            <v>0</v>
          </cell>
          <cell r="O279">
            <v>0</v>
          </cell>
        </row>
        <row r="280">
          <cell r="H280" t="str">
            <v>YPIZTSICDTP</v>
          </cell>
          <cell r="N280">
            <v>0</v>
          </cell>
          <cell r="O280">
            <v>0</v>
          </cell>
        </row>
        <row r="281">
          <cell r="H281" t="str">
            <v>YPIZQVICDTP</v>
          </cell>
          <cell r="N281">
            <v>0</v>
          </cell>
          <cell r="O281">
            <v>0</v>
          </cell>
        </row>
        <row r="282">
          <cell r="H282" t="str">
            <v>HSIPTLICDTP</v>
          </cell>
          <cell r="N282">
            <v>0</v>
          </cell>
          <cell r="O282">
            <v>0</v>
          </cell>
        </row>
        <row r="283">
          <cell r="H283" t="str">
            <v>HSIPTSICDTP</v>
          </cell>
          <cell r="N283">
            <v>0</v>
          </cell>
          <cell r="O283">
            <v>0</v>
          </cell>
        </row>
        <row r="284">
          <cell r="H284" t="str">
            <v>HSIPQVICDTP</v>
          </cell>
          <cell r="N284">
            <v>0</v>
          </cell>
          <cell r="O284">
            <v>0</v>
          </cell>
        </row>
        <row r="285">
          <cell r="H285" t="str">
            <v>VSIPTLICDTP</v>
          </cell>
          <cell r="N285">
            <v>0</v>
          </cell>
          <cell r="O285">
            <v>0</v>
          </cell>
        </row>
        <row r="286">
          <cell r="H286" t="str">
            <v>VSIPTSICDTP</v>
          </cell>
          <cell r="N286">
            <v>0</v>
          </cell>
          <cell r="O286">
            <v>0</v>
          </cell>
        </row>
        <row r="287">
          <cell r="H287" t="str">
            <v>VSIPQVICDTP</v>
          </cell>
          <cell r="N287">
            <v>0</v>
          </cell>
          <cell r="O287">
            <v>0</v>
          </cell>
        </row>
        <row r="288">
          <cell r="H288" t="str">
            <v>HYTLICDTP</v>
          </cell>
          <cell r="I288">
            <v>110</v>
          </cell>
          <cell r="J288">
            <v>2280000</v>
          </cell>
          <cell r="K288">
            <v>2280000</v>
          </cell>
          <cell r="L288">
            <v>806520</v>
          </cell>
          <cell r="M288">
            <v>806520</v>
          </cell>
          <cell r="N288">
            <v>3086520</v>
          </cell>
          <cell r="O288">
            <v>3086520</v>
          </cell>
        </row>
        <row r="289">
          <cell r="H289" t="str">
            <v>HYTSICDTP</v>
          </cell>
          <cell r="I289">
            <v>60</v>
          </cell>
          <cell r="J289">
            <v>1600000</v>
          </cell>
          <cell r="K289">
            <v>1600000</v>
          </cell>
          <cell r="L289">
            <v>439920</v>
          </cell>
          <cell r="M289">
            <v>439920</v>
          </cell>
          <cell r="N289">
            <v>2039920</v>
          </cell>
          <cell r="O289">
            <v>2039920</v>
          </cell>
        </row>
        <row r="290">
          <cell r="H290" t="str">
            <v>HYQVICDTP</v>
          </cell>
          <cell r="I290">
            <v>80</v>
          </cell>
          <cell r="J290">
            <v>1600000</v>
          </cell>
          <cell r="K290">
            <v>1600000</v>
          </cell>
          <cell r="L290">
            <v>586560</v>
          </cell>
          <cell r="M290">
            <v>586560</v>
          </cell>
          <cell r="N290">
            <v>2186560</v>
          </cell>
          <cell r="O290">
            <v>2186560</v>
          </cell>
        </row>
        <row r="291">
          <cell r="H291" t="str">
            <v>HDTLICDTP</v>
          </cell>
          <cell r="N291">
            <v>0</v>
          </cell>
          <cell r="O291">
            <v>0</v>
          </cell>
        </row>
        <row r="292">
          <cell r="H292" t="str">
            <v>HDTSICDTP</v>
          </cell>
          <cell r="N292">
            <v>0</v>
          </cell>
          <cell r="O292">
            <v>0</v>
          </cell>
        </row>
        <row r="293">
          <cell r="H293" t="str">
            <v>HDQVICDTP</v>
          </cell>
          <cell r="N293">
            <v>0</v>
          </cell>
          <cell r="O29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huy_nguyen@mbf.com.v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R60"/>
  <sheetViews>
    <sheetView showGridLines="0" view="pageBreakPreview" topLeftCell="A10" zoomScaleNormal="100" zoomScaleSheetLayoutView="100" workbookViewId="0">
      <selection activeCell="Q30" sqref="Q30"/>
    </sheetView>
  </sheetViews>
  <sheetFormatPr defaultColWidth="9" defaultRowHeight="14.4"/>
  <cols>
    <col min="1" max="2" width="3.6640625" style="4" customWidth="1"/>
    <col min="3" max="8" width="2.6640625" style="4" customWidth="1"/>
    <col min="9" max="9" width="4" style="4" customWidth="1"/>
    <col min="10" max="22" width="2.6640625" style="4" customWidth="1"/>
    <col min="23" max="23" width="3.21875" style="4" customWidth="1"/>
    <col min="24" max="24" width="3.44140625" style="4" customWidth="1"/>
    <col min="25" max="26" width="2.6640625" style="4" customWidth="1"/>
    <col min="27" max="27" width="4.44140625" style="4" customWidth="1"/>
    <col min="28" max="30" width="2.6640625" style="4" customWidth="1"/>
    <col min="31" max="33" width="2.88671875" style="4" customWidth="1"/>
    <col min="34" max="38" width="2.6640625" style="4" customWidth="1"/>
    <col min="39" max="39" width="2" style="4" customWidth="1"/>
    <col min="40" max="44" width="2.6640625" style="4" customWidth="1"/>
    <col min="45" max="45" width="7.21875" style="4" customWidth="1"/>
    <col min="46" max="46" width="3.6640625" style="2" customWidth="1"/>
    <col min="47" max="48" width="9" style="2" customWidth="1"/>
    <col min="49" max="49" width="9" style="3" customWidth="1"/>
    <col min="50" max="72" width="9" style="1" customWidth="1"/>
    <col min="73" max="16384" width="9" style="4"/>
  </cols>
  <sheetData>
    <row r="1" spans="2:96" ht="5.0999999999999996" customHeight="1"/>
    <row r="2" spans="2:96" ht="15.9" customHeight="1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</row>
    <row r="3" spans="2:96" ht="15.9" customHeight="1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399" t="s">
        <v>70</v>
      </c>
      <c r="AE3" s="399"/>
      <c r="AF3" s="399"/>
      <c r="AG3" s="399"/>
      <c r="AH3" s="399"/>
      <c r="AI3" s="399"/>
      <c r="AJ3" s="399"/>
      <c r="AK3" s="399"/>
      <c r="AL3" s="399"/>
      <c r="AM3" s="399"/>
      <c r="AN3" s="399"/>
      <c r="AO3" s="399"/>
      <c r="AP3" s="399"/>
      <c r="AQ3" s="399"/>
      <c r="AR3" s="399"/>
      <c r="AS3" s="399"/>
    </row>
    <row r="4" spans="2:96" ht="15.9" customHeight="1"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399" t="s">
        <v>404</v>
      </c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</row>
    <row r="5" spans="2:96" ht="15.9" customHeight="1"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399" t="s">
        <v>71</v>
      </c>
      <c r="AA5" s="399"/>
      <c r="AB5" s="399"/>
      <c r="AC5" s="399"/>
      <c r="AD5" s="399"/>
      <c r="AE5" s="399"/>
      <c r="AF5" s="399"/>
      <c r="AG5" s="399"/>
      <c r="AH5" s="399"/>
      <c r="AI5" s="399"/>
      <c r="AJ5" s="399"/>
      <c r="AK5" s="399"/>
      <c r="AL5" s="399"/>
      <c r="AM5" s="399"/>
      <c r="AN5" s="399"/>
      <c r="AO5" s="399"/>
      <c r="AP5" s="399"/>
      <c r="AQ5" s="399"/>
      <c r="AR5" s="399"/>
      <c r="AS5" s="399"/>
    </row>
    <row r="6" spans="2:96" ht="15.9" customHeight="1"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7"/>
      <c r="AE6" s="77"/>
      <c r="AF6" s="77"/>
      <c r="AG6" s="74"/>
      <c r="AH6" s="76"/>
      <c r="AI6" s="76"/>
      <c r="AJ6" s="76"/>
      <c r="AK6" s="76"/>
      <c r="AL6" s="76"/>
      <c r="AM6" s="76"/>
      <c r="AN6" s="399" t="s">
        <v>72</v>
      </c>
      <c r="AO6" s="399"/>
      <c r="AP6" s="399"/>
      <c r="AQ6" s="399"/>
      <c r="AR6" s="399"/>
      <c r="AS6" s="399"/>
    </row>
    <row r="7" spans="2:96" ht="15.9" customHeight="1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</row>
    <row r="8" spans="2:96" ht="12" customHeight="1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</row>
    <row r="9" spans="2:96" s="6" customFormat="1" ht="54.9" customHeight="1">
      <c r="B9" s="356" t="s">
        <v>3</v>
      </c>
      <c r="C9" s="356"/>
      <c r="D9" s="356"/>
      <c r="E9" s="382" t="s">
        <v>18</v>
      </c>
      <c r="F9" s="383"/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  <c r="Z9" s="383"/>
      <c r="AA9" s="383"/>
      <c r="AB9" s="383"/>
      <c r="AC9" s="383"/>
      <c r="AD9" s="383"/>
      <c r="AE9" s="356" t="s">
        <v>19</v>
      </c>
      <c r="AF9" s="356"/>
      <c r="AG9" s="356"/>
      <c r="AH9" s="375" t="s">
        <v>32</v>
      </c>
      <c r="AI9" s="376"/>
      <c r="AJ9" s="376"/>
      <c r="AK9" s="376"/>
      <c r="AL9" s="377"/>
      <c r="AM9" s="386" t="s">
        <v>482</v>
      </c>
      <c r="AN9" s="387"/>
      <c r="AO9" s="387"/>
      <c r="AP9" s="387"/>
      <c r="AQ9" s="387"/>
      <c r="AR9" s="387"/>
      <c r="AS9" s="388"/>
      <c r="AT9" s="5"/>
      <c r="AU9" s="5"/>
      <c r="AV9" s="5"/>
      <c r="AW9" s="5"/>
      <c r="AX9" s="5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</row>
    <row r="10" spans="2:96" s="6" customFormat="1" ht="15.9" customHeight="1">
      <c r="B10" s="389" t="s">
        <v>4</v>
      </c>
      <c r="C10" s="390"/>
      <c r="D10" s="391"/>
      <c r="E10" s="401" t="s">
        <v>403</v>
      </c>
      <c r="F10" s="398"/>
      <c r="G10" s="398"/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56" t="s">
        <v>23</v>
      </c>
      <c r="AF10" s="356"/>
      <c r="AG10" s="356"/>
      <c r="AH10" s="384">
        <v>46192</v>
      </c>
      <c r="AI10" s="384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5"/>
      <c r="AU10" s="5"/>
      <c r="AV10" s="5"/>
      <c r="AW10" s="5"/>
      <c r="AX10" s="5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</row>
    <row r="11" spans="2:96" s="6" customFormat="1" ht="15.9" customHeight="1">
      <c r="B11" s="392"/>
      <c r="C11" s="393"/>
      <c r="D11" s="394"/>
      <c r="E11" s="398" t="s">
        <v>405</v>
      </c>
      <c r="F11" s="398"/>
      <c r="G11" s="398"/>
      <c r="H11" s="398"/>
      <c r="I11" s="398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56" t="s">
        <v>24</v>
      </c>
      <c r="AF11" s="356"/>
      <c r="AG11" s="356"/>
      <c r="AH11" s="395">
        <f>AH10</f>
        <v>46192</v>
      </c>
      <c r="AI11" s="396"/>
      <c r="AJ11" s="396"/>
      <c r="AK11" s="396"/>
      <c r="AL11" s="396"/>
      <c r="AM11" s="396"/>
      <c r="AN11" s="396"/>
      <c r="AO11" s="396"/>
      <c r="AP11" s="396"/>
      <c r="AQ11" s="396"/>
      <c r="AR11" s="396"/>
      <c r="AS11" s="397"/>
      <c r="AT11" s="5"/>
      <c r="AU11" s="5"/>
      <c r="AV11" s="5"/>
      <c r="AW11" s="5"/>
      <c r="AX11" s="5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</row>
    <row r="12" spans="2:96" s="6" customFormat="1" ht="51.9" customHeight="1">
      <c r="B12" s="356" t="s">
        <v>5</v>
      </c>
      <c r="C12" s="356"/>
      <c r="D12" s="356"/>
      <c r="E12" s="385" t="s">
        <v>20</v>
      </c>
      <c r="F12" s="380"/>
      <c r="G12" s="380"/>
      <c r="H12" s="380"/>
      <c r="I12" s="380"/>
      <c r="J12" s="380"/>
      <c r="K12" s="380"/>
      <c r="L12" s="380"/>
      <c r="M12" s="380"/>
      <c r="N12" s="380"/>
      <c r="O12" s="378"/>
      <c r="P12" s="378"/>
      <c r="Q12" s="378"/>
      <c r="R12" s="379"/>
      <c r="S12" s="380"/>
      <c r="T12" s="380"/>
      <c r="U12" s="380"/>
      <c r="V12" s="380"/>
      <c r="W12" s="380"/>
      <c r="X12" s="380"/>
      <c r="Y12" s="380"/>
      <c r="Z12" s="380"/>
      <c r="AA12" s="380"/>
      <c r="AB12" s="380"/>
      <c r="AC12" s="380"/>
      <c r="AD12" s="381"/>
      <c r="AE12" s="356" t="s">
        <v>25</v>
      </c>
      <c r="AF12" s="356"/>
      <c r="AG12" s="356"/>
      <c r="AH12" s="409" t="s">
        <v>22</v>
      </c>
      <c r="AI12" s="409"/>
      <c r="AJ12" s="409"/>
      <c r="AK12" s="409"/>
      <c r="AL12" s="409"/>
      <c r="AM12" s="409"/>
      <c r="AN12" s="409"/>
      <c r="AO12" s="409"/>
      <c r="AP12" s="409"/>
      <c r="AQ12" s="409"/>
      <c r="AR12" s="409"/>
      <c r="AS12" s="409"/>
      <c r="AT12" s="5"/>
      <c r="AU12" s="5"/>
      <c r="AV12" s="5"/>
      <c r="AW12" s="5"/>
      <c r="AX12" s="5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</row>
    <row r="13" spans="2:96" s="6" customFormat="1" ht="20.100000000000001" customHeight="1">
      <c r="B13" s="356" t="s">
        <v>6</v>
      </c>
      <c r="C13" s="356"/>
      <c r="D13" s="356"/>
      <c r="E13" s="398"/>
      <c r="F13" s="398"/>
      <c r="G13" s="398"/>
      <c r="H13" s="398"/>
      <c r="I13" s="398"/>
      <c r="J13" s="398"/>
      <c r="K13" s="398"/>
      <c r="L13" s="398"/>
      <c r="M13" s="398"/>
      <c r="N13" s="398"/>
      <c r="O13" s="398"/>
      <c r="P13" s="398"/>
      <c r="Q13" s="398"/>
      <c r="R13" s="398"/>
      <c r="S13" s="398"/>
      <c r="T13" s="398"/>
      <c r="U13" s="398"/>
      <c r="V13" s="398"/>
      <c r="W13" s="398"/>
      <c r="X13" s="398"/>
      <c r="Y13" s="398"/>
      <c r="Z13" s="398"/>
      <c r="AA13" s="398"/>
      <c r="AB13" s="398"/>
      <c r="AC13" s="398"/>
      <c r="AD13" s="398"/>
      <c r="AE13" s="389" t="s">
        <v>10</v>
      </c>
      <c r="AF13" s="390"/>
      <c r="AG13" s="391"/>
      <c r="AH13" s="365" t="s">
        <v>27</v>
      </c>
      <c r="AI13" s="366"/>
      <c r="AJ13" s="367"/>
      <c r="AK13" s="400" t="s">
        <v>73</v>
      </c>
      <c r="AL13" s="370"/>
      <c r="AM13" s="370"/>
      <c r="AN13" s="370"/>
      <c r="AO13" s="370"/>
      <c r="AP13" s="370"/>
      <c r="AQ13" s="370"/>
      <c r="AR13" s="370"/>
      <c r="AS13" s="371"/>
      <c r="AT13" s="8"/>
      <c r="AU13" s="8"/>
      <c r="AV13" s="8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2:96" s="6" customFormat="1" ht="22.5" customHeight="1">
      <c r="B14" s="356" t="s">
        <v>7</v>
      </c>
      <c r="C14" s="356"/>
      <c r="D14" s="356"/>
      <c r="E14" s="406" t="s">
        <v>49</v>
      </c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  <c r="AA14" s="407"/>
      <c r="AB14" s="407"/>
      <c r="AC14" s="407"/>
      <c r="AD14" s="408"/>
      <c r="AE14" s="402"/>
      <c r="AF14" s="403"/>
      <c r="AG14" s="404"/>
      <c r="AH14" s="365" t="s">
        <v>28</v>
      </c>
      <c r="AI14" s="366"/>
      <c r="AJ14" s="367"/>
      <c r="AK14" s="405" t="s">
        <v>74</v>
      </c>
      <c r="AL14" s="370"/>
      <c r="AM14" s="370"/>
      <c r="AN14" s="370"/>
      <c r="AO14" s="370"/>
      <c r="AP14" s="370"/>
      <c r="AQ14" s="370"/>
      <c r="AR14" s="370"/>
      <c r="AS14" s="371"/>
      <c r="AT14" s="8"/>
      <c r="AU14" s="8"/>
      <c r="AV14" s="8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 spans="2:96" s="6" customFormat="1" ht="20.100000000000001" customHeight="1">
      <c r="B15" s="356"/>
      <c r="C15" s="356"/>
      <c r="D15" s="356"/>
      <c r="E15" s="360" t="s">
        <v>26</v>
      </c>
      <c r="F15" s="361"/>
      <c r="G15" s="361"/>
      <c r="H15" s="361"/>
      <c r="I15" s="361"/>
      <c r="J15" s="361"/>
      <c r="K15" s="361"/>
      <c r="L15" s="361"/>
      <c r="M15" s="361"/>
      <c r="N15" s="361"/>
      <c r="O15" s="362"/>
      <c r="P15" s="357" t="s">
        <v>169</v>
      </c>
      <c r="Q15" s="358"/>
      <c r="R15" s="358"/>
      <c r="S15" s="35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9"/>
      <c r="AE15" s="392"/>
      <c r="AF15" s="393"/>
      <c r="AG15" s="394"/>
      <c r="AH15" s="365" t="s">
        <v>31</v>
      </c>
      <c r="AI15" s="366"/>
      <c r="AJ15" s="367"/>
      <c r="AK15" s="369" t="s">
        <v>75</v>
      </c>
      <c r="AL15" s="370"/>
      <c r="AM15" s="370"/>
      <c r="AN15" s="370"/>
      <c r="AO15" s="370"/>
      <c r="AP15" s="370"/>
      <c r="AQ15" s="370"/>
      <c r="AR15" s="370"/>
      <c r="AS15" s="371"/>
      <c r="AT15" s="8"/>
      <c r="AU15" s="8"/>
      <c r="AV15" s="8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2:96" s="9" customFormat="1" ht="15.9" customHeight="1">
      <c r="AT16" s="10"/>
      <c r="AU16" s="10"/>
      <c r="AV16" s="10"/>
    </row>
    <row r="17" spans="2:96" s="9" customFormat="1" ht="15.9" customHeight="1">
      <c r="AT17" s="10"/>
      <c r="AU17" s="10"/>
      <c r="AV17" s="10"/>
    </row>
    <row r="18" spans="2:96" s="9" customFormat="1" ht="15.9" customHeight="1">
      <c r="B18" s="11" t="s">
        <v>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3"/>
      <c r="AU18" s="13"/>
      <c r="AV18" s="13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</row>
    <row r="19" spans="2:96" s="9" customFormat="1" ht="15.9" customHeight="1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3"/>
      <c r="AU19" s="13"/>
      <c r="AV19" s="13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</row>
    <row r="20" spans="2:96" s="14" customFormat="1" ht="15.9" customHeight="1">
      <c r="B20" s="56" t="s">
        <v>8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3"/>
      <c r="AU20" s="13"/>
      <c r="AV20" s="13"/>
      <c r="AW20" s="11"/>
      <c r="AX20" s="11"/>
      <c r="AY20" s="11"/>
      <c r="AZ20" s="11"/>
      <c r="BA20" s="11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</row>
    <row r="21" spans="2:96" s="14" customFormat="1" ht="15.9" customHeight="1">
      <c r="B21" s="56" t="s">
        <v>399</v>
      </c>
      <c r="C21" s="48"/>
      <c r="D21" s="178"/>
      <c r="E21" s="179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72">
        <v>23530</v>
      </c>
      <c r="Q21" s="372"/>
      <c r="R21" s="372"/>
      <c r="S21" s="372"/>
      <c r="T21" s="372"/>
      <c r="U21" s="372"/>
      <c r="V21" s="56"/>
      <c r="W21" s="373">
        <v>46191</v>
      </c>
      <c r="X21" s="373"/>
      <c r="Y21" s="373"/>
      <c r="Z21" s="373"/>
      <c r="AA21" s="373"/>
      <c r="AB21" s="180"/>
      <c r="AC21" s="181"/>
      <c r="AD21" s="181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3"/>
      <c r="AU21" s="13"/>
      <c r="AV21" s="372"/>
      <c r="AW21" s="372"/>
      <c r="AX21" s="372"/>
      <c r="AY21" s="372"/>
      <c r="AZ21" s="372"/>
      <c r="BA21" s="37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</row>
    <row r="22" spans="2:96" s="9" customFormat="1" ht="15.9" customHeight="1">
      <c r="B22" s="56" t="str">
        <f>IF((P21-P22)/P22&gt;0,"Increased","Decreased" )</f>
        <v>Decreased</v>
      </c>
      <c r="C22" s="182"/>
      <c r="D22" s="182"/>
      <c r="E22" s="182"/>
      <c r="F22" s="374">
        <f>IF((P21-P22)&gt;0,(P21-P22)/P22,-((P21-P22)/P22))</f>
        <v>9.0452261306532666E-2</v>
      </c>
      <c r="G22" s="374"/>
      <c r="H22" s="374"/>
      <c r="I22" s="184" t="s">
        <v>400</v>
      </c>
      <c r="J22" s="182"/>
      <c r="K22" s="182"/>
      <c r="L22" s="182"/>
      <c r="M22" s="182"/>
      <c r="N22" s="182"/>
      <c r="O22" s="182"/>
      <c r="P22" s="372">
        <v>25870</v>
      </c>
      <c r="Q22" s="372"/>
      <c r="R22" s="372"/>
      <c r="S22" s="372"/>
      <c r="T22" s="372"/>
      <c r="U22" s="372"/>
      <c r="V22" s="56"/>
      <c r="W22" s="373">
        <v>46185</v>
      </c>
      <c r="X22" s="373"/>
      <c r="Y22" s="373"/>
      <c r="Z22" s="373"/>
      <c r="AA22" s="373"/>
      <c r="AB22" s="185"/>
      <c r="AC22" s="182"/>
      <c r="AD22" s="18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1"/>
      <c r="AS22" s="11"/>
      <c r="AT22" s="13"/>
      <c r="AU22" s="13"/>
      <c r="AV22" s="372"/>
      <c r="AW22" s="372"/>
      <c r="AX22" s="372"/>
      <c r="AY22" s="372"/>
      <c r="AZ22" s="372"/>
      <c r="BA22" s="372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</row>
    <row r="23" spans="2:96" s="14" customFormat="1" ht="15.9" customHeight="1">
      <c r="B23" s="56" t="s">
        <v>401</v>
      </c>
      <c r="C23" s="182"/>
      <c r="D23" s="182"/>
      <c r="E23" s="182"/>
      <c r="F23" s="183"/>
      <c r="G23" s="183"/>
      <c r="H23" s="183"/>
      <c r="I23" s="184"/>
      <c r="J23" s="182"/>
      <c r="K23" s="182"/>
      <c r="L23" s="182"/>
      <c r="M23" s="182"/>
      <c r="N23" s="182"/>
      <c r="O23" s="182"/>
      <c r="P23" s="186"/>
      <c r="Q23" s="186"/>
      <c r="R23" s="186"/>
      <c r="S23" s="186"/>
      <c r="T23" s="186"/>
      <c r="U23" s="186"/>
      <c r="V23" s="56"/>
      <c r="W23" s="187"/>
      <c r="X23" s="187"/>
      <c r="Y23" s="187"/>
      <c r="Z23" s="187"/>
      <c r="AA23" s="187"/>
      <c r="AB23" s="185"/>
      <c r="AC23" s="182"/>
      <c r="AD23" s="182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12"/>
      <c r="AT23" s="13"/>
      <c r="AU23" s="13"/>
      <c r="AV23" s="13"/>
      <c r="AW23" s="11"/>
      <c r="AX23" s="11"/>
      <c r="AY23" s="11"/>
      <c r="AZ23" s="11"/>
      <c r="BA23" s="11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</row>
    <row r="24" spans="2:96" s="14" customFormat="1" ht="15.9" customHeight="1">
      <c r="B24" s="56"/>
      <c r="C24" s="48"/>
      <c r="D24" s="178"/>
      <c r="E24" s="179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363"/>
      <c r="U24" s="363"/>
      <c r="V24" s="363"/>
      <c r="W24" s="363"/>
      <c r="X24" s="363"/>
      <c r="Y24" s="363"/>
      <c r="Z24" s="363"/>
      <c r="AA24" s="363"/>
      <c r="AB24" s="363"/>
      <c r="AC24" s="363"/>
      <c r="AD24" s="363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3"/>
      <c r="AU24" s="13"/>
      <c r="AV24" s="13"/>
      <c r="AW24" s="11"/>
      <c r="AX24" s="11"/>
      <c r="AY24" s="11"/>
      <c r="AZ24" s="11"/>
      <c r="BA24" s="11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</row>
    <row r="25" spans="2:96" s="18" customFormat="1" ht="15.9" customHeight="1">
      <c r="B25" s="188" t="s">
        <v>402</v>
      </c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0"/>
      <c r="AU25" s="10"/>
      <c r="AV25" s="10"/>
      <c r="AW25" s="9"/>
      <c r="AX25" s="9"/>
      <c r="AY25" s="9"/>
      <c r="AZ25" s="16"/>
      <c r="BA25" s="16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</row>
    <row r="26" spans="2:96" s="18" customFormat="1" ht="15.9" customHeight="1">
      <c r="B26" s="188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0"/>
      <c r="AU26" s="10"/>
      <c r="AV26" s="10"/>
      <c r="AW26" s="9"/>
      <c r="AX26" s="9"/>
      <c r="AY26" s="9"/>
      <c r="AZ26" s="16"/>
      <c r="BA26" s="16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</row>
    <row r="27" spans="2:96" s="14" customFormat="1" ht="15.9" customHeight="1">
      <c r="B27" s="56"/>
      <c r="C27" s="48"/>
      <c r="D27" s="178" t="s">
        <v>9</v>
      </c>
      <c r="E27" s="179" t="s">
        <v>29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363" t="s">
        <v>481</v>
      </c>
      <c r="U27" s="363"/>
      <c r="V27" s="363"/>
      <c r="W27" s="363"/>
      <c r="X27" s="363"/>
      <c r="Y27" s="363"/>
      <c r="Z27" s="363"/>
      <c r="AA27" s="363"/>
      <c r="AB27" s="55"/>
      <c r="AC27" s="55"/>
      <c r="AD27" s="55"/>
      <c r="AE27" s="48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3"/>
      <c r="AU27" s="13"/>
      <c r="AV27" s="13"/>
      <c r="AW27" s="11"/>
      <c r="AX27" s="11"/>
      <c r="AY27" s="11"/>
      <c r="AZ27" s="11"/>
      <c r="BA27" s="11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</row>
    <row r="28" spans="2:96" s="14" customFormat="1" ht="15.9" customHeight="1">
      <c r="B28" s="56"/>
      <c r="C28" s="48"/>
      <c r="D28" s="178" t="s">
        <v>9</v>
      </c>
      <c r="E28" s="179" t="s">
        <v>30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368">
        <f>P21</f>
        <v>23530</v>
      </c>
      <c r="U28" s="363"/>
      <c r="V28" s="363"/>
      <c r="W28" s="363"/>
      <c r="X28" s="363"/>
      <c r="Y28" s="363"/>
      <c r="Z28" s="363"/>
      <c r="AA28" s="363"/>
      <c r="AB28" s="56"/>
      <c r="AC28" s="56"/>
      <c r="AD28" s="56"/>
      <c r="AE28" s="48"/>
      <c r="AF28" s="48"/>
      <c r="AG28" s="48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3"/>
      <c r="AU28" s="13"/>
      <c r="AV28" s="13"/>
      <c r="AW28" s="11"/>
      <c r="AX28" s="11"/>
      <c r="AY28" s="11"/>
      <c r="AZ28" s="11"/>
      <c r="BA28" s="11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</row>
    <row r="29" spans="2:96" s="18" customFormat="1" ht="15.9" customHeight="1">
      <c r="B29" s="212"/>
      <c r="C29" s="212"/>
      <c r="D29" s="178"/>
      <c r="E29" s="214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15"/>
      <c r="AQ29" s="15"/>
      <c r="AR29" s="15"/>
      <c r="AS29" s="15"/>
      <c r="AT29" s="216"/>
      <c r="AU29" s="216"/>
      <c r="AV29" s="216"/>
      <c r="AW29" s="217"/>
      <c r="AX29" s="217"/>
      <c r="AY29" s="217"/>
      <c r="AZ29" s="217"/>
      <c r="BA29" s="217"/>
    </row>
    <row r="30" spans="2:96" s="26" customFormat="1" ht="17.100000000000001" customHeight="1">
      <c r="B30" s="20"/>
      <c r="C30" s="21"/>
      <c r="D30" s="213"/>
      <c r="E30" s="214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T30" s="219"/>
      <c r="AU30" s="219"/>
      <c r="AV30" s="220"/>
    </row>
    <row r="31" spans="2:96" s="26" customFormat="1" ht="17.100000000000001" customHeight="1">
      <c r="B31" s="20"/>
      <c r="C31" s="21"/>
      <c r="D31" s="22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3"/>
      <c r="AT31" s="24"/>
      <c r="AU31" s="24"/>
      <c r="AV31" s="25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</row>
    <row r="32" spans="2:96" s="26" customFormat="1" ht="17.100000000000001" customHeight="1">
      <c r="B32" s="58" t="s">
        <v>54</v>
      </c>
      <c r="C32" s="21"/>
      <c r="D32" s="22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3"/>
      <c r="AT32" s="24"/>
      <c r="AU32" s="24"/>
      <c r="AV32" s="25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</row>
    <row r="33" spans="2:96" s="14" customFormat="1" ht="17.100000000000001" customHeight="1">
      <c r="B33" s="11" t="s">
        <v>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0"/>
      <c r="AU33" s="10"/>
      <c r="AV33" s="19"/>
      <c r="AW33" s="9"/>
      <c r="AX33" s="9"/>
      <c r="AY33" s="9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</row>
    <row r="34" spans="2:96" s="14" customFormat="1" ht="17.100000000000001" customHeight="1">
      <c r="B34" s="11" t="s">
        <v>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0"/>
      <c r="AU34" s="10"/>
      <c r="AV34" s="19"/>
      <c r="AW34" s="9"/>
      <c r="AX34" s="9"/>
      <c r="AY34" s="9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</row>
    <row r="35" spans="2:96" s="33" customFormat="1" ht="17.100000000000001" customHeight="1"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29"/>
      <c r="AU35" s="29"/>
      <c r="AV35" s="34"/>
      <c r="AW35" s="28"/>
      <c r="AX35" s="28"/>
      <c r="AY35" s="28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</row>
    <row r="36" spans="2:96" s="33" customFormat="1" ht="17.100000000000001" customHeight="1"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29"/>
      <c r="AU36" s="29"/>
      <c r="AV36" s="34"/>
      <c r="AW36" s="28"/>
      <c r="AX36" s="28"/>
      <c r="AY36" s="28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</row>
    <row r="37" spans="2:96" s="33" customFormat="1" ht="17.100000000000001" customHeight="1"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29"/>
      <c r="AU37" s="29"/>
      <c r="AV37" s="34"/>
      <c r="AW37" s="28"/>
      <c r="AX37" s="28"/>
      <c r="AY37" s="28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</row>
    <row r="38" spans="2:96" s="33" customFormat="1" ht="17.100000000000001" customHeight="1"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29"/>
      <c r="AU38" s="29"/>
      <c r="AV38" s="34"/>
      <c r="AW38" s="28"/>
      <c r="AX38" s="28"/>
      <c r="AY38" s="28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</row>
    <row r="39" spans="2:96" s="33" customFormat="1" ht="17.100000000000001" customHeight="1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29"/>
      <c r="AU39" s="29"/>
      <c r="AV39" s="34"/>
      <c r="AW39" s="28"/>
      <c r="AX39" s="28"/>
      <c r="AY39" s="28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</row>
    <row r="40" spans="2:96" s="33" customFormat="1" ht="17.100000000000001" customHeight="1"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29"/>
      <c r="AU40" s="29"/>
      <c r="AV40" s="34"/>
      <c r="AW40" s="28"/>
      <c r="AX40" s="28"/>
      <c r="AY40" s="28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</row>
    <row r="41" spans="2:96" s="33" customFormat="1" ht="17.100000000000001" customHeight="1"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29"/>
      <c r="AU41" s="29"/>
      <c r="AV41" s="34"/>
      <c r="AW41" s="28"/>
      <c r="AX41" s="28"/>
      <c r="AY41" s="28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</row>
    <row r="42" spans="2:96" s="33" customFormat="1" ht="17.100000000000001" customHeight="1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29"/>
      <c r="AU42" s="29"/>
      <c r="AV42" s="34"/>
      <c r="AW42" s="28"/>
      <c r="AX42" s="28"/>
      <c r="AY42" s="28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</row>
    <row r="43" spans="2:96" s="33" customFormat="1" ht="17.100000000000001" customHeight="1"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29"/>
      <c r="AU43" s="29"/>
      <c r="AV43" s="34"/>
      <c r="AW43" s="28"/>
      <c r="AX43" s="28"/>
      <c r="AY43" s="28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</row>
    <row r="44" spans="2:96" s="33" customFormat="1" ht="17.100000000000001" customHeight="1"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29"/>
      <c r="AU44" s="29"/>
      <c r="AV44" s="34"/>
      <c r="AW44" s="28"/>
      <c r="AX44" s="28"/>
      <c r="AY44" s="28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</row>
    <row r="45" spans="2:96" s="33" customFormat="1" ht="17.100000000000001" customHeight="1"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29"/>
      <c r="AU45" s="29"/>
      <c r="AV45" s="34"/>
      <c r="AW45" s="28"/>
      <c r="AX45" s="28"/>
      <c r="AY45" s="28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</row>
    <row r="46" spans="2:96" s="33" customFormat="1" ht="17.100000000000001" customHeight="1"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29"/>
      <c r="AU46" s="29"/>
      <c r="AV46" s="34"/>
      <c r="AW46" s="28"/>
      <c r="AX46" s="28"/>
      <c r="AY46" s="28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</row>
    <row r="47" spans="2:96" s="33" customFormat="1" ht="17.100000000000001" customHeight="1">
      <c r="C47" s="14" t="s">
        <v>70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64" t="s">
        <v>21</v>
      </c>
      <c r="AF47" s="364"/>
      <c r="AG47" s="364"/>
      <c r="AH47" s="364"/>
      <c r="AI47" s="364"/>
      <c r="AJ47" s="364"/>
      <c r="AK47" s="364"/>
      <c r="AL47" s="364"/>
      <c r="AM47" s="364"/>
      <c r="AN47" s="364"/>
      <c r="AO47" s="364"/>
      <c r="AP47" s="364"/>
      <c r="AQ47" s="364"/>
      <c r="AR47" s="31"/>
      <c r="AS47" s="31"/>
      <c r="AT47" s="29"/>
      <c r="AU47" s="29"/>
      <c r="AV47" s="34"/>
      <c r="AW47" s="28"/>
      <c r="AX47" s="28"/>
      <c r="AY47" s="28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</row>
    <row r="48" spans="2:96" s="33" customFormat="1" ht="17.100000000000001" customHeight="1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29"/>
      <c r="AU48" s="29"/>
      <c r="AV48" s="34"/>
      <c r="AW48" s="28"/>
      <c r="AX48" s="28"/>
      <c r="AY48" s="28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</row>
    <row r="49" spans="2:96" s="28" customFormat="1" ht="17.100000000000001" customHeight="1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29"/>
      <c r="AU49" s="29"/>
      <c r="AV49" s="34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</row>
    <row r="50" spans="2:96" s="33" customFormat="1" ht="17.100000000000001" customHeight="1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6"/>
      <c r="AE50" s="48"/>
      <c r="AF50" s="12"/>
      <c r="AG50" s="12"/>
      <c r="AH50" s="12"/>
      <c r="AI50" s="12"/>
      <c r="AJ50" s="12"/>
      <c r="AK50" s="12"/>
      <c r="AL50" s="12"/>
      <c r="AM50" s="12"/>
      <c r="AN50" s="31"/>
      <c r="AO50" s="31"/>
      <c r="AP50" s="31"/>
      <c r="AQ50" s="31"/>
      <c r="AR50" s="31"/>
      <c r="AS50" s="31"/>
      <c r="AT50" s="29"/>
      <c r="AU50" s="29"/>
      <c r="AV50" s="34"/>
      <c r="AW50" s="28"/>
      <c r="AX50" s="28"/>
      <c r="AY50" s="28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</row>
    <row r="51" spans="2:96" s="30" customFormat="1" ht="17.100000000000001" customHeight="1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AE51" s="11"/>
      <c r="AF51" s="11"/>
      <c r="AG51" s="11"/>
      <c r="AH51" s="11"/>
      <c r="AI51" s="11"/>
      <c r="AJ51" s="11"/>
      <c r="AK51" s="11"/>
      <c r="AL51" s="11"/>
      <c r="AM51" s="11"/>
      <c r="AT51" s="32"/>
      <c r="AU51" s="32"/>
      <c r="AV51" s="32"/>
    </row>
    <row r="52" spans="2:96" s="30" customFormat="1" ht="17.100000000000001" customHeight="1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AE52" s="11"/>
      <c r="AF52" s="11"/>
      <c r="AG52" s="11"/>
      <c r="AH52" s="11"/>
      <c r="AI52" s="11"/>
      <c r="AJ52" s="11"/>
      <c r="AK52" s="11"/>
      <c r="AL52" s="11"/>
      <c r="AM52" s="11"/>
      <c r="AT52" s="32"/>
      <c r="AU52" s="32"/>
      <c r="AV52" s="32"/>
    </row>
    <row r="53" spans="2:96" s="30" customFormat="1" ht="17.100000000000001" customHeight="1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AE53" s="11"/>
      <c r="AF53" s="11"/>
      <c r="AG53" s="11"/>
      <c r="AH53" s="11"/>
      <c r="AI53" s="11"/>
      <c r="AJ53" s="11"/>
      <c r="AK53" s="11"/>
      <c r="AL53" s="11"/>
      <c r="AM53" s="11"/>
      <c r="AT53" s="32"/>
      <c r="AU53" s="32"/>
      <c r="AV53" s="32"/>
    </row>
    <row r="54" spans="2:96" s="30" customFormat="1" ht="17.100000000000001" customHeight="1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AE54" s="11"/>
      <c r="AF54" s="11"/>
      <c r="AG54" s="11"/>
      <c r="AH54" s="11"/>
      <c r="AI54" s="11"/>
      <c r="AJ54" s="11"/>
      <c r="AK54" s="11"/>
      <c r="AL54" s="11"/>
      <c r="AM54" s="11"/>
      <c r="AT54" s="32"/>
      <c r="AU54" s="32"/>
      <c r="AV54" s="32"/>
    </row>
    <row r="55" spans="2:96" s="30" customFormat="1" ht="17.100000000000001" customHeight="1">
      <c r="B55" s="11"/>
      <c r="C55" s="11"/>
      <c r="D55" s="14" t="s">
        <v>143</v>
      </c>
      <c r="E55" s="14"/>
      <c r="F55" s="14"/>
      <c r="G55" s="14"/>
      <c r="H55" s="14"/>
      <c r="I55" s="14"/>
      <c r="J55" s="9"/>
      <c r="K55" s="28"/>
      <c r="L55" s="28"/>
      <c r="M55" s="28"/>
      <c r="N55" s="28"/>
      <c r="AE55" s="12"/>
      <c r="AG55" s="48"/>
      <c r="AH55" s="48"/>
      <c r="AI55" s="48"/>
      <c r="AJ55" s="48" t="s">
        <v>403</v>
      </c>
      <c r="AK55" s="48"/>
      <c r="AL55" s="48"/>
      <c r="AM55" s="48"/>
      <c r="AN55" s="48"/>
      <c r="AO55" s="48"/>
      <c r="AP55" s="48"/>
      <c r="AQ55" s="48"/>
      <c r="AT55" s="32"/>
      <c r="AU55" s="32"/>
      <c r="AV55" s="32"/>
    </row>
    <row r="56" spans="2:96" s="30" customFormat="1" ht="17.399999999999999">
      <c r="B56" s="11"/>
      <c r="C56" s="14"/>
      <c r="D56" s="11"/>
      <c r="E56" s="11"/>
      <c r="F56" s="14" t="s">
        <v>144</v>
      </c>
      <c r="G56" s="14"/>
      <c r="H56" s="14"/>
      <c r="I56" s="14"/>
      <c r="J56" s="9"/>
      <c r="K56" s="28"/>
      <c r="L56" s="28"/>
      <c r="M56" s="28"/>
      <c r="N56" s="28"/>
      <c r="AE56" s="48"/>
      <c r="AF56" s="48"/>
      <c r="AI56" s="48" t="s">
        <v>405</v>
      </c>
      <c r="AK56" s="48"/>
      <c r="AL56" s="48"/>
      <c r="AM56" s="48"/>
      <c r="AN56" s="48"/>
      <c r="AO56" s="48"/>
      <c r="AP56" s="48"/>
      <c r="AQ56" s="48"/>
      <c r="AR56" s="48"/>
      <c r="AS56" s="48"/>
      <c r="AT56" s="32"/>
      <c r="AU56" s="32"/>
      <c r="AV56" s="32"/>
    </row>
    <row r="57" spans="2:96" s="1" customFormat="1">
      <c r="AT57" s="2"/>
      <c r="AU57" s="2"/>
      <c r="AV57" s="2"/>
      <c r="AW57" s="3"/>
    </row>
    <row r="58" spans="2:96" s="1" customFormat="1">
      <c r="AT58" s="2"/>
      <c r="AU58" s="2"/>
      <c r="AV58" s="2"/>
      <c r="AW58" s="3"/>
    </row>
    <row r="59" spans="2:96" s="1" customFormat="1">
      <c r="AT59" s="2"/>
      <c r="AU59" s="2"/>
      <c r="AV59" s="2"/>
      <c r="AW59" s="3"/>
    </row>
    <row r="60" spans="2:96" s="1" customFormat="1">
      <c r="AT60" s="2"/>
      <c r="AU60" s="2"/>
      <c r="AV60" s="2"/>
      <c r="AW60" s="3"/>
    </row>
  </sheetData>
  <mergeCells count="46">
    <mergeCell ref="AV21:BA21"/>
    <mergeCell ref="AV22:BA22"/>
    <mergeCell ref="AD3:AS3"/>
    <mergeCell ref="AN6:AS6"/>
    <mergeCell ref="E13:AD13"/>
    <mergeCell ref="AK13:AS13"/>
    <mergeCell ref="E10:AD10"/>
    <mergeCell ref="AE10:AG10"/>
    <mergeCell ref="AE13:AG15"/>
    <mergeCell ref="AK14:AS14"/>
    <mergeCell ref="E14:AD14"/>
    <mergeCell ref="AE12:AG12"/>
    <mergeCell ref="AH12:AS12"/>
    <mergeCell ref="Z5:AS5"/>
    <mergeCell ref="U4:AS4"/>
    <mergeCell ref="B13:D13"/>
    <mergeCell ref="B12:D12"/>
    <mergeCell ref="B9:D9"/>
    <mergeCell ref="AH9:AL9"/>
    <mergeCell ref="O12:Q12"/>
    <mergeCell ref="AE9:AG9"/>
    <mergeCell ref="R12:AD12"/>
    <mergeCell ref="E9:AD9"/>
    <mergeCell ref="AH10:AS10"/>
    <mergeCell ref="AH13:AJ13"/>
    <mergeCell ref="E12:N12"/>
    <mergeCell ref="AM9:AS9"/>
    <mergeCell ref="AE11:AG11"/>
    <mergeCell ref="B10:D11"/>
    <mergeCell ref="AH11:AS11"/>
    <mergeCell ref="E11:AD11"/>
    <mergeCell ref="B14:D15"/>
    <mergeCell ref="P15:AD15"/>
    <mergeCell ref="E15:O15"/>
    <mergeCell ref="T27:AA27"/>
    <mergeCell ref="AE47:AQ47"/>
    <mergeCell ref="AH14:AJ14"/>
    <mergeCell ref="T28:AA28"/>
    <mergeCell ref="AH15:AJ15"/>
    <mergeCell ref="AK15:AS15"/>
    <mergeCell ref="P21:U21"/>
    <mergeCell ref="W21:AA21"/>
    <mergeCell ref="F22:H22"/>
    <mergeCell ref="P22:U22"/>
    <mergeCell ref="W22:AA22"/>
    <mergeCell ref="T24:AD24"/>
  </mergeCells>
  <phoneticPr fontId="3"/>
  <hyperlinks>
    <hyperlink ref="AK15" r:id="rId1" xr:uid="{00000000-0004-0000-0000-000000000000}"/>
  </hyperlinks>
  <printOptions horizontalCentered="1"/>
  <pageMargins left="0.5" right="0.5" top="0.23" bottom="0.5" header="0.17" footer="0.5"/>
  <pageSetup paperSize="9" scale="74" orientation="portrait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703"/>
  <sheetViews>
    <sheetView showGridLines="0" tabSelected="1" view="pageBreakPreview" topLeftCell="B626" zoomScaleNormal="100" zoomScaleSheetLayoutView="100" workbookViewId="0">
      <selection activeCell="K631" sqref="K631"/>
    </sheetView>
  </sheetViews>
  <sheetFormatPr defaultColWidth="9" defaultRowHeight="15.6"/>
  <cols>
    <col min="1" max="1" width="2.6640625" style="9" hidden="1" customWidth="1"/>
    <col min="2" max="2" width="7.77734375" style="11" customWidth="1"/>
    <col min="3" max="3" width="9" style="11"/>
    <col min="4" max="4" width="19.33203125" style="11" customWidth="1"/>
    <col min="5" max="5" width="17.44140625" style="11" customWidth="1"/>
    <col min="6" max="6" width="10.6640625" style="11" customWidth="1"/>
    <col min="7" max="7" width="9.33203125" style="11" customWidth="1"/>
    <col min="8" max="8" width="10.6640625" style="11" customWidth="1"/>
    <col min="9" max="9" width="12.44140625" style="11" customWidth="1"/>
    <col min="10" max="10" width="18.77734375" style="11" customWidth="1"/>
    <col min="11" max="11" width="17.21875" style="11" customWidth="1"/>
    <col min="12" max="13" width="16.33203125" style="207" customWidth="1"/>
    <col min="14" max="14" width="18.109375" style="11" bestFit="1" customWidth="1"/>
    <col min="15" max="15" width="21.77734375" style="11" customWidth="1"/>
    <col min="16" max="16" width="11.21875" style="169" hidden="1" customWidth="1"/>
    <col min="17" max="17" width="17.6640625" style="169" hidden="1" customWidth="1"/>
    <col min="18" max="18" width="17.6640625" style="151" hidden="1" customWidth="1"/>
    <col min="19" max="20" width="17.109375" style="151" hidden="1" customWidth="1"/>
    <col min="21" max="22" width="14" style="151" hidden="1" customWidth="1"/>
    <col min="23" max="24" width="13.21875" style="151" hidden="1" customWidth="1"/>
    <col min="25" max="25" width="9" style="9" hidden="1" customWidth="1"/>
    <col min="26" max="26" width="15.109375" style="9" customWidth="1"/>
    <col min="27" max="27" width="12.44140625" style="10" customWidth="1"/>
    <col min="28" max="28" width="16.33203125" style="10" customWidth="1"/>
    <col min="29" max="29" width="15.33203125" style="10" customWidth="1"/>
    <col min="30" max="30" width="11.109375" style="10" customWidth="1"/>
    <col min="31" max="31" width="13.44140625" style="9" bestFit="1" customWidth="1"/>
    <col min="32" max="32" width="15.109375" style="222" customWidth="1"/>
    <col min="33" max="33" width="9" style="9"/>
    <col min="34" max="34" width="4.6640625" style="9" customWidth="1"/>
    <col min="35" max="35" width="14.88671875" style="9" customWidth="1"/>
    <col min="36" max="36" width="9.6640625" style="9" bestFit="1" customWidth="1"/>
    <col min="37" max="37" width="13" style="9" customWidth="1"/>
    <col min="38" max="38" width="12.44140625" style="9" bestFit="1" customWidth="1"/>
    <col min="39" max="39" width="9" style="9"/>
    <col min="40" max="40" width="12.21875" style="9" customWidth="1"/>
    <col min="41" max="16384" width="9" style="9"/>
  </cols>
  <sheetData>
    <row r="1" spans="2:72" ht="33" customHeight="1">
      <c r="B1" s="14"/>
      <c r="C1" s="9"/>
      <c r="D1" s="9"/>
      <c r="E1" s="9"/>
      <c r="F1" s="37" t="s">
        <v>17</v>
      </c>
      <c r="G1" s="9"/>
      <c r="H1" s="9"/>
      <c r="I1" s="9"/>
      <c r="J1" s="9"/>
      <c r="K1" s="9"/>
      <c r="L1" s="195"/>
      <c r="M1" s="195"/>
      <c r="N1" s="9"/>
      <c r="O1" s="9"/>
      <c r="P1" s="151"/>
      <c r="Q1" s="151"/>
    </row>
    <row r="2" spans="2:72" s="57" customFormat="1" ht="24.9" customHeight="1">
      <c r="B2" s="38" t="s">
        <v>76</v>
      </c>
      <c r="C2" s="47"/>
      <c r="D2" s="47"/>
      <c r="E2" s="47"/>
      <c r="F2" s="47"/>
      <c r="G2" s="47"/>
      <c r="H2" s="47"/>
      <c r="I2" s="353">
        <f>QUOTATION!AH10</f>
        <v>46192</v>
      </c>
      <c r="J2" s="353"/>
      <c r="K2" s="47"/>
      <c r="L2" s="196"/>
      <c r="M2" s="196"/>
      <c r="N2" s="47"/>
      <c r="O2" s="47"/>
      <c r="P2" s="161"/>
      <c r="Q2" s="161"/>
      <c r="R2" s="162"/>
      <c r="S2" s="162"/>
      <c r="T2" s="162"/>
      <c r="U2" s="162"/>
      <c r="V2" s="162"/>
      <c r="W2" s="162"/>
      <c r="X2" s="162"/>
      <c r="AA2" s="234"/>
      <c r="AB2" s="234"/>
      <c r="AC2" s="234"/>
      <c r="AD2" s="234"/>
      <c r="AF2" s="223"/>
    </row>
    <row r="3" spans="2:72" s="57" customFormat="1" ht="24.9" customHeight="1">
      <c r="B3" s="38" t="s">
        <v>62</v>
      </c>
      <c r="C3" s="47"/>
      <c r="D3" s="47"/>
      <c r="E3" s="47"/>
      <c r="F3" s="47"/>
      <c r="G3" s="47"/>
      <c r="H3" s="47"/>
      <c r="I3" s="346" t="str">
        <f>+QUOTATION!AM9</f>
        <v>MBF-202606-02</v>
      </c>
      <c r="J3" s="346"/>
      <c r="K3" s="38" t="s">
        <v>50</v>
      </c>
      <c r="L3" s="354">
        <f>QUOTATION!AH11</f>
        <v>46192</v>
      </c>
      <c r="M3" s="354"/>
      <c r="N3" s="47"/>
      <c r="O3" s="47"/>
      <c r="P3" s="161"/>
      <c r="Q3" s="161"/>
      <c r="R3" s="162"/>
      <c r="S3" s="162"/>
      <c r="T3" s="162"/>
      <c r="U3" s="162"/>
      <c r="V3" s="162"/>
      <c r="W3" s="162"/>
      <c r="X3" s="162"/>
      <c r="AA3" s="234"/>
      <c r="AB3" s="234"/>
      <c r="AC3" s="234"/>
      <c r="AD3" s="234"/>
      <c r="AF3" s="223"/>
    </row>
    <row r="4" spans="2:72" s="41" customFormat="1" ht="9" customHeight="1">
      <c r="B4" s="42"/>
      <c r="C4" s="42"/>
      <c r="D4" s="42"/>
      <c r="E4" s="42"/>
      <c r="F4" s="42"/>
      <c r="G4" s="42"/>
      <c r="H4" s="42"/>
      <c r="I4" s="42"/>
      <c r="J4" s="42"/>
      <c r="K4" s="42"/>
      <c r="L4" s="197"/>
      <c r="M4" s="197"/>
      <c r="N4" s="42"/>
      <c r="O4" s="42"/>
      <c r="P4" s="163"/>
      <c r="Q4" s="163"/>
      <c r="R4" s="163"/>
      <c r="S4" s="163"/>
      <c r="T4" s="163"/>
      <c r="U4" s="163"/>
      <c r="V4" s="163"/>
      <c r="W4" s="163"/>
      <c r="X4" s="163"/>
      <c r="Y4" s="42"/>
      <c r="AA4" s="235"/>
      <c r="AB4" s="235"/>
      <c r="AC4" s="235"/>
      <c r="AD4" s="292"/>
      <c r="AE4" s="33"/>
      <c r="AF4" s="224"/>
    </row>
    <row r="5" spans="2:72" s="52" customFormat="1" ht="24.9" customHeight="1">
      <c r="B5" s="49" t="s">
        <v>11</v>
      </c>
      <c r="C5" s="50" t="s">
        <v>12</v>
      </c>
      <c r="D5" s="51"/>
      <c r="E5" s="51"/>
      <c r="F5" s="51"/>
      <c r="G5" s="51"/>
      <c r="H5" s="51"/>
      <c r="I5" s="51"/>
      <c r="J5" s="51"/>
      <c r="K5" s="51"/>
      <c r="L5" s="198"/>
      <c r="M5" s="198"/>
      <c r="N5" s="51"/>
      <c r="O5" s="51"/>
      <c r="P5" s="164"/>
      <c r="Q5" s="164"/>
      <c r="R5" s="162"/>
      <c r="S5" s="162"/>
      <c r="T5" s="162"/>
      <c r="U5" s="162"/>
      <c r="V5" s="162"/>
      <c r="W5" s="162"/>
      <c r="X5" s="162"/>
      <c r="AA5" s="236"/>
      <c r="AB5" s="236"/>
      <c r="AC5" s="236"/>
      <c r="AD5" s="234"/>
      <c r="AE5" s="57"/>
      <c r="AF5" s="225"/>
    </row>
    <row r="6" spans="2:72" s="41" customFormat="1" ht="15.75" customHeight="1">
      <c r="B6" s="43"/>
      <c r="C6" s="40"/>
      <c r="D6" s="40"/>
      <c r="E6" s="40"/>
      <c r="F6" s="40"/>
      <c r="G6" s="40"/>
      <c r="H6" s="40"/>
      <c r="I6" s="40"/>
      <c r="J6" s="40"/>
      <c r="K6" s="40"/>
      <c r="L6" s="199"/>
      <c r="M6" s="199"/>
      <c r="N6" s="342" t="s">
        <v>48</v>
      </c>
      <c r="O6" s="342"/>
      <c r="P6" s="165"/>
      <c r="Q6" s="165"/>
      <c r="R6" s="162"/>
      <c r="S6" s="162"/>
      <c r="T6" s="162"/>
      <c r="U6" s="162"/>
      <c r="V6" s="162"/>
      <c r="W6" s="162"/>
      <c r="X6" s="162"/>
      <c r="AA6" s="235"/>
      <c r="AB6" s="235"/>
      <c r="AC6" s="235"/>
      <c r="AD6" s="292"/>
      <c r="AE6" s="33"/>
      <c r="AF6" s="224"/>
    </row>
    <row r="7" spans="2:72" s="41" customFormat="1" ht="20.25" customHeight="1">
      <c r="B7" s="40"/>
      <c r="C7" s="343" t="s">
        <v>33</v>
      </c>
      <c r="D7" s="343"/>
      <c r="E7" s="344" t="s">
        <v>40</v>
      </c>
      <c r="F7" s="345"/>
      <c r="G7" s="302" t="s">
        <v>34</v>
      </c>
      <c r="H7" s="303"/>
      <c r="I7" s="303"/>
      <c r="J7" s="303"/>
      <c r="K7" s="303"/>
      <c r="L7" s="303"/>
      <c r="M7" s="304"/>
      <c r="N7" s="62" t="s">
        <v>77</v>
      </c>
      <c r="O7" s="62" t="s">
        <v>37</v>
      </c>
      <c r="P7" s="166"/>
      <c r="Q7" s="166"/>
      <c r="R7" s="162"/>
      <c r="S7" s="162"/>
      <c r="T7" s="162"/>
      <c r="U7" s="162"/>
      <c r="V7" s="162"/>
      <c r="W7" s="162"/>
      <c r="X7" s="162"/>
      <c r="AA7" s="281"/>
      <c r="AB7" s="235"/>
      <c r="AC7" s="235"/>
      <c r="AD7" s="292"/>
      <c r="AE7" s="33"/>
      <c r="AF7" s="224"/>
    </row>
    <row r="8" spans="2:72" s="41" customFormat="1" ht="24.9" customHeight="1">
      <c r="B8" s="40"/>
      <c r="C8" s="348" t="s">
        <v>78</v>
      </c>
      <c r="D8" s="348"/>
      <c r="E8" s="349" t="s">
        <v>79</v>
      </c>
      <c r="F8" s="349"/>
      <c r="G8" s="350" t="s">
        <v>80</v>
      </c>
      <c r="H8" s="351"/>
      <c r="I8" s="351"/>
      <c r="J8" s="351"/>
      <c r="K8" s="351"/>
      <c r="L8" s="351"/>
      <c r="M8" s="352"/>
      <c r="N8" s="59">
        <v>100000</v>
      </c>
      <c r="O8" s="59"/>
      <c r="P8" s="167"/>
      <c r="Q8" s="167"/>
      <c r="R8" s="162"/>
      <c r="S8" s="162"/>
      <c r="T8" s="162"/>
      <c r="U8" s="162"/>
      <c r="V8" s="162"/>
      <c r="W8" s="162"/>
      <c r="X8" s="162"/>
      <c r="AA8" s="235"/>
      <c r="AB8" s="235"/>
      <c r="AC8" s="235"/>
      <c r="AD8" s="292"/>
      <c r="AE8" s="33"/>
      <c r="AF8" s="224"/>
    </row>
    <row r="9" spans="2:72" s="46" customFormat="1" ht="3.75" customHeight="1">
      <c r="B9" s="45"/>
      <c r="C9" s="60"/>
      <c r="D9" s="60"/>
      <c r="E9" s="61"/>
      <c r="F9" s="61"/>
      <c r="G9" s="61"/>
      <c r="H9" s="72"/>
      <c r="I9" s="72"/>
      <c r="J9" s="72"/>
      <c r="K9" s="72"/>
      <c r="L9" s="73"/>
      <c r="M9" s="73"/>
      <c r="N9" s="73"/>
      <c r="O9" s="73"/>
      <c r="P9" s="168"/>
      <c r="Q9" s="168"/>
      <c r="R9" s="151"/>
      <c r="S9" s="151"/>
      <c r="T9" s="151"/>
      <c r="U9" s="151"/>
      <c r="V9" s="151"/>
      <c r="W9" s="151"/>
      <c r="X9" s="151"/>
      <c r="AA9" s="237"/>
      <c r="AB9" s="237"/>
      <c r="AC9" s="237"/>
      <c r="AD9" s="29"/>
      <c r="AE9" s="28"/>
      <c r="AF9" s="226"/>
    </row>
    <row r="10" spans="2:72" s="54" customFormat="1" ht="24.9" customHeight="1">
      <c r="B10" s="53" t="s">
        <v>14</v>
      </c>
      <c r="C10" s="50" t="s">
        <v>51</v>
      </c>
      <c r="L10" s="200"/>
      <c r="M10" s="200"/>
      <c r="P10" s="169"/>
      <c r="Q10" s="169"/>
      <c r="R10" s="169"/>
      <c r="S10" s="169"/>
      <c r="T10" s="169"/>
      <c r="U10" s="169"/>
      <c r="V10" s="169"/>
      <c r="W10" s="169"/>
      <c r="X10" s="169"/>
      <c r="AA10" s="238"/>
      <c r="AB10" s="238"/>
      <c r="AC10" s="238"/>
      <c r="AD10" s="239"/>
      <c r="AE10" s="38"/>
      <c r="AF10" s="227"/>
    </row>
    <row r="11" spans="2:72" s="30" customFormat="1" ht="24.9" customHeight="1">
      <c r="B11" s="53" t="s">
        <v>42</v>
      </c>
      <c r="C11" s="50" t="s">
        <v>52</v>
      </c>
      <c r="L11" s="201"/>
      <c r="M11" s="201"/>
      <c r="P11" s="169"/>
      <c r="Q11" s="169"/>
      <c r="R11" s="151"/>
      <c r="S11" s="150"/>
      <c r="T11" s="151"/>
      <c r="U11" s="150"/>
      <c r="V11" s="151"/>
      <c r="W11" s="151"/>
      <c r="X11" s="151"/>
      <c r="Y11" s="28"/>
      <c r="Z11" s="28"/>
      <c r="AA11" s="29"/>
      <c r="AB11" s="254"/>
      <c r="AC11" s="29"/>
      <c r="AD11" s="29"/>
      <c r="AE11" s="29"/>
      <c r="AF11" s="2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</row>
    <row r="12" spans="2:72" s="38" customFormat="1" ht="24.9" customHeight="1">
      <c r="B12" s="53" t="s">
        <v>58</v>
      </c>
      <c r="C12" s="50" t="s">
        <v>65</v>
      </c>
      <c r="L12" s="200"/>
      <c r="M12" s="200"/>
      <c r="P12" s="169"/>
      <c r="Q12" s="169"/>
      <c r="R12" s="169"/>
      <c r="S12" s="150"/>
      <c r="T12" s="151"/>
      <c r="U12" s="150"/>
      <c r="V12" s="151"/>
      <c r="W12" s="169"/>
      <c r="X12" s="169"/>
      <c r="AA12" s="239"/>
      <c r="AB12" s="239"/>
      <c r="AC12" s="239"/>
      <c r="AD12" s="239"/>
      <c r="AE12" s="261"/>
      <c r="AF12" s="229"/>
    </row>
    <row r="13" spans="2:72" s="38" customFormat="1" ht="8.25" customHeight="1">
      <c r="B13" s="53"/>
      <c r="C13" s="50"/>
      <c r="L13" s="200"/>
      <c r="M13" s="200"/>
      <c r="P13" s="169"/>
      <c r="Q13" s="169"/>
      <c r="R13" s="169"/>
      <c r="S13" s="152"/>
      <c r="T13" s="151"/>
      <c r="U13" s="152"/>
      <c r="V13" s="151"/>
      <c r="W13" s="169"/>
      <c r="X13" s="169"/>
      <c r="AA13" s="239"/>
      <c r="AB13" s="239"/>
      <c r="AC13" s="239"/>
      <c r="AD13" s="239"/>
      <c r="AF13" s="229"/>
    </row>
    <row r="14" spans="2:72" s="30" customFormat="1" ht="24" customHeight="1">
      <c r="C14" s="315" t="s">
        <v>40</v>
      </c>
      <c r="D14" s="316" t="s">
        <v>39</v>
      </c>
      <c r="E14" s="317"/>
      <c r="F14" s="317"/>
      <c r="G14" s="317"/>
      <c r="H14" s="318"/>
      <c r="I14" s="319" t="s">
        <v>41</v>
      </c>
      <c r="J14" s="320" t="s">
        <v>69</v>
      </c>
      <c r="K14" s="320"/>
      <c r="L14" s="347" t="s">
        <v>38</v>
      </c>
      <c r="M14" s="347"/>
      <c r="N14" s="311" t="s">
        <v>13</v>
      </c>
      <c r="O14" s="311"/>
      <c r="P14" s="166"/>
      <c r="Q14" s="166"/>
      <c r="R14" s="153"/>
      <c r="S14" s="153"/>
      <c r="T14" s="151"/>
      <c r="U14" s="154"/>
      <c r="V14" s="151"/>
      <c r="W14" s="169"/>
      <c r="X14" s="169"/>
      <c r="AA14" s="240"/>
      <c r="AB14" s="240"/>
      <c r="AC14" s="240"/>
      <c r="AD14" s="240"/>
      <c r="AF14" s="230"/>
    </row>
    <row r="15" spans="2:72" s="30" customFormat="1" ht="24" customHeight="1">
      <c r="C15" s="301"/>
      <c r="D15" s="117" t="s">
        <v>15</v>
      </c>
      <c r="E15" s="117" t="s">
        <v>16</v>
      </c>
      <c r="F15" s="117" t="s">
        <v>16</v>
      </c>
      <c r="G15" s="117" t="s">
        <v>16</v>
      </c>
      <c r="H15" s="117" t="s">
        <v>16</v>
      </c>
      <c r="I15" s="301"/>
      <c r="J15" s="117" t="s">
        <v>35</v>
      </c>
      <c r="K15" s="117" t="s">
        <v>36</v>
      </c>
      <c r="L15" s="190" t="s">
        <v>35</v>
      </c>
      <c r="M15" s="190" t="s">
        <v>36</v>
      </c>
      <c r="N15" s="117" t="s">
        <v>35</v>
      </c>
      <c r="O15" s="117" t="s">
        <v>36</v>
      </c>
      <c r="P15" s="166"/>
      <c r="Q15" s="166"/>
      <c r="R15" s="155"/>
      <c r="S15" s="153"/>
      <c r="T15" s="151"/>
      <c r="U15" s="156"/>
      <c r="V15" s="151"/>
      <c r="W15" s="169"/>
      <c r="X15" s="169"/>
      <c r="AA15" s="240"/>
      <c r="AB15" s="255"/>
      <c r="AC15" s="290"/>
      <c r="AD15" s="240"/>
      <c r="AF15" s="230"/>
    </row>
    <row r="16" spans="2:72" s="30" customFormat="1" ht="28.5" customHeight="1">
      <c r="C16" s="312" t="s">
        <v>53</v>
      </c>
      <c r="D16" s="120" t="s">
        <v>64</v>
      </c>
      <c r="E16" s="120" t="s">
        <v>82</v>
      </c>
      <c r="F16" s="120"/>
      <c r="G16" s="120"/>
      <c r="H16" s="120" t="s">
        <v>64</v>
      </c>
      <c r="I16" s="120">
        <v>287</v>
      </c>
      <c r="J16" s="121">
        <v>2100000</v>
      </c>
      <c r="K16" s="121">
        <v>2100000</v>
      </c>
      <c r="L16" s="221">
        <v>2363589</v>
      </c>
      <c r="M16" s="221">
        <v>2363589</v>
      </c>
      <c r="N16" s="122">
        <f>+J16+L16</f>
        <v>4463589</v>
      </c>
      <c r="O16" s="122">
        <f>+K16+M16</f>
        <v>4463589</v>
      </c>
      <c r="P16" s="170" t="s">
        <v>170</v>
      </c>
      <c r="Q16" s="170">
        <v>2100000</v>
      </c>
      <c r="R16" s="170">
        <v>2100000</v>
      </c>
      <c r="S16" s="170">
        <v>1841249</v>
      </c>
      <c r="T16" s="170">
        <v>1841249</v>
      </c>
      <c r="U16" s="157">
        <f>J16-Q16</f>
        <v>0</v>
      </c>
      <c r="V16" s="157">
        <f>K16-R16</f>
        <v>0</v>
      </c>
      <c r="W16" s="157">
        <f>L16-S16</f>
        <v>522340</v>
      </c>
      <c r="X16" s="157">
        <f>M16-T16</f>
        <v>522340</v>
      </c>
      <c r="Z16" s="218"/>
      <c r="AA16" s="253"/>
      <c r="AB16" s="288"/>
      <c r="AC16" s="289"/>
      <c r="AD16" s="289"/>
      <c r="AE16" s="291"/>
      <c r="AF16" s="221"/>
      <c r="AH16" s="262" t="s">
        <v>415</v>
      </c>
      <c r="AI16" s="240">
        <f>O16</f>
        <v>4463589</v>
      </c>
    </row>
    <row r="17" spans="3:35" s="30" customFormat="1" ht="28.5" customHeight="1">
      <c r="C17" s="313"/>
      <c r="D17" s="120" t="s">
        <v>64</v>
      </c>
      <c r="E17" s="120" t="s">
        <v>81</v>
      </c>
      <c r="F17" s="120"/>
      <c r="G17" s="120"/>
      <c r="H17" s="120" t="s">
        <v>64</v>
      </c>
      <c r="I17" s="120">
        <v>266</v>
      </c>
      <c r="J17" s="121">
        <v>2000000</v>
      </c>
      <c r="K17" s="121">
        <v>2000000</v>
      </c>
      <c r="L17" s="221">
        <v>2190643</v>
      </c>
      <c r="M17" s="221">
        <v>2190643</v>
      </c>
      <c r="N17" s="122">
        <f t="shared" ref="N17:N73" si="0">+J17+L17</f>
        <v>4190643</v>
      </c>
      <c r="O17" s="122">
        <f t="shared" ref="O17:O73" si="1">+K17+M17</f>
        <v>4190643</v>
      </c>
      <c r="P17" s="170" t="s">
        <v>171</v>
      </c>
      <c r="Q17" s="170">
        <v>2000000</v>
      </c>
      <c r="R17" s="170">
        <v>2000000</v>
      </c>
      <c r="S17" s="170">
        <v>1706523</v>
      </c>
      <c r="T17" s="170">
        <v>1706523</v>
      </c>
      <c r="U17" s="157">
        <f t="shared" ref="U17:U82" si="2">J17-Q17</f>
        <v>0</v>
      </c>
      <c r="V17" s="157">
        <f t="shared" ref="V17:V82" si="3">K17-R17</f>
        <v>0</v>
      </c>
      <c r="W17" s="157">
        <f t="shared" ref="W17:W82" si="4">L17-S17</f>
        <v>484120</v>
      </c>
      <c r="X17" s="157">
        <f t="shared" ref="X17:X82" si="5">M17-T17</f>
        <v>484120</v>
      </c>
      <c r="Z17" s="218"/>
      <c r="AA17" s="253"/>
      <c r="AB17" s="288"/>
      <c r="AC17" s="289"/>
      <c r="AD17" s="289"/>
      <c r="AE17" s="291"/>
      <c r="AF17" s="221"/>
      <c r="AH17" s="262" t="s">
        <v>416</v>
      </c>
      <c r="AI17" s="240">
        <f t="shared" ref="AI17:AI80" si="6">O17</f>
        <v>4190643</v>
      </c>
    </row>
    <row r="18" spans="3:35" s="30" customFormat="1" ht="28.5" customHeight="1">
      <c r="C18" s="313"/>
      <c r="D18" s="133" t="s">
        <v>64</v>
      </c>
      <c r="E18" s="133" t="s">
        <v>83</v>
      </c>
      <c r="F18" s="133"/>
      <c r="G18" s="133"/>
      <c r="H18" s="133" t="s">
        <v>64</v>
      </c>
      <c r="I18" s="133">
        <v>255</v>
      </c>
      <c r="J18" s="134">
        <v>2000000</v>
      </c>
      <c r="K18" s="134">
        <v>2000000</v>
      </c>
      <c r="L18" s="221">
        <v>2100053</v>
      </c>
      <c r="M18" s="221">
        <v>2100053</v>
      </c>
      <c r="N18" s="122">
        <f t="shared" si="0"/>
        <v>4100053</v>
      </c>
      <c r="O18" s="122">
        <f t="shared" si="1"/>
        <v>4100053</v>
      </c>
      <c r="P18" s="170" t="s">
        <v>172</v>
      </c>
      <c r="Q18" s="170">
        <v>2000000</v>
      </c>
      <c r="R18" s="170">
        <v>2000000</v>
      </c>
      <c r="S18" s="170">
        <v>1635953</v>
      </c>
      <c r="T18" s="170">
        <v>1635953</v>
      </c>
      <c r="U18" s="157">
        <f t="shared" si="2"/>
        <v>0</v>
      </c>
      <c r="V18" s="157">
        <f t="shared" si="3"/>
        <v>0</v>
      </c>
      <c r="W18" s="157">
        <f t="shared" si="4"/>
        <v>464100</v>
      </c>
      <c r="X18" s="157">
        <f t="shared" si="5"/>
        <v>464100</v>
      </c>
      <c r="Z18" s="218"/>
      <c r="AA18" s="253"/>
      <c r="AB18" s="288"/>
      <c r="AC18" s="289"/>
      <c r="AD18" s="289"/>
      <c r="AE18" s="291"/>
      <c r="AF18" s="221"/>
      <c r="AH18" s="262" t="s">
        <v>417</v>
      </c>
      <c r="AI18" s="240">
        <f t="shared" si="6"/>
        <v>4100053</v>
      </c>
    </row>
    <row r="19" spans="3:35" s="30" customFormat="1" ht="28.5" customHeight="1">
      <c r="C19" s="313"/>
      <c r="D19" s="120" t="s">
        <v>64</v>
      </c>
      <c r="E19" s="120" t="s">
        <v>82</v>
      </c>
      <c r="F19" s="120" t="s">
        <v>81</v>
      </c>
      <c r="G19" s="120"/>
      <c r="H19" s="120" t="s">
        <v>64</v>
      </c>
      <c r="I19" s="120">
        <v>312</v>
      </c>
      <c r="J19" s="121">
        <v>2500000</v>
      </c>
      <c r="K19" s="121">
        <v>2500000</v>
      </c>
      <c r="L19" s="221">
        <v>2569476</v>
      </c>
      <c r="M19" s="221">
        <v>2569476</v>
      </c>
      <c r="N19" s="122">
        <f t="shared" si="0"/>
        <v>5069476</v>
      </c>
      <c r="O19" s="122">
        <f t="shared" si="1"/>
        <v>5069476</v>
      </c>
      <c r="P19" s="170" t="s">
        <v>173</v>
      </c>
      <c r="Q19" s="170">
        <v>2500000</v>
      </c>
      <c r="R19" s="170">
        <v>2500000</v>
      </c>
      <c r="S19" s="170">
        <v>2001636</v>
      </c>
      <c r="T19" s="170">
        <v>2001636</v>
      </c>
      <c r="U19" s="157">
        <f t="shared" si="2"/>
        <v>0</v>
      </c>
      <c r="V19" s="157">
        <f t="shared" si="3"/>
        <v>0</v>
      </c>
      <c r="W19" s="157">
        <f t="shared" si="4"/>
        <v>567840</v>
      </c>
      <c r="X19" s="157">
        <f t="shared" si="5"/>
        <v>567840</v>
      </c>
      <c r="Z19" s="218"/>
      <c r="AA19" s="253"/>
      <c r="AB19" s="288"/>
      <c r="AC19" s="289"/>
      <c r="AD19" s="289"/>
      <c r="AE19" s="291"/>
      <c r="AF19" s="221"/>
      <c r="AI19" s="240">
        <f t="shared" si="6"/>
        <v>5069476</v>
      </c>
    </row>
    <row r="20" spans="3:35" s="30" customFormat="1" ht="28.5" customHeight="1">
      <c r="C20" s="313"/>
      <c r="D20" s="131" t="s">
        <v>64</v>
      </c>
      <c r="E20" s="131" t="s">
        <v>82</v>
      </c>
      <c r="F20" s="131" t="s">
        <v>83</v>
      </c>
      <c r="G20" s="131"/>
      <c r="H20" s="131" t="s">
        <v>64</v>
      </c>
      <c r="I20" s="131">
        <v>320</v>
      </c>
      <c r="J20" s="135">
        <v>2500000</v>
      </c>
      <c r="K20" s="135">
        <v>2500000</v>
      </c>
      <c r="L20" s="221">
        <v>2635360</v>
      </c>
      <c r="M20" s="221">
        <v>2635360</v>
      </c>
      <c r="N20" s="122">
        <f t="shared" si="0"/>
        <v>5135360</v>
      </c>
      <c r="O20" s="122">
        <f t="shared" si="1"/>
        <v>5135360</v>
      </c>
      <c r="P20" s="170" t="s">
        <v>174</v>
      </c>
      <c r="Q20" s="170">
        <v>2500000</v>
      </c>
      <c r="R20" s="170">
        <v>2500000</v>
      </c>
      <c r="S20" s="170">
        <v>2052960</v>
      </c>
      <c r="T20" s="170">
        <v>2052960</v>
      </c>
      <c r="U20" s="157">
        <f t="shared" si="2"/>
        <v>0</v>
      </c>
      <c r="V20" s="157">
        <f t="shared" si="3"/>
        <v>0</v>
      </c>
      <c r="W20" s="157">
        <f t="shared" si="4"/>
        <v>582400</v>
      </c>
      <c r="X20" s="157">
        <f t="shared" si="5"/>
        <v>582400</v>
      </c>
      <c r="Z20" s="218"/>
      <c r="AA20" s="253"/>
      <c r="AB20" s="288"/>
      <c r="AC20" s="289"/>
      <c r="AD20" s="289"/>
      <c r="AE20" s="291"/>
      <c r="AF20" s="221"/>
      <c r="AI20" s="240">
        <f t="shared" si="6"/>
        <v>5135360</v>
      </c>
    </row>
    <row r="21" spans="3:35" s="30" customFormat="1" ht="28.5" customHeight="1">
      <c r="C21" s="313"/>
      <c r="D21" s="120" t="s">
        <v>64</v>
      </c>
      <c r="E21" s="120" t="s">
        <v>81</v>
      </c>
      <c r="F21" s="120" t="s">
        <v>83</v>
      </c>
      <c r="G21" s="120"/>
      <c r="H21" s="120" t="s">
        <v>64</v>
      </c>
      <c r="I21" s="120">
        <v>275</v>
      </c>
      <c r="J21" s="121">
        <v>2200000</v>
      </c>
      <c r="K21" s="121">
        <v>2200000</v>
      </c>
      <c r="L21" s="221">
        <v>2264763</v>
      </c>
      <c r="M21" s="221">
        <v>2264763</v>
      </c>
      <c r="N21" s="122">
        <f t="shared" si="0"/>
        <v>4464763</v>
      </c>
      <c r="O21" s="122">
        <f t="shared" si="1"/>
        <v>4464763</v>
      </c>
      <c r="P21" s="170" t="s">
        <v>175</v>
      </c>
      <c r="Q21" s="170">
        <v>2200000</v>
      </c>
      <c r="R21" s="170">
        <v>2200000</v>
      </c>
      <c r="S21" s="170">
        <v>1764263</v>
      </c>
      <c r="T21" s="170">
        <v>1764263</v>
      </c>
      <c r="U21" s="157">
        <f t="shared" si="2"/>
        <v>0</v>
      </c>
      <c r="V21" s="157">
        <f t="shared" si="3"/>
        <v>0</v>
      </c>
      <c r="W21" s="157">
        <f t="shared" si="4"/>
        <v>500500</v>
      </c>
      <c r="X21" s="157">
        <f t="shared" si="5"/>
        <v>500500</v>
      </c>
      <c r="Z21" s="218"/>
      <c r="AA21" s="253"/>
      <c r="AB21" s="288"/>
      <c r="AC21" s="289"/>
      <c r="AD21" s="289"/>
      <c r="AE21" s="291"/>
      <c r="AF21" s="221"/>
      <c r="AI21" s="240">
        <f t="shared" si="6"/>
        <v>4464763</v>
      </c>
    </row>
    <row r="22" spans="3:35" s="30" customFormat="1" ht="28.5" customHeight="1">
      <c r="C22" s="313"/>
      <c r="D22" s="63" t="s">
        <v>64</v>
      </c>
      <c r="E22" s="63" t="s">
        <v>82</v>
      </c>
      <c r="F22" s="63" t="s">
        <v>81</v>
      </c>
      <c r="G22" s="63" t="s">
        <v>83</v>
      </c>
      <c r="H22" s="63" t="s">
        <v>64</v>
      </c>
      <c r="I22" s="63">
        <v>366</v>
      </c>
      <c r="J22" s="65">
        <v>2650000</v>
      </c>
      <c r="K22" s="65">
        <v>2650000</v>
      </c>
      <c r="L22" s="221">
        <v>3014193</v>
      </c>
      <c r="M22" s="221">
        <v>3014193</v>
      </c>
      <c r="N22" s="122">
        <f t="shared" si="0"/>
        <v>5664193</v>
      </c>
      <c r="O22" s="122">
        <f t="shared" si="1"/>
        <v>5664193</v>
      </c>
      <c r="P22" s="170" t="s">
        <v>176</v>
      </c>
      <c r="Q22" s="170">
        <v>2650000</v>
      </c>
      <c r="R22" s="170">
        <v>2650000</v>
      </c>
      <c r="S22" s="170">
        <v>2348073</v>
      </c>
      <c r="T22" s="170">
        <v>2348073</v>
      </c>
      <c r="U22" s="157">
        <f t="shared" si="2"/>
        <v>0</v>
      </c>
      <c r="V22" s="157">
        <f t="shared" si="3"/>
        <v>0</v>
      </c>
      <c r="W22" s="157">
        <f t="shared" si="4"/>
        <v>666120</v>
      </c>
      <c r="X22" s="157">
        <f t="shared" si="5"/>
        <v>666120</v>
      </c>
      <c r="Z22" s="218"/>
      <c r="AA22" s="253"/>
      <c r="AB22" s="288"/>
      <c r="AC22" s="289"/>
      <c r="AD22" s="289"/>
      <c r="AE22" s="291"/>
      <c r="AF22" s="221"/>
      <c r="AI22" s="240">
        <f t="shared" si="6"/>
        <v>5664193</v>
      </c>
    </row>
    <row r="23" spans="3:35" s="30" customFormat="1" ht="28.5" customHeight="1">
      <c r="C23" s="313"/>
      <c r="D23" s="63" t="s">
        <v>64</v>
      </c>
      <c r="E23" s="63" t="s">
        <v>84</v>
      </c>
      <c r="F23" s="63" t="s">
        <v>81</v>
      </c>
      <c r="G23" s="63"/>
      <c r="H23" s="63" t="s">
        <v>64</v>
      </c>
      <c r="I23" s="63">
        <v>276</v>
      </c>
      <c r="J23" s="65">
        <v>2250000</v>
      </c>
      <c r="K23" s="65">
        <v>2250000</v>
      </c>
      <c r="L23" s="221">
        <v>2272998</v>
      </c>
      <c r="M23" s="221">
        <v>2272998</v>
      </c>
      <c r="N23" s="122">
        <f t="shared" si="0"/>
        <v>4522998</v>
      </c>
      <c r="O23" s="122">
        <f t="shared" si="1"/>
        <v>4522998</v>
      </c>
      <c r="P23" s="170" t="s">
        <v>177</v>
      </c>
      <c r="Q23" s="170">
        <v>2250000</v>
      </c>
      <c r="R23" s="170">
        <v>2250000</v>
      </c>
      <c r="S23" s="170">
        <v>1770678</v>
      </c>
      <c r="T23" s="170">
        <v>1770678</v>
      </c>
      <c r="U23" s="157">
        <f t="shared" si="2"/>
        <v>0</v>
      </c>
      <c r="V23" s="157">
        <f t="shared" si="3"/>
        <v>0</v>
      </c>
      <c r="W23" s="157">
        <f t="shared" si="4"/>
        <v>502320</v>
      </c>
      <c r="X23" s="157">
        <f t="shared" si="5"/>
        <v>502320</v>
      </c>
      <c r="Z23" s="218"/>
      <c r="AA23" s="253"/>
      <c r="AB23" s="288"/>
      <c r="AC23" s="289"/>
      <c r="AD23" s="289"/>
      <c r="AE23" s="291"/>
      <c r="AF23" s="221"/>
      <c r="AI23" s="240">
        <f t="shared" si="6"/>
        <v>4522998</v>
      </c>
    </row>
    <row r="24" spans="3:35" s="30" customFormat="1" ht="28.5" customHeight="1">
      <c r="C24" s="313"/>
      <c r="D24" s="63" t="s">
        <v>64</v>
      </c>
      <c r="E24" s="63" t="s">
        <v>85</v>
      </c>
      <c r="F24" s="63" t="s">
        <v>81</v>
      </c>
      <c r="G24" s="63"/>
      <c r="H24" s="63" t="s">
        <v>64</v>
      </c>
      <c r="I24" s="63">
        <v>266</v>
      </c>
      <c r="J24" s="65">
        <v>2250000</v>
      </c>
      <c r="K24" s="65">
        <v>2250000</v>
      </c>
      <c r="L24" s="221">
        <v>2190643</v>
      </c>
      <c r="M24" s="221">
        <v>2190643</v>
      </c>
      <c r="N24" s="122">
        <f t="shared" si="0"/>
        <v>4440643</v>
      </c>
      <c r="O24" s="122">
        <f t="shared" si="1"/>
        <v>4440643</v>
      </c>
      <c r="P24" s="170" t="s">
        <v>178</v>
      </c>
      <c r="Q24" s="170">
        <v>2250000</v>
      </c>
      <c r="R24" s="170">
        <v>2250000</v>
      </c>
      <c r="S24" s="170">
        <v>1706523</v>
      </c>
      <c r="T24" s="170">
        <v>1706523</v>
      </c>
      <c r="U24" s="157">
        <f t="shared" si="2"/>
        <v>0</v>
      </c>
      <c r="V24" s="157">
        <f t="shared" si="3"/>
        <v>0</v>
      </c>
      <c r="W24" s="157">
        <f t="shared" si="4"/>
        <v>484120</v>
      </c>
      <c r="X24" s="157">
        <f t="shared" si="5"/>
        <v>484120</v>
      </c>
      <c r="Z24" s="218"/>
      <c r="AA24" s="253"/>
      <c r="AB24" s="288"/>
      <c r="AC24" s="289"/>
      <c r="AD24" s="289"/>
      <c r="AE24" s="291"/>
      <c r="AF24" s="221"/>
      <c r="AI24" s="240">
        <f t="shared" si="6"/>
        <v>4440643</v>
      </c>
    </row>
    <row r="25" spans="3:35" s="30" customFormat="1" ht="28.5" customHeight="1">
      <c r="C25" s="313"/>
      <c r="D25" s="79" t="s">
        <v>64</v>
      </c>
      <c r="E25" s="79" t="s">
        <v>85</v>
      </c>
      <c r="F25" s="79" t="s">
        <v>83</v>
      </c>
      <c r="G25" s="79"/>
      <c r="H25" s="79" t="s">
        <v>64</v>
      </c>
      <c r="I25" s="79">
        <v>268</v>
      </c>
      <c r="J25" s="80">
        <v>2250000</v>
      </c>
      <c r="K25" s="80">
        <v>2250000</v>
      </c>
      <c r="L25" s="221">
        <v>2207114</v>
      </c>
      <c r="M25" s="221">
        <v>2207114</v>
      </c>
      <c r="N25" s="122">
        <f t="shared" si="0"/>
        <v>4457114</v>
      </c>
      <c r="O25" s="122">
        <f t="shared" si="1"/>
        <v>4457114</v>
      </c>
      <c r="P25" s="170" t="s">
        <v>179</v>
      </c>
      <c r="Q25" s="170">
        <v>2250000</v>
      </c>
      <c r="R25" s="170">
        <v>2250000</v>
      </c>
      <c r="S25" s="170">
        <v>1719354</v>
      </c>
      <c r="T25" s="170">
        <v>1719354</v>
      </c>
      <c r="U25" s="157">
        <f t="shared" si="2"/>
        <v>0</v>
      </c>
      <c r="V25" s="157">
        <f t="shared" si="3"/>
        <v>0</v>
      </c>
      <c r="W25" s="157">
        <f t="shared" si="4"/>
        <v>487760</v>
      </c>
      <c r="X25" s="157">
        <f t="shared" si="5"/>
        <v>487760</v>
      </c>
      <c r="Z25" s="218"/>
      <c r="AA25" s="253"/>
      <c r="AB25" s="288"/>
      <c r="AC25" s="289"/>
      <c r="AD25" s="289"/>
      <c r="AE25" s="291"/>
      <c r="AF25" s="221"/>
      <c r="AI25" s="240">
        <f t="shared" si="6"/>
        <v>4457114</v>
      </c>
    </row>
    <row r="26" spans="3:35" s="30" customFormat="1" ht="28.5" customHeight="1">
      <c r="C26" s="313"/>
      <c r="D26" s="63" t="s">
        <v>64</v>
      </c>
      <c r="E26" s="63" t="s">
        <v>85</v>
      </c>
      <c r="F26" s="63" t="s">
        <v>81</v>
      </c>
      <c r="G26" s="63" t="s">
        <v>83</v>
      </c>
      <c r="H26" s="63" t="s">
        <v>64</v>
      </c>
      <c r="I26" s="63">
        <v>288</v>
      </c>
      <c r="J26" s="65">
        <v>2400000</v>
      </c>
      <c r="K26" s="65">
        <v>2400000</v>
      </c>
      <c r="L26" s="221">
        <v>2371824</v>
      </c>
      <c r="M26" s="221">
        <v>2371824</v>
      </c>
      <c r="N26" s="122">
        <f t="shared" si="0"/>
        <v>4771824</v>
      </c>
      <c r="O26" s="122">
        <f t="shared" si="1"/>
        <v>4771824</v>
      </c>
      <c r="P26" s="170" t="s">
        <v>180</v>
      </c>
      <c r="Q26" s="170">
        <v>2400000</v>
      </c>
      <c r="R26" s="170">
        <v>2400000</v>
      </c>
      <c r="S26" s="170">
        <v>1847664</v>
      </c>
      <c r="T26" s="170">
        <v>1847664</v>
      </c>
      <c r="U26" s="157">
        <f t="shared" si="2"/>
        <v>0</v>
      </c>
      <c r="V26" s="157">
        <f t="shared" si="3"/>
        <v>0</v>
      </c>
      <c r="W26" s="157">
        <f t="shared" si="4"/>
        <v>524160</v>
      </c>
      <c r="X26" s="157">
        <f t="shared" si="5"/>
        <v>524160</v>
      </c>
      <c r="Z26" s="218"/>
      <c r="AA26" s="253"/>
      <c r="AB26" s="288"/>
      <c r="AC26" s="289"/>
      <c r="AD26" s="289"/>
      <c r="AE26" s="291"/>
      <c r="AF26" s="221"/>
      <c r="AI26" s="240">
        <f t="shared" si="6"/>
        <v>4771824</v>
      </c>
    </row>
    <row r="27" spans="3:35" s="30" customFormat="1" ht="28.5" customHeight="1">
      <c r="C27" s="313"/>
      <c r="D27" s="115" t="s">
        <v>86</v>
      </c>
      <c r="E27" s="115" t="s">
        <v>82</v>
      </c>
      <c r="F27" s="115"/>
      <c r="G27" s="115"/>
      <c r="H27" s="115" t="s">
        <v>64</v>
      </c>
      <c r="I27" s="115">
        <v>287</v>
      </c>
      <c r="J27" s="116">
        <v>2100000</v>
      </c>
      <c r="K27" s="116">
        <v>2100000</v>
      </c>
      <c r="L27" s="221">
        <v>2363589</v>
      </c>
      <c r="M27" s="221">
        <v>2363589</v>
      </c>
      <c r="N27" s="122">
        <f t="shared" si="0"/>
        <v>4463589</v>
      </c>
      <c r="O27" s="122">
        <f t="shared" si="1"/>
        <v>4463589</v>
      </c>
      <c r="P27" s="170" t="s">
        <v>181</v>
      </c>
      <c r="Q27" s="170">
        <v>2100000</v>
      </c>
      <c r="R27" s="170">
        <v>2100000</v>
      </c>
      <c r="S27" s="170">
        <v>1841249</v>
      </c>
      <c r="T27" s="170">
        <v>1841249</v>
      </c>
      <c r="U27" s="157">
        <f t="shared" si="2"/>
        <v>0</v>
      </c>
      <c r="V27" s="157">
        <f t="shared" si="3"/>
        <v>0</v>
      </c>
      <c r="W27" s="157">
        <f t="shared" si="4"/>
        <v>522340</v>
      </c>
      <c r="X27" s="157">
        <f t="shared" si="5"/>
        <v>522340</v>
      </c>
      <c r="Z27" s="218"/>
      <c r="AA27" s="253"/>
      <c r="AB27" s="288"/>
      <c r="AC27" s="289"/>
      <c r="AD27" s="289"/>
      <c r="AE27" s="291"/>
      <c r="AF27" s="221"/>
      <c r="AH27" s="262" t="s">
        <v>418</v>
      </c>
      <c r="AI27" s="240">
        <f t="shared" si="6"/>
        <v>4463589</v>
      </c>
    </row>
    <row r="28" spans="3:35" s="30" customFormat="1" ht="28.5" customHeight="1">
      <c r="C28" s="313"/>
      <c r="D28" s="63" t="s">
        <v>86</v>
      </c>
      <c r="E28" s="63" t="s">
        <v>81</v>
      </c>
      <c r="F28" s="63"/>
      <c r="G28" s="63"/>
      <c r="H28" s="63" t="s">
        <v>64</v>
      </c>
      <c r="I28" s="63">
        <v>266</v>
      </c>
      <c r="J28" s="65">
        <v>2000000</v>
      </c>
      <c r="K28" s="65">
        <v>2000000</v>
      </c>
      <c r="L28" s="221">
        <v>2190643</v>
      </c>
      <c r="M28" s="221">
        <v>2190643</v>
      </c>
      <c r="N28" s="122">
        <f t="shared" si="0"/>
        <v>4190643</v>
      </c>
      <c r="O28" s="122">
        <f t="shared" si="1"/>
        <v>4190643</v>
      </c>
      <c r="P28" s="170" t="s">
        <v>182</v>
      </c>
      <c r="Q28" s="170">
        <v>2000000</v>
      </c>
      <c r="R28" s="170">
        <v>2000000</v>
      </c>
      <c r="S28" s="170">
        <v>1706523</v>
      </c>
      <c r="T28" s="170">
        <v>1706523</v>
      </c>
      <c r="U28" s="157">
        <f t="shared" si="2"/>
        <v>0</v>
      </c>
      <c r="V28" s="157">
        <f t="shared" si="3"/>
        <v>0</v>
      </c>
      <c r="W28" s="157">
        <f t="shared" si="4"/>
        <v>484120</v>
      </c>
      <c r="X28" s="157">
        <f t="shared" si="5"/>
        <v>484120</v>
      </c>
      <c r="Z28" s="218"/>
      <c r="AA28" s="253"/>
      <c r="AB28" s="288"/>
      <c r="AC28" s="289"/>
      <c r="AD28" s="289"/>
      <c r="AE28" s="291"/>
      <c r="AF28" s="221"/>
      <c r="AH28" s="262" t="s">
        <v>419</v>
      </c>
      <c r="AI28" s="240">
        <f t="shared" si="6"/>
        <v>4190643</v>
      </c>
    </row>
    <row r="29" spans="3:35" s="30" customFormat="1" ht="28.5" customHeight="1">
      <c r="C29" s="313"/>
      <c r="D29" s="63" t="s">
        <v>86</v>
      </c>
      <c r="E29" s="63" t="s">
        <v>83</v>
      </c>
      <c r="F29" s="63"/>
      <c r="G29" s="63"/>
      <c r="H29" s="63" t="s">
        <v>64</v>
      </c>
      <c r="I29" s="63">
        <v>255</v>
      </c>
      <c r="J29" s="65">
        <v>2000000</v>
      </c>
      <c r="K29" s="65">
        <v>2000000</v>
      </c>
      <c r="L29" s="221">
        <v>2100053</v>
      </c>
      <c r="M29" s="221">
        <v>2100053</v>
      </c>
      <c r="N29" s="122">
        <f t="shared" si="0"/>
        <v>4100053</v>
      </c>
      <c r="O29" s="122">
        <f t="shared" si="1"/>
        <v>4100053</v>
      </c>
      <c r="P29" s="170" t="s">
        <v>183</v>
      </c>
      <c r="Q29" s="170">
        <v>2000000</v>
      </c>
      <c r="R29" s="170">
        <v>2000000</v>
      </c>
      <c r="S29" s="170">
        <v>1635953</v>
      </c>
      <c r="T29" s="170">
        <v>1635953</v>
      </c>
      <c r="U29" s="157">
        <f t="shared" si="2"/>
        <v>0</v>
      </c>
      <c r="V29" s="157">
        <f t="shared" si="3"/>
        <v>0</v>
      </c>
      <c r="W29" s="157">
        <f t="shared" si="4"/>
        <v>464100</v>
      </c>
      <c r="X29" s="157">
        <f t="shared" si="5"/>
        <v>464100</v>
      </c>
      <c r="Z29" s="218"/>
      <c r="AA29" s="253"/>
      <c r="AB29" s="288"/>
      <c r="AC29" s="289"/>
      <c r="AD29" s="289"/>
      <c r="AE29" s="291"/>
      <c r="AF29" s="221"/>
      <c r="AH29" s="262" t="s">
        <v>420</v>
      </c>
      <c r="AI29" s="240">
        <f t="shared" si="6"/>
        <v>4100053</v>
      </c>
    </row>
    <row r="30" spans="3:35" s="30" customFormat="1" ht="28.5" customHeight="1">
      <c r="C30" s="313"/>
      <c r="D30" s="79" t="s">
        <v>86</v>
      </c>
      <c r="E30" s="79" t="s">
        <v>82</v>
      </c>
      <c r="F30" s="79" t="s">
        <v>81</v>
      </c>
      <c r="G30" s="79"/>
      <c r="H30" s="79" t="s">
        <v>64</v>
      </c>
      <c r="I30" s="79">
        <v>312</v>
      </c>
      <c r="J30" s="80">
        <v>2500000</v>
      </c>
      <c r="K30" s="80">
        <v>2500000</v>
      </c>
      <c r="L30" s="221">
        <v>2569476</v>
      </c>
      <c r="M30" s="221">
        <v>2569476</v>
      </c>
      <c r="N30" s="122">
        <f t="shared" si="0"/>
        <v>5069476</v>
      </c>
      <c r="O30" s="122">
        <f t="shared" si="1"/>
        <v>5069476</v>
      </c>
      <c r="P30" s="170" t="s">
        <v>184</v>
      </c>
      <c r="Q30" s="170">
        <v>2500000</v>
      </c>
      <c r="R30" s="170">
        <v>2500000</v>
      </c>
      <c r="S30" s="170">
        <v>2001636</v>
      </c>
      <c r="T30" s="170">
        <v>2001636</v>
      </c>
      <c r="U30" s="157">
        <f t="shared" si="2"/>
        <v>0</v>
      </c>
      <c r="V30" s="157">
        <f t="shared" si="3"/>
        <v>0</v>
      </c>
      <c r="W30" s="157">
        <f t="shared" si="4"/>
        <v>567840</v>
      </c>
      <c r="X30" s="157">
        <f t="shared" si="5"/>
        <v>567840</v>
      </c>
      <c r="Z30" s="218"/>
      <c r="AA30" s="253"/>
      <c r="AB30" s="288"/>
      <c r="AC30" s="289"/>
      <c r="AD30" s="289"/>
      <c r="AE30" s="291"/>
      <c r="AF30" s="221"/>
      <c r="AI30" s="240">
        <f t="shared" si="6"/>
        <v>5069476</v>
      </c>
    </row>
    <row r="31" spans="3:35" s="30" customFormat="1" ht="28.5" customHeight="1">
      <c r="C31" s="313"/>
      <c r="D31" s="79" t="s">
        <v>86</v>
      </c>
      <c r="E31" s="79" t="s">
        <v>82</v>
      </c>
      <c r="F31" s="79" t="s">
        <v>83</v>
      </c>
      <c r="G31" s="79"/>
      <c r="H31" s="79" t="s">
        <v>64</v>
      </c>
      <c r="I31" s="79">
        <v>320</v>
      </c>
      <c r="J31" s="80">
        <v>2500000</v>
      </c>
      <c r="K31" s="80">
        <v>2500000</v>
      </c>
      <c r="L31" s="221">
        <v>2635360</v>
      </c>
      <c r="M31" s="221">
        <v>2635360</v>
      </c>
      <c r="N31" s="122">
        <f t="shared" si="0"/>
        <v>5135360</v>
      </c>
      <c r="O31" s="122">
        <f t="shared" si="1"/>
        <v>5135360</v>
      </c>
      <c r="P31" s="170" t="s">
        <v>185</v>
      </c>
      <c r="Q31" s="170">
        <v>2500000</v>
      </c>
      <c r="R31" s="170">
        <v>2500000</v>
      </c>
      <c r="S31" s="170">
        <v>2052960</v>
      </c>
      <c r="T31" s="170">
        <v>2052960</v>
      </c>
      <c r="U31" s="157">
        <f t="shared" si="2"/>
        <v>0</v>
      </c>
      <c r="V31" s="157">
        <f t="shared" si="3"/>
        <v>0</v>
      </c>
      <c r="W31" s="157">
        <f t="shared" si="4"/>
        <v>582400</v>
      </c>
      <c r="X31" s="157">
        <f t="shared" si="5"/>
        <v>582400</v>
      </c>
      <c r="Z31" s="218"/>
      <c r="AA31" s="253"/>
      <c r="AB31" s="288"/>
      <c r="AC31" s="289"/>
      <c r="AD31" s="289"/>
      <c r="AE31" s="291"/>
      <c r="AF31" s="221"/>
      <c r="AI31" s="240">
        <f t="shared" si="6"/>
        <v>5135360</v>
      </c>
    </row>
    <row r="32" spans="3:35" s="30" customFormat="1" ht="28.5" customHeight="1">
      <c r="C32" s="313"/>
      <c r="D32" s="79" t="s">
        <v>86</v>
      </c>
      <c r="E32" s="79" t="s">
        <v>81</v>
      </c>
      <c r="F32" s="79" t="s">
        <v>83</v>
      </c>
      <c r="G32" s="79"/>
      <c r="H32" s="79" t="s">
        <v>64</v>
      </c>
      <c r="I32" s="79">
        <v>275</v>
      </c>
      <c r="J32" s="80">
        <v>2200000</v>
      </c>
      <c r="K32" s="80">
        <v>2200000</v>
      </c>
      <c r="L32" s="221">
        <v>2264763</v>
      </c>
      <c r="M32" s="221">
        <v>2264763</v>
      </c>
      <c r="N32" s="122">
        <f t="shared" si="0"/>
        <v>4464763</v>
      </c>
      <c r="O32" s="122">
        <f t="shared" si="1"/>
        <v>4464763</v>
      </c>
      <c r="P32" s="170" t="s">
        <v>186</v>
      </c>
      <c r="Q32" s="170">
        <v>2200000</v>
      </c>
      <c r="R32" s="170">
        <v>2200000</v>
      </c>
      <c r="S32" s="170">
        <v>1764263</v>
      </c>
      <c r="T32" s="170">
        <v>1764263</v>
      </c>
      <c r="U32" s="157">
        <f t="shared" si="2"/>
        <v>0</v>
      </c>
      <c r="V32" s="157">
        <f t="shared" si="3"/>
        <v>0</v>
      </c>
      <c r="W32" s="157">
        <f t="shared" si="4"/>
        <v>500500</v>
      </c>
      <c r="X32" s="157">
        <f t="shared" si="5"/>
        <v>500500</v>
      </c>
      <c r="Z32" s="218"/>
      <c r="AA32" s="253"/>
      <c r="AB32" s="288"/>
      <c r="AC32" s="289"/>
      <c r="AD32" s="289"/>
      <c r="AE32" s="291"/>
      <c r="AF32" s="221"/>
      <c r="AI32" s="240">
        <f t="shared" si="6"/>
        <v>4464763</v>
      </c>
    </row>
    <row r="33" spans="3:37" s="30" customFormat="1" ht="28.5" customHeight="1">
      <c r="C33" s="313"/>
      <c r="D33" s="79" t="s">
        <v>86</v>
      </c>
      <c r="E33" s="79" t="s">
        <v>82</v>
      </c>
      <c r="F33" s="79" t="s">
        <v>81</v>
      </c>
      <c r="G33" s="79" t="s">
        <v>83</v>
      </c>
      <c r="H33" s="79" t="s">
        <v>64</v>
      </c>
      <c r="I33" s="79">
        <v>366</v>
      </c>
      <c r="J33" s="80">
        <v>2650000</v>
      </c>
      <c r="K33" s="80">
        <v>2650000</v>
      </c>
      <c r="L33" s="221">
        <v>3014193</v>
      </c>
      <c r="M33" s="221">
        <v>3014193</v>
      </c>
      <c r="N33" s="122">
        <f t="shared" si="0"/>
        <v>5664193</v>
      </c>
      <c r="O33" s="122">
        <f t="shared" si="1"/>
        <v>5664193</v>
      </c>
      <c r="P33" s="170" t="s">
        <v>187</v>
      </c>
      <c r="Q33" s="170">
        <v>2650000</v>
      </c>
      <c r="R33" s="170">
        <v>2650000</v>
      </c>
      <c r="S33" s="170">
        <v>2348073</v>
      </c>
      <c r="T33" s="170">
        <v>2348073</v>
      </c>
      <c r="U33" s="157">
        <f t="shared" si="2"/>
        <v>0</v>
      </c>
      <c r="V33" s="157">
        <f t="shared" si="3"/>
        <v>0</v>
      </c>
      <c r="W33" s="157">
        <f t="shared" si="4"/>
        <v>666120</v>
      </c>
      <c r="X33" s="157">
        <f t="shared" si="5"/>
        <v>666120</v>
      </c>
      <c r="Z33" s="218"/>
      <c r="AA33" s="253"/>
      <c r="AB33" s="288"/>
      <c r="AC33" s="289"/>
      <c r="AD33" s="289"/>
      <c r="AE33" s="291"/>
      <c r="AF33" s="221"/>
      <c r="AH33" s="262"/>
      <c r="AI33" s="240">
        <f t="shared" si="6"/>
        <v>5664193</v>
      </c>
    </row>
    <row r="34" spans="3:37" s="30" customFormat="1" ht="28.5" customHeight="1">
      <c r="C34" s="313"/>
      <c r="D34" s="79" t="s">
        <v>161</v>
      </c>
      <c r="E34" s="79" t="s">
        <v>82</v>
      </c>
      <c r="F34" s="79"/>
      <c r="G34" s="79"/>
      <c r="H34" s="79" t="s">
        <v>64</v>
      </c>
      <c r="I34" s="79">
        <v>287</v>
      </c>
      <c r="J34" s="80">
        <v>2100000</v>
      </c>
      <c r="K34" s="80">
        <v>2100000</v>
      </c>
      <c r="L34" s="221">
        <v>2363589</v>
      </c>
      <c r="M34" s="221">
        <v>2363589</v>
      </c>
      <c r="N34" s="122">
        <f t="shared" si="0"/>
        <v>4463589</v>
      </c>
      <c r="O34" s="122">
        <f t="shared" si="1"/>
        <v>4463589</v>
      </c>
      <c r="P34" s="170" t="s">
        <v>188</v>
      </c>
      <c r="Q34" s="170">
        <v>2100000</v>
      </c>
      <c r="R34" s="170">
        <v>2100000</v>
      </c>
      <c r="S34" s="170">
        <v>1841249</v>
      </c>
      <c r="T34" s="170">
        <v>1841249</v>
      </c>
      <c r="U34" s="157">
        <f t="shared" si="2"/>
        <v>0</v>
      </c>
      <c r="V34" s="157">
        <f t="shared" si="3"/>
        <v>0</v>
      </c>
      <c r="W34" s="157">
        <f t="shared" si="4"/>
        <v>522340</v>
      </c>
      <c r="X34" s="157">
        <f t="shared" si="5"/>
        <v>522340</v>
      </c>
      <c r="Z34" s="218"/>
      <c r="AA34" s="253"/>
      <c r="AB34" s="288"/>
      <c r="AC34" s="289"/>
      <c r="AD34" s="289"/>
      <c r="AE34" s="291"/>
      <c r="AF34" s="221"/>
      <c r="AH34" s="262" t="s">
        <v>421</v>
      </c>
      <c r="AI34" s="240">
        <f t="shared" si="6"/>
        <v>4463589</v>
      </c>
    </row>
    <row r="35" spans="3:37" s="30" customFormat="1" ht="28.5" customHeight="1">
      <c r="C35" s="313"/>
      <c r="D35" s="79" t="s">
        <v>161</v>
      </c>
      <c r="E35" s="79" t="s">
        <v>81</v>
      </c>
      <c r="F35" s="79"/>
      <c r="G35" s="79"/>
      <c r="H35" s="79" t="s">
        <v>64</v>
      </c>
      <c r="I35" s="79">
        <v>266</v>
      </c>
      <c r="J35" s="80">
        <v>2000000</v>
      </c>
      <c r="K35" s="80">
        <v>2000000</v>
      </c>
      <c r="L35" s="221">
        <v>2190643</v>
      </c>
      <c r="M35" s="221">
        <v>2190643</v>
      </c>
      <c r="N35" s="122">
        <f t="shared" si="0"/>
        <v>4190643</v>
      </c>
      <c r="O35" s="122">
        <f t="shared" si="1"/>
        <v>4190643</v>
      </c>
      <c r="P35" s="170" t="s">
        <v>189</v>
      </c>
      <c r="Q35" s="170">
        <v>2000000</v>
      </c>
      <c r="R35" s="170">
        <v>2000000</v>
      </c>
      <c r="S35" s="170">
        <v>1706523</v>
      </c>
      <c r="T35" s="170">
        <v>1706523</v>
      </c>
      <c r="U35" s="157">
        <f t="shared" si="2"/>
        <v>0</v>
      </c>
      <c r="V35" s="157">
        <f t="shared" si="3"/>
        <v>0</v>
      </c>
      <c r="W35" s="157">
        <f t="shared" si="4"/>
        <v>484120</v>
      </c>
      <c r="X35" s="157">
        <f t="shared" si="5"/>
        <v>484120</v>
      </c>
      <c r="Z35" s="218"/>
      <c r="AA35" s="253"/>
      <c r="AB35" s="288"/>
      <c r="AC35" s="289"/>
      <c r="AD35" s="289"/>
      <c r="AE35" s="291"/>
      <c r="AF35" s="221"/>
      <c r="AH35" s="262" t="s">
        <v>422</v>
      </c>
      <c r="AI35" s="240">
        <f t="shared" si="6"/>
        <v>4190643</v>
      </c>
    </row>
    <row r="36" spans="3:37" s="30" customFormat="1" ht="28.5" customHeight="1">
      <c r="C36" s="313"/>
      <c r="D36" s="79" t="s">
        <v>161</v>
      </c>
      <c r="E36" s="79" t="s">
        <v>83</v>
      </c>
      <c r="F36" s="79"/>
      <c r="G36" s="79"/>
      <c r="H36" s="79" t="s">
        <v>64</v>
      </c>
      <c r="I36" s="79">
        <v>255</v>
      </c>
      <c r="J36" s="80">
        <v>2000000</v>
      </c>
      <c r="K36" s="80">
        <v>2000000</v>
      </c>
      <c r="L36" s="221">
        <v>2100053</v>
      </c>
      <c r="M36" s="221">
        <v>2100053</v>
      </c>
      <c r="N36" s="122">
        <f t="shared" si="0"/>
        <v>4100053</v>
      </c>
      <c r="O36" s="122">
        <f t="shared" si="1"/>
        <v>4100053</v>
      </c>
      <c r="P36" s="170" t="s">
        <v>190</v>
      </c>
      <c r="Q36" s="170">
        <v>2000000</v>
      </c>
      <c r="R36" s="170">
        <v>2000000</v>
      </c>
      <c r="S36" s="170">
        <v>1635953</v>
      </c>
      <c r="T36" s="170">
        <v>1635953</v>
      </c>
      <c r="U36" s="157">
        <f t="shared" si="2"/>
        <v>0</v>
      </c>
      <c r="V36" s="157">
        <f t="shared" si="3"/>
        <v>0</v>
      </c>
      <c r="W36" s="157">
        <f t="shared" si="4"/>
        <v>464100</v>
      </c>
      <c r="X36" s="157">
        <f t="shared" si="5"/>
        <v>464100</v>
      </c>
      <c r="Z36" s="218"/>
      <c r="AA36" s="253"/>
      <c r="AB36" s="288"/>
      <c r="AC36" s="289"/>
      <c r="AD36" s="289"/>
      <c r="AE36" s="291"/>
      <c r="AF36" s="221"/>
      <c r="AH36" s="262" t="s">
        <v>423</v>
      </c>
      <c r="AI36" s="240">
        <f t="shared" si="6"/>
        <v>4100053</v>
      </c>
    </row>
    <row r="37" spans="3:37" s="30" customFormat="1" ht="28.5" customHeight="1">
      <c r="C37" s="313"/>
      <c r="D37" s="79" t="s">
        <v>161</v>
      </c>
      <c r="E37" s="79" t="s">
        <v>82</v>
      </c>
      <c r="F37" s="79" t="s">
        <v>81</v>
      </c>
      <c r="G37" s="79"/>
      <c r="H37" s="79" t="s">
        <v>64</v>
      </c>
      <c r="I37" s="79">
        <v>312</v>
      </c>
      <c r="J37" s="80">
        <v>2500000</v>
      </c>
      <c r="K37" s="80">
        <v>2500000</v>
      </c>
      <c r="L37" s="221">
        <v>2569476</v>
      </c>
      <c r="M37" s="221">
        <v>2569476</v>
      </c>
      <c r="N37" s="122">
        <f t="shared" si="0"/>
        <v>5069476</v>
      </c>
      <c r="O37" s="122">
        <f t="shared" si="1"/>
        <v>5069476</v>
      </c>
      <c r="P37" s="170" t="s">
        <v>191</v>
      </c>
      <c r="Q37" s="170">
        <v>2500000</v>
      </c>
      <c r="R37" s="170">
        <v>2500000</v>
      </c>
      <c r="S37" s="170">
        <v>2001636</v>
      </c>
      <c r="T37" s="170">
        <v>2001636</v>
      </c>
      <c r="U37" s="157">
        <f t="shared" si="2"/>
        <v>0</v>
      </c>
      <c r="V37" s="157">
        <f t="shared" si="3"/>
        <v>0</v>
      </c>
      <c r="W37" s="157">
        <f t="shared" si="4"/>
        <v>567840</v>
      </c>
      <c r="X37" s="157">
        <f t="shared" si="5"/>
        <v>567840</v>
      </c>
      <c r="Z37" s="218"/>
      <c r="AA37" s="253"/>
      <c r="AB37" s="288"/>
      <c r="AC37" s="289"/>
      <c r="AD37" s="289"/>
      <c r="AE37" s="291"/>
      <c r="AF37" s="221"/>
      <c r="AI37" s="240">
        <f t="shared" si="6"/>
        <v>5069476</v>
      </c>
    </row>
    <row r="38" spans="3:37" s="30" customFormat="1" ht="28.5" customHeight="1">
      <c r="C38" s="313"/>
      <c r="D38" s="79" t="s">
        <v>161</v>
      </c>
      <c r="E38" s="79" t="s">
        <v>82</v>
      </c>
      <c r="F38" s="79" t="s">
        <v>83</v>
      </c>
      <c r="G38" s="79"/>
      <c r="H38" s="79" t="s">
        <v>64</v>
      </c>
      <c r="I38" s="79">
        <v>320</v>
      </c>
      <c r="J38" s="80">
        <v>2500000</v>
      </c>
      <c r="K38" s="80">
        <v>2500000</v>
      </c>
      <c r="L38" s="221">
        <v>2635360</v>
      </c>
      <c r="M38" s="221">
        <v>2635360</v>
      </c>
      <c r="N38" s="122">
        <f t="shared" si="0"/>
        <v>5135360</v>
      </c>
      <c r="O38" s="122">
        <f t="shared" si="1"/>
        <v>5135360</v>
      </c>
      <c r="P38" s="170" t="s">
        <v>192</v>
      </c>
      <c r="Q38" s="170">
        <v>2500000</v>
      </c>
      <c r="R38" s="170">
        <v>2500000</v>
      </c>
      <c r="S38" s="170">
        <v>2052960</v>
      </c>
      <c r="T38" s="170">
        <v>2052960</v>
      </c>
      <c r="U38" s="157">
        <f t="shared" si="2"/>
        <v>0</v>
      </c>
      <c r="V38" s="157">
        <f t="shared" si="3"/>
        <v>0</v>
      </c>
      <c r="W38" s="157">
        <f t="shared" si="4"/>
        <v>582400</v>
      </c>
      <c r="X38" s="157">
        <f t="shared" si="5"/>
        <v>582400</v>
      </c>
      <c r="Z38" s="218"/>
      <c r="AA38" s="253"/>
      <c r="AB38" s="288"/>
      <c r="AC38" s="289"/>
      <c r="AD38" s="289"/>
      <c r="AE38" s="291"/>
      <c r="AF38" s="221"/>
      <c r="AI38" s="240">
        <f t="shared" si="6"/>
        <v>5135360</v>
      </c>
    </row>
    <row r="39" spans="3:37" s="30" customFormat="1" ht="28.5" customHeight="1">
      <c r="C39" s="313"/>
      <c r="D39" s="79" t="s">
        <v>161</v>
      </c>
      <c r="E39" s="79" t="s">
        <v>81</v>
      </c>
      <c r="F39" s="79" t="s">
        <v>83</v>
      </c>
      <c r="G39" s="79"/>
      <c r="H39" s="79" t="s">
        <v>64</v>
      </c>
      <c r="I39" s="79">
        <v>275</v>
      </c>
      <c r="J39" s="80">
        <v>2200000</v>
      </c>
      <c r="K39" s="80">
        <v>2200000</v>
      </c>
      <c r="L39" s="221">
        <v>2264763</v>
      </c>
      <c r="M39" s="221">
        <v>2264763</v>
      </c>
      <c r="N39" s="122">
        <f t="shared" si="0"/>
        <v>4464763</v>
      </c>
      <c r="O39" s="122">
        <f t="shared" si="1"/>
        <v>4464763</v>
      </c>
      <c r="P39" s="170" t="s">
        <v>193</v>
      </c>
      <c r="Q39" s="170">
        <v>2200000</v>
      </c>
      <c r="R39" s="170">
        <v>2200000</v>
      </c>
      <c r="S39" s="170">
        <v>1764263</v>
      </c>
      <c r="T39" s="170">
        <v>1764263</v>
      </c>
      <c r="U39" s="157">
        <f t="shared" si="2"/>
        <v>0</v>
      </c>
      <c r="V39" s="157">
        <f t="shared" si="3"/>
        <v>0</v>
      </c>
      <c r="W39" s="157">
        <f t="shared" si="4"/>
        <v>500500</v>
      </c>
      <c r="X39" s="157">
        <f t="shared" si="5"/>
        <v>500500</v>
      </c>
      <c r="Z39" s="218"/>
      <c r="AA39" s="253"/>
      <c r="AB39" s="288"/>
      <c r="AC39" s="289"/>
      <c r="AD39" s="289"/>
      <c r="AE39" s="291"/>
      <c r="AF39" s="221"/>
      <c r="AI39" s="240">
        <f t="shared" si="6"/>
        <v>4464763</v>
      </c>
    </row>
    <row r="40" spans="3:37" s="30" customFormat="1" ht="28.5" customHeight="1">
      <c r="C40" s="313"/>
      <c r="D40" s="79" t="s">
        <v>161</v>
      </c>
      <c r="E40" s="79" t="s">
        <v>82</v>
      </c>
      <c r="F40" s="79" t="s">
        <v>81</v>
      </c>
      <c r="G40" s="79" t="s">
        <v>83</v>
      </c>
      <c r="H40" s="79" t="s">
        <v>64</v>
      </c>
      <c r="I40" s="79">
        <v>366</v>
      </c>
      <c r="J40" s="80">
        <v>2650000</v>
      </c>
      <c r="K40" s="80">
        <v>2650000</v>
      </c>
      <c r="L40" s="221">
        <v>3014193</v>
      </c>
      <c r="M40" s="221">
        <v>3014193</v>
      </c>
      <c r="N40" s="122">
        <f t="shared" si="0"/>
        <v>5664193</v>
      </c>
      <c r="O40" s="122">
        <f t="shared" si="1"/>
        <v>5664193</v>
      </c>
      <c r="P40" s="170" t="s">
        <v>194</v>
      </c>
      <c r="Q40" s="170">
        <v>2650000</v>
      </c>
      <c r="R40" s="170">
        <v>2650000</v>
      </c>
      <c r="S40" s="170">
        <v>2348073</v>
      </c>
      <c r="T40" s="170">
        <v>2348073</v>
      </c>
      <c r="U40" s="157">
        <f t="shared" si="2"/>
        <v>0</v>
      </c>
      <c r="V40" s="157">
        <f t="shared" si="3"/>
        <v>0</v>
      </c>
      <c r="W40" s="157">
        <f t="shared" si="4"/>
        <v>666120</v>
      </c>
      <c r="X40" s="157">
        <f t="shared" si="5"/>
        <v>666120</v>
      </c>
      <c r="Z40" s="218"/>
      <c r="AA40" s="253"/>
      <c r="AB40" s="288"/>
      <c r="AC40" s="289"/>
      <c r="AD40" s="289"/>
      <c r="AE40" s="291"/>
      <c r="AF40" s="221"/>
      <c r="AI40" s="240">
        <f t="shared" si="6"/>
        <v>5664193</v>
      </c>
    </row>
    <row r="41" spans="3:37" s="30" customFormat="1" ht="28.5" customHeight="1">
      <c r="C41" s="313"/>
      <c r="D41" s="115" t="s">
        <v>162</v>
      </c>
      <c r="E41" s="115" t="s">
        <v>82</v>
      </c>
      <c r="F41" s="115"/>
      <c r="G41" s="115"/>
      <c r="H41" s="115" t="s">
        <v>64</v>
      </c>
      <c r="I41" s="115">
        <v>287</v>
      </c>
      <c r="J41" s="116">
        <v>2100000</v>
      </c>
      <c r="K41" s="116">
        <v>2100000</v>
      </c>
      <c r="L41" s="221">
        <v>2363589</v>
      </c>
      <c r="M41" s="221">
        <v>2363589</v>
      </c>
      <c r="N41" s="122">
        <f t="shared" si="0"/>
        <v>4463589</v>
      </c>
      <c r="O41" s="122">
        <f t="shared" si="1"/>
        <v>4463589</v>
      </c>
      <c r="P41" s="170" t="s">
        <v>195</v>
      </c>
      <c r="Q41" s="170">
        <v>2100000</v>
      </c>
      <c r="R41" s="170">
        <v>2100000</v>
      </c>
      <c r="S41" s="170">
        <v>1841249</v>
      </c>
      <c r="T41" s="170">
        <v>1841249</v>
      </c>
      <c r="U41" s="157">
        <f t="shared" si="2"/>
        <v>0</v>
      </c>
      <c r="V41" s="157">
        <f t="shared" si="3"/>
        <v>0</v>
      </c>
      <c r="W41" s="157">
        <f t="shared" si="4"/>
        <v>522340</v>
      </c>
      <c r="X41" s="157">
        <f t="shared" si="5"/>
        <v>522340</v>
      </c>
      <c r="Z41" s="218"/>
      <c r="AA41" s="253"/>
      <c r="AB41" s="288"/>
      <c r="AC41" s="289"/>
      <c r="AD41" s="289"/>
      <c r="AE41" s="291"/>
      <c r="AF41" s="221"/>
      <c r="AI41" s="240">
        <f t="shared" si="6"/>
        <v>4463589</v>
      </c>
    </row>
    <row r="42" spans="3:37" s="30" customFormat="1" ht="28.5" customHeight="1">
      <c r="C42" s="313"/>
      <c r="D42" s="115" t="s">
        <v>162</v>
      </c>
      <c r="E42" s="115" t="s">
        <v>81</v>
      </c>
      <c r="F42" s="115"/>
      <c r="G42" s="115"/>
      <c r="H42" s="115" t="s">
        <v>64</v>
      </c>
      <c r="I42" s="115">
        <v>266</v>
      </c>
      <c r="J42" s="116">
        <v>2000000</v>
      </c>
      <c r="K42" s="116">
        <v>2000000</v>
      </c>
      <c r="L42" s="221">
        <v>2190643</v>
      </c>
      <c r="M42" s="221">
        <v>2190643</v>
      </c>
      <c r="N42" s="122">
        <f t="shared" si="0"/>
        <v>4190643</v>
      </c>
      <c r="O42" s="122">
        <f t="shared" si="1"/>
        <v>4190643</v>
      </c>
      <c r="P42" s="170" t="s">
        <v>196</v>
      </c>
      <c r="Q42" s="170">
        <v>2000000</v>
      </c>
      <c r="R42" s="170">
        <v>2000000</v>
      </c>
      <c r="S42" s="170">
        <v>1706523</v>
      </c>
      <c r="T42" s="170">
        <v>1706523</v>
      </c>
      <c r="U42" s="157">
        <f t="shared" si="2"/>
        <v>0</v>
      </c>
      <c r="V42" s="157">
        <f t="shared" si="3"/>
        <v>0</v>
      </c>
      <c r="W42" s="157">
        <f t="shared" si="4"/>
        <v>484120</v>
      </c>
      <c r="X42" s="157">
        <f t="shared" si="5"/>
        <v>484120</v>
      </c>
      <c r="Z42" s="218"/>
      <c r="AA42" s="253"/>
      <c r="AB42" s="288"/>
      <c r="AC42" s="289"/>
      <c r="AD42" s="289"/>
      <c r="AE42" s="291"/>
      <c r="AF42" s="221"/>
      <c r="AI42" s="240">
        <f t="shared" si="6"/>
        <v>4190643</v>
      </c>
    </row>
    <row r="43" spans="3:37" s="30" customFormat="1" ht="28.5" customHeight="1">
      <c r="C43" s="313"/>
      <c r="D43" s="115" t="s">
        <v>162</v>
      </c>
      <c r="E43" s="115" t="s">
        <v>83</v>
      </c>
      <c r="F43" s="115"/>
      <c r="G43" s="115"/>
      <c r="H43" s="115" t="s">
        <v>64</v>
      </c>
      <c r="I43" s="115">
        <v>255</v>
      </c>
      <c r="J43" s="116">
        <v>2000000</v>
      </c>
      <c r="K43" s="116">
        <v>2000000</v>
      </c>
      <c r="L43" s="221">
        <v>2100053</v>
      </c>
      <c r="M43" s="221">
        <v>2100053</v>
      </c>
      <c r="N43" s="122">
        <f t="shared" si="0"/>
        <v>4100053</v>
      </c>
      <c r="O43" s="122">
        <f t="shared" si="1"/>
        <v>4100053</v>
      </c>
      <c r="P43" s="170" t="s">
        <v>197</v>
      </c>
      <c r="Q43" s="170">
        <v>2000000</v>
      </c>
      <c r="R43" s="170">
        <v>2000000</v>
      </c>
      <c r="S43" s="170">
        <v>1635953</v>
      </c>
      <c r="T43" s="170">
        <v>1635953</v>
      </c>
      <c r="U43" s="157">
        <f t="shared" si="2"/>
        <v>0</v>
      </c>
      <c r="V43" s="157">
        <f t="shared" si="3"/>
        <v>0</v>
      </c>
      <c r="W43" s="157">
        <f t="shared" si="4"/>
        <v>464100</v>
      </c>
      <c r="X43" s="157">
        <f t="shared" si="5"/>
        <v>464100</v>
      </c>
      <c r="Z43" s="218"/>
      <c r="AA43" s="253"/>
      <c r="AB43" s="288"/>
      <c r="AC43" s="289"/>
      <c r="AD43" s="289"/>
      <c r="AE43" s="291"/>
      <c r="AF43" s="221"/>
      <c r="AI43" s="240">
        <f t="shared" si="6"/>
        <v>4100053</v>
      </c>
    </row>
    <row r="44" spans="3:37" s="30" customFormat="1" ht="28.5" customHeight="1">
      <c r="C44" s="313"/>
      <c r="D44" s="115" t="s">
        <v>162</v>
      </c>
      <c r="E44" s="115" t="s">
        <v>82</v>
      </c>
      <c r="F44" s="115" t="s">
        <v>81</v>
      </c>
      <c r="G44" s="115"/>
      <c r="H44" s="115" t="s">
        <v>64</v>
      </c>
      <c r="I44" s="115">
        <v>312</v>
      </c>
      <c r="J44" s="116">
        <v>2500000</v>
      </c>
      <c r="K44" s="116">
        <v>2500000</v>
      </c>
      <c r="L44" s="221">
        <v>2569476</v>
      </c>
      <c r="M44" s="221">
        <v>2569476</v>
      </c>
      <c r="N44" s="122">
        <f t="shared" si="0"/>
        <v>5069476</v>
      </c>
      <c r="O44" s="122">
        <f t="shared" si="1"/>
        <v>5069476</v>
      </c>
      <c r="P44" s="170" t="s">
        <v>198</v>
      </c>
      <c r="Q44" s="170">
        <v>2500000</v>
      </c>
      <c r="R44" s="170">
        <v>2500000</v>
      </c>
      <c r="S44" s="170">
        <v>2001636</v>
      </c>
      <c r="T44" s="170">
        <v>2001636</v>
      </c>
      <c r="U44" s="157">
        <f t="shared" si="2"/>
        <v>0</v>
      </c>
      <c r="V44" s="157">
        <f t="shared" si="3"/>
        <v>0</v>
      </c>
      <c r="W44" s="157">
        <f t="shared" si="4"/>
        <v>567840</v>
      </c>
      <c r="X44" s="157">
        <f t="shared" si="5"/>
        <v>567840</v>
      </c>
      <c r="Z44" s="218"/>
      <c r="AA44" s="253"/>
      <c r="AB44" s="288"/>
      <c r="AC44" s="289"/>
      <c r="AD44" s="289"/>
      <c r="AE44" s="291"/>
      <c r="AF44" s="221"/>
      <c r="AI44" s="240">
        <f t="shared" si="6"/>
        <v>5069476</v>
      </c>
    </row>
    <row r="45" spans="3:37" s="30" customFormat="1" ht="28.5" customHeight="1">
      <c r="C45" s="313"/>
      <c r="D45" s="115" t="s">
        <v>162</v>
      </c>
      <c r="E45" s="115" t="s">
        <v>82</v>
      </c>
      <c r="F45" s="115" t="s">
        <v>83</v>
      </c>
      <c r="G45" s="115"/>
      <c r="H45" s="115" t="s">
        <v>64</v>
      </c>
      <c r="I45" s="115">
        <v>320</v>
      </c>
      <c r="J45" s="116">
        <v>2500000</v>
      </c>
      <c r="K45" s="116">
        <v>2500000</v>
      </c>
      <c r="L45" s="221">
        <v>2635360</v>
      </c>
      <c r="M45" s="221">
        <v>2635360</v>
      </c>
      <c r="N45" s="122">
        <f t="shared" si="0"/>
        <v>5135360</v>
      </c>
      <c r="O45" s="122">
        <f t="shared" si="1"/>
        <v>5135360</v>
      </c>
      <c r="P45" s="170" t="s">
        <v>199</v>
      </c>
      <c r="Q45" s="170">
        <v>2500000</v>
      </c>
      <c r="R45" s="170">
        <v>2500000</v>
      </c>
      <c r="S45" s="170">
        <v>2052960</v>
      </c>
      <c r="T45" s="170">
        <v>2052960</v>
      </c>
      <c r="U45" s="157">
        <f t="shared" si="2"/>
        <v>0</v>
      </c>
      <c r="V45" s="157">
        <f t="shared" si="3"/>
        <v>0</v>
      </c>
      <c r="W45" s="157">
        <f t="shared" si="4"/>
        <v>582400</v>
      </c>
      <c r="X45" s="157">
        <f t="shared" si="5"/>
        <v>582400</v>
      </c>
      <c r="Z45" s="218"/>
      <c r="AA45" s="253"/>
      <c r="AB45" s="288"/>
      <c r="AC45" s="289"/>
      <c r="AD45" s="289"/>
      <c r="AE45" s="291"/>
      <c r="AF45" s="221"/>
      <c r="AI45" s="240">
        <f t="shared" si="6"/>
        <v>5135360</v>
      </c>
    </row>
    <row r="46" spans="3:37" s="30" customFormat="1" ht="28.5" customHeight="1">
      <c r="C46" s="313"/>
      <c r="D46" s="115" t="s">
        <v>162</v>
      </c>
      <c r="E46" s="115" t="s">
        <v>81</v>
      </c>
      <c r="F46" s="115" t="s">
        <v>83</v>
      </c>
      <c r="G46" s="115"/>
      <c r="H46" s="115" t="s">
        <v>64</v>
      </c>
      <c r="I46" s="115">
        <v>275</v>
      </c>
      <c r="J46" s="116">
        <v>2200000</v>
      </c>
      <c r="K46" s="116">
        <v>2200000</v>
      </c>
      <c r="L46" s="221">
        <v>2264763</v>
      </c>
      <c r="M46" s="221">
        <v>2264763</v>
      </c>
      <c r="N46" s="122">
        <f t="shared" si="0"/>
        <v>4464763</v>
      </c>
      <c r="O46" s="122">
        <f t="shared" si="1"/>
        <v>4464763</v>
      </c>
      <c r="P46" s="170" t="s">
        <v>200</v>
      </c>
      <c r="Q46" s="170">
        <v>2200000</v>
      </c>
      <c r="R46" s="170">
        <v>2200000</v>
      </c>
      <c r="S46" s="170">
        <v>1764263</v>
      </c>
      <c r="T46" s="170">
        <v>1764263</v>
      </c>
      <c r="U46" s="157">
        <f t="shared" si="2"/>
        <v>0</v>
      </c>
      <c r="V46" s="157">
        <f t="shared" si="3"/>
        <v>0</v>
      </c>
      <c r="W46" s="157">
        <f t="shared" si="4"/>
        <v>500500</v>
      </c>
      <c r="X46" s="157">
        <f t="shared" si="5"/>
        <v>500500</v>
      </c>
      <c r="Z46" s="218"/>
      <c r="AA46" s="253"/>
      <c r="AB46" s="288"/>
      <c r="AC46" s="289"/>
      <c r="AD46" s="289"/>
      <c r="AE46" s="291"/>
      <c r="AF46" s="221"/>
      <c r="AI46" s="240">
        <f t="shared" si="6"/>
        <v>4464763</v>
      </c>
    </row>
    <row r="47" spans="3:37" s="30" customFormat="1" ht="28.5" customHeight="1">
      <c r="C47" s="314"/>
      <c r="D47" s="79" t="s">
        <v>162</v>
      </c>
      <c r="E47" s="79" t="s">
        <v>82</v>
      </c>
      <c r="F47" s="79" t="s">
        <v>81</v>
      </c>
      <c r="G47" s="79" t="s">
        <v>83</v>
      </c>
      <c r="H47" s="79" t="s">
        <v>64</v>
      </c>
      <c r="I47" s="79">
        <v>366</v>
      </c>
      <c r="J47" s="80">
        <v>2650000</v>
      </c>
      <c r="K47" s="80">
        <v>2650000</v>
      </c>
      <c r="L47" s="221">
        <v>3014193</v>
      </c>
      <c r="M47" s="221">
        <v>3014193</v>
      </c>
      <c r="N47" s="122">
        <f t="shared" si="0"/>
        <v>5664193</v>
      </c>
      <c r="O47" s="122">
        <f t="shared" si="1"/>
        <v>5664193</v>
      </c>
      <c r="P47" s="170" t="s">
        <v>201</v>
      </c>
      <c r="Q47" s="170">
        <v>2650000</v>
      </c>
      <c r="R47" s="170">
        <v>2650000</v>
      </c>
      <c r="S47" s="170">
        <v>2348073</v>
      </c>
      <c r="T47" s="170">
        <v>2348073</v>
      </c>
      <c r="U47" s="157">
        <f t="shared" si="2"/>
        <v>0</v>
      </c>
      <c r="V47" s="157">
        <f t="shared" si="3"/>
        <v>0</v>
      </c>
      <c r="W47" s="157">
        <f t="shared" si="4"/>
        <v>666120</v>
      </c>
      <c r="X47" s="157">
        <f t="shared" si="5"/>
        <v>666120</v>
      </c>
      <c r="Z47" s="218"/>
      <c r="AA47" s="253"/>
      <c r="AB47" s="288"/>
      <c r="AC47" s="289"/>
      <c r="AD47" s="289"/>
      <c r="AE47" s="291"/>
      <c r="AF47" s="221"/>
      <c r="AI47" s="240">
        <f t="shared" si="6"/>
        <v>5664193</v>
      </c>
    </row>
    <row r="48" spans="3:37" s="30" customFormat="1" ht="28.5" customHeight="1">
      <c r="C48" s="312" t="s">
        <v>56</v>
      </c>
      <c r="D48" s="115" t="s">
        <v>64</v>
      </c>
      <c r="E48" s="115" t="s">
        <v>87</v>
      </c>
      <c r="F48" s="115"/>
      <c r="G48" s="115"/>
      <c r="H48" s="115"/>
      <c r="I48" s="115">
        <v>144</v>
      </c>
      <c r="J48" s="116">
        <v>1635000</v>
      </c>
      <c r="K48" s="116">
        <v>1635000</v>
      </c>
      <c r="L48" s="221">
        <v>1355328</v>
      </c>
      <c r="M48" s="221">
        <v>1355328</v>
      </c>
      <c r="N48" s="122">
        <f t="shared" si="0"/>
        <v>2990328</v>
      </c>
      <c r="O48" s="122">
        <f t="shared" si="1"/>
        <v>2990328</v>
      </c>
      <c r="P48" s="170" t="s">
        <v>202</v>
      </c>
      <c r="Q48" s="170">
        <v>1635000</v>
      </c>
      <c r="R48" s="170">
        <v>1635000</v>
      </c>
      <c r="S48" s="170">
        <v>1055808</v>
      </c>
      <c r="T48" s="170">
        <v>1055808</v>
      </c>
      <c r="U48" s="157">
        <f t="shared" si="2"/>
        <v>0</v>
      </c>
      <c r="V48" s="157">
        <f t="shared" si="3"/>
        <v>0</v>
      </c>
      <c r="W48" s="157">
        <f t="shared" si="4"/>
        <v>299520</v>
      </c>
      <c r="X48" s="157">
        <f t="shared" si="5"/>
        <v>299520</v>
      </c>
      <c r="Z48" s="218"/>
      <c r="AA48" s="253"/>
      <c r="AB48" s="288"/>
      <c r="AC48" s="289"/>
      <c r="AD48" s="289"/>
      <c r="AE48" s="291"/>
      <c r="AF48" s="221"/>
      <c r="AI48" s="240">
        <f t="shared" si="6"/>
        <v>2990328</v>
      </c>
      <c r="AK48" s="257"/>
    </row>
    <row r="49" spans="2:35" s="30" customFormat="1" ht="28.5" customHeight="1">
      <c r="C49" s="313"/>
      <c r="D49" s="115" t="s">
        <v>87</v>
      </c>
      <c r="E49" s="115" t="s">
        <v>82</v>
      </c>
      <c r="F49" s="115"/>
      <c r="G49" s="115"/>
      <c r="H49" s="115" t="s">
        <v>64</v>
      </c>
      <c r="I49" s="115">
        <v>144</v>
      </c>
      <c r="J49" s="116">
        <v>1635000</v>
      </c>
      <c r="K49" s="116">
        <v>1635000</v>
      </c>
      <c r="L49" s="221">
        <v>1355328</v>
      </c>
      <c r="M49" s="221">
        <v>1355328</v>
      </c>
      <c r="N49" s="122">
        <f t="shared" si="0"/>
        <v>2990328</v>
      </c>
      <c r="O49" s="122">
        <f t="shared" si="1"/>
        <v>2990328</v>
      </c>
      <c r="P49" s="170" t="s">
        <v>203</v>
      </c>
      <c r="Q49" s="170">
        <v>1635000</v>
      </c>
      <c r="R49" s="170">
        <v>1635000</v>
      </c>
      <c r="S49" s="170">
        <v>1055808</v>
      </c>
      <c r="T49" s="170">
        <v>1055808</v>
      </c>
      <c r="U49" s="157">
        <f t="shared" si="2"/>
        <v>0</v>
      </c>
      <c r="V49" s="157">
        <f t="shared" si="3"/>
        <v>0</v>
      </c>
      <c r="W49" s="157">
        <f t="shared" si="4"/>
        <v>299520</v>
      </c>
      <c r="X49" s="157">
        <f t="shared" si="5"/>
        <v>299520</v>
      </c>
      <c r="Z49" s="218"/>
      <c r="AA49" s="253"/>
      <c r="AB49" s="288"/>
      <c r="AC49" s="289"/>
      <c r="AD49" s="289"/>
      <c r="AE49" s="291"/>
      <c r="AF49" s="221"/>
      <c r="AI49" s="240">
        <f t="shared" si="6"/>
        <v>2990328</v>
      </c>
    </row>
    <row r="50" spans="2:35" s="28" customFormat="1" ht="28.5" customHeight="1">
      <c r="B50" s="30"/>
      <c r="C50" s="313"/>
      <c r="D50" s="64" t="s">
        <v>64</v>
      </c>
      <c r="E50" s="64" t="s">
        <v>87</v>
      </c>
      <c r="F50" s="64"/>
      <c r="G50" s="64"/>
      <c r="H50" s="64"/>
      <c r="I50" s="63">
        <v>144</v>
      </c>
      <c r="J50" s="67">
        <v>1635000</v>
      </c>
      <c r="K50" s="67">
        <v>1635000</v>
      </c>
      <c r="L50" s="221">
        <v>1355328</v>
      </c>
      <c r="M50" s="221">
        <v>1355328</v>
      </c>
      <c r="N50" s="122">
        <f t="shared" si="0"/>
        <v>2990328</v>
      </c>
      <c r="O50" s="122">
        <f t="shared" si="1"/>
        <v>2990328</v>
      </c>
      <c r="P50" s="170" t="s">
        <v>202</v>
      </c>
      <c r="Q50" s="170">
        <v>1635000</v>
      </c>
      <c r="R50" s="170">
        <v>1635000</v>
      </c>
      <c r="S50" s="170">
        <v>1055808</v>
      </c>
      <c r="T50" s="170">
        <v>1055808</v>
      </c>
      <c r="U50" s="157">
        <f t="shared" si="2"/>
        <v>0</v>
      </c>
      <c r="V50" s="157">
        <f t="shared" si="3"/>
        <v>0</v>
      </c>
      <c r="W50" s="157">
        <f t="shared" si="4"/>
        <v>299520</v>
      </c>
      <c r="X50" s="157">
        <f t="shared" si="5"/>
        <v>299520</v>
      </c>
      <c r="Z50" s="218"/>
      <c r="AA50" s="253"/>
      <c r="AB50" s="288"/>
      <c r="AC50" s="289"/>
      <c r="AD50" s="289"/>
      <c r="AE50" s="291"/>
      <c r="AF50" s="221"/>
      <c r="AI50" s="240">
        <f t="shared" si="6"/>
        <v>2990328</v>
      </c>
    </row>
    <row r="51" spans="2:35" s="28" customFormat="1" ht="28.5" customHeight="1">
      <c r="B51" s="30"/>
      <c r="C51" s="313"/>
      <c r="D51" s="81" t="str">
        <f>E50</f>
        <v>TL(IM HPP)</v>
      </c>
      <c r="E51" s="81" t="s">
        <v>81</v>
      </c>
      <c r="F51" s="81"/>
      <c r="G51" s="81"/>
      <c r="H51" s="81" t="s">
        <v>64</v>
      </c>
      <c r="I51" s="79">
        <v>168</v>
      </c>
      <c r="J51" s="82">
        <v>1800000</v>
      </c>
      <c r="K51" s="82">
        <v>1800000</v>
      </c>
      <c r="L51" s="221">
        <v>1581216</v>
      </c>
      <c r="M51" s="221">
        <v>1581216</v>
      </c>
      <c r="N51" s="122">
        <f t="shared" si="0"/>
        <v>3381216</v>
      </c>
      <c r="O51" s="122">
        <f t="shared" si="1"/>
        <v>3381216</v>
      </c>
      <c r="P51" s="170" t="s">
        <v>204</v>
      </c>
      <c r="Q51" s="170">
        <v>1800000</v>
      </c>
      <c r="R51" s="170">
        <v>1800000</v>
      </c>
      <c r="S51" s="170">
        <v>1231776</v>
      </c>
      <c r="T51" s="170">
        <v>1231776</v>
      </c>
      <c r="U51" s="157">
        <f t="shared" si="2"/>
        <v>0</v>
      </c>
      <c r="V51" s="157">
        <f t="shared" si="3"/>
        <v>0</v>
      </c>
      <c r="W51" s="157">
        <f t="shared" si="4"/>
        <v>349440</v>
      </c>
      <c r="X51" s="157">
        <f t="shared" si="5"/>
        <v>349440</v>
      </c>
      <c r="Z51" s="218"/>
      <c r="AA51" s="253"/>
      <c r="AB51" s="288"/>
      <c r="AC51" s="289"/>
      <c r="AD51" s="289"/>
      <c r="AE51" s="291"/>
      <c r="AF51" s="221"/>
      <c r="AI51" s="240">
        <f t="shared" si="6"/>
        <v>3381216</v>
      </c>
    </row>
    <row r="52" spans="2:35" s="28" customFormat="1" ht="28.5" customHeight="1">
      <c r="B52" s="30"/>
      <c r="C52" s="313"/>
      <c r="D52" s="145" t="s">
        <v>64</v>
      </c>
      <c r="E52" s="145" t="s">
        <v>87</v>
      </c>
      <c r="F52" s="145"/>
      <c r="G52" s="145"/>
      <c r="H52" s="145"/>
      <c r="I52" s="115">
        <v>144</v>
      </c>
      <c r="J52" s="146">
        <v>1635000</v>
      </c>
      <c r="K52" s="146">
        <v>1635000</v>
      </c>
      <c r="L52" s="221">
        <v>1355328</v>
      </c>
      <c r="M52" s="221">
        <v>1355328</v>
      </c>
      <c r="N52" s="122">
        <f t="shared" si="0"/>
        <v>2990328</v>
      </c>
      <c r="O52" s="122">
        <f t="shared" si="1"/>
        <v>2990328</v>
      </c>
      <c r="P52" s="170" t="s">
        <v>202</v>
      </c>
      <c r="Q52" s="170">
        <v>1635000</v>
      </c>
      <c r="R52" s="170">
        <v>1635000</v>
      </c>
      <c r="S52" s="170">
        <v>1055808</v>
      </c>
      <c r="T52" s="170">
        <v>1055808</v>
      </c>
      <c r="U52" s="157">
        <f t="shared" si="2"/>
        <v>0</v>
      </c>
      <c r="V52" s="157">
        <f t="shared" si="3"/>
        <v>0</v>
      </c>
      <c r="W52" s="157">
        <f t="shared" si="4"/>
        <v>299520</v>
      </c>
      <c r="X52" s="157">
        <f t="shared" si="5"/>
        <v>299520</v>
      </c>
      <c r="Z52" s="218"/>
      <c r="AA52" s="253"/>
      <c r="AB52" s="288"/>
      <c r="AC52" s="289"/>
      <c r="AD52" s="289"/>
      <c r="AE52" s="291"/>
      <c r="AF52" s="221"/>
      <c r="AI52" s="240">
        <f t="shared" si="6"/>
        <v>2990328</v>
      </c>
    </row>
    <row r="53" spans="2:35" s="28" customFormat="1" ht="28.5" customHeight="1">
      <c r="B53" s="30"/>
      <c r="C53" s="313"/>
      <c r="D53" s="145" t="s">
        <v>87</v>
      </c>
      <c r="E53" s="145" t="s">
        <v>83</v>
      </c>
      <c r="F53" s="145"/>
      <c r="G53" s="145"/>
      <c r="H53" s="145" t="s">
        <v>64</v>
      </c>
      <c r="I53" s="115">
        <v>177</v>
      </c>
      <c r="J53" s="146">
        <v>1800000</v>
      </c>
      <c r="K53" s="146">
        <v>1800000</v>
      </c>
      <c r="L53" s="221">
        <v>1665924</v>
      </c>
      <c r="M53" s="221">
        <v>1665924</v>
      </c>
      <c r="N53" s="122">
        <f t="shared" si="0"/>
        <v>3465924</v>
      </c>
      <c r="O53" s="122">
        <f t="shared" si="1"/>
        <v>3465924</v>
      </c>
      <c r="P53" s="170" t="s">
        <v>205</v>
      </c>
      <c r="Q53" s="170">
        <v>1800000</v>
      </c>
      <c r="R53" s="170">
        <v>1800000</v>
      </c>
      <c r="S53" s="170">
        <v>1297764</v>
      </c>
      <c r="T53" s="170">
        <v>1297764</v>
      </c>
      <c r="U53" s="157">
        <f t="shared" si="2"/>
        <v>0</v>
      </c>
      <c r="V53" s="157">
        <f t="shared" si="3"/>
        <v>0</v>
      </c>
      <c r="W53" s="157">
        <f t="shared" si="4"/>
        <v>368160</v>
      </c>
      <c r="X53" s="157">
        <f t="shared" si="5"/>
        <v>368160</v>
      </c>
      <c r="Z53" s="218"/>
      <c r="AA53" s="253"/>
      <c r="AB53" s="288"/>
      <c r="AC53" s="289"/>
      <c r="AD53" s="289"/>
      <c r="AE53" s="291"/>
      <c r="AF53" s="221"/>
      <c r="AI53" s="240">
        <f t="shared" si="6"/>
        <v>3465924</v>
      </c>
    </row>
    <row r="54" spans="2:35" s="28" customFormat="1" ht="28.5" customHeight="1">
      <c r="B54" s="30"/>
      <c r="C54" s="313"/>
      <c r="D54" s="81" t="s">
        <v>64</v>
      </c>
      <c r="E54" s="81" t="s">
        <v>88</v>
      </c>
      <c r="F54" s="81"/>
      <c r="G54" s="81"/>
      <c r="H54" s="81"/>
      <c r="I54" s="79">
        <v>133</v>
      </c>
      <c r="J54" s="82">
        <v>1640000</v>
      </c>
      <c r="K54" s="82">
        <v>1640000</v>
      </c>
      <c r="L54" s="221">
        <v>1251796</v>
      </c>
      <c r="M54" s="221">
        <v>1251796</v>
      </c>
      <c r="N54" s="122">
        <f t="shared" si="0"/>
        <v>2891796</v>
      </c>
      <c r="O54" s="122">
        <f t="shared" si="1"/>
        <v>2891796</v>
      </c>
      <c r="P54" s="170" t="s">
        <v>206</v>
      </c>
      <c r="Q54" s="170">
        <v>1640000</v>
      </c>
      <c r="R54" s="170">
        <v>1640000</v>
      </c>
      <c r="S54" s="170">
        <v>975156</v>
      </c>
      <c r="T54" s="170">
        <v>975156</v>
      </c>
      <c r="U54" s="157">
        <f t="shared" si="2"/>
        <v>0</v>
      </c>
      <c r="V54" s="157">
        <f t="shared" si="3"/>
        <v>0</v>
      </c>
      <c r="W54" s="157">
        <f t="shared" si="4"/>
        <v>276640</v>
      </c>
      <c r="X54" s="157">
        <f t="shared" si="5"/>
        <v>276640</v>
      </c>
      <c r="Z54" s="218"/>
      <c r="AA54" s="253"/>
      <c r="AB54" s="288"/>
      <c r="AC54" s="289"/>
      <c r="AD54" s="289"/>
      <c r="AE54" s="291"/>
      <c r="AF54" s="221"/>
      <c r="AI54" s="240">
        <f t="shared" si="6"/>
        <v>2891796</v>
      </c>
    </row>
    <row r="55" spans="2:35" s="28" customFormat="1" ht="28.5" customHeight="1">
      <c r="B55" s="30"/>
      <c r="C55" s="313"/>
      <c r="D55" s="81" t="str">
        <f>E54</f>
        <v>TS(IM HPP)</v>
      </c>
      <c r="E55" s="81" t="s">
        <v>82</v>
      </c>
      <c r="F55" s="81"/>
      <c r="G55" s="81"/>
      <c r="H55" s="81" t="s">
        <v>64</v>
      </c>
      <c r="I55" s="79">
        <v>179</v>
      </c>
      <c r="J55" s="82">
        <v>1800000</v>
      </c>
      <c r="K55" s="82">
        <v>1800000</v>
      </c>
      <c r="L55" s="221">
        <v>1684748</v>
      </c>
      <c r="M55" s="221">
        <v>1684748</v>
      </c>
      <c r="N55" s="122">
        <f t="shared" si="0"/>
        <v>3484748</v>
      </c>
      <c r="O55" s="122">
        <f t="shared" si="1"/>
        <v>3484748</v>
      </c>
      <c r="P55" s="170" t="s">
        <v>207</v>
      </c>
      <c r="Q55" s="170">
        <v>1800000</v>
      </c>
      <c r="R55" s="170">
        <v>1800000</v>
      </c>
      <c r="S55" s="170">
        <v>1312428</v>
      </c>
      <c r="T55" s="170">
        <v>1312428</v>
      </c>
      <c r="U55" s="157">
        <f t="shared" si="2"/>
        <v>0</v>
      </c>
      <c r="V55" s="157">
        <f t="shared" si="3"/>
        <v>0</v>
      </c>
      <c r="W55" s="157">
        <f t="shared" si="4"/>
        <v>372320</v>
      </c>
      <c r="X55" s="157">
        <f t="shared" si="5"/>
        <v>372320</v>
      </c>
      <c r="Z55" s="218"/>
      <c r="AA55" s="253"/>
      <c r="AB55" s="288"/>
      <c r="AC55" s="289"/>
      <c r="AD55" s="289"/>
      <c r="AE55" s="291"/>
      <c r="AF55" s="221"/>
      <c r="AH55" s="263"/>
      <c r="AI55" s="240">
        <f t="shared" si="6"/>
        <v>3484748</v>
      </c>
    </row>
    <row r="56" spans="2:35" s="28" customFormat="1" ht="28.5" customHeight="1">
      <c r="B56" s="30"/>
      <c r="C56" s="313"/>
      <c r="D56" s="81" t="s">
        <v>64</v>
      </c>
      <c r="E56" s="81" t="s">
        <v>88</v>
      </c>
      <c r="F56" s="81"/>
      <c r="G56" s="81"/>
      <c r="H56" s="81"/>
      <c r="I56" s="79">
        <v>133</v>
      </c>
      <c r="J56" s="82">
        <v>1640000</v>
      </c>
      <c r="K56" s="82">
        <v>1640000</v>
      </c>
      <c r="L56" s="221">
        <v>1251796</v>
      </c>
      <c r="M56" s="221">
        <v>1251796</v>
      </c>
      <c r="N56" s="122">
        <f t="shared" si="0"/>
        <v>2891796</v>
      </c>
      <c r="O56" s="122">
        <f t="shared" si="1"/>
        <v>2891796</v>
      </c>
      <c r="P56" s="170" t="s">
        <v>206</v>
      </c>
      <c r="Q56" s="170">
        <v>1640000</v>
      </c>
      <c r="R56" s="170">
        <v>1640000</v>
      </c>
      <c r="S56" s="170">
        <v>975156</v>
      </c>
      <c r="T56" s="170">
        <v>975156</v>
      </c>
      <c r="U56" s="157">
        <f t="shared" si="2"/>
        <v>0</v>
      </c>
      <c r="V56" s="157">
        <f t="shared" si="3"/>
        <v>0</v>
      </c>
      <c r="W56" s="157">
        <f t="shared" si="4"/>
        <v>276640</v>
      </c>
      <c r="X56" s="157">
        <f t="shared" si="5"/>
        <v>276640</v>
      </c>
      <c r="Z56" s="218"/>
      <c r="AA56" s="253"/>
      <c r="AB56" s="288"/>
      <c r="AC56" s="289"/>
      <c r="AD56" s="289"/>
      <c r="AE56" s="291"/>
      <c r="AF56" s="221"/>
      <c r="AI56" s="240">
        <f t="shared" si="6"/>
        <v>2891796</v>
      </c>
    </row>
    <row r="57" spans="2:35" s="28" customFormat="1" ht="28.5" customHeight="1">
      <c r="B57" s="30"/>
      <c r="C57" s="313"/>
      <c r="D57" s="81" t="str">
        <f>E56</f>
        <v>TS(IM HPP)</v>
      </c>
      <c r="E57" s="81" t="s">
        <v>81</v>
      </c>
      <c r="F57" s="81"/>
      <c r="G57" s="81"/>
      <c r="H57" s="81" t="s">
        <v>64</v>
      </c>
      <c r="I57" s="79">
        <v>133</v>
      </c>
      <c r="J57" s="82">
        <v>1640000</v>
      </c>
      <c r="K57" s="82">
        <v>1640000</v>
      </c>
      <c r="L57" s="221">
        <v>1251796</v>
      </c>
      <c r="M57" s="221">
        <v>1251796</v>
      </c>
      <c r="N57" s="122">
        <f t="shared" si="0"/>
        <v>2891796</v>
      </c>
      <c r="O57" s="122">
        <f t="shared" si="1"/>
        <v>2891796</v>
      </c>
      <c r="P57" s="170" t="s">
        <v>208</v>
      </c>
      <c r="Q57" s="170">
        <v>1640000</v>
      </c>
      <c r="R57" s="170">
        <v>1640000</v>
      </c>
      <c r="S57" s="170">
        <v>975156</v>
      </c>
      <c r="T57" s="170">
        <v>975156</v>
      </c>
      <c r="U57" s="157">
        <f t="shared" si="2"/>
        <v>0</v>
      </c>
      <c r="V57" s="157">
        <f t="shared" si="3"/>
        <v>0</v>
      </c>
      <c r="W57" s="157">
        <f t="shared" si="4"/>
        <v>276640</v>
      </c>
      <c r="X57" s="157">
        <f t="shared" si="5"/>
        <v>276640</v>
      </c>
      <c r="Z57" s="218"/>
      <c r="AA57" s="253"/>
      <c r="AB57" s="288"/>
      <c r="AC57" s="289"/>
      <c r="AD57" s="289"/>
      <c r="AE57" s="291"/>
      <c r="AF57" s="221"/>
      <c r="AH57" s="263"/>
      <c r="AI57" s="240">
        <f t="shared" si="6"/>
        <v>2891796</v>
      </c>
    </row>
    <row r="58" spans="2:35" s="28" customFormat="1" ht="28.5" customHeight="1">
      <c r="B58" s="30"/>
      <c r="C58" s="313"/>
      <c r="D58" s="81" t="s">
        <v>64</v>
      </c>
      <c r="E58" s="81" t="s">
        <v>88</v>
      </c>
      <c r="F58" s="81"/>
      <c r="G58" s="81"/>
      <c r="H58" s="81"/>
      <c r="I58" s="79">
        <v>133</v>
      </c>
      <c r="J58" s="82">
        <v>1640000</v>
      </c>
      <c r="K58" s="82">
        <v>1640000</v>
      </c>
      <c r="L58" s="221">
        <v>1251796</v>
      </c>
      <c r="M58" s="221">
        <v>1251796</v>
      </c>
      <c r="N58" s="122">
        <f t="shared" si="0"/>
        <v>2891796</v>
      </c>
      <c r="O58" s="122">
        <f t="shared" si="1"/>
        <v>2891796</v>
      </c>
      <c r="P58" s="170" t="s">
        <v>206</v>
      </c>
      <c r="Q58" s="170">
        <v>1640000</v>
      </c>
      <c r="R58" s="170">
        <v>1640000</v>
      </c>
      <c r="S58" s="170">
        <v>975156</v>
      </c>
      <c r="T58" s="170">
        <v>975156</v>
      </c>
      <c r="U58" s="157">
        <f t="shared" si="2"/>
        <v>0</v>
      </c>
      <c r="V58" s="157">
        <f t="shared" si="3"/>
        <v>0</v>
      </c>
      <c r="W58" s="157">
        <f t="shared" si="4"/>
        <v>276640</v>
      </c>
      <c r="X58" s="157">
        <f t="shared" si="5"/>
        <v>276640</v>
      </c>
      <c r="Z58" s="218"/>
      <c r="AA58" s="253"/>
      <c r="AB58" s="288"/>
      <c r="AC58" s="289"/>
      <c r="AD58" s="289"/>
      <c r="AE58" s="291"/>
      <c r="AF58" s="221"/>
      <c r="AI58" s="240">
        <f t="shared" si="6"/>
        <v>2891796</v>
      </c>
    </row>
    <row r="59" spans="2:35" s="28" customFormat="1" ht="28.5" customHeight="1">
      <c r="B59" s="30"/>
      <c r="C59" s="313"/>
      <c r="D59" s="81" t="str">
        <f>E58</f>
        <v>TS(IM HPP)</v>
      </c>
      <c r="E59" s="81" t="s">
        <v>83</v>
      </c>
      <c r="F59" s="81"/>
      <c r="G59" s="81"/>
      <c r="H59" s="81" t="s">
        <v>64</v>
      </c>
      <c r="I59" s="79">
        <v>142</v>
      </c>
      <c r="J59" s="82">
        <v>1800000</v>
      </c>
      <c r="K59" s="82">
        <v>1800000</v>
      </c>
      <c r="L59" s="221">
        <v>1336504</v>
      </c>
      <c r="M59" s="221">
        <v>1336504</v>
      </c>
      <c r="N59" s="122">
        <f t="shared" si="0"/>
        <v>3136504</v>
      </c>
      <c r="O59" s="122">
        <f t="shared" si="1"/>
        <v>3136504</v>
      </c>
      <c r="P59" s="170" t="s">
        <v>209</v>
      </c>
      <c r="Q59" s="170">
        <v>1800000</v>
      </c>
      <c r="R59" s="170">
        <v>1800000</v>
      </c>
      <c r="S59" s="170">
        <v>1041144</v>
      </c>
      <c r="T59" s="170">
        <v>1041144</v>
      </c>
      <c r="U59" s="157">
        <f t="shared" si="2"/>
        <v>0</v>
      </c>
      <c r="V59" s="157">
        <f t="shared" si="3"/>
        <v>0</v>
      </c>
      <c r="W59" s="157">
        <f t="shared" si="4"/>
        <v>295360</v>
      </c>
      <c r="X59" s="157">
        <f t="shared" si="5"/>
        <v>295360</v>
      </c>
      <c r="Z59" s="218"/>
      <c r="AA59" s="253"/>
      <c r="AB59" s="288"/>
      <c r="AC59" s="289"/>
      <c r="AD59" s="289"/>
      <c r="AE59" s="291"/>
      <c r="AF59" s="221"/>
      <c r="AH59" s="263"/>
      <c r="AI59" s="240">
        <f t="shared" si="6"/>
        <v>3136504</v>
      </c>
    </row>
    <row r="60" spans="2:35" s="28" customFormat="1" ht="28.5" customHeight="1">
      <c r="B60" s="30"/>
      <c r="C60" s="313"/>
      <c r="D60" s="145" t="s">
        <v>64</v>
      </c>
      <c r="E60" s="145" t="s">
        <v>89</v>
      </c>
      <c r="F60" s="145"/>
      <c r="G60" s="145"/>
      <c r="H60" s="145"/>
      <c r="I60" s="115">
        <v>122</v>
      </c>
      <c r="J60" s="146">
        <v>1640000</v>
      </c>
      <c r="K60" s="146">
        <v>1640000</v>
      </c>
      <c r="L60" s="221">
        <v>1148264</v>
      </c>
      <c r="M60" s="221">
        <v>1148264</v>
      </c>
      <c r="N60" s="122">
        <f t="shared" si="0"/>
        <v>2788264</v>
      </c>
      <c r="O60" s="122">
        <f t="shared" si="1"/>
        <v>2788264</v>
      </c>
      <c r="P60" s="170" t="s">
        <v>210</v>
      </c>
      <c r="Q60" s="170">
        <v>1640000</v>
      </c>
      <c r="R60" s="170">
        <v>1640000</v>
      </c>
      <c r="S60" s="170">
        <v>894504</v>
      </c>
      <c r="T60" s="170">
        <v>894504</v>
      </c>
      <c r="U60" s="157">
        <f t="shared" si="2"/>
        <v>0</v>
      </c>
      <c r="V60" s="157">
        <f t="shared" si="3"/>
        <v>0</v>
      </c>
      <c r="W60" s="157">
        <f t="shared" si="4"/>
        <v>253760</v>
      </c>
      <c r="X60" s="157">
        <f t="shared" si="5"/>
        <v>253760</v>
      </c>
      <c r="Z60" s="218"/>
      <c r="AA60" s="253"/>
      <c r="AB60" s="288"/>
      <c r="AC60" s="289"/>
      <c r="AD60" s="289"/>
      <c r="AE60" s="291"/>
      <c r="AF60" s="221"/>
      <c r="AI60" s="240">
        <f t="shared" si="6"/>
        <v>2788264</v>
      </c>
    </row>
    <row r="61" spans="2:35" s="28" customFormat="1" ht="28.5" customHeight="1">
      <c r="B61" s="30"/>
      <c r="C61" s="313"/>
      <c r="D61" s="145" t="s">
        <v>89</v>
      </c>
      <c r="E61" s="145" t="s">
        <v>82</v>
      </c>
      <c r="F61" s="145"/>
      <c r="G61" s="145"/>
      <c r="H61" s="145" t="s">
        <v>64</v>
      </c>
      <c r="I61" s="115">
        <v>199</v>
      </c>
      <c r="J61" s="146">
        <v>1800000</v>
      </c>
      <c r="K61" s="146">
        <v>1800000</v>
      </c>
      <c r="L61" s="221">
        <v>1872988</v>
      </c>
      <c r="M61" s="221">
        <v>1872988</v>
      </c>
      <c r="N61" s="122">
        <f t="shared" si="0"/>
        <v>3672988</v>
      </c>
      <c r="O61" s="122">
        <f t="shared" si="1"/>
        <v>3672988</v>
      </c>
      <c r="P61" s="170" t="s">
        <v>211</v>
      </c>
      <c r="Q61" s="170">
        <v>1800000</v>
      </c>
      <c r="R61" s="170">
        <v>1800000</v>
      </c>
      <c r="S61" s="170">
        <v>1459068</v>
      </c>
      <c r="T61" s="170">
        <v>1459068</v>
      </c>
      <c r="U61" s="157">
        <f t="shared" si="2"/>
        <v>0</v>
      </c>
      <c r="V61" s="157">
        <f t="shared" si="3"/>
        <v>0</v>
      </c>
      <c r="W61" s="157">
        <f t="shared" si="4"/>
        <v>413920</v>
      </c>
      <c r="X61" s="157">
        <f t="shared" si="5"/>
        <v>413920</v>
      </c>
      <c r="Z61" s="218"/>
      <c r="AA61" s="253"/>
      <c r="AB61" s="288"/>
      <c r="AC61" s="289"/>
      <c r="AD61" s="289"/>
      <c r="AE61" s="291"/>
      <c r="AF61" s="221"/>
      <c r="AH61" s="263"/>
      <c r="AI61" s="240">
        <f t="shared" si="6"/>
        <v>3672988</v>
      </c>
    </row>
    <row r="62" spans="2:35" s="28" customFormat="1" ht="28.5" customHeight="1">
      <c r="B62" s="30"/>
      <c r="C62" s="313"/>
      <c r="D62" s="81" t="s">
        <v>64</v>
      </c>
      <c r="E62" s="81" t="s">
        <v>89</v>
      </c>
      <c r="F62" s="81"/>
      <c r="G62" s="81"/>
      <c r="H62" s="81"/>
      <c r="I62" s="79">
        <v>122</v>
      </c>
      <c r="J62" s="82">
        <v>1640000</v>
      </c>
      <c r="K62" s="82">
        <v>1640000</v>
      </c>
      <c r="L62" s="221">
        <v>1148264</v>
      </c>
      <c r="M62" s="221">
        <v>1148264</v>
      </c>
      <c r="N62" s="122">
        <f t="shared" si="0"/>
        <v>2788264</v>
      </c>
      <c r="O62" s="122">
        <f t="shared" si="1"/>
        <v>2788264</v>
      </c>
      <c r="P62" s="170" t="s">
        <v>210</v>
      </c>
      <c r="Q62" s="170">
        <v>1640000</v>
      </c>
      <c r="R62" s="170">
        <v>1640000</v>
      </c>
      <c r="S62" s="170">
        <v>894504</v>
      </c>
      <c r="T62" s="170">
        <v>894504</v>
      </c>
      <c r="U62" s="157">
        <f t="shared" si="2"/>
        <v>0</v>
      </c>
      <c r="V62" s="157">
        <f t="shared" si="3"/>
        <v>0</v>
      </c>
      <c r="W62" s="157">
        <f t="shared" si="4"/>
        <v>253760</v>
      </c>
      <c r="X62" s="157">
        <f t="shared" si="5"/>
        <v>253760</v>
      </c>
      <c r="Z62" s="218"/>
      <c r="AA62" s="253"/>
      <c r="AB62" s="288"/>
      <c r="AC62" s="289"/>
      <c r="AD62" s="289"/>
      <c r="AE62" s="291"/>
      <c r="AF62" s="221"/>
      <c r="AI62" s="240">
        <f t="shared" si="6"/>
        <v>2788264</v>
      </c>
    </row>
    <row r="63" spans="2:35" s="28" customFormat="1" ht="28.5" customHeight="1">
      <c r="B63" s="30"/>
      <c r="C63" s="313"/>
      <c r="D63" s="81" t="str">
        <f>E62</f>
        <v>QV(IM HPP)</v>
      </c>
      <c r="E63" s="81" t="s">
        <v>81</v>
      </c>
      <c r="F63" s="81"/>
      <c r="G63" s="81"/>
      <c r="H63" s="81" t="s">
        <v>64</v>
      </c>
      <c r="I63" s="79">
        <v>153</v>
      </c>
      <c r="J63" s="82">
        <v>1800000</v>
      </c>
      <c r="K63" s="82">
        <v>1800000</v>
      </c>
      <c r="L63" s="221">
        <v>1440036</v>
      </c>
      <c r="M63" s="221">
        <v>1440036</v>
      </c>
      <c r="N63" s="122">
        <f t="shared" si="0"/>
        <v>3240036</v>
      </c>
      <c r="O63" s="122">
        <f t="shared" si="1"/>
        <v>3240036</v>
      </c>
      <c r="P63" s="170" t="s">
        <v>212</v>
      </c>
      <c r="Q63" s="170">
        <v>1800000</v>
      </c>
      <c r="R63" s="170">
        <v>1800000</v>
      </c>
      <c r="S63" s="170">
        <v>1121796</v>
      </c>
      <c r="T63" s="170">
        <v>1121796</v>
      </c>
      <c r="U63" s="157">
        <f t="shared" si="2"/>
        <v>0</v>
      </c>
      <c r="V63" s="157">
        <f t="shared" si="3"/>
        <v>0</v>
      </c>
      <c r="W63" s="157">
        <f t="shared" si="4"/>
        <v>318240</v>
      </c>
      <c r="X63" s="157">
        <f t="shared" si="5"/>
        <v>318240</v>
      </c>
      <c r="Z63" s="218"/>
      <c r="AA63" s="253"/>
      <c r="AB63" s="288"/>
      <c r="AC63" s="289"/>
      <c r="AD63" s="289"/>
      <c r="AE63" s="291"/>
      <c r="AF63" s="221"/>
      <c r="AH63" s="263"/>
      <c r="AI63" s="240">
        <f t="shared" si="6"/>
        <v>3240036</v>
      </c>
    </row>
    <row r="64" spans="2:35" s="28" customFormat="1" ht="28.5" customHeight="1">
      <c r="B64" s="30"/>
      <c r="C64" s="313"/>
      <c r="D64" s="132" t="s">
        <v>64</v>
      </c>
      <c r="E64" s="132" t="s">
        <v>89</v>
      </c>
      <c r="F64" s="132"/>
      <c r="G64" s="132"/>
      <c r="H64" s="132"/>
      <c r="I64" s="133">
        <v>122</v>
      </c>
      <c r="J64" s="137">
        <v>1640000</v>
      </c>
      <c r="K64" s="137">
        <v>1640000</v>
      </c>
      <c r="L64" s="221">
        <v>1148264</v>
      </c>
      <c r="M64" s="221">
        <v>1148264</v>
      </c>
      <c r="N64" s="122">
        <f t="shared" si="0"/>
        <v>2788264</v>
      </c>
      <c r="O64" s="122">
        <f t="shared" si="1"/>
        <v>2788264</v>
      </c>
      <c r="P64" s="170" t="s">
        <v>210</v>
      </c>
      <c r="Q64" s="170">
        <v>1640000</v>
      </c>
      <c r="R64" s="170">
        <v>1640000</v>
      </c>
      <c r="S64" s="170">
        <v>894504</v>
      </c>
      <c r="T64" s="170">
        <v>894504</v>
      </c>
      <c r="U64" s="157">
        <f t="shared" si="2"/>
        <v>0</v>
      </c>
      <c r="V64" s="157">
        <f t="shared" si="3"/>
        <v>0</v>
      </c>
      <c r="W64" s="157">
        <f t="shared" si="4"/>
        <v>253760</v>
      </c>
      <c r="X64" s="157">
        <f t="shared" si="5"/>
        <v>253760</v>
      </c>
      <c r="Z64" s="218"/>
      <c r="AA64" s="253"/>
      <c r="AB64" s="288"/>
      <c r="AC64" s="289"/>
      <c r="AD64" s="289"/>
      <c r="AE64" s="291"/>
      <c r="AF64" s="221"/>
      <c r="AI64" s="240">
        <f t="shared" si="6"/>
        <v>2788264</v>
      </c>
    </row>
    <row r="65" spans="2:35" s="28" customFormat="1" ht="28.5" customHeight="1">
      <c r="B65" s="30"/>
      <c r="C65" s="313"/>
      <c r="D65" s="132" t="s">
        <v>89</v>
      </c>
      <c r="E65" s="132" t="s">
        <v>83</v>
      </c>
      <c r="F65" s="132"/>
      <c r="G65" s="132"/>
      <c r="H65" s="132" t="s">
        <v>64</v>
      </c>
      <c r="I65" s="133">
        <v>122</v>
      </c>
      <c r="J65" s="137">
        <v>1640000</v>
      </c>
      <c r="K65" s="137">
        <v>1640000</v>
      </c>
      <c r="L65" s="221">
        <v>1148264</v>
      </c>
      <c r="M65" s="221">
        <v>1148264</v>
      </c>
      <c r="N65" s="122">
        <f t="shared" si="0"/>
        <v>2788264</v>
      </c>
      <c r="O65" s="122">
        <f t="shared" si="1"/>
        <v>2788264</v>
      </c>
      <c r="P65" s="170" t="s">
        <v>213</v>
      </c>
      <c r="Q65" s="170">
        <v>1640000</v>
      </c>
      <c r="R65" s="170">
        <v>1640000</v>
      </c>
      <c r="S65" s="170">
        <v>894504</v>
      </c>
      <c r="T65" s="170">
        <v>894504</v>
      </c>
      <c r="U65" s="157">
        <f t="shared" si="2"/>
        <v>0</v>
      </c>
      <c r="V65" s="157">
        <f t="shared" si="3"/>
        <v>0</v>
      </c>
      <c r="W65" s="157">
        <f t="shared" si="4"/>
        <v>253760</v>
      </c>
      <c r="X65" s="157">
        <f t="shared" si="5"/>
        <v>253760</v>
      </c>
      <c r="Z65" s="218"/>
      <c r="AA65" s="253"/>
      <c r="AB65" s="288"/>
      <c r="AC65" s="289"/>
      <c r="AD65" s="289"/>
      <c r="AE65" s="291"/>
      <c r="AF65" s="221"/>
      <c r="AH65" s="263"/>
      <c r="AI65" s="240">
        <f t="shared" si="6"/>
        <v>2788264</v>
      </c>
    </row>
    <row r="66" spans="2:35" s="28" customFormat="1" ht="28.5" customHeight="1">
      <c r="B66" s="30"/>
      <c r="C66" s="313"/>
      <c r="D66" s="132" t="s">
        <v>86</v>
      </c>
      <c r="E66" s="132" t="s">
        <v>90</v>
      </c>
      <c r="F66" s="132"/>
      <c r="G66" s="132"/>
      <c r="H66" s="132"/>
      <c r="I66" s="133">
        <v>85</v>
      </c>
      <c r="J66" s="137">
        <v>1200000</v>
      </c>
      <c r="K66" s="137">
        <v>1200000</v>
      </c>
      <c r="L66" s="221">
        <v>800020</v>
      </c>
      <c r="M66" s="221">
        <v>800020</v>
      </c>
      <c r="N66" s="122">
        <f t="shared" si="0"/>
        <v>2000020</v>
      </c>
      <c r="O66" s="122">
        <f t="shared" si="1"/>
        <v>2000020</v>
      </c>
      <c r="P66" s="170" t="s">
        <v>214</v>
      </c>
      <c r="Q66" s="170">
        <v>1200000</v>
      </c>
      <c r="R66" s="170">
        <v>1200000</v>
      </c>
      <c r="S66" s="170">
        <v>623220</v>
      </c>
      <c r="T66" s="170">
        <v>623220</v>
      </c>
      <c r="U66" s="157">
        <f t="shared" si="2"/>
        <v>0</v>
      </c>
      <c r="V66" s="157">
        <f t="shared" si="3"/>
        <v>0</v>
      </c>
      <c r="W66" s="157">
        <f t="shared" si="4"/>
        <v>176800</v>
      </c>
      <c r="X66" s="157">
        <f t="shared" si="5"/>
        <v>176800</v>
      </c>
      <c r="Z66" s="218"/>
      <c r="AA66" s="253"/>
      <c r="AB66" s="288"/>
      <c r="AC66" s="289"/>
      <c r="AD66" s="289"/>
      <c r="AE66" s="291"/>
      <c r="AF66" s="221"/>
      <c r="AI66" s="240">
        <f t="shared" si="6"/>
        <v>2000020</v>
      </c>
    </row>
    <row r="67" spans="2:35" s="28" customFormat="1" ht="28.5" customHeight="1">
      <c r="B67" s="30"/>
      <c r="C67" s="313"/>
      <c r="D67" s="132" t="s">
        <v>90</v>
      </c>
      <c r="E67" s="132" t="s">
        <v>82</v>
      </c>
      <c r="F67" s="132"/>
      <c r="G67" s="132"/>
      <c r="H67" s="132" t="s">
        <v>64</v>
      </c>
      <c r="I67" s="133">
        <v>234</v>
      </c>
      <c r="J67" s="137">
        <v>2000000</v>
      </c>
      <c r="K67" s="137">
        <v>2000000</v>
      </c>
      <c r="L67" s="221">
        <v>2202408</v>
      </c>
      <c r="M67" s="221">
        <v>2202408</v>
      </c>
      <c r="N67" s="122">
        <f t="shared" si="0"/>
        <v>4202408</v>
      </c>
      <c r="O67" s="122">
        <f t="shared" si="1"/>
        <v>4202408</v>
      </c>
      <c r="P67" s="170" t="s">
        <v>215</v>
      </c>
      <c r="Q67" s="170">
        <v>2000000</v>
      </c>
      <c r="R67" s="170">
        <v>2000000</v>
      </c>
      <c r="S67" s="170">
        <v>1715688</v>
      </c>
      <c r="T67" s="170">
        <v>1715688</v>
      </c>
      <c r="U67" s="157">
        <f t="shared" si="2"/>
        <v>0</v>
      </c>
      <c r="V67" s="157">
        <f t="shared" si="3"/>
        <v>0</v>
      </c>
      <c r="W67" s="157">
        <f t="shared" si="4"/>
        <v>486720</v>
      </c>
      <c r="X67" s="157">
        <f t="shared" si="5"/>
        <v>486720</v>
      </c>
      <c r="Z67" s="218"/>
      <c r="AA67" s="253"/>
      <c r="AB67" s="288"/>
      <c r="AC67" s="289"/>
      <c r="AD67" s="289"/>
      <c r="AE67" s="291"/>
      <c r="AF67" s="221"/>
      <c r="AI67" s="240">
        <f t="shared" si="6"/>
        <v>4202408</v>
      </c>
    </row>
    <row r="68" spans="2:35" s="28" customFormat="1" ht="28.5" customHeight="1">
      <c r="B68" s="30"/>
      <c r="C68" s="313"/>
      <c r="D68" s="132" t="s">
        <v>86</v>
      </c>
      <c r="E68" s="132" t="s">
        <v>90</v>
      </c>
      <c r="F68" s="132"/>
      <c r="G68" s="132"/>
      <c r="H68" s="132"/>
      <c r="I68" s="133">
        <v>85</v>
      </c>
      <c r="J68" s="137">
        <v>1200000</v>
      </c>
      <c r="K68" s="137">
        <v>1200000</v>
      </c>
      <c r="L68" s="221">
        <v>800020</v>
      </c>
      <c r="M68" s="221">
        <v>800020</v>
      </c>
      <c r="N68" s="122">
        <f t="shared" si="0"/>
        <v>2000020</v>
      </c>
      <c r="O68" s="122">
        <f t="shared" si="1"/>
        <v>2000020</v>
      </c>
      <c r="P68" s="170" t="s">
        <v>214</v>
      </c>
      <c r="Q68" s="170">
        <v>1200000</v>
      </c>
      <c r="R68" s="170">
        <v>1200000</v>
      </c>
      <c r="S68" s="170">
        <v>623220</v>
      </c>
      <c r="T68" s="170">
        <v>623220</v>
      </c>
      <c r="U68" s="157">
        <f t="shared" si="2"/>
        <v>0</v>
      </c>
      <c r="V68" s="157">
        <f t="shared" si="3"/>
        <v>0</v>
      </c>
      <c r="W68" s="157">
        <f t="shared" si="4"/>
        <v>176800</v>
      </c>
      <c r="X68" s="157">
        <f t="shared" si="5"/>
        <v>176800</v>
      </c>
      <c r="Z68" s="218"/>
      <c r="AA68" s="253"/>
      <c r="AB68" s="288"/>
      <c r="AC68" s="289"/>
      <c r="AD68" s="289"/>
      <c r="AE68" s="291"/>
      <c r="AF68" s="221"/>
      <c r="AI68" s="240">
        <f t="shared" si="6"/>
        <v>2000020</v>
      </c>
    </row>
    <row r="69" spans="2:35" s="28" customFormat="1" ht="28.5" customHeight="1">
      <c r="B69" s="30"/>
      <c r="C69" s="313"/>
      <c r="D69" s="132" t="s">
        <v>90</v>
      </c>
      <c r="E69" s="132" t="s">
        <v>81</v>
      </c>
      <c r="F69" s="132"/>
      <c r="G69" s="132"/>
      <c r="H69" s="132" t="s">
        <v>64</v>
      </c>
      <c r="I69" s="133">
        <v>258</v>
      </c>
      <c r="J69" s="137">
        <v>2100000</v>
      </c>
      <c r="K69" s="137">
        <v>2100000</v>
      </c>
      <c r="L69" s="221">
        <v>2428296</v>
      </c>
      <c r="M69" s="221">
        <v>2428296</v>
      </c>
      <c r="N69" s="122">
        <f t="shared" si="0"/>
        <v>4528296</v>
      </c>
      <c r="O69" s="122">
        <f t="shared" si="1"/>
        <v>4528296</v>
      </c>
      <c r="P69" s="170" t="s">
        <v>216</v>
      </c>
      <c r="Q69" s="170">
        <v>2100000</v>
      </c>
      <c r="R69" s="170">
        <v>2100000</v>
      </c>
      <c r="S69" s="170">
        <v>1891656</v>
      </c>
      <c r="T69" s="170">
        <v>1891656</v>
      </c>
      <c r="U69" s="157">
        <f t="shared" si="2"/>
        <v>0</v>
      </c>
      <c r="V69" s="157">
        <f t="shared" si="3"/>
        <v>0</v>
      </c>
      <c r="W69" s="157">
        <f t="shared" si="4"/>
        <v>536640</v>
      </c>
      <c r="X69" s="157">
        <f t="shared" si="5"/>
        <v>536640</v>
      </c>
      <c r="Z69" s="218"/>
      <c r="AA69" s="253"/>
      <c r="AB69" s="288"/>
      <c r="AC69" s="289"/>
      <c r="AD69" s="289"/>
      <c r="AE69" s="291"/>
      <c r="AF69" s="221"/>
      <c r="AI69" s="240">
        <f t="shared" si="6"/>
        <v>4528296</v>
      </c>
    </row>
    <row r="70" spans="2:35" s="28" customFormat="1" ht="28.5" customHeight="1">
      <c r="B70" s="30"/>
      <c r="C70" s="313"/>
      <c r="D70" s="132" t="s">
        <v>86</v>
      </c>
      <c r="E70" s="132" t="s">
        <v>90</v>
      </c>
      <c r="F70" s="132"/>
      <c r="G70" s="132"/>
      <c r="H70" s="132"/>
      <c r="I70" s="133">
        <v>85</v>
      </c>
      <c r="J70" s="137">
        <v>1200000</v>
      </c>
      <c r="K70" s="137">
        <v>1200000</v>
      </c>
      <c r="L70" s="221">
        <v>800020</v>
      </c>
      <c r="M70" s="221">
        <v>800020</v>
      </c>
      <c r="N70" s="122">
        <f t="shared" si="0"/>
        <v>2000020</v>
      </c>
      <c r="O70" s="122">
        <f t="shared" si="1"/>
        <v>2000020</v>
      </c>
      <c r="P70" s="170" t="s">
        <v>214</v>
      </c>
      <c r="Q70" s="170">
        <v>1200000</v>
      </c>
      <c r="R70" s="170">
        <v>1200000</v>
      </c>
      <c r="S70" s="170">
        <v>623220</v>
      </c>
      <c r="T70" s="170">
        <v>623220</v>
      </c>
      <c r="U70" s="157">
        <f t="shared" si="2"/>
        <v>0</v>
      </c>
      <c r="V70" s="157">
        <f t="shared" si="3"/>
        <v>0</v>
      </c>
      <c r="W70" s="157">
        <f t="shared" si="4"/>
        <v>176800</v>
      </c>
      <c r="X70" s="157">
        <f t="shared" si="5"/>
        <v>176800</v>
      </c>
      <c r="Z70" s="218"/>
      <c r="AA70" s="253"/>
      <c r="AB70" s="288"/>
      <c r="AC70" s="289"/>
      <c r="AD70" s="289"/>
      <c r="AE70" s="291"/>
      <c r="AF70" s="221"/>
      <c r="AI70" s="240">
        <f t="shared" si="6"/>
        <v>2000020</v>
      </c>
    </row>
    <row r="71" spans="2:35" s="28" customFormat="1" ht="28.5" customHeight="1">
      <c r="B71" s="30"/>
      <c r="C71" s="313"/>
      <c r="D71" s="132" t="s">
        <v>90</v>
      </c>
      <c r="E71" s="132" t="s">
        <v>83</v>
      </c>
      <c r="F71" s="132"/>
      <c r="G71" s="132"/>
      <c r="H71" s="132" t="s">
        <v>64</v>
      </c>
      <c r="I71" s="133">
        <v>267</v>
      </c>
      <c r="J71" s="137">
        <v>2100000</v>
      </c>
      <c r="K71" s="137">
        <v>2100000</v>
      </c>
      <c r="L71" s="221">
        <v>2513004</v>
      </c>
      <c r="M71" s="221">
        <v>2513004</v>
      </c>
      <c r="N71" s="122">
        <f t="shared" si="0"/>
        <v>4613004</v>
      </c>
      <c r="O71" s="122">
        <f t="shared" si="1"/>
        <v>4613004</v>
      </c>
      <c r="P71" s="170" t="s">
        <v>217</v>
      </c>
      <c r="Q71" s="170">
        <v>2100000</v>
      </c>
      <c r="R71" s="170">
        <v>2100000</v>
      </c>
      <c r="S71" s="170">
        <v>1957644</v>
      </c>
      <c r="T71" s="170">
        <v>1957644</v>
      </c>
      <c r="U71" s="157">
        <f t="shared" si="2"/>
        <v>0</v>
      </c>
      <c r="V71" s="157">
        <f t="shared" si="3"/>
        <v>0</v>
      </c>
      <c r="W71" s="157">
        <f t="shared" si="4"/>
        <v>555360</v>
      </c>
      <c r="X71" s="157">
        <f t="shared" si="5"/>
        <v>555360</v>
      </c>
      <c r="Z71" s="218"/>
      <c r="AA71" s="253"/>
      <c r="AB71" s="288"/>
      <c r="AC71" s="289"/>
      <c r="AD71" s="289"/>
      <c r="AE71" s="291"/>
      <c r="AF71" s="221"/>
      <c r="AI71" s="240">
        <f t="shared" si="6"/>
        <v>4613004</v>
      </c>
    </row>
    <row r="72" spans="2:35" s="28" customFormat="1" ht="28.5" customHeight="1">
      <c r="B72" s="30"/>
      <c r="C72" s="313"/>
      <c r="D72" s="132" t="s">
        <v>86</v>
      </c>
      <c r="E72" s="132" t="s">
        <v>91</v>
      </c>
      <c r="F72" s="132"/>
      <c r="G72" s="132"/>
      <c r="H72" s="132"/>
      <c r="I72" s="133">
        <v>35</v>
      </c>
      <c r="J72" s="137">
        <v>870000</v>
      </c>
      <c r="K72" s="137">
        <v>870000</v>
      </c>
      <c r="L72" s="221">
        <v>329420</v>
      </c>
      <c r="M72" s="221">
        <v>329420</v>
      </c>
      <c r="N72" s="122">
        <f t="shared" si="0"/>
        <v>1199420</v>
      </c>
      <c r="O72" s="122">
        <f t="shared" si="1"/>
        <v>1199420</v>
      </c>
      <c r="P72" s="170" t="s">
        <v>218</v>
      </c>
      <c r="Q72" s="170">
        <v>870000</v>
      </c>
      <c r="R72" s="170">
        <v>870000</v>
      </c>
      <c r="S72" s="170">
        <v>256620</v>
      </c>
      <c r="T72" s="170">
        <v>256620</v>
      </c>
      <c r="U72" s="157">
        <f t="shared" si="2"/>
        <v>0</v>
      </c>
      <c r="V72" s="157">
        <f t="shared" si="3"/>
        <v>0</v>
      </c>
      <c r="W72" s="157">
        <f t="shared" si="4"/>
        <v>72800</v>
      </c>
      <c r="X72" s="157">
        <f t="shared" si="5"/>
        <v>72800</v>
      </c>
      <c r="Z72" s="218"/>
      <c r="AA72" s="253"/>
      <c r="AB72" s="288"/>
      <c r="AC72" s="289"/>
      <c r="AD72" s="289"/>
      <c r="AE72" s="291"/>
      <c r="AF72" s="221"/>
      <c r="AI72" s="240">
        <f t="shared" si="6"/>
        <v>1199420</v>
      </c>
    </row>
    <row r="73" spans="2:35" s="28" customFormat="1" ht="28.5" customHeight="1">
      <c r="B73" s="30"/>
      <c r="C73" s="313"/>
      <c r="D73" s="132" t="s">
        <v>91</v>
      </c>
      <c r="E73" s="132" t="s">
        <v>82</v>
      </c>
      <c r="F73" s="132"/>
      <c r="G73" s="132"/>
      <c r="H73" s="132" t="s">
        <v>64</v>
      </c>
      <c r="I73" s="133">
        <v>269</v>
      </c>
      <c r="J73" s="137">
        <v>2100000</v>
      </c>
      <c r="K73" s="137">
        <v>2100000</v>
      </c>
      <c r="L73" s="221">
        <v>2531828</v>
      </c>
      <c r="M73" s="221">
        <v>2531828</v>
      </c>
      <c r="N73" s="122">
        <f t="shared" si="0"/>
        <v>4631828</v>
      </c>
      <c r="O73" s="122">
        <f t="shared" si="1"/>
        <v>4631828</v>
      </c>
      <c r="P73" s="170" t="s">
        <v>219</v>
      </c>
      <c r="Q73" s="170">
        <v>2100000</v>
      </c>
      <c r="R73" s="170">
        <v>2100000</v>
      </c>
      <c r="S73" s="170">
        <v>1972308</v>
      </c>
      <c r="T73" s="170">
        <v>1972308</v>
      </c>
      <c r="U73" s="157">
        <f t="shared" si="2"/>
        <v>0</v>
      </c>
      <c r="V73" s="157">
        <f t="shared" si="3"/>
        <v>0</v>
      </c>
      <c r="W73" s="157">
        <f t="shared" si="4"/>
        <v>559520</v>
      </c>
      <c r="X73" s="157">
        <f t="shared" si="5"/>
        <v>559520</v>
      </c>
      <c r="Z73" s="218"/>
      <c r="AA73" s="253"/>
      <c r="AB73" s="288"/>
      <c r="AC73" s="289"/>
      <c r="AD73" s="289"/>
      <c r="AE73" s="291"/>
      <c r="AF73" s="221"/>
      <c r="AI73" s="240">
        <f t="shared" si="6"/>
        <v>4631828</v>
      </c>
    </row>
    <row r="74" spans="2:35" s="28" customFormat="1" ht="28.5" customHeight="1">
      <c r="B74" s="30"/>
      <c r="C74" s="315" t="s">
        <v>40</v>
      </c>
      <c r="D74" s="316" t="s">
        <v>39</v>
      </c>
      <c r="E74" s="317"/>
      <c r="F74" s="317"/>
      <c r="G74" s="317"/>
      <c r="H74" s="318"/>
      <c r="I74" s="319" t="s">
        <v>41</v>
      </c>
      <c r="J74" s="320" t="s">
        <v>69</v>
      </c>
      <c r="K74" s="320"/>
      <c r="L74" s="307" t="s">
        <v>38</v>
      </c>
      <c r="M74" s="308"/>
      <c r="N74" s="311" t="s">
        <v>13</v>
      </c>
      <c r="O74" s="311"/>
      <c r="P74" s="170"/>
      <c r="Q74" s="170"/>
      <c r="R74" s="170"/>
      <c r="S74" s="170"/>
      <c r="T74" s="170"/>
      <c r="U74" s="157"/>
      <c r="V74" s="157"/>
      <c r="W74" s="157"/>
      <c r="X74" s="157"/>
      <c r="Z74" s="218"/>
      <c r="AA74" s="253"/>
      <c r="AB74" s="288"/>
      <c r="AC74" s="289"/>
      <c r="AD74" s="289"/>
      <c r="AE74" s="307"/>
      <c r="AF74" s="308"/>
      <c r="AI74" s="240">
        <f t="shared" si="6"/>
        <v>0</v>
      </c>
    </row>
    <row r="75" spans="2:35" s="28" customFormat="1" ht="28.5" customHeight="1">
      <c r="B75" s="30"/>
      <c r="C75" s="301"/>
      <c r="D75" s="117" t="s">
        <v>15</v>
      </c>
      <c r="E75" s="117" t="s">
        <v>16</v>
      </c>
      <c r="F75" s="117" t="s">
        <v>16</v>
      </c>
      <c r="G75" s="117" t="s">
        <v>16</v>
      </c>
      <c r="H75" s="117" t="s">
        <v>16</v>
      </c>
      <c r="I75" s="301"/>
      <c r="J75" s="117" t="s">
        <v>35</v>
      </c>
      <c r="K75" s="117" t="s">
        <v>36</v>
      </c>
      <c r="L75" s="190" t="s">
        <v>35</v>
      </c>
      <c r="M75" s="190" t="s">
        <v>36</v>
      </c>
      <c r="N75" s="117" t="s">
        <v>35</v>
      </c>
      <c r="O75" s="117" t="s">
        <v>36</v>
      </c>
      <c r="P75" s="170"/>
      <c r="Q75" s="170"/>
      <c r="R75" s="170"/>
      <c r="S75" s="170"/>
      <c r="T75" s="170"/>
      <c r="U75" s="157"/>
      <c r="V75" s="157"/>
      <c r="W75" s="157"/>
      <c r="X75" s="157"/>
      <c r="Z75" s="218"/>
      <c r="AA75" s="253"/>
      <c r="AB75" s="288"/>
      <c r="AC75" s="289"/>
      <c r="AD75" s="289"/>
      <c r="AE75" s="293"/>
      <c r="AF75" s="190"/>
      <c r="AI75" s="240" t="str">
        <f t="shared" si="6"/>
        <v>20FT</v>
      </c>
    </row>
    <row r="76" spans="2:35" s="28" customFormat="1" ht="41.25" customHeight="1">
      <c r="B76" s="30"/>
      <c r="C76" s="312" t="s">
        <v>56</v>
      </c>
      <c r="D76" s="132" t="s">
        <v>86</v>
      </c>
      <c r="E76" s="132" t="s">
        <v>91</v>
      </c>
      <c r="F76" s="132"/>
      <c r="G76" s="132"/>
      <c r="H76" s="132"/>
      <c r="I76" s="133">
        <v>35</v>
      </c>
      <c r="J76" s="137">
        <v>870000</v>
      </c>
      <c r="K76" s="137">
        <v>870000</v>
      </c>
      <c r="L76" s="189">
        <v>329420</v>
      </c>
      <c r="M76" s="189">
        <v>329420</v>
      </c>
      <c r="N76" s="122">
        <f>+J76+L76</f>
        <v>1199420</v>
      </c>
      <c r="O76" s="122">
        <f>+K76+M76</f>
        <v>1199420</v>
      </c>
      <c r="P76" s="170" t="s">
        <v>218</v>
      </c>
      <c r="Q76" s="170">
        <v>870000</v>
      </c>
      <c r="R76" s="170">
        <v>870000</v>
      </c>
      <c r="S76" s="170">
        <v>256620</v>
      </c>
      <c r="T76" s="170">
        <v>256620</v>
      </c>
      <c r="U76" s="157">
        <f t="shared" si="2"/>
        <v>0</v>
      </c>
      <c r="V76" s="157">
        <f t="shared" si="3"/>
        <v>0</v>
      </c>
      <c r="W76" s="157">
        <f t="shared" si="4"/>
        <v>72800</v>
      </c>
      <c r="X76" s="157">
        <f t="shared" si="5"/>
        <v>72800</v>
      </c>
      <c r="Z76" s="218"/>
      <c r="AA76" s="253"/>
      <c r="AB76" s="288"/>
      <c r="AC76" s="289"/>
      <c r="AD76" s="289"/>
      <c r="AE76" s="291"/>
      <c r="AF76" s="189"/>
      <c r="AI76" s="240">
        <f t="shared" si="6"/>
        <v>1199420</v>
      </c>
    </row>
    <row r="77" spans="2:35" s="28" customFormat="1" ht="41.25" customHeight="1">
      <c r="B77" s="30"/>
      <c r="C77" s="313"/>
      <c r="D77" s="132" t="s">
        <v>91</v>
      </c>
      <c r="E77" s="132" t="s">
        <v>81</v>
      </c>
      <c r="F77" s="132"/>
      <c r="G77" s="132"/>
      <c r="H77" s="132" t="s">
        <v>64</v>
      </c>
      <c r="I77" s="133">
        <v>223</v>
      </c>
      <c r="J77" s="137">
        <v>2000000</v>
      </c>
      <c r="K77" s="137">
        <v>2000000</v>
      </c>
      <c r="L77" s="189">
        <v>2098876</v>
      </c>
      <c r="M77" s="189">
        <v>2098876</v>
      </c>
      <c r="N77" s="122">
        <f t="shared" ref="N77:N121" si="7">+J77+L77</f>
        <v>4098876</v>
      </c>
      <c r="O77" s="122">
        <f t="shared" ref="O77:O121" si="8">+K77+M77</f>
        <v>4098876</v>
      </c>
      <c r="P77" s="170" t="s">
        <v>220</v>
      </c>
      <c r="Q77" s="170">
        <v>2000000</v>
      </c>
      <c r="R77" s="170">
        <v>2000000</v>
      </c>
      <c r="S77" s="170">
        <v>1635036</v>
      </c>
      <c r="T77" s="170">
        <v>1635036</v>
      </c>
      <c r="U77" s="157">
        <f t="shared" si="2"/>
        <v>0</v>
      </c>
      <c r="V77" s="157">
        <f t="shared" si="3"/>
        <v>0</v>
      </c>
      <c r="W77" s="157">
        <f t="shared" si="4"/>
        <v>463840</v>
      </c>
      <c r="X77" s="157">
        <f t="shared" si="5"/>
        <v>463840</v>
      </c>
      <c r="Z77" s="218"/>
      <c r="AA77" s="253"/>
      <c r="AB77" s="288"/>
      <c r="AC77" s="289"/>
      <c r="AD77" s="289"/>
      <c r="AE77" s="291"/>
      <c r="AF77" s="189"/>
      <c r="AI77" s="240">
        <f t="shared" si="6"/>
        <v>4098876</v>
      </c>
    </row>
    <row r="78" spans="2:35" s="28" customFormat="1" ht="41.25" customHeight="1">
      <c r="B78" s="30"/>
      <c r="C78" s="313"/>
      <c r="D78" s="132" t="s">
        <v>86</v>
      </c>
      <c r="E78" s="132" t="s">
        <v>91</v>
      </c>
      <c r="F78" s="132"/>
      <c r="G78" s="132"/>
      <c r="H78" s="132"/>
      <c r="I78" s="133">
        <v>35</v>
      </c>
      <c r="J78" s="137">
        <v>870000</v>
      </c>
      <c r="K78" s="137">
        <v>870000</v>
      </c>
      <c r="L78" s="189">
        <v>329420</v>
      </c>
      <c r="M78" s="189">
        <v>329420</v>
      </c>
      <c r="N78" s="122">
        <f t="shared" si="7"/>
        <v>1199420</v>
      </c>
      <c r="O78" s="122">
        <f t="shared" si="8"/>
        <v>1199420</v>
      </c>
      <c r="P78" s="170" t="s">
        <v>218</v>
      </c>
      <c r="Q78" s="170">
        <v>870000</v>
      </c>
      <c r="R78" s="170">
        <v>870000</v>
      </c>
      <c r="S78" s="170">
        <v>256620</v>
      </c>
      <c r="T78" s="170">
        <v>256620</v>
      </c>
      <c r="U78" s="157">
        <f t="shared" si="2"/>
        <v>0</v>
      </c>
      <c r="V78" s="157">
        <f t="shared" si="3"/>
        <v>0</v>
      </c>
      <c r="W78" s="157">
        <f t="shared" si="4"/>
        <v>72800</v>
      </c>
      <c r="X78" s="157">
        <f t="shared" si="5"/>
        <v>72800</v>
      </c>
      <c r="Z78" s="218"/>
      <c r="AA78" s="253"/>
      <c r="AB78" s="288"/>
      <c r="AC78" s="289"/>
      <c r="AD78" s="289"/>
      <c r="AE78" s="291"/>
      <c r="AF78" s="189"/>
      <c r="AI78" s="240">
        <f t="shared" si="6"/>
        <v>1199420</v>
      </c>
    </row>
    <row r="79" spans="2:35" s="28" customFormat="1" ht="41.25" customHeight="1">
      <c r="B79" s="30"/>
      <c r="C79" s="313"/>
      <c r="D79" s="132" t="s">
        <v>91</v>
      </c>
      <c r="E79" s="132" t="s">
        <v>83</v>
      </c>
      <c r="F79" s="132"/>
      <c r="G79" s="132"/>
      <c r="H79" s="132" t="s">
        <v>64</v>
      </c>
      <c r="I79" s="133">
        <v>232</v>
      </c>
      <c r="J79" s="137">
        <v>2000000</v>
      </c>
      <c r="K79" s="137">
        <v>2000000</v>
      </c>
      <c r="L79" s="189">
        <v>2183584</v>
      </c>
      <c r="M79" s="189">
        <v>2183584</v>
      </c>
      <c r="N79" s="122">
        <f t="shared" si="7"/>
        <v>4183584</v>
      </c>
      <c r="O79" s="122">
        <f t="shared" si="8"/>
        <v>4183584</v>
      </c>
      <c r="P79" s="170" t="s">
        <v>221</v>
      </c>
      <c r="Q79" s="170">
        <v>2000000</v>
      </c>
      <c r="R79" s="170">
        <v>2000000</v>
      </c>
      <c r="S79" s="170">
        <v>1701024</v>
      </c>
      <c r="T79" s="170">
        <v>1701024</v>
      </c>
      <c r="U79" s="157">
        <f t="shared" si="2"/>
        <v>0</v>
      </c>
      <c r="V79" s="157">
        <f t="shared" si="3"/>
        <v>0</v>
      </c>
      <c r="W79" s="157">
        <f t="shared" si="4"/>
        <v>482560</v>
      </c>
      <c r="X79" s="157">
        <f t="shared" si="5"/>
        <v>482560</v>
      </c>
      <c r="Z79" s="218"/>
      <c r="AA79" s="253"/>
      <c r="AB79" s="288"/>
      <c r="AC79" s="289"/>
      <c r="AD79" s="289"/>
      <c r="AE79" s="291"/>
      <c r="AF79" s="189"/>
      <c r="AI79" s="240">
        <f t="shared" si="6"/>
        <v>4183584</v>
      </c>
    </row>
    <row r="80" spans="2:35" s="28" customFormat="1" ht="41.25" customHeight="1">
      <c r="B80" s="30"/>
      <c r="C80" s="313"/>
      <c r="D80" s="132" t="s">
        <v>86</v>
      </c>
      <c r="E80" s="132" t="s">
        <v>92</v>
      </c>
      <c r="F80" s="132"/>
      <c r="G80" s="132"/>
      <c r="H80" s="132"/>
      <c r="I80" s="133">
        <v>20</v>
      </c>
      <c r="J80" s="137">
        <v>870000</v>
      </c>
      <c r="K80" s="137">
        <v>870000</v>
      </c>
      <c r="L80" s="189">
        <v>188240</v>
      </c>
      <c r="M80" s="189">
        <v>188240</v>
      </c>
      <c r="N80" s="122">
        <f t="shared" si="7"/>
        <v>1058240</v>
      </c>
      <c r="O80" s="122">
        <f t="shared" si="8"/>
        <v>1058240</v>
      </c>
      <c r="P80" s="170" t="s">
        <v>222</v>
      </c>
      <c r="Q80" s="170">
        <v>870000</v>
      </c>
      <c r="R80" s="170">
        <v>870000</v>
      </c>
      <c r="S80" s="170">
        <v>146640</v>
      </c>
      <c r="T80" s="170">
        <v>146640</v>
      </c>
      <c r="U80" s="157">
        <f t="shared" si="2"/>
        <v>0</v>
      </c>
      <c r="V80" s="157">
        <f t="shared" si="3"/>
        <v>0</v>
      </c>
      <c r="W80" s="157">
        <f t="shared" si="4"/>
        <v>41600</v>
      </c>
      <c r="X80" s="157">
        <f t="shared" si="5"/>
        <v>41600</v>
      </c>
      <c r="Z80" s="218"/>
      <c r="AA80" s="253"/>
      <c r="AB80" s="288"/>
      <c r="AC80" s="289"/>
      <c r="AD80" s="289"/>
      <c r="AE80" s="291"/>
      <c r="AF80" s="189"/>
      <c r="AI80" s="240">
        <f t="shared" si="6"/>
        <v>1058240</v>
      </c>
    </row>
    <row r="81" spans="2:35" s="28" customFormat="1" ht="41.25" customHeight="1">
      <c r="B81" s="30"/>
      <c r="C81" s="313"/>
      <c r="D81" s="132" t="s">
        <v>92</v>
      </c>
      <c r="E81" s="132" t="s">
        <v>82</v>
      </c>
      <c r="F81" s="132"/>
      <c r="G81" s="132"/>
      <c r="H81" s="132" t="s">
        <v>64</v>
      </c>
      <c r="I81" s="133">
        <v>289</v>
      </c>
      <c r="J81" s="137">
        <v>2200000</v>
      </c>
      <c r="K81" s="137">
        <v>2200000</v>
      </c>
      <c r="L81" s="189">
        <v>2720068</v>
      </c>
      <c r="M81" s="189">
        <v>2720068</v>
      </c>
      <c r="N81" s="122">
        <f t="shared" si="7"/>
        <v>4920068</v>
      </c>
      <c r="O81" s="122">
        <f t="shared" si="8"/>
        <v>4920068</v>
      </c>
      <c r="P81" s="170" t="s">
        <v>223</v>
      </c>
      <c r="Q81" s="170">
        <v>2200000</v>
      </c>
      <c r="R81" s="170">
        <v>2200000</v>
      </c>
      <c r="S81" s="170">
        <v>2118948</v>
      </c>
      <c r="T81" s="170">
        <v>2118948</v>
      </c>
      <c r="U81" s="157">
        <f t="shared" si="2"/>
        <v>0</v>
      </c>
      <c r="V81" s="157">
        <f t="shared" si="3"/>
        <v>0</v>
      </c>
      <c r="W81" s="157">
        <f t="shared" si="4"/>
        <v>601120</v>
      </c>
      <c r="X81" s="157">
        <f t="shared" si="5"/>
        <v>601120</v>
      </c>
      <c r="Z81" s="218"/>
      <c r="AA81" s="253"/>
      <c r="AB81" s="288"/>
      <c r="AC81" s="289"/>
      <c r="AD81" s="289"/>
      <c r="AE81" s="291"/>
      <c r="AF81" s="189"/>
      <c r="AI81" s="240">
        <f t="shared" ref="AI81:AI144" si="9">O81</f>
        <v>4920068</v>
      </c>
    </row>
    <row r="82" spans="2:35" s="28" customFormat="1" ht="41.25" customHeight="1">
      <c r="B82" s="30"/>
      <c r="C82" s="313"/>
      <c r="D82" s="132" t="s">
        <v>86</v>
      </c>
      <c r="E82" s="132" t="s">
        <v>92</v>
      </c>
      <c r="F82" s="132"/>
      <c r="G82" s="132"/>
      <c r="H82" s="132"/>
      <c r="I82" s="133">
        <v>20</v>
      </c>
      <c r="J82" s="137">
        <v>870000</v>
      </c>
      <c r="K82" s="137">
        <v>870000</v>
      </c>
      <c r="L82" s="189">
        <v>188240</v>
      </c>
      <c r="M82" s="189">
        <v>188240</v>
      </c>
      <c r="N82" s="122">
        <f t="shared" si="7"/>
        <v>1058240</v>
      </c>
      <c r="O82" s="122">
        <f t="shared" si="8"/>
        <v>1058240</v>
      </c>
      <c r="P82" s="170" t="s">
        <v>222</v>
      </c>
      <c r="Q82" s="170">
        <v>870000</v>
      </c>
      <c r="R82" s="170">
        <v>870000</v>
      </c>
      <c r="S82" s="170">
        <v>146640</v>
      </c>
      <c r="T82" s="170">
        <v>146640</v>
      </c>
      <c r="U82" s="157">
        <f t="shared" si="2"/>
        <v>0</v>
      </c>
      <c r="V82" s="157">
        <f t="shared" si="3"/>
        <v>0</v>
      </c>
      <c r="W82" s="157">
        <f t="shared" si="4"/>
        <v>41600</v>
      </c>
      <c r="X82" s="157">
        <f t="shared" si="5"/>
        <v>41600</v>
      </c>
      <c r="Z82" s="218"/>
      <c r="AA82" s="253"/>
      <c r="AB82" s="288"/>
      <c r="AC82" s="289"/>
      <c r="AD82" s="289"/>
      <c r="AE82" s="291"/>
      <c r="AF82" s="189"/>
      <c r="AI82" s="240">
        <f t="shared" si="9"/>
        <v>1058240</v>
      </c>
    </row>
    <row r="83" spans="2:35" s="28" customFormat="1" ht="41.25" customHeight="1">
      <c r="B83" s="30"/>
      <c r="C83" s="313"/>
      <c r="D83" s="132" t="s">
        <v>92</v>
      </c>
      <c r="E83" s="132" t="s">
        <v>81</v>
      </c>
      <c r="F83" s="132"/>
      <c r="G83" s="132"/>
      <c r="H83" s="132" t="s">
        <v>64</v>
      </c>
      <c r="I83" s="133">
        <v>243</v>
      </c>
      <c r="J83" s="137">
        <v>2100000</v>
      </c>
      <c r="K83" s="137">
        <v>2100000</v>
      </c>
      <c r="L83" s="189">
        <v>2287116</v>
      </c>
      <c r="M83" s="189">
        <v>2287116</v>
      </c>
      <c r="N83" s="122">
        <f t="shared" si="7"/>
        <v>4387116</v>
      </c>
      <c r="O83" s="122">
        <f t="shared" si="8"/>
        <v>4387116</v>
      </c>
      <c r="P83" s="170" t="s">
        <v>224</v>
      </c>
      <c r="Q83" s="170">
        <v>2100000</v>
      </c>
      <c r="R83" s="170">
        <v>2100000</v>
      </c>
      <c r="S83" s="170">
        <v>1781676</v>
      </c>
      <c r="T83" s="170">
        <v>1781676</v>
      </c>
      <c r="U83" s="157">
        <f t="shared" ref="U83:U121" si="10">J83-Q83</f>
        <v>0</v>
      </c>
      <c r="V83" s="157">
        <f t="shared" ref="V83:V121" si="11">K83-R83</f>
        <v>0</v>
      </c>
      <c r="W83" s="157">
        <f t="shared" ref="W83:W121" si="12">L83-S83</f>
        <v>505440</v>
      </c>
      <c r="X83" s="157">
        <f t="shared" ref="X83:X121" si="13">M83-T83</f>
        <v>505440</v>
      </c>
      <c r="Z83" s="218"/>
      <c r="AA83" s="253"/>
      <c r="AB83" s="288"/>
      <c r="AC83" s="289"/>
      <c r="AD83" s="289"/>
      <c r="AE83" s="291"/>
      <c r="AF83" s="189"/>
      <c r="AI83" s="240">
        <f t="shared" si="9"/>
        <v>4387116</v>
      </c>
    </row>
    <row r="84" spans="2:35" s="28" customFormat="1" ht="41.25" customHeight="1">
      <c r="B84" s="30"/>
      <c r="C84" s="313"/>
      <c r="D84" s="132" t="s">
        <v>86</v>
      </c>
      <c r="E84" s="132" t="s">
        <v>92</v>
      </c>
      <c r="F84" s="132"/>
      <c r="G84" s="132"/>
      <c r="H84" s="132"/>
      <c r="I84" s="133">
        <v>20</v>
      </c>
      <c r="J84" s="137">
        <v>870000</v>
      </c>
      <c r="K84" s="137">
        <v>870000</v>
      </c>
      <c r="L84" s="189">
        <v>188240</v>
      </c>
      <c r="M84" s="189">
        <v>188240</v>
      </c>
      <c r="N84" s="122">
        <f t="shared" si="7"/>
        <v>1058240</v>
      </c>
      <c r="O84" s="122">
        <f t="shared" si="8"/>
        <v>1058240</v>
      </c>
      <c r="P84" s="170" t="s">
        <v>222</v>
      </c>
      <c r="Q84" s="170">
        <v>870000</v>
      </c>
      <c r="R84" s="170">
        <v>870000</v>
      </c>
      <c r="S84" s="170">
        <v>146640</v>
      </c>
      <c r="T84" s="170">
        <v>146640</v>
      </c>
      <c r="U84" s="157">
        <f t="shared" si="10"/>
        <v>0</v>
      </c>
      <c r="V84" s="157">
        <f t="shared" si="11"/>
        <v>0</v>
      </c>
      <c r="W84" s="157">
        <f t="shared" si="12"/>
        <v>41600</v>
      </c>
      <c r="X84" s="157">
        <f t="shared" si="13"/>
        <v>41600</v>
      </c>
      <c r="Z84" s="218"/>
      <c r="AA84" s="253"/>
      <c r="AB84" s="288"/>
      <c r="AC84" s="289"/>
      <c r="AD84" s="289"/>
      <c r="AE84" s="291"/>
      <c r="AF84" s="189"/>
      <c r="AI84" s="240">
        <f t="shared" si="9"/>
        <v>1058240</v>
      </c>
    </row>
    <row r="85" spans="2:35" s="28" customFormat="1" ht="41.25" customHeight="1">
      <c r="B85" s="30"/>
      <c r="C85" s="313"/>
      <c r="D85" s="132" t="s">
        <v>92</v>
      </c>
      <c r="E85" s="132" t="s">
        <v>83</v>
      </c>
      <c r="F85" s="132"/>
      <c r="G85" s="132"/>
      <c r="H85" s="132" t="s">
        <v>64</v>
      </c>
      <c r="I85" s="133">
        <v>212</v>
      </c>
      <c r="J85" s="137">
        <v>2100000</v>
      </c>
      <c r="K85" s="137">
        <v>2100000</v>
      </c>
      <c r="L85" s="189">
        <v>1995344</v>
      </c>
      <c r="M85" s="189">
        <v>1995344</v>
      </c>
      <c r="N85" s="122">
        <f t="shared" si="7"/>
        <v>4095344</v>
      </c>
      <c r="O85" s="122">
        <f t="shared" si="8"/>
        <v>4095344</v>
      </c>
      <c r="P85" s="170" t="s">
        <v>225</v>
      </c>
      <c r="Q85" s="170">
        <v>2100000</v>
      </c>
      <c r="R85" s="170">
        <v>2100000</v>
      </c>
      <c r="S85" s="170">
        <v>1554384</v>
      </c>
      <c r="T85" s="170">
        <v>1554384</v>
      </c>
      <c r="U85" s="157">
        <f t="shared" si="10"/>
        <v>0</v>
      </c>
      <c r="V85" s="157">
        <f t="shared" si="11"/>
        <v>0</v>
      </c>
      <c r="W85" s="157">
        <f t="shared" si="12"/>
        <v>440960</v>
      </c>
      <c r="X85" s="157">
        <f t="shared" si="13"/>
        <v>440960</v>
      </c>
      <c r="Z85" s="218"/>
      <c r="AA85" s="253"/>
      <c r="AB85" s="288"/>
      <c r="AC85" s="289"/>
      <c r="AD85" s="289"/>
      <c r="AE85" s="291"/>
      <c r="AF85" s="189"/>
      <c r="AH85" s="264" t="s">
        <v>424</v>
      </c>
      <c r="AI85" s="240">
        <f t="shared" si="9"/>
        <v>4095344</v>
      </c>
    </row>
    <row r="86" spans="2:35" s="28" customFormat="1" ht="41.25" customHeight="1">
      <c r="B86" s="30"/>
      <c r="C86" s="313"/>
      <c r="D86" s="132" t="s">
        <v>161</v>
      </c>
      <c r="E86" s="132" t="s">
        <v>163</v>
      </c>
      <c r="F86" s="132"/>
      <c r="G86" s="132"/>
      <c r="H86" s="132"/>
      <c r="I86" s="133">
        <v>65</v>
      </c>
      <c r="J86" s="137">
        <v>1050000</v>
      </c>
      <c r="K86" s="137">
        <v>1050000</v>
      </c>
      <c r="L86" s="189">
        <v>611780</v>
      </c>
      <c r="M86" s="189">
        <v>611780</v>
      </c>
      <c r="N86" s="122">
        <f t="shared" si="7"/>
        <v>1661780</v>
      </c>
      <c r="O86" s="122">
        <f t="shared" si="8"/>
        <v>1661780</v>
      </c>
      <c r="P86" s="170" t="s">
        <v>226</v>
      </c>
      <c r="Q86" s="170">
        <v>1050000</v>
      </c>
      <c r="R86" s="170">
        <v>1050000</v>
      </c>
      <c r="S86" s="170">
        <v>476580</v>
      </c>
      <c r="T86" s="170">
        <v>476580</v>
      </c>
      <c r="U86" s="157">
        <f t="shared" si="10"/>
        <v>0</v>
      </c>
      <c r="V86" s="157">
        <f t="shared" si="11"/>
        <v>0</v>
      </c>
      <c r="W86" s="157">
        <f t="shared" si="12"/>
        <v>135200</v>
      </c>
      <c r="X86" s="157">
        <f t="shared" si="13"/>
        <v>135200</v>
      </c>
      <c r="Z86" s="218"/>
      <c r="AA86" s="253"/>
      <c r="AB86" s="288"/>
      <c r="AC86" s="289"/>
      <c r="AD86" s="289"/>
      <c r="AE86" s="291"/>
      <c r="AF86" s="189"/>
      <c r="AI86" s="240">
        <f t="shared" si="9"/>
        <v>1661780</v>
      </c>
    </row>
    <row r="87" spans="2:35" s="28" customFormat="1" ht="41.25" customHeight="1">
      <c r="B87" s="30"/>
      <c r="C87" s="313"/>
      <c r="D87" s="132" t="s">
        <v>163</v>
      </c>
      <c r="E87" s="132" t="s">
        <v>82</v>
      </c>
      <c r="F87" s="132"/>
      <c r="G87" s="132"/>
      <c r="H87" s="132" t="s">
        <v>64</v>
      </c>
      <c r="I87" s="133">
        <v>234</v>
      </c>
      <c r="J87" s="137">
        <v>2000000</v>
      </c>
      <c r="K87" s="137">
        <v>2000000</v>
      </c>
      <c r="L87" s="189">
        <v>2202408</v>
      </c>
      <c r="M87" s="189">
        <v>2202408</v>
      </c>
      <c r="N87" s="122">
        <f t="shared" si="7"/>
        <v>4202408</v>
      </c>
      <c r="O87" s="122">
        <f t="shared" si="8"/>
        <v>4202408</v>
      </c>
      <c r="P87" s="170" t="s">
        <v>227</v>
      </c>
      <c r="Q87" s="170">
        <v>2000000</v>
      </c>
      <c r="R87" s="170">
        <v>2000000</v>
      </c>
      <c r="S87" s="170">
        <v>1715688</v>
      </c>
      <c r="T87" s="170">
        <v>1715688</v>
      </c>
      <c r="U87" s="157">
        <f t="shared" si="10"/>
        <v>0</v>
      </c>
      <c r="V87" s="157">
        <f t="shared" si="11"/>
        <v>0</v>
      </c>
      <c r="W87" s="157">
        <f t="shared" si="12"/>
        <v>486720</v>
      </c>
      <c r="X87" s="157">
        <f t="shared" si="13"/>
        <v>486720</v>
      </c>
      <c r="Z87" s="218"/>
      <c r="AA87" s="253"/>
      <c r="AB87" s="288"/>
      <c r="AC87" s="289"/>
      <c r="AD87" s="289"/>
      <c r="AE87" s="291"/>
      <c r="AF87" s="189"/>
      <c r="AI87" s="240">
        <f t="shared" si="9"/>
        <v>4202408</v>
      </c>
    </row>
    <row r="88" spans="2:35" s="28" customFormat="1" ht="41.25" customHeight="1">
      <c r="B88" s="30"/>
      <c r="C88" s="313"/>
      <c r="D88" s="132" t="s">
        <v>161</v>
      </c>
      <c r="E88" s="132" t="s">
        <v>163</v>
      </c>
      <c r="F88" s="132"/>
      <c r="G88" s="132"/>
      <c r="H88" s="132"/>
      <c r="I88" s="133">
        <v>65</v>
      </c>
      <c r="J88" s="137">
        <v>1050000</v>
      </c>
      <c r="K88" s="137">
        <v>1050000</v>
      </c>
      <c r="L88" s="189">
        <v>611780</v>
      </c>
      <c r="M88" s="189">
        <v>611780</v>
      </c>
      <c r="N88" s="122">
        <f t="shared" si="7"/>
        <v>1661780</v>
      </c>
      <c r="O88" s="122">
        <f t="shared" si="8"/>
        <v>1661780</v>
      </c>
      <c r="P88" s="170" t="s">
        <v>226</v>
      </c>
      <c r="Q88" s="170">
        <v>1050000</v>
      </c>
      <c r="R88" s="170">
        <v>1050000</v>
      </c>
      <c r="S88" s="170">
        <v>476580</v>
      </c>
      <c r="T88" s="170">
        <v>476580</v>
      </c>
      <c r="U88" s="157">
        <f t="shared" si="10"/>
        <v>0</v>
      </c>
      <c r="V88" s="157">
        <f t="shared" si="11"/>
        <v>0</v>
      </c>
      <c r="W88" s="157">
        <f t="shared" si="12"/>
        <v>135200</v>
      </c>
      <c r="X88" s="157">
        <f t="shared" si="13"/>
        <v>135200</v>
      </c>
      <c r="Z88" s="218"/>
      <c r="AA88" s="253"/>
      <c r="AB88" s="288"/>
      <c r="AC88" s="289"/>
      <c r="AD88" s="289"/>
      <c r="AE88" s="291"/>
      <c r="AF88" s="189"/>
      <c r="AI88" s="240">
        <f t="shared" si="9"/>
        <v>1661780</v>
      </c>
    </row>
    <row r="89" spans="2:35" s="28" customFormat="1" ht="41.25" customHeight="1">
      <c r="B89" s="30"/>
      <c r="C89" s="313"/>
      <c r="D89" s="132" t="s">
        <v>163</v>
      </c>
      <c r="E89" s="132" t="s">
        <v>81</v>
      </c>
      <c r="F89" s="132"/>
      <c r="G89" s="132"/>
      <c r="H89" s="132" t="s">
        <v>64</v>
      </c>
      <c r="I89" s="133">
        <v>258</v>
      </c>
      <c r="J89" s="137">
        <v>2100000</v>
      </c>
      <c r="K89" s="137">
        <v>2100000</v>
      </c>
      <c r="L89" s="189">
        <v>2428296</v>
      </c>
      <c r="M89" s="189">
        <v>2428296</v>
      </c>
      <c r="N89" s="122">
        <f t="shared" si="7"/>
        <v>4528296</v>
      </c>
      <c r="O89" s="122">
        <f t="shared" si="8"/>
        <v>4528296</v>
      </c>
      <c r="P89" s="170" t="s">
        <v>228</v>
      </c>
      <c r="Q89" s="170">
        <v>2100000</v>
      </c>
      <c r="R89" s="170">
        <v>2100000</v>
      </c>
      <c r="S89" s="170">
        <v>1891656</v>
      </c>
      <c r="T89" s="170">
        <v>1891656</v>
      </c>
      <c r="U89" s="157">
        <f t="shared" si="10"/>
        <v>0</v>
      </c>
      <c r="V89" s="157">
        <f t="shared" si="11"/>
        <v>0</v>
      </c>
      <c r="W89" s="157">
        <f t="shared" si="12"/>
        <v>536640</v>
      </c>
      <c r="X89" s="157">
        <f t="shared" si="13"/>
        <v>536640</v>
      </c>
      <c r="Z89" s="218"/>
      <c r="AA89" s="253"/>
      <c r="AB89" s="288"/>
      <c r="AC89" s="289"/>
      <c r="AD89" s="289"/>
      <c r="AE89" s="291"/>
      <c r="AF89" s="189"/>
      <c r="AI89" s="240">
        <f t="shared" si="9"/>
        <v>4528296</v>
      </c>
    </row>
    <row r="90" spans="2:35" s="28" customFormat="1" ht="41.25" customHeight="1">
      <c r="B90" s="30"/>
      <c r="C90" s="313"/>
      <c r="D90" s="132" t="s">
        <v>161</v>
      </c>
      <c r="E90" s="132" t="s">
        <v>163</v>
      </c>
      <c r="F90" s="132"/>
      <c r="G90" s="132"/>
      <c r="H90" s="132"/>
      <c r="I90" s="133">
        <v>65</v>
      </c>
      <c r="J90" s="137">
        <v>1050000</v>
      </c>
      <c r="K90" s="137">
        <v>1050000</v>
      </c>
      <c r="L90" s="189">
        <v>611780</v>
      </c>
      <c r="M90" s="189">
        <v>611780</v>
      </c>
      <c r="N90" s="122">
        <f t="shared" si="7"/>
        <v>1661780</v>
      </c>
      <c r="O90" s="122">
        <f t="shared" si="8"/>
        <v>1661780</v>
      </c>
      <c r="P90" s="170" t="s">
        <v>226</v>
      </c>
      <c r="Q90" s="170">
        <v>1050000</v>
      </c>
      <c r="R90" s="170">
        <v>1050000</v>
      </c>
      <c r="S90" s="170">
        <v>476580</v>
      </c>
      <c r="T90" s="170">
        <v>476580</v>
      </c>
      <c r="U90" s="157">
        <f t="shared" si="10"/>
        <v>0</v>
      </c>
      <c r="V90" s="157">
        <f t="shared" si="11"/>
        <v>0</v>
      </c>
      <c r="W90" s="157">
        <f t="shared" si="12"/>
        <v>135200</v>
      </c>
      <c r="X90" s="157">
        <f t="shared" si="13"/>
        <v>135200</v>
      </c>
      <c r="Z90" s="218"/>
      <c r="AA90" s="253"/>
      <c r="AB90" s="288"/>
      <c r="AC90" s="289"/>
      <c r="AD90" s="289"/>
      <c r="AE90" s="291"/>
      <c r="AF90" s="189"/>
      <c r="AI90" s="240">
        <f t="shared" si="9"/>
        <v>1661780</v>
      </c>
    </row>
    <row r="91" spans="2:35" s="28" customFormat="1" ht="41.25" customHeight="1">
      <c r="B91" s="30"/>
      <c r="C91" s="313"/>
      <c r="D91" s="132" t="s">
        <v>163</v>
      </c>
      <c r="E91" s="132" t="s">
        <v>83</v>
      </c>
      <c r="F91" s="132"/>
      <c r="G91" s="132"/>
      <c r="H91" s="132" t="s">
        <v>64</v>
      </c>
      <c r="I91" s="133">
        <v>267</v>
      </c>
      <c r="J91" s="137">
        <v>2100000</v>
      </c>
      <c r="K91" s="137">
        <v>2100000</v>
      </c>
      <c r="L91" s="189">
        <v>2513004</v>
      </c>
      <c r="M91" s="189">
        <v>2513004</v>
      </c>
      <c r="N91" s="122">
        <f t="shared" si="7"/>
        <v>4613004</v>
      </c>
      <c r="O91" s="122">
        <f t="shared" si="8"/>
        <v>4613004</v>
      </c>
      <c r="P91" s="170" t="s">
        <v>229</v>
      </c>
      <c r="Q91" s="170">
        <v>2100000</v>
      </c>
      <c r="R91" s="170">
        <v>2100000</v>
      </c>
      <c r="S91" s="170">
        <v>1957644</v>
      </c>
      <c r="T91" s="170">
        <v>1957644</v>
      </c>
      <c r="U91" s="157">
        <f t="shared" si="10"/>
        <v>0</v>
      </c>
      <c r="V91" s="157">
        <f t="shared" si="11"/>
        <v>0</v>
      </c>
      <c r="W91" s="157">
        <f t="shared" si="12"/>
        <v>555360</v>
      </c>
      <c r="X91" s="157">
        <f t="shared" si="13"/>
        <v>555360</v>
      </c>
      <c r="Z91" s="218"/>
      <c r="AA91" s="253"/>
      <c r="AB91" s="288"/>
      <c r="AC91" s="289"/>
      <c r="AD91" s="289"/>
      <c r="AE91" s="291"/>
      <c r="AF91" s="189"/>
      <c r="AI91" s="240">
        <f t="shared" si="9"/>
        <v>4613004</v>
      </c>
    </row>
    <row r="92" spans="2:35" s="28" customFormat="1" ht="41.25" customHeight="1">
      <c r="B92" s="30"/>
      <c r="C92" s="313"/>
      <c r="D92" s="132" t="s">
        <v>161</v>
      </c>
      <c r="E92" s="132" t="s">
        <v>164</v>
      </c>
      <c r="F92" s="132"/>
      <c r="G92" s="132"/>
      <c r="H92" s="132"/>
      <c r="I92" s="133">
        <v>20</v>
      </c>
      <c r="J92" s="137">
        <v>950000</v>
      </c>
      <c r="K92" s="137">
        <v>950000</v>
      </c>
      <c r="L92" s="189">
        <v>188240</v>
      </c>
      <c r="M92" s="189">
        <v>188240</v>
      </c>
      <c r="N92" s="122">
        <f t="shared" si="7"/>
        <v>1138240</v>
      </c>
      <c r="O92" s="122">
        <f t="shared" si="8"/>
        <v>1138240</v>
      </c>
      <c r="P92" s="170" t="s">
        <v>230</v>
      </c>
      <c r="Q92" s="170">
        <v>950000</v>
      </c>
      <c r="R92" s="170">
        <v>950000</v>
      </c>
      <c r="S92" s="170">
        <v>146640</v>
      </c>
      <c r="T92" s="170">
        <v>146640</v>
      </c>
      <c r="U92" s="157">
        <f t="shared" si="10"/>
        <v>0</v>
      </c>
      <c r="V92" s="157">
        <f t="shared" si="11"/>
        <v>0</v>
      </c>
      <c r="W92" s="157">
        <f t="shared" si="12"/>
        <v>41600</v>
      </c>
      <c r="X92" s="157">
        <f t="shared" si="13"/>
        <v>41600</v>
      </c>
      <c r="Z92" s="218"/>
      <c r="AA92" s="253"/>
      <c r="AB92" s="288"/>
      <c r="AC92" s="289"/>
      <c r="AD92" s="289"/>
      <c r="AE92" s="291"/>
      <c r="AF92" s="189"/>
      <c r="AI92" s="240">
        <f t="shared" si="9"/>
        <v>1138240</v>
      </c>
    </row>
    <row r="93" spans="2:35" s="28" customFormat="1" ht="41.25" customHeight="1">
      <c r="B93" s="30"/>
      <c r="C93" s="313"/>
      <c r="D93" s="132" t="s">
        <v>164</v>
      </c>
      <c r="E93" s="132" t="s">
        <v>82</v>
      </c>
      <c r="F93" s="132"/>
      <c r="G93" s="132"/>
      <c r="H93" s="132" t="s">
        <v>64</v>
      </c>
      <c r="I93" s="133">
        <v>269</v>
      </c>
      <c r="J93" s="137">
        <v>2100000</v>
      </c>
      <c r="K93" s="137">
        <v>2100000</v>
      </c>
      <c r="L93" s="189">
        <v>2531828</v>
      </c>
      <c r="M93" s="189">
        <v>2531828</v>
      </c>
      <c r="N93" s="122">
        <f t="shared" si="7"/>
        <v>4631828</v>
      </c>
      <c r="O93" s="122">
        <f t="shared" si="8"/>
        <v>4631828</v>
      </c>
      <c r="P93" s="170" t="s">
        <v>231</v>
      </c>
      <c r="Q93" s="170">
        <v>2100000</v>
      </c>
      <c r="R93" s="170">
        <v>2100000</v>
      </c>
      <c r="S93" s="170">
        <v>1972308</v>
      </c>
      <c r="T93" s="170">
        <v>1972308</v>
      </c>
      <c r="U93" s="157">
        <f t="shared" si="10"/>
        <v>0</v>
      </c>
      <c r="V93" s="157">
        <f t="shared" si="11"/>
        <v>0</v>
      </c>
      <c r="W93" s="157">
        <f t="shared" si="12"/>
        <v>559520</v>
      </c>
      <c r="X93" s="157">
        <f t="shared" si="13"/>
        <v>559520</v>
      </c>
      <c r="Z93" s="218"/>
      <c r="AA93" s="253"/>
      <c r="AB93" s="288"/>
      <c r="AC93" s="289"/>
      <c r="AD93" s="289"/>
      <c r="AE93" s="291"/>
      <c r="AF93" s="189"/>
      <c r="AI93" s="240">
        <f t="shared" si="9"/>
        <v>4631828</v>
      </c>
    </row>
    <row r="94" spans="2:35" s="28" customFormat="1" ht="41.25" customHeight="1">
      <c r="B94" s="30"/>
      <c r="C94" s="313"/>
      <c r="D94" s="132" t="s">
        <v>161</v>
      </c>
      <c r="E94" s="132" t="s">
        <v>164</v>
      </c>
      <c r="F94" s="132"/>
      <c r="G94" s="132"/>
      <c r="H94" s="132"/>
      <c r="I94" s="133">
        <v>20</v>
      </c>
      <c r="J94" s="137">
        <v>950000</v>
      </c>
      <c r="K94" s="137">
        <v>950000</v>
      </c>
      <c r="L94" s="189">
        <v>188240</v>
      </c>
      <c r="M94" s="189">
        <v>188240</v>
      </c>
      <c r="N94" s="122">
        <f t="shared" si="7"/>
        <v>1138240</v>
      </c>
      <c r="O94" s="122">
        <f t="shared" si="8"/>
        <v>1138240</v>
      </c>
      <c r="P94" s="170" t="s">
        <v>230</v>
      </c>
      <c r="Q94" s="170">
        <v>950000</v>
      </c>
      <c r="R94" s="170">
        <v>950000</v>
      </c>
      <c r="S94" s="170">
        <v>146640</v>
      </c>
      <c r="T94" s="170">
        <v>146640</v>
      </c>
      <c r="U94" s="157">
        <f t="shared" si="10"/>
        <v>0</v>
      </c>
      <c r="V94" s="157">
        <f t="shared" si="11"/>
        <v>0</v>
      </c>
      <c r="W94" s="157">
        <f t="shared" si="12"/>
        <v>41600</v>
      </c>
      <c r="X94" s="157">
        <f t="shared" si="13"/>
        <v>41600</v>
      </c>
      <c r="Z94" s="218"/>
      <c r="AA94" s="253"/>
      <c r="AB94" s="288"/>
      <c r="AC94" s="289"/>
      <c r="AD94" s="289"/>
      <c r="AE94" s="291"/>
      <c r="AF94" s="189"/>
      <c r="AI94" s="240">
        <f t="shared" si="9"/>
        <v>1138240</v>
      </c>
    </row>
    <row r="95" spans="2:35" s="28" customFormat="1" ht="41.25" customHeight="1">
      <c r="B95" s="30"/>
      <c r="C95" s="313"/>
      <c r="D95" s="132" t="s">
        <v>164</v>
      </c>
      <c r="E95" s="132" t="s">
        <v>81</v>
      </c>
      <c r="F95" s="132"/>
      <c r="G95" s="132"/>
      <c r="H95" s="132" t="s">
        <v>64</v>
      </c>
      <c r="I95" s="133">
        <v>223</v>
      </c>
      <c r="J95" s="137">
        <v>2000000</v>
      </c>
      <c r="K95" s="137">
        <v>2000000</v>
      </c>
      <c r="L95" s="189">
        <v>2098876</v>
      </c>
      <c r="M95" s="189">
        <v>2098876</v>
      </c>
      <c r="N95" s="122">
        <f t="shared" si="7"/>
        <v>4098876</v>
      </c>
      <c r="O95" s="122">
        <f t="shared" si="8"/>
        <v>4098876</v>
      </c>
      <c r="P95" s="170" t="s">
        <v>232</v>
      </c>
      <c r="Q95" s="170">
        <v>2000000</v>
      </c>
      <c r="R95" s="170">
        <v>2000000</v>
      </c>
      <c r="S95" s="170">
        <v>1635036</v>
      </c>
      <c r="T95" s="170">
        <v>1635036</v>
      </c>
      <c r="U95" s="157">
        <f t="shared" si="10"/>
        <v>0</v>
      </c>
      <c r="V95" s="157">
        <f t="shared" si="11"/>
        <v>0</v>
      </c>
      <c r="W95" s="157">
        <f t="shared" si="12"/>
        <v>463840</v>
      </c>
      <c r="X95" s="157">
        <f t="shared" si="13"/>
        <v>463840</v>
      </c>
      <c r="Z95" s="218"/>
      <c r="AA95" s="253"/>
      <c r="AB95" s="288"/>
      <c r="AC95" s="289"/>
      <c r="AD95" s="289"/>
      <c r="AE95" s="291"/>
      <c r="AF95" s="189"/>
      <c r="AI95" s="240">
        <f t="shared" si="9"/>
        <v>4098876</v>
      </c>
    </row>
    <row r="96" spans="2:35" s="28" customFormat="1" ht="41.25" customHeight="1">
      <c r="B96" s="30"/>
      <c r="C96" s="313"/>
      <c r="D96" s="132" t="s">
        <v>161</v>
      </c>
      <c r="E96" s="132" t="s">
        <v>164</v>
      </c>
      <c r="F96" s="132"/>
      <c r="G96" s="132"/>
      <c r="H96" s="132"/>
      <c r="I96" s="133">
        <v>20</v>
      </c>
      <c r="J96" s="137">
        <v>950000</v>
      </c>
      <c r="K96" s="137">
        <v>950000</v>
      </c>
      <c r="L96" s="189">
        <v>188240</v>
      </c>
      <c r="M96" s="189">
        <v>188240</v>
      </c>
      <c r="N96" s="122">
        <f t="shared" si="7"/>
        <v>1138240</v>
      </c>
      <c r="O96" s="122">
        <f t="shared" si="8"/>
        <v>1138240</v>
      </c>
      <c r="P96" s="170" t="s">
        <v>230</v>
      </c>
      <c r="Q96" s="170">
        <v>950000</v>
      </c>
      <c r="R96" s="170">
        <v>950000</v>
      </c>
      <c r="S96" s="170">
        <v>146640</v>
      </c>
      <c r="T96" s="170">
        <v>146640</v>
      </c>
      <c r="U96" s="157">
        <f t="shared" si="10"/>
        <v>0</v>
      </c>
      <c r="V96" s="157">
        <f t="shared" si="11"/>
        <v>0</v>
      </c>
      <c r="W96" s="157">
        <f t="shared" si="12"/>
        <v>41600</v>
      </c>
      <c r="X96" s="157">
        <f t="shared" si="13"/>
        <v>41600</v>
      </c>
      <c r="Z96" s="218"/>
      <c r="AA96" s="253"/>
      <c r="AB96" s="288"/>
      <c r="AC96" s="289"/>
      <c r="AD96" s="289"/>
      <c r="AE96" s="291"/>
      <c r="AF96" s="189"/>
      <c r="AI96" s="240">
        <f t="shared" si="9"/>
        <v>1138240</v>
      </c>
    </row>
    <row r="97" spans="2:35" s="28" customFormat="1" ht="41.25" customHeight="1">
      <c r="B97" s="30"/>
      <c r="C97" s="313"/>
      <c r="D97" s="132" t="s">
        <v>164</v>
      </c>
      <c r="E97" s="132" t="s">
        <v>83</v>
      </c>
      <c r="F97" s="132"/>
      <c r="G97" s="132"/>
      <c r="H97" s="132" t="s">
        <v>64</v>
      </c>
      <c r="I97" s="133">
        <v>232</v>
      </c>
      <c r="J97" s="137">
        <v>2000000</v>
      </c>
      <c r="K97" s="137">
        <v>2000000</v>
      </c>
      <c r="L97" s="189">
        <v>2183584</v>
      </c>
      <c r="M97" s="189">
        <v>2183584</v>
      </c>
      <c r="N97" s="122">
        <f t="shared" si="7"/>
        <v>4183584</v>
      </c>
      <c r="O97" s="122">
        <f t="shared" si="8"/>
        <v>4183584</v>
      </c>
      <c r="P97" s="170" t="s">
        <v>233</v>
      </c>
      <c r="Q97" s="170">
        <v>2000000</v>
      </c>
      <c r="R97" s="170">
        <v>2000000</v>
      </c>
      <c r="S97" s="170">
        <v>1701024</v>
      </c>
      <c r="T97" s="170">
        <v>1701024</v>
      </c>
      <c r="U97" s="157">
        <f t="shared" si="10"/>
        <v>0</v>
      </c>
      <c r="V97" s="157">
        <f t="shared" si="11"/>
        <v>0</v>
      </c>
      <c r="W97" s="157">
        <f t="shared" si="12"/>
        <v>482560</v>
      </c>
      <c r="X97" s="157">
        <f t="shared" si="13"/>
        <v>482560</v>
      </c>
      <c r="Z97" s="218"/>
      <c r="AA97" s="253"/>
      <c r="AB97" s="288"/>
      <c r="AC97" s="289"/>
      <c r="AD97" s="289"/>
      <c r="AE97" s="291"/>
      <c r="AF97" s="189"/>
      <c r="AI97" s="240">
        <f t="shared" si="9"/>
        <v>4183584</v>
      </c>
    </row>
    <row r="98" spans="2:35" s="28" customFormat="1" ht="41.25" customHeight="1">
      <c r="B98" s="30"/>
      <c r="C98" s="313"/>
      <c r="D98" s="132" t="s">
        <v>161</v>
      </c>
      <c r="E98" s="132" t="s">
        <v>165</v>
      </c>
      <c r="F98" s="132"/>
      <c r="G98" s="132"/>
      <c r="H98" s="132"/>
      <c r="I98" s="133">
        <v>30</v>
      </c>
      <c r="J98" s="137">
        <v>950000</v>
      </c>
      <c r="K98" s="137">
        <v>950000</v>
      </c>
      <c r="L98" s="189">
        <v>282360</v>
      </c>
      <c r="M98" s="189">
        <v>282360</v>
      </c>
      <c r="N98" s="122">
        <f t="shared" si="7"/>
        <v>1232360</v>
      </c>
      <c r="O98" s="122">
        <f t="shared" si="8"/>
        <v>1232360</v>
      </c>
      <c r="P98" s="170" t="s">
        <v>234</v>
      </c>
      <c r="Q98" s="170">
        <v>950000</v>
      </c>
      <c r="R98" s="170">
        <v>950000</v>
      </c>
      <c r="S98" s="170">
        <v>219960</v>
      </c>
      <c r="T98" s="170">
        <v>219960</v>
      </c>
      <c r="U98" s="157">
        <f t="shared" si="10"/>
        <v>0</v>
      </c>
      <c r="V98" s="157">
        <f t="shared" si="11"/>
        <v>0</v>
      </c>
      <c r="W98" s="157">
        <f t="shared" si="12"/>
        <v>62400</v>
      </c>
      <c r="X98" s="157">
        <f t="shared" si="13"/>
        <v>62400</v>
      </c>
      <c r="Z98" s="218"/>
      <c r="AA98" s="253"/>
      <c r="AB98" s="288"/>
      <c r="AC98" s="289"/>
      <c r="AD98" s="289"/>
      <c r="AE98" s="291"/>
      <c r="AF98" s="189"/>
      <c r="AI98" s="240">
        <f t="shared" si="9"/>
        <v>1232360</v>
      </c>
    </row>
    <row r="99" spans="2:35" s="28" customFormat="1" ht="41.25" customHeight="1">
      <c r="B99" s="30"/>
      <c r="C99" s="313"/>
      <c r="D99" s="132" t="s">
        <v>165</v>
      </c>
      <c r="E99" s="132" t="s">
        <v>82</v>
      </c>
      <c r="F99" s="132"/>
      <c r="G99" s="132"/>
      <c r="H99" s="132" t="s">
        <v>64</v>
      </c>
      <c r="I99" s="133">
        <v>289</v>
      </c>
      <c r="J99" s="137">
        <v>2200000</v>
      </c>
      <c r="K99" s="137">
        <v>2200000</v>
      </c>
      <c r="L99" s="189">
        <v>2720068</v>
      </c>
      <c r="M99" s="189">
        <v>2720068</v>
      </c>
      <c r="N99" s="122">
        <f t="shared" si="7"/>
        <v>4920068</v>
      </c>
      <c r="O99" s="122">
        <f t="shared" si="8"/>
        <v>4920068</v>
      </c>
      <c r="P99" s="170" t="s">
        <v>235</v>
      </c>
      <c r="Q99" s="170">
        <v>2200000</v>
      </c>
      <c r="R99" s="170">
        <v>2200000</v>
      </c>
      <c r="S99" s="170">
        <v>2118948</v>
      </c>
      <c r="T99" s="170">
        <v>2118948</v>
      </c>
      <c r="U99" s="157">
        <f t="shared" si="10"/>
        <v>0</v>
      </c>
      <c r="V99" s="157">
        <f t="shared" si="11"/>
        <v>0</v>
      </c>
      <c r="W99" s="157">
        <f t="shared" si="12"/>
        <v>601120</v>
      </c>
      <c r="X99" s="157">
        <f t="shared" si="13"/>
        <v>601120</v>
      </c>
      <c r="Z99" s="218"/>
      <c r="AA99" s="253"/>
      <c r="AB99" s="288"/>
      <c r="AC99" s="289"/>
      <c r="AD99" s="289"/>
      <c r="AE99" s="291"/>
      <c r="AF99" s="189"/>
      <c r="AI99" s="240">
        <f t="shared" si="9"/>
        <v>4920068</v>
      </c>
    </row>
    <row r="100" spans="2:35" s="28" customFormat="1" ht="41.25" customHeight="1">
      <c r="B100" s="30"/>
      <c r="C100" s="313"/>
      <c r="D100" s="132" t="s">
        <v>161</v>
      </c>
      <c r="E100" s="132" t="s">
        <v>165</v>
      </c>
      <c r="F100" s="132"/>
      <c r="G100" s="132"/>
      <c r="H100" s="132"/>
      <c r="I100" s="133">
        <v>30</v>
      </c>
      <c r="J100" s="137">
        <v>950000</v>
      </c>
      <c r="K100" s="137">
        <v>950000</v>
      </c>
      <c r="L100" s="189">
        <v>282360</v>
      </c>
      <c r="M100" s="189">
        <v>282360</v>
      </c>
      <c r="N100" s="122">
        <f t="shared" si="7"/>
        <v>1232360</v>
      </c>
      <c r="O100" s="122">
        <f t="shared" si="8"/>
        <v>1232360</v>
      </c>
      <c r="P100" s="170" t="s">
        <v>234</v>
      </c>
      <c r="Q100" s="170">
        <v>950000</v>
      </c>
      <c r="R100" s="170">
        <v>950000</v>
      </c>
      <c r="S100" s="170">
        <v>219960</v>
      </c>
      <c r="T100" s="170">
        <v>219960</v>
      </c>
      <c r="U100" s="157">
        <f t="shared" si="10"/>
        <v>0</v>
      </c>
      <c r="V100" s="157">
        <f t="shared" si="11"/>
        <v>0</v>
      </c>
      <c r="W100" s="157">
        <f t="shared" si="12"/>
        <v>62400</v>
      </c>
      <c r="X100" s="157">
        <f t="shared" si="13"/>
        <v>62400</v>
      </c>
      <c r="Z100" s="218"/>
      <c r="AA100" s="253"/>
      <c r="AB100" s="288"/>
      <c r="AC100" s="289"/>
      <c r="AD100" s="289"/>
      <c r="AE100" s="291"/>
      <c r="AF100" s="189"/>
      <c r="AI100" s="240">
        <f t="shared" si="9"/>
        <v>1232360</v>
      </c>
    </row>
    <row r="101" spans="2:35" s="28" customFormat="1" ht="41.25" customHeight="1">
      <c r="B101" s="30"/>
      <c r="C101" s="313"/>
      <c r="D101" s="132" t="s">
        <v>165</v>
      </c>
      <c r="E101" s="132" t="s">
        <v>81</v>
      </c>
      <c r="F101" s="132"/>
      <c r="G101" s="132"/>
      <c r="H101" s="132" t="s">
        <v>64</v>
      </c>
      <c r="I101" s="133">
        <v>243</v>
      </c>
      <c r="J101" s="137">
        <v>2100000</v>
      </c>
      <c r="K101" s="137">
        <v>2100000</v>
      </c>
      <c r="L101" s="189">
        <v>2287116</v>
      </c>
      <c r="M101" s="189">
        <v>2287116</v>
      </c>
      <c r="N101" s="122">
        <f t="shared" si="7"/>
        <v>4387116</v>
      </c>
      <c r="O101" s="122">
        <f t="shared" si="8"/>
        <v>4387116</v>
      </c>
      <c r="P101" s="170" t="s">
        <v>236</v>
      </c>
      <c r="Q101" s="170">
        <v>2100000</v>
      </c>
      <c r="R101" s="170">
        <v>2100000</v>
      </c>
      <c r="S101" s="170">
        <v>1781676</v>
      </c>
      <c r="T101" s="170">
        <v>1781676</v>
      </c>
      <c r="U101" s="157">
        <f t="shared" si="10"/>
        <v>0</v>
      </c>
      <c r="V101" s="157">
        <f t="shared" si="11"/>
        <v>0</v>
      </c>
      <c r="W101" s="157">
        <f t="shared" si="12"/>
        <v>505440</v>
      </c>
      <c r="X101" s="157">
        <f t="shared" si="13"/>
        <v>505440</v>
      </c>
      <c r="Z101" s="218"/>
      <c r="AA101" s="253"/>
      <c r="AB101" s="288"/>
      <c r="AC101" s="289"/>
      <c r="AD101" s="289"/>
      <c r="AE101" s="291"/>
      <c r="AF101" s="189"/>
      <c r="AI101" s="240">
        <f t="shared" si="9"/>
        <v>4387116</v>
      </c>
    </row>
    <row r="102" spans="2:35" s="28" customFormat="1" ht="41.25" customHeight="1">
      <c r="B102" s="30"/>
      <c r="C102" s="313"/>
      <c r="D102" s="132" t="s">
        <v>161</v>
      </c>
      <c r="E102" s="132" t="s">
        <v>165</v>
      </c>
      <c r="F102" s="132"/>
      <c r="G102" s="132"/>
      <c r="H102" s="132"/>
      <c r="I102" s="133">
        <v>30</v>
      </c>
      <c r="J102" s="137">
        <v>950000</v>
      </c>
      <c r="K102" s="137">
        <v>950000</v>
      </c>
      <c r="L102" s="189">
        <v>282360</v>
      </c>
      <c r="M102" s="189">
        <v>282360</v>
      </c>
      <c r="N102" s="122">
        <f t="shared" si="7"/>
        <v>1232360</v>
      </c>
      <c r="O102" s="122">
        <f t="shared" si="8"/>
        <v>1232360</v>
      </c>
      <c r="P102" s="170" t="s">
        <v>234</v>
      </c>
      <c r="Q102" s="170">
        <v>950000</v>
      </c>
      <c r="R102" s="170">
        <v>950000</v>
      </c>
      <c r="S102" s="170">
        <v>219960</v>
      </c>
      <c r="T102" s="170">
        <v>219960</v>
      </c>
      <c r="U102" s="157">
        <f t="shared" si="10"/>
        <v>0</v>
      </c>
      <c r="V102" s="157">
        <f t="shared" si="11"/>
        <v>0</v>
      </c>
      <c r="W102" s="157">
        <f t="shared" si="12"/>
        <v>62400</v>
      </c>
      <c r="X102" s="157">
        <f t="shared" si="13"/>
        <v>62400</v>
      </c>
      <c r="Z102" s="218"/>
      <c r="AA102" s="253"/>
      <c r="AB102" s="288"/>
      <c r="AC102" s="289"/>
      <c r="AD102" s="289"/>
      <c r="AE102" s="291"/>
      <c r="AF102" s="189"/>
      <c r="AI102" s="240">
        <f t="shared" si="9"/>
        <v>1232360</v>
      </c>
    </row>
    <row r="103" spans="2:35" s="28" customFormat="1" ht="41.25" customHeight="1">
      <c r="B103" s="30"/>
      <c r="C103" s="313"/>
      <c r="D103" s="132" t="s">
        <v>165</v>
      </c>
      <c r="E103" s="132" t="s">
        <v>83</v>
      </c>
      <c r="F103" s="132"/>
      <c r="G103" s="132"/>
      <c r="H103" s="132" t="s">
        <v>64</v>
      </c>
      <c r="I103" s="133">
        <v>212</v>
      </c>
      <c r="J103" s="137">
        <v>2100000</v>
      </c>
      <c r="K103" s="137">
        <v>2100000</v>
      </c>
      <c r="L103" s="189">
        <v>1995344</v>
      </c>
      <c r="M103" s="189">
        <v>1995344</v>
      </c>
      <c r="N103" s="122">
        <f t="shared" si="7"/>
        <v>4095344</v>
      </c>
      <c r="O103" s="122">
        <f t="shared" si="8"/>
        <v>4095344</v>
      </c>
      <c r="P103" s="170" t="s">
        <v>237</v>
      </c>
      <c r="Q103" s="170">
        <v>2100000</v>
      </c>
      <c r="R103" s="170">
        <v>2100000</v>
      </c>
      <c r="S103" s="170">
        <v>1554384</v>
      </c>
      <c r="T103" s="170">
        <v>1554384</v>
      </c>
      <c r="U103" s="157">
        <f t="shared" si="10"/>
        <v>0</v>
      </c>
      <c r="V103" s="157">
        <f t="shared" si="11"/>
        <v>0</v>
      </c>
      <c r="W103" s="157">
        <f t="shared" si="12"/>
        <v>440960</v>
      </c>
      <c r="X103" s="157">
        <f t="shared" si="13"/>
        <v>440960</v>
      </c>
      <c r="Z103" s="218"/>
      <c r="AA103" s="253"/>
      <c r="AB103" s="288"/>
      <c r="AC103" s="289"/>
      <c r="AD103" s="289"/>
      <c r="AE103" s="291"/>
      <c r="AF103" s="189"/>
      <c r="AI103" s="240">
        <f t="shared" si="9"/>
        <v>4095344</v>
      </c>
    </row>
    <row r="104" spans="2:35" s="28" customFormat="1" ht="41.25" customHeight="1">
      <c r="B104" s="30"/>
      <c r="C104" s="313"/>
      <c r="D104" s="132" t="s">
        <v>162</v>
      </c>
      <c r="E104" s="132" t="s">
        <v>166</v>
      </c>
      <c r="F104" s="132"/>
      <c r="G104" s="132"/>
      <c r="H104" s="132"/>
      <c r="I104" s="133">
        <v>55</v>
      </c>
      <c r="J104" s="137">
        <v>1400000</v>
      </c>
      <c r="K104" s="137">
        <v>1400000</v>
      </c>
      <c r="L104" s="189">
        <v>517660</v>
      </c>
      <c r="M104" s="189">
        <v>517660</v>
      </c>
      <c r="N104" s="122">
        <f t="shared" si="7"/>
        <v>1917660</v>
      </c>
      <c r="O104" s="122">
        <f t="shared" si="8"/>
        <v>1917660</v>
      </c>
      <c r="P104" s="170" t="s">
        <v>238</v>
      </c>
      <c r="Q104" s="170">
        <v>1400000</v>
      </c>
      <c r="R104" s="170">
        <v>1400000</v>
      </c>
      <c r="S104" s="170">
        <v>403260</v>
      </c>
      <c r="T104" s="170">
        <v>403260</v>
      </c>
      <c r="U104" s="157">
        <f t="shared" si="10"/>
        <v>0</v>
      </c>
      <c r="V104" s="157">
        <f t="shared" si="11"/>
        <v>0</v>
      </c>
      <c r="W104" s="157">
        <f t="shared" si="12"/>
        <v>114400</v>
      </c>
      <c r="X104" s="157">
        <f t="shared" si="13"/>
        <v>114400</v>
      </c>
      <c r="Z104" s="218"/>
      <c r="AA104" s="253"/>
      <c r="AB104" s="288"/>
      <c r="AC104" s="289"/>
      <c r="AD104" s="289"/>
      <c r="AE104" s="291"/>
      <c r="AF104" s="189"/>
      <c r="AI104" s="240">
        <f t="shared" si="9"/>
        <v>1917660</v>
      </c>
    </row>
    <row r="105" spans="2:35" s="28" customFormat="1" ht="41.25" customHeight="1">
      <c r="B105" s="30"/>
      <c r="C105" s="313"/>
      <c r="D105" s="132" t="s">
        <v>166</v>
      </c>
      <c r="E105" s="132" t="s">
        <v>82</v>
      </c>
      <c r="F105" s="132"/>
      <c r="G105" s="132"/>
      <c r="H105" s="132" t="s">
        <v>64</v>
      </c>
      <c r="I105" s="133">
        <v>234</v>
      </c>
      <c r="J105" s="137">
        <v>2000000</v>
      </c>
      <c r="K105" s="137">
        <v>2000000</v>
      </c>
      <c r="L105" s="189">
        <v>2202408</v>
      </c>
      <c r="M105" s="189">
        <v>2202408</v>
      </c>
      <c r="N105" s="122">
        <f t="shared" si="7"/>
        <v>4202408</v>
      </c>
      <c r="O105" s="122">
        <f t="shared" si="8"/>
        <v>4202408</v>
      </c>
      <c r="P105" s="170" t="s">
        <v>239</v>
      </c>
      <c r="Q105" s="170">
        <v>2000000</v>
      </c>
      <c r="R105" s="170">
        <v>2000000</v>
      </c>
      <c r="S105" s="170">
        <v>1715688</v>
      </c>
      <c r="T105" s="170">
        <v>1715688</v>
      </c>
      <c r="U105" s="157">
        <f t="shared" si="10"/>
        <v>0</v>
      </c>
      <c r="V105" s="157">
        <f t="shared" si="11"/>
        <v>0</v>
      </c>
      <c r="W105" s="157">
        <f t="shared" si="12"/>
        <v>486720</v>
      </c>
      <c r="X105" s="157">
        <f t="shared" si="13"/>
        <v>486720</v>
      </c>
      <c r="Z105" s="218"/>
      <c r="AA105" s="253"/>
      <c r="AB105" s="288"/>
      <c r="AC105" s="289"/>
      <c r="AD105" s="289"/>
      <c r="AE105" s="291"/>
      <c r="AF105" s="189"/>
      <c r="AI105" s="240">
        <f t="shared" si="9"/>
        <v>4202408</v>
      </c>
    </row>
    <row r="106" spans="2:35" s="28" customFormat="1" ht="41.25" customHeight="1">
      <c r="B106" s="30"/>
      <c r="C106" s="313"/>
      <c r="D106" s="132" t="s">
        <v>162</v>
      </c>
      <c r="E106" s="132" t="s">
        <v>166</v>
      </c>
      <c r="F106" s="132"/>
      <c r="G106" s="132"/>
      <c r="H106" s="132"/>
      <c r="I106" s="133">
        <v>55</v>
      </c>
      <c r="J106" s="137">
        <v>1400000</v>
      </c>
      <c r="K106" s="137">
        <v>1400000</v>
      </c>
      <c r="L106" s="189">
        <v>517660</v>
      </c>
      <c r="M106" s="189">
        <v>517660</v>
      </c>
      <c r="N106" s="122">
        <f t="shared" si="7"/>
        <v>1917660</v>
      </c>
      <c r="O106" s="122">
        <f t="shared" si="8"/>
        <v>1917660</v>
      </c>
      <c r="P106" s="170" t="s">
        <v>238</v>
      </c>
      <c r="Q106" s="170">
        <v>1400000</v>
      </c>
      <c r="R106" s="170">
        <v>1400000</v>
      </c>
      <c r="S106" s="170">
        <v>403260</v>
      </c>
      <c r="T106" s="170">
        <v>403260</v>
      </c>
      <c r="U106" s="157">
        <f t="shared" si="10"/>
        <v>0</v>
      </c>
      <c r="V106" s="157">
        <f t="shared" si="11"/>
        <v>0</v>
      </c>
      <c r="W106" s="157">
        <f t="shared" si="12"/>
        <v>114400</v>
      </c>
      <c r="X106" s="157">
        <f t="shared" si="13"/>
        <v>114400</v>
      </c>
      <c r="Z106" s="218"/>
      <c r="AA106" s="253"/>
      <c r="AB106" s="288"/>
      <c r="AC106" s="289"/>
      <c r="AD106" s="289"/>
      <c r="AE106" s="291"/>
      <c r="AF106" s="189"/>
      <c r="AI106" s="240">
        <f t="shared" si="9"/>
        <v>1917660</v>
      </c>
    </row>
    <row r="107" spans="2:35" s="28" customFormat="1" ht="41.25" customHeight="1">
      <c r="B107" s="30"/>
      <c r="C107" s="313"/>
      <c r="D107" s="132" t="s">
        <v>166</v>
      </c>
      <c r="E107" s="132" t="s">
        <v>81</v>
      </c>
      <c r="F107" s="132"/>
      <c r="G107" s="132"/>
      <c r="H107" s="132" t="s">
        <v>64</v>
      </c>
      <c r="I107" s="133">
        <v>258</v>
      </c>
      <c r="J107" s="137">
        <v>2100000</v>
      </c>
      <c r="K107" s="137">
        <v>2100000</v>
      </c>
      <c r="L107" s="189">
        <v>2428296</v>
      </c>
      <c r="M107" s="189">
        <v>2428296</v>
      </c>
      <c r="N107" s="122">
        <f t="shared" si="7"/>
        <v>4528296</v>
      </c>
      <c r="O107" s="122">
        <f t="shared" si="8"/>
        <v>4528296</v>
      </c>
      <c r="P107" s="170" t="s">
        <v>240</v>
      </c>
      <c r="Q107" s="170">
        <v>2100000</v>
      </c>
      <c r="R107" s="170">
        <v>2100000</v>
      </c>
      <c r="S107" s="170">
        <v>1891656</v>
      </c>
      <c r="T107" s="170">
        <v>1891656</v>
      </c>
      <c r="U107" s="157">
        <f t="shared" si="10"/>
        <v>0</v>
      </c>
      <c r="V107" s="157">
        <f t="shared" si="11"/>
        <v>0</v>
      </c>
      <c r="W107" s="157">
        <f t="shared" si="12"/>
        <v>536640</v>
      </c>
      <c r="X107" s="157">
        <f t="shared" si="13"/>
        <v>536640</v>
      </c>
      <c r="Z107" s="218"/>
      <c r="AA107" s="253"/>
      <c r="AB107" s="288"/>
      <c r="AC107" s="289"/>
      <c r="AD107" s="289"/>
      <c r="AE107" s="291"/>
      <c r="AF107" s="189"/>
      <c r="AI107" s="240">
        <f t="shared" si="9"/>
        <v>4528296</v>
      </c>
    </row>
    <row r="108" spans="2:35" s="28" customFormat="1" ht="41.25" customHeight="1">
      <c r="B108" s="30"/>
      <c r="C108" s="313"/>
      <c r="D108" s="132" t="s">
        <v>162</v>
      </c>
      <c r="E108" s="132" t="s">
        <v>166</v>
      </c>
      <c r="F108" s="132"/>
      <c r="G108" s="132"/>
      <c r="H108" s="132"/>
      <c r="I108" s="133">
        <v>55</v>
      </c>
      <c r="J108" s="137">
        <v>1400000</v>
      </c>
      <c r="K108" s="137">
        <v>1400000</v>
      </c>
      <c r="L108" s="189">
        <v>517660</v>
      </c>
      <c r="M108" s="189">
        <v>517660</v>
      </c>
      <c r="N108" s="122">
        <f t="shared" si="7"/>
        <v>1917660</v>
      </c>
      <c r="O108" s="122">
        <f t="shared" si="8"/>
        <v>1917660</v>
      </c>
      <c r="P108" s="170" t="s">
        <v>238</v>
      </c>
      <c r="Q108" s="170">
        <v>1400000</v>
      </c>
      <c r="R108" s="170">
        <v>1400000</v>
      </c>
      <c r="S108" s="170">
        <v>403260</v>
      </c>
      <c r="T108" s="170">
        <v>403260</v>
      </c>
      <c r="U108" s="157">
        <f t="shared" si="10"/>
        <v>0</v>
      </c>
      <c r="V108" s="157">
        <f t="shared" si="11"/>
        <v>0</v>
      </c>
      <c r="W108" s="157">
        <f t="shared" si="12"/>
        <v>114400</v>
      </c>
      <c r="X108" s="157">
        <f t="shared" si="13"/>
        <v>114400</v>
      </c>
      <c r="Z108" s="218"/>
      <c r="AA108" s="253"/>
      <c r="AB108" s="288"/>
      <c r="AC108" s="289"/>
      <c r="AD108" s="289"/>
      <c r="AE108" s="291"/>
      <c r="AF108" s="189"/>
      <c r="AI108" s="240">
        <f t="shared" si="9"/>
        <v>1917660</v>
      </c>
    </row>
    <row r="109" spans="2:35" s="28" customFormat="1" ht="41.25" customHeight="1">
      <c r="B109" s="30"/>
      <c r="C109" s="313"/>
      <c r="D109" s="132" t="s">
        <v>166</v>
      </c>
      <c r="E109" s="132" t="s">
        <v>83</v>
      </c>
      <c r="F109" s="132"/>
      <c r="G109" s="132"/>
      <c r="H109" s="132" t="s">
        <v>64</v>
      </c>
      <c r="I109" s="133">
        <v>267</v>
      </c>
      <c r="J109" s="137">
        <v>2100000</v>
      </c>
      <c r="K109" s="137">
        <v>2100000</v>
      </c>
      <c r="L109" s="189">
        <v>2513004</v>
      </c>
      <c r="M109" s="189">
        <v>2513004</v>
      </c>
      <c r="N109" s="122">
        <f t="shared" si="7"/>
        <v>4613004</v>
      </c>
      <c r="O109" s="122">
        <f t="shared" si="8"/>
        <v>4613004</v>
      </c>
      <c r="P109" s="170" t="s">
        <v>241</v>
      </c>
      <c r="Q109" s="170">
        <v>2100000</v>
      </c>
      <c r="R109" s="170">
        <v>2100000</v>
      </c>
      <c r="S109" s="170">
        <v>1957644</v>
      </c>
      <c r="T109" s="170">
        <v>1957644</v>
      </c>
      <c r="U109" s="157">
        <f t="shared" si="10"/>
        <v>0</v>
      </c>
      <c r="V109" s="157">
        <f t="shared" si="11"/>
        <v>0</v>
      </c>
      <c r="W109" s="157">
        <f t="shared" si="12"/>
        <v>555360</v>
      </c>
      <c r="X109" s="157">
        <f t="shared" si="13"/>
        <v>555360</v>
      </c>
      <c r="Z109" s="218"/>
      <c r="AA109" s="253"/>
      <c r="AB109" s="288"/>
      <c r="AC109" s="289"/>
      <c r="AD109" s="289"/>
      <c r="AE109" s="291"/>
      <c r="AF109" s="189"/>
      <c r="AI109" s="240">
        <f t="shared" si="9"/>
        <v>4613004</v>
      </c>
    </row>
    <row r="110" spans="2:35" s="28" customFormat="1" ht="41.25" customHeight="1">
      <c r="B110" s="30"/>
      <c r="C110" s="313"/>
      <c r="D110" s="132" t="s">
        <v>162</v>
      </c>
      <c r="E110" s="132" t="s">
        <v>167</v>
      </c>
      <c r="F110" s="132"/>
      <c r="G110" s="132"/>
      <c r="H110" s="132"/>
      <c r="I110" s="133">
        <v>15</v>
      </c>
      <c r="J110" s="137">
        <v>900000</v>
      </c>
      <c r="K110" s="137">
        <v>900000</v>
      </c>
      <c r="L110" s="189">
        <v>141180</v>
      </c>
      <c r="M110" s="189">
        <v>141180</v>
      </c>
      <c r="N110" s="122">
        <f t="shared" si="7"/>
        <v>1041180</v>
      </c>
      <c r="O110" s="122">
        <f t="shared" si="8"/>
        <v>1041180</v>
      </c>
      <c r="P110" s="170" t="s">
        <v>242</v>
      </c>
      <c r="Q110" s="170">
        <v>900000</v>
      </c>
      <c r="R110" s="170">
        <v>900000</v>
      </c>
      <c r="S110" s="170">
        <v>109980</v>
      </c>
      <c r="T110" s="170">
        <v>109980</v>
      </c>
      <c r="U110" s="157">
        <f t="shared" si="10"/>
        <v>0</v>
      </c>
      <c r="V110" s="157">
        <f t="shared" si="11"/>
        <v>0</v>
      </c>
      <c r="W110" s="157">
        <f t="shared" si="12"/>
        <v>31200</v>
      </c>
      <c r="X110" s="157">
        <f t="shared" si="13"/>
        <v>31200</v>
      </c>
      <c r="Z110" s="218"/>
      <c r="AA110" s="253"/>
      <c r="AB110" s="288"/>
      <c r="AC110" s="289"/>
      <c r="AD110" s="289"/>
      <c r="AE110" s="291"/>
      <c r="AF110" s="189"/>
      <c r="AI110" s="240">
        <f t="shared" si="9"/>
        <v>1041180</v>
      </c>
    </row>
    <row r="111" spans="2:35" s="28" customFormat="1" ht="41.25" customHeight="1">
      <c r="B111" s="30"/>
      <c r="C111" s="313"/>
      <c r="D111" s="132" t="s">
        <v>167</v>
      </c>
      <c r="E111" s="132" t="s">
        <v>82</v>
      </c>
      <c r="F111" s="132"/>
      <c r="G111" s="132"/>
      <c r="H111" s="132" t="s">
        <v>64</v>
      </c>
      <c r="I111" s="133">
        <v>269</v>
      </c>
      <c r="J111" s="137">
        <v>2100000</v>
      </c>
      <c r="K111" s="137">
        <v>2100000</v>
      </c>
      <c r="L111" s="189">
        <v>2531828</v>
      </c>
      <c r="M111" s="189">
        <v>2531828</v>
      </c>
      <c r="N111" s="122">
        <f t="shared" si="7"/>
        <v>4631828</v>
      </c>
      <c r="O111" s="122">
        <f t="shared" si="8"/>
        <v>4631828</v>
      </c>
      <c r="P111" s="170" t="s">
        <v>243</v>
      </c>
      <c r="Q111" s="170">
        <v>2100000</v>
      </c>
      <c r="R111" s="170">
        <v>2100000</v>
      </c>
      <c r="S111" s="170">
        <v>1972308</v>
      </c>
      <c r="T111" s="170">
        <v>1972308</v>
      </c>
      <c r="U111" s="157">
        <f t="shared" si="10"/>
        <v>0</v>
      </c>
      <c r="V111" s="157">
        <f t="shared" si="11"/>
        <v>0</v>
      </c>
      <c r="W111" s="157">
        <f t="shared" si="12"/>
        <v>559520</v>
      </c>
      <c r="X111" s="157">
        <f t="shared" si="13"/>
        <v>559520</v>
      </c>
      <c r="Z111" s="218"/>
      <c r="AA111" s="253"/>
      <c r="AB111" s="288"/>
      <c r="AC111" s="289"/>
      <c r="AD111" s="289"/>
      <c r="AE111" s="291"/>
      <c r="AF111" s="189"/>
      <c r="AI111" s="240">
        <f t="shared" si="9"/>
        <v>4631828</v>
      </c>
    </row>
    <row r="112" spans="2:35" s="28" customFormat="1" ht="41.25" customHeight="1">
      <c r="B112" s="30"/>
      <c r="C112" s="313"/>
      <c r="D112" s="132" t="s">
        <v>162</v>
      </c>
      <c r="E112" s="132" t="s">
        <v>167</v>
      </c>
      <c r="F112" s="132"/>
      <c r="G112" s="132"/>
      <c r="H112" s="132"/>
      <c r="I112" s="133">
        <v>15</v>
      </c>
      <c r="J112" s="137">
        <v>900000</v>
      </c>
      <c r="K112" s="137">
        <v>900000</v>
      </c>
      <c r="L112" s="189">
        <v>141180</v>
      </c>
      <c r="M112" s="189">
        <v>141180</v>
      </c>
      <c r="N112" s="122">
        <f t="shared" si="7"/>
        <v>1041180</v>
      </c>
      <c r="O112" s="122">
        <f t="shared" si="8"/>
        <v>1041180</v>
      </c>
      <c r="P112" s="170" t="s">
        <v>242</v>
      </c>
      <c r="Q112" s="170">
        <v>900000</v>
      </c>
      <c r="R112" s="170">
        <v>900000</v>
      </c>
      <c r="S112" s="170">
        <v>109980</v>
      </c>
      <c r="T112" s="170">
        <v>109980</v>
      </c>
      <c r="U112" s="157">
        <f t="shared" si="10"/>
        <v>0</v>
      </c>
      <c r="V112" s="157">
        <f t="shared" si="11"/>
        <v>0</v>
      </c>
      <c r="W112" s="157">
        <f t="shared" si="12"/>
        <v>31200</v>
      </c>
      <c r="X112" s="157">
        <f t="shared" si="13"/>
        <v>31200</v>
      </c>
      <c r="Z112" s="218"/>
      <c r="AA112" s="253"/>
      <c r="AB112" s="288"/>
      <c r="AC112" s="289"/>
      <c r="AD112" s="289"/>
      <c r="AE112" s="291"/>
      <c r="AF112" s="189"/>
      <c r="AI112" s="240">
        <f t="shared" si="9"/>
        <v>1041180</v>
      </c>
    </row>
    <row r="113" spans="2:35" s="28" customFormat="1" ht="41.25" customHeight="1">
      <c r="B113" s="30"/>
      <c r="C113" s="313"/>
      <c r="D113" s="132" t="s">
        <v>167</v>
      </c>
      <c r="E113" s="132" t="s">
        <v>81</v>
      </c>
      <c r="F113" s="132"/>
      <c r="G113" s="132"/>
      <c r="H113" s="132" t="s">
        <v>64</v>
      </c>
      <c r="I113" s="133">
        <v>223</v>
      </c>
      <c r="J113" s="137">
        <v>2000000</v>
      </c>
      <c r="K113" s="137">
        <v>2000000</v>
      </c>
      <c r="L113" s="189">
        <v>2098876</v>
      </c>
      <c r="M113" s="189">
        <v>2098876</v>
      </c>
      <c r="N113" s="122">
        <f t="shared" si="7"/>
        <v>4098876</v>
      </c>
      <c r="O113" s="122">
        <f t="shared" si="8"/>
        <v>4098876</v>
      </c>
      <c r="P113" s="170" t="s">
        <v>244</v>
      </c>
      <c r="Q113" s="170">
        <v>2000000</v>
      </c>
      <c r="R113" s="170">
        <v>2000000</v>
      </c>
      <c r="S113" s="170">
        <v>1635036</v>
      </c>
      <c r="T113" s="170">
        <v>1635036</v>
      </c>
      <c r="U113" s="157">
        <f t="shared" si="10"/>
        <v>0</v>
      </c>
      <c r="V113" s="157">
        <f t="shared" si="11"/>
        <v>0</v>
      </c>
      <c r="W113" s="157">
        <f t="shared" si="12"/>
        <v>463840</v>
      </c>
      <c r="X113" s="157">
        <f t="shared" si="13"/>
        <v>463840</v>
      </c>
      <c r="Z113" s="218"/>
      <c r="AA113" s="253"/>
      <c r="AB113" s="288"/>
      <c r="AC113" s="289"/>
      <c r="AD113" s="289"/>
      <c r="AE113" s="291"/>
      <c r="AF113" s="189"/>
      <c r="AI113" s="240">
        <f t="shared" si="9"/>
        <v>4098876</v>
      </c>
    </row>
    <row r="114" spans="2:35" s="28" customFormat="1" ht="41.25" customHeight="1">
      <c r="B114" s="30"/>
      <c r="C114" s="313"/>
      <c r="D114" s="132" t="s">
        <v>162</v>
      </c>
      <c r="E114" s="132" t="s">
        <v>167</v>
      </c>
      <c r="F114" s="132"/>
      <c r="G114" s="132"/>
      <c r="H114" s="132"/>
      <c r="I114" s="133">
        <v>15</v>
      </c>
      <c r="J114" s="137">
        <v>900000</v>
      </c>
      <c r="K114" s="137">
        <v>900000</v>
      </c>
      <c r="L114" s="189">
        <v>141180</v>
      </c>
      <c r="M114" s="189">
        <v>141180</v>
      </c>
      <c r="N114" s="122">
        <f t="shared" si="7"/>
        <v>1041180</v>
      </c>
      <c r="O114" s="122">
        <f t="shared" si="8"/>
        <v>1041180</v>
      </c>
      <c r="P114" s="170" t="s">
        <v>242</v>
      </c>
      <c r="Q114" s="170">
        <v>900000</v>
      </c>
      <c r="R114" s="170">
        <v>900000</v>
      </c>
      <c r="S114" s="170">
        <v>109980</v>
      </c>
      <c r="T114" s="170">
        <v>109980</v>
      </c>
      <c r="U114" s="157">
        <f t="shared" si="10"/>
        <v>0</v>
      </c>
      <c r="V114" s="157">
        <f t="shared" si="11"/>
        <v>0</v>
      </c>
      <c r="W114" s="157">
        <f t="shared" si="12"/>
        <v>31200</v>
      </c>
      <c r="X114" s="157">
        <f t="shared" si="13"/>
        <v>31200</v>
      </c>
      <c r="Z114" s="218"/>
      <c r="AA114" s="253"/>
      <c r="AB114" s="288"/>
      <c r="AC114" s="289"/>
      <c r="AD114" s="289"/>
      <c r="AE114" s="291"/>
      <c r="AF114" s="189"/>
      <c r="AI114" s="240">
        <f t="shared" si="9"/>
        <v>1041180</v>
      </c>
    </row>
    <row r="115" spans="2:35" s="28" customFormat="1" ht="41.25" customHeight="1">
      <c r="B115" s="30"/>
      <c r="C115" s="313"/>
      <c r="D115" s="132" t="s">
        <v>167</v>
      </c>
      <c r="E115" s="132" t="s">
        <v>83</v>
      </c>
      <c r="F115" s="132"/>
      <c r="G115" s="132"/>
      <c r="H115" s="132" t="s">
        <v>64</v>
      </c>
      <c r="I115" s="133">
        <v>232</v>
      </c>
      <c r="J115" s="137">
        <v>2000000</v>
      </c>
      <c r="K115" s="137">
        <v>2000000</v>
      </c>
      <c r="L115" s="189">
        <v>2183584</v>
      </c>
      <c r="M115" s="189">
        <v>2183584</v>
      </c>
      <c r="N115" s="122">
        <f t="shared" si="7"/>
        <v>4183584</v>
      </c>
      <c r="O115" s="122">
        <f t="shared" si="8"/>
        <v>4183584</v>
      </c>
      <c r="P115" s="170" t="s">
        <v>245</v>
      </c>
      <c r="Q115" s="170">
        <v>2000000</v>
      </c>
      <c r="R115" s="170">
        <v>2000000</v>
      </c>
      <c r="S115" s="170">
        <v>1701024</v>
      </c>
      <c r="T115" s="170">
        <v>1701024</v>
      </c>
      <c r="U115" s="157">
        <f t="shared" si="10"/>
        <v>0</v>
      </c>
      <c r="V115" s="157">
        <f t="shared" si="11"/>
        <v>0</v>
      </c>
      <c r="W115" s="157">
        <f t="shared" si="12"/>
        <v>482560</v>
      </c>
      <c r="X115" s="157">
        <f t="shared" si="13"/>
        <v>482560</v>
      </c>
      <c r="Z115" s="218"/>
      <c r="AA115" s="253"/>
      <c r="AB115" s="288"/>
      <c r="AC115" s="289"/>
      <c r="AD115" s="289"/>
      <c r="AE115" s="291"/>
      <c r="AF115" s="189"/>
      <c r="AI115" s="240">
        <f t="shared" si="9"/>
        <v>4183584</v>
      </c>
    </row>
    <row r="116" spans="2:35" s="28" customFormat="1" ht="41.25" customHeight="1">
      <c r="B116" s="30"/>
      <c r="C116" s="313"/>
      <c r="D116" s="132" t="s">
        <v>162</v>
      </c>
      <c r="E116" s="132" t="s">
        <v>168</v>
      </c>
      <c r="F116" s="132"/>
      <c r="G116" s="132"/>
      <c r="H116" s="132"/>
      <c r="I116" s="133">
        <v>14</v>
      </c>
      <c r="J116" s="137">
        <v>900000</v>
      </c>
      <c r="K116" s="137">
        <v>900000</v>
      </c>
      <c r="L116" s="189">
        <v>131768</v>
      </c>
      <c r="M116" s="189">
        <v>131768</v>
      </c>
      <c r="N116" s="122">
        <f t="shared" si="7"/>
        <v>1031768</v>
      </c>
      <c r="O116" s="122">
        <f t="shared" si="8"/>
        <v>1031768</v>
      </c>
      <c r="P116" s="170" t="s">
        <v>246</v>
      </c>
      <c r="Q116" s="170">
        <v>900000</v>
      </c>
      <c r="R116" s="170">
        <v>900000</v>
      </c>
      <c r="S116" s="170">
        <v>102648</v>
      </c>
      <c r="T116" s="170">
        <v>102648</v>
      </c>
      <c r="U116" s="157">
        <f t="shared" si="10"/>
        <v>0</v>
      </c>
      <c r="V116" s="157">
        <f t="shared" si="11"/>
        <v>0</v>
      </c>
      <c r="W116" s="157">
        <f t="shared" si="12"/>
        <v>29120</v>
      </c>
      <c r="X116" s="157">
        <f t="shared" si="13"/>
        <v>29120</v>
      </c>
      <c r="Z116" s="218"/>
      <c r="AA116" s="253"/>
      <c r="AB116" s="288"/>
      <c r="AC116" s="289"/>
      <c r="AD116" s="289"/>
      <c r="AE116" s="291"/>
      <c r="AF116" s="189"/>
      <c r="AI116" s="240">
        <f t="shared" si="9"/>
        <v>1031768</v>
      </c>
    </row>
    <row r="117" spans="2:35" s="28" customFormat="1" ht="41.25" customHeight="1">
      <c r="B117" s="30"/>
      <c r="C117" s="313"/>
      <c r="D117" s="132" t="s">
        <v>168</v>
      </c>
      <c r="E117" s="132" t="s">
        <v>82</v>
      </c>
      <c r="F117" s="132"/>
      <c r="G117" s="132"/>
      <c r="H117" s="132" t="s">
        <v>64</v>
      </c>
      <c r="I117" s="133">
        <v>289</v>
      </c>
      <c r="J117" s="137">
        <v>2200000</v>
      </c>
      <c r="K117" s="137">
        <v>2200000</v>
      </c>
      <c r="L117" s="189">
        <v>2720068</v>
      </c>
      <c r="M117" s="189">
        <v>2720068</v>
      </c>
      <c r="N117" s="122">
        <f t="shared" si="7"/>
        <v>4920068</v>
      </c>
      <c r="O117" s="122">
        <f t="shared" si="8"/>
        <v>4920068</v>
      </c>
      <c r="P117" s="170" t="s">
        <v>247</v>
      </c>
      <c r="Q117" s="170">
        <v>2200000</v>
      </c>
      <c r="R117" s="170">
        <v>2200000</v>
      </c>
      <c r="S117" s="170">
        <v>2118948</v>
      </c>
      <c r="T117" s="170">
        <v>2118948</v>
      </c>
      <c r="U117" s="157">
        <f t="shared" si="10"/>
        <v>0</v>
      </c>
      <c r="V117" s="157">
        <f t="shared" si="11"/>
        <v>0</v>
      </c>
      <c r="W117" s="157">
        <f t="shared" si="12"/>
        <v>601120</v>
      </c>
      <c r="X117" s="157">
        <f t="shared" si="13"/>
        <v>601120</v>
      </c>
      <c r="Z117" s="218"/>
      <c r="AA117" s="253"/>
      <c r="AB117" s="288"/>
      <c r="AC117" s="289"/>
      <c r="AD117" s="289"/>
      <c r="AE117" s="291"/>
      <c r="AF117" s="189"/>
      <c r="AI117" s="240">
        <f t="shared" si="9"/>
        <v>4920068</v>
      </c>
    </row>
    <row r="118" spans="2:35" s="28" customFormat="1" ht="41.25" customHeight="1">
      <c r="B118" s="30"/>
      <c r="C118" s="313"/>
      <c r="D118" s="132" t="s">
        <v>162</v>
      </c>
      <c r="E118" s="132" t="s">
        <v>168</v>
      </c>
      <c r="F118" s="132"/>
      <c r="G118" s="132"/>
      <c r="H118" s="132"/>
      <c r="I118" s="133">
        <v>14</v>
      </c>
      <c r="J118" s="137">
        <v>900000</v>
      </c>
      <c r="K118" s="137">
        <v>900000</v>
      </c>
      <c r="L118" s="189">
        <v>131768</v>
      </c>
      <c r="M118" s="189">
        <v>131768</v>
      </c>
      <c r="N118" s="122">
        <f t="shared" si="7"/>
        <v>1031768</v>
      </c>
      <c r="O118" s="122">
        <f t="shared" si="8"/>
        <v>1031768</v>
      </c>
      <c r="P118" s="170" t="s">
        <v>246</v>
      </c>
      <c r="Q118" s="170">
        <v>900000</v>
      </c>
      <c r="R118" s="170">
        <v>900000</v>
      </c>
      <c r="S118" s="170">
        <v>102648</v>
      </c>
      <c r="T118" s="170">
        <v>102648</v>
      </c>
      <c r="U118" s="157">
        <f t="shared" si="10"/>
        <v>0</v>
      </c>
      <c r="V118" s="157">
        <f t="shared" si="11"/>
        <v>0</v>
      </c>
      <c r="W118" s="157">
        <f t="shared" si="12"/>
        <v>29120</v>
      </c>
      <c r="X118" s="157">
        <f t="shared" si="13"/>
        <v>29120</v>
      </c>
      <c r="Z118" s="218"/>
      <c r="AA118" s="253"/>
      <c r="AB118" s="288"/>
      <c r="AC118" s="289"/>
      <c r="AD118" s="289"/>
      <c r="AE118" s="291"/>
      <c r="AF118" s="189"/>
      <c r="AI118" s="240">
        <f t="shared" si="9"/>
        <v>1031768</v>
      </c>
    </row>
    <row r="119" spans="2:35" s="28" customFormat="1" ht="41.25" customHeight="1">
      <c r="B119" s="30"/>
      <c r="C119" s="313"/>
      <c r="D119" s="132" t="s">
        <v>168</v>
      </c>
      <c r="E119" s="132" t="s">
        <v>81</v>
      </c>
      <c r="F119" s="132"/>
      <c r="G119" s="132"/>
      <c r="H119" s="132" t="s">
        <v>64</v>
      </c>
      <c r="I119" s="133">
        <v>243</v>
      </c>
      <c r="J119" s="137">
        <v>2100000</v>
      </c>
      <c r="K119" s="137">
        <v>2100000</v>
      </c>
      <c r="L119" s="189">
        <v>2287116</v>
      </c>
      <c r="M119" s="189">
        <v>2287116</v>
      </c>
      <c r="N119" s="122">
        <f t="shared" si="7"/>
        <v>4387116</v>
      </c>
      <c r="O119" s="122">
        <f t="shared" si="8"/>
        <v>4387116</v>
      </c>
      <c r="P119" s="170" t="s">
        <v>248</v>
      </c>
      <c r="Q119" s="170">
        <v>2100000</v>
      </c>
      <c r="R119" s="170">
        <v>2100000</v>
      </c>
      <c r="S119" s="170">
        <v>1781676</v>
      </c>
      <c r="T119" s="170">
        <v>1781676</v>
      </c>
      <c r="U119" s="157">
        <f t="shared" si="10"/>
        <v>0</v>
      </c>
      <c r="V119" s="157">
        <f t="shared" si="11"/>
        <v>0</v>
      </c>
      <c r="W119" s="157">
        <f t="shared" si="12"/>
        <v>505440</v>
      </c>
      <c r="X119" s="157">
        <f t="shared" si="13"/>
        <v>505440</v>
      </c>
      <c r="Z119" s="218"/>
      <c r="AA119" s="253"/>
      <c r="AB119" s="288"/>
      <c r="AC119" s="289"/>
      <c r="AD119" s="289"/>
      <c r="AE119" s="291"/>
      <c r="AF119" s="189"/>
      <c r="AI119" s="240">
        <f t="shared" si="9"/>
        <v>4387116</v>
      </c>
    </row>
    <row r="120" spans="2:35" s="28" customFormat="1" ht="41.25" customHeight="1">
      <c r="B120" s="30"/>
      <c r="C120" s="313"/>
      <c r="D120" s="132" t="s">
        <v>162</v>
      </c>
      <c r="E120" s="132" t="s">
        <v>168</v>
      </c>
      <c r="F120" s="132"/>
      <c r="G120" s="132"/>
      <c r="H120" s="132"/>
      <c r="I120" s="133">
        <v>14</v>
      </c>
      <c r="J120" s="137">
        <v>900000</v>
      </c>
      <c r="K120" s="137">
        <v>900000</v>
      </c>
      <c r="L120" s="189">
        <v>131768</v>
      </c>
      <c r="M120" s="189">
        <v>131768</v>
      </c>
      <c r="N120" s="122">
        <f t="shared" si="7"/>
        <v>1031768</v>
      </c>
      <c r="O120" s="122">
        <f t="shared" si="8"/>
        <v>1031768</v>
      </c>
      <c r="P120" s="170" t="s">
        <v>246</v>
      </c>
      <c r="Q120" s="170">
        <v>900000</v>
      </c>
      <c r="R120" s="170">
        <v>900000</v>
      </c>
      <c r="S120" s="170">
        <v>102648</v>
      </c>
      <c r="T120" s="170">
        <v>102648</v>
      </c>
      <c r="U120" s="157">
        <f t="shared" si="10"/>
        <v>0</v>
      </c>
      <c r="V120" s="157">
        <f t="shared" si="11"/>
        <v>0</v>
      </c>
      <c r="W120" s="157">
        <f t="shared" si="12"/>
        <v>29120</v>
      </c>
      <c r="X120" s="157">
        <f t="shared" si="13"/>
        <v>29120</v>
      </c>
      <c r="Z120" s="218"/>
      <c r="AA120" s="253"/>
      <c r="AB120" s="288"/>
      <c r="AC120" s="289"/>
      <c r="AD120" s="289"/>
      <c r="AE120" s="291"/>
      <c r="AF120" s="189"/>
      <c r="AI120" s="240">
        <f t="shared" si="9"/>
        <v>1031768</v>
      </c>
    </row>
    <row r="121" spans="2:35" s="28" customFormat="1" ht="41.25" customHeight="1">
      <c r="B121" s="30"/>
      <c r="C121" s="314"/>
      <c r="D121" s="132" t="s">
        <v>168</v>
      </c>
      <c r="E121" s="132" t="s">
        <v>83</v>
      </c>
      <c r="F121" s="132"/>
      <c r="G121" s="132"/>
      <c r="H121" s="132" t="s">
        <v>64</v>
      </c>
      <c r="I121" s="133">
        <v>212</v>
      </c>
      <c r="J121" s="137">
        <v>2100000</v>
      </c>
      <c r="K121" s="137">
        <v>2100000</v>
      </c>
      <c r="L121" s="189">
        <v>1995344</v>
      </c>
      <c r="M121" s="189">
        <v>1995344</v>
      </c>
      <c r="N121" s="122">
        <f t="shared" si="7"/>
        <v>4095344</v>
      </c>
      <c r="O121" s="122">
        <f t="shared" si="8"/>
        <v>4095344</v>
      </c>
      <c r="P121" s="170" t="s">
        <v>249</v>
      </c>
      <c r="Q121" s="170">
        <v>2100000</v>
      </c>
      <c r="R121" s="170">
        <v>2100000</v>
      </c>
      <c r="S121" s="170">
        <v>1554384</v>
      </c>
      <c r="T121" s="170">
        <v>1554384</v>
      </c>
      <c r="U121" s="157">
        <f t="shared" si="10"/>
        <v>0</v>
      </c>
      <c r="V121" s="157">
        <f t="shared" si="11"/>
        <v>0</v>
      </c>
      <c r="W121" s="157">
        <f t="shared" si="12"/>
        <v>440960</v>
      </c>
      <c r="X121" s="157">
        <f t="shared" si="13"/>
        <v>440960</v>
      </c>
      <c r="Z121" s="218"/>
      <c r="AA121" s="253"/>
      <c r="AB121" s="288"/>
      <c r="AC121" s="289"/>
      <c r="AD121" s="289"/>
      <c r="AE121" s="291"/>
      <c r="AF121" s="189"/>
      <c r="AI121" s="240">
        <f t="shared" si="9"/>
        <v>4095344</v>
      </c>
    </row>
    <row r="122" spans="2:35" s="39" customFormat="1" ht="15" customHeight="1">
      <c r="C122" s="68"/>
      <c r="D122" s="69"/>
      <c r="E122" s="69"/>
      <c r="F122" s="69"/>
      <c r="G122" s="69"/>
      <c r="H122" s="69"/>
      <c r="I122" s="69"/>
      <c r="J122" s="70"/>
      <c r="K122" s="70"/>
      <c r="L122" s="191"/>
      <c r="M122" s="191"/>
      <c r="N122" s="71"/>
      <c r="O122" s="71"/>
      <c r="P122" s="170" t="s">
        <v>260</v>
      </c>
      <c r="Q122" s="171"/>
      <c r="R122" s="158"/>
      <c r="S122" s="151"/>
      <c r="T122" s="151"/>
      <c r="U122" s="159"/>
      <c r="V122" s="159"/>
      <c r="W122" s="160"/>
      <c r="X122" s="160"/>
      <c r="Z122" s="218"/>
      <c r="AA122" s="253"/>
      <c r="AB122" s="288"/>
      <c r="AC122" s="289"/>
      <c r="AD122" s="289"/>
      <c r="AE122" s="70"/>
      <c r="AF122" s="191"/>
      <c r="AI122" s="240">
        <f t="shared" si="9"/>
        <v>0</v>
      </c>
    </row>
    <row r="123" spans="2:35" s="39" customFormat="1" ht="14.25" customHeight="1">
      <c r="L123" s="192"/>
      <c r="M123" s="192"/>
      <c r="P123" s="170" t="s">
        <v>260</v>
      </c>
      <c r="Q123" s="160"/>
      <c r="R123" s="158"/>
      <c r="S123" s="151"/>
      <c r="T123" s="151"/>
      <c r="U123" s="159"/>
      <c r="V123" s="159"/>
      <c r="W123" s="160"/>
      <c r="X123" s="160"/>
      <c r="Z123" s="218"/>
      <c r="AA123" s="253"/>
      <c r="AB123" s="288"/>
      <c r="AC123" s="289"/>
      <c r="AD123" s="289"/>
      <c r="AE123" s="259"/>
      <c r="AF123" s="192"/>
      <c r="AI123" s="240">
        <f t="shared" si="9"/>
        <v>0</v>
      </c>
    </row>
    <row r="124" spans="2:35" s="113" customFormat="1" ht="24.9" customHeight="1">
      <c r="B124" s="112" t="s">
        <v>59</v>
      </c>
      <c r="C124" s="112" t="s">
        <v>66</v>
      </c>
      <c r="D124" s="39"/>
      <c r="E124" s="39"/>
      <c r="L124" s="193"/>
      <c r="M124" s="193"/>
      <c r="P124" s="170" t="s">
        <v>260</v>
      </c>
      <c r="Q124" s="160"/>
      <c r="R124" s="158"/>
      <c r="S124" s="151"/>
      <c r="T124" s="151"/>
      <c r="U124" s="159"/>
      <c r="V124" s="159"/>
      <c r="W124" s="160"/>
      <c r="X124" s="160"/>
      <c r="Z124" s="218"/>
      <c r="AA124" s="253"/>
      <c r="AB124" s="288"/>
      <c r="AC124" s="289"/>
      <c r="AD124" s="289"/>
      <c r="AE124" s="294"/>
      <c r="AF124" s="193"/>
      <c r="AI124" s="240">
        <f t="shared" si="9"/>
        <v>0</v>
      </c>
    </row>
    <row r="125" spans="2:35" s="113" customFormat="1" ht="9.75" customHeight="1">
      <c r="B125" s="112"/>
      <c r="C125" s="112"/>
      <c r="D125" s="39"/>
      <c r="E125" s="39"/>
      <c r="L125" s="193"/>
      <c r="M125" s="193"/>
      <c r="P125" s="170" t="s">
        <v>260</v>
      </c>
      <c r="Q125" s="160"/>
      <c r="R125" s="158"/>
      <c r="S125" s="151"/>
      <c r="T125" s="151"/>
      <c r="U125" s="159"/>
      <c r="V125" s="159"/>
      <c r="W125" s="160"/>
      <c r="X125" s="160"/>
      <c r="Z125" s="218"/>
      <c r="AA125" s="253"/>
      <c r="AB125" s="288"/>
      <c r="AC125" s="289"/>
      <c r="AD125" s="289"/>
      <c r="AE125" s="294"/>
      <c r="AF125" s="193"/>
      <c r="AI125" s="240">
        <f t="shared" si="9"/>
        <v>0</v>
      </c>
    </row>
    <row r="126" spans="2:35" s="39" customFormat="1" ht="20.25" customHeight="1">
      <c r="C126" s="315" t="s">
        <v>40</v>
      </c>
      <c r="D126" s="316" t="s">
        <v>39</v>
      </c>
      <c r="E126" s="317"/>
      <c r="F126" s="317"/>
      <c r="G126" s="317"/>
      <c r="H126" s="318"/>
      <c r="I126" s="319" t="s">
        <v>41</v>
      </c>
      <c r="J126" s="320" t="s">
        <v>69</v>
      </c>
      <c r="K126" s="320"/>
      <c r="L126" s="307" t="s">
        <v>38</v>
      </c>
      <c r="M126" s="308"/>
      <c r="N126" s="311" t="s">
        <v>13</v>
      </c>
      <c r="O126" s="311"/>
      <c r="P126" s="170" t="s">
        <v>39</v>
      </c>
      <c r="Q126" s="166"/>
      <c r="R126" s="158"/>
      <c r="S126" s="151"/>
      <c r="T126" s="151"/>
      <c r="U126" s="159"/>
      <c r="V126" s="159"/>
      <c r="W126" s="160"/>
      <c r="X126" s="160"/>
      <c r="Z126" s="218"/>
      <c r="AA126" s="253"/>
      <c r="AB126" s="288"/>
      <c r="AC126" s="289"/>
      <c r="AD126" s="289"/>
      <c r="AE126" s="307"/>
      <c r="AF126" s="308"/>
      <c r="AI126" s="240">
        <f t="shared" si="9"/>
        <v>0</v>
      </c>
    </row>
    <row r="127" spans="2:35" s="39" customFormat="1" ht="20.25" customHeight="1">
      <c r="C127" s="301"/>
      <c r="D127" s="117" t="s">
        <v>15</v>
      </c>
      <c r="E127" s="117" t="s">
        <v>16</v>
      </c>
      <c r="F127" s="117" t="s">
        <v>16</v>
      </c>
      <c r="G127" s="117" t="s">
        <v>16</v>
      </c>
      <c r="H127" s="117" t="s">
        <v>16</v>
      </c>
      <c r="I127" s="301"/>
      <c r="J127" s="117" t="s">
        <v>35</v>
      </c>
      <c r="K127" s="117" t="s">
        <v>36</v>
      </c>
      <c r="L127" s="190" t="s">
        <v>35</v>
      </c>
      <c r="M127" s="190" t="s">
        <v>36</v>
      </c>
      <c r="N127" s="117" t="s">
        <v>35</v>
      </c>
      <c r="O127" s="117" t="s">
        <v>36</v>
      </c>
      <c r="P127" s="170" t="s">
        <v>250</v>
      </c>
      <c r="Q127" s="166"/>
      <c r="R127" s="158"/>
      <c r="S127" s="151"/>
      <c r="T127" s="151"/>
      <c r="U127" s="159"/>
      <c r="V127" s="159"/>
      <c r="W127" s="160"/>
      <c r="X127" s="160"/>
      <c r="Z127" s="218"/>
      <c r="AA127" s="253"/>
      <c r="AB127" s="288"/>
      <c r="AC127" s="289"/>
      <c r="AD127" s="289"/>
      <c r="AE127" s="293"/>
      <c r="AF127" s="190"/>
      <c r="AI127" s="240" t="str">
        <f t="shared" si="9"/>
        <v>20FT</v>
      </c>
    </row>
    <row r="128" spans="2:35" s="39" customFormat="1" ht="32.25" customHeight="1">
      <c r="C128" s="312" t="s">
        <v>53</v>
      </c>
      <c r="D128" s="63" t="s">
        <v>64</v>
      </c>
      <c r="E128" s="63" t="s">
        <v>82</v>
      </c>
      <c r="F128" s="63"/>
      <c r="G128" s="63"/>
      <c r="H128" s="63" t="s">
        <v>64</v>
      </c>
      <c r="I128" s="63">
        <v>287</v>
      </c>
      <c r="J128" s="65">
        <v>2400000</v>
      </c>
      <c r="K128" s="65">
        <v>2400000</v>
      </c>
      <c r="L128" s="189">
        <v>2363589</v>
      </c>
      <c r="M128" s="189">
        <v>2363589</v>
      </c>
      <c r="N128" s="66">
        <f>+J128+L128</f>
        <v>4763589</v>
      </c>
      <c r="O128" s="66">
        <f t="shared" ref="O128" si="14">+K128+M128</f>
        <v>4763589</v>
      </c>
      <c r="P128" s="170" t="s">
        <v>170</v>
      </c>
      <c r="Q128" s="170">
        <v>2400000</v>
      </c>
      <c r="R128" s="170">
        <v>2400000</v>
      </c>
      <c r="S128" s="170">
        <v>1841249</v>
      </c>
      <c r="T128" s="170">
        <v>1841249</v>
      </c>
      <c r="U128" s="157">
        <f t="shared" ref="U128" si="15">J128-Q128</f>
        <v>0</v>
      </c>
      <c r="V128" s="157">
        <f t="shared" ref="V128" si="16">K128-R128</f>
        <v>0</v>
      </c>
      <c r="W128" s="157">
        <f t="shared" ref="W128" si="17">L128-S128</f>
        <v>522340</v>
      </c>
      <c r="X128" s="157">
        <f t="shared" ref="X128" si="18">M128-T128</f>
        <v>522340</v>
      </c>
      <c r="Z128" s="218"/>
      <c r="AA128" s="253"/>
      <c r="AB128" s="288"/>
      <c r="AC128" s="289"/>
      <c r="AD128" s="289"/>
      <c r="AE128" s="291"/>
      <c r="AF128" s="189"/>
      <c r="AH128" s="262" t="s">
        <v>425</v>
      </c>
      <c r="AI128" s="240">
        <f t="shared" si="9"/>
        <v>4763589</v>
      </c>
    </row>
    <row r="129" spans="3:35" s="39" customFormat="1" ht="32.25" customHeight="1">
      <c r="C129" s="313"/>
      <c r="D129" s="63" t="s">
        <v>64</v>
      </c>
      <c r="E129" s="63" t="s">
        <v>81</v>
      </c>
      <c r="F129" s="63"/>
      <c r="G129" s="63"/>
      <c r="H129" s="63" t="s">
        <v>64</v>
      </c>
      <c r="I129" s="63">
        <v>266</v>
      </c>
      <c r="J129" s="65">
        <v>2300000</v>
      </c>
      <c r="K129" s="65">
        <v>2300000</v>
      </c>
      <c r="L129" s="189">
        <v>2190643</v>
      </c>
      <c r="M129" s="189">
        <v>2190643</v>
      </c>
      <c r="N129" s="66">
        <f t="shared" ref="N129:N185" si="19">+J129+L129</f>
        <v>4490643</v>
      </c>
      <c r="O129" s="66">
        <f t="shared" ref="O129:O185" si="20">+K129+M129</f>
        <v>4490643</v>
      </c>
      <c r="P129" s="170" t="s">
        <v>171</v>
      </c>
      <c r="Q129" s="170">
        <v>2300000</v>
      </c>
      <c r="R129" s="170">
        <v>2300000</v>
      </c>
      <c r="S129" s="170">
        <v>1706523</v>
      </c>
      <c r="T129" s="170">
        <v>1706523</v>
      </c>
      <c r="U129" s="157">
        <f t="shared" ref="U129:U194" si="21">J129-Q129</f>
        <v>0</v>
      </c>
      <c r="V129" s="157">
        <f t="shared" ref="V129:V194" si="22">K129-R129</f>
        <v>0</v>
      </c>
      <c r="W129" s="157">
        <f t="shared" ref="W129:W194" si="23">L129-S129</f>
        <v>484120</v>
      </c>
      <c r="X129" s="157">
        <f t="shared" ref="X129:X194" si="24">M129-T129</f>
        <v>484120</v>
      </c>
      <c r="Z129" s="218"/>
      <c r="AA129" s="253"/>
      <c r="AB129" s="288"/>
      <c r="AC129" s="289"/>
      <c r="AD129" s="289"/>
      <c r="AE129" s="291"/>
      <c r="AF129" s="189"/>
      <c r="AH129" s="262" t="s">
        <v>426</v>
      </c>
      <c r="AI129" s="240">
        <f t="shared" si="9"/>
        <v>4490643</v>
      </c>
    </row>
    <row r="130" spans="3:35" s="39" customFormat="1" ht="32.25" customHeight="1">
      <c r="C130" s="313"/>
      <c r="D130" s="79" t="s">
        <v>64</v>
      </c>
      <c r="E130" s="79" t="s">
        <v>83</v>
      </c>
      <c r="F130" s="79"/>
      <c r="G130" s="79"/>
      <c r="H130" s="79" t="s">
        <v>64</v>
      </c>
      <c r="I130" s="79">
        <v>255</v>
      </c>
      <c r="J130" s="80">
        <v>2300000</v>
      </c>
      <c r="K130" s="80">
        <v>2300000</v>
      </c>
      <c r="L130" s="189">
        <v>2100053</v>
      </c>
      <c r="M130" s="189">
        <v>2100053</v>
      </c>
      <c r="N130" s="66">
        <f t="shared" si="19"/>
        <v>4400053</v>
      </c>
      <c r="O130" s="66">
        <f t="shared" si="20"/>
        <v>4400053</v>
      </c>
      <c r="P130" s="170" t="s">
        <v>172</v>
      </c>
      <c r="Q130" s="170">
        <v>2300000</v>
      </c>
      <c r="R130" s="170">
        <v>2300000</v>
      </c>
      <c r="S130" s="170">
        <v>1635953</v>
      </c>
      <c r="T130" s="170">
        <v>1635953</v>
      </c>
      <c r="U130" s="157">
        <f t="shared" si="21"/>
        <v>0</v>
      </c>
      <c r="V130" s="157">
        <f t="shared" si="22"/>
        <v>0</v>
      </c>
      <c r="W130" s="157">
        <f t="shared" si="23"/>
        <v>464100</v>
      </c>
      <c r="X130" s="157">
        <f t="shared" si="24"/>
        <v>464100</v>
      </c>
      <c r="Z130" s="218"/>
      <c r="AA130" s="253"/>
      <c r="AB130" s="288"/>
      <c r="AC130" s="289"/>
      <c r="AD130" s="289"/>
      <c r="AE130" s="291"/>
      <c r="AF130" s="189"/>
      <c r="AH130" s="262" t="s">
        <v>427</v>
      </c>
      <c r="AI130" s="240">
        <f t="shared" si="9"/>
        <v>4400053</v>
      </c>
    </row>
    <row r="131" spans="3:35" s="39" customFormat="1" ht="32.25" customHeight="1">
      <c r="C131" s="313"/>
      <c r="D131" s="63" t="s">
        <v>64</v>
      </c>
      <c r="E131" s="63" t="s">
        <v>82</v>
      </c>
      <c r="F131" s="63" t="s">
        <v>81</v>
      </c>
      <c r="G131" s="63"/>
      <c r="H131" s="63" t="s">
        <v>64</v>
      </c>
      <c r="I131" s="63">
        <v>312</v>
      </c>
      <c r="J131" s="65">
        <v>2800000</v>
      </c>
      <c r="K131" s="65">
        <v>2800000</v>
      </c>
      <c r="L131" s="189">
        <v>2569476</v>
      </c>
      <c r="M131" s="189">
        <v>2569476</v>
      </c>
      <c r="N131" s="66">
        <f t="shared" si="19"/>
        <v>5369476</v>
      </c>
      <c r="O131" s="66">
        <f t="shared" si="20"/>
        <v>5369476</v>
      </c>
      <c r="P131" s="170" t="s">
        <v>173</v>
      </c>
      <c r="Q131" s="170">
        <v>2800000</v>
      </c>
      <c r="R131" s="170">
        <v>2800000</v>
      </c>
      <c r="S131" s="170">
        <v>2001636</v>
      </c>
      <c r="T131" s="170">
        <v>2001636</v>
      </c>
      <c r="U131" s="157">
        <f t="shared" si="21"/>
        <v>0</v>
      </c>
      <c r="V131" s="157">
        <f t="shared" si="22"/>
        <v>0</v>
      </c>
      <c r="W131" s="157">
        <f t="shared" si="23"/>
        <v>567840</v>
      </c>
      <c r="X131" s="157">
        <f t="shared" si="24"/>
        <v>567840</v>
      </c>
      <c r="Z131" s="218"/>
      <c r="AA131" s="253"/>
      <c r="AB131" s="288"/>
      <c r="AC131" s="289"/>
      <c r="AD131" s="289"/>
      <c r="AE131" s="291"/>
      <c r="AF131" s="189"/>
      <c r="AI131" s="240">
        <f t="shared" si="9"/>
        <v>5369476</v>
      </c>
    </row>
    <row r="132" spans="3:35" s="39" customFormat="1" ht="32.25" customHeight="1">
      <c r="C132" s="313"/>
      <c r="D132" s="115" t="s">
        <v>64</v>
      </c>
      <c r="E132" s="115" t="s">
        <v>82</v>
      </c>
      <c r="F132" s="115" t="s">
        <v>83</v>
      </c>
      <c r="G132" s="115"/>
      <c r="H132" s="115" t="s">
        <v>64</v>
      </c>
      <c r="I132" s="115">
        <v>320</v>
      </c>
      <c r="J132" s="116">
        <v>2800000</v>
      </c>
      <c r="K132" s="116">
        <v>2800000</v>
      </c>
      <c r="L132" s="189">
        <v>2635360</v>
      </c>
      <c r="M132" s="189">
        <v>2635360</v>
      </c>
      <c r="N132" s="66">
        <f t="shared" si="19"/>
        <v>5435360</v>
      </c>
      <c r="O132" s="66">
        <f t="shared" si="20"/>
        <v>5435360</v>
      </c>
      <c r="P132" s="170" t="s">
        <v>174</v>
      </c>
      <c r="Q132" s="170">
        <v>2800000</v>
      </c>
      <c r="R132" s="170">
        <v>2800000</v>
      </c>
      <c r="S132" s="170">
        <v>2052960</v>
      </c>
      <c r="T132" s="170">
        <v>2052960</v>
      </c>
      <c r="U132" s="157">
        <f t="shared" si="21"/>
        <v>0</v>
      </c>
      <c r="V132" s="157">
        <f t="shared" si="22"/>
        <v>0</v>
      </c>
      <c r="W132" s="157">
        <f t="shared" si="23"/>
        <v>582400</v>
      </c>
      <c r="X132" s="157">
        <f t="shared" si="24"/>
        <v>582400</v>
      </c>
      <c r="Z132" s="218"/>
      <c r="AA132" s="253"/>
      <c r="AB132" s="288"/>
      <c r="AC132" s="289"/>
      <c r="AD132" s="289"/>
      <c r="AE132" s="291"/>
      <c r="AF132" s="189"/>
      <c r="AI132" s="240">
        <f t="shared" si="9"/>
        <v>5435360</v>
      </c>
    </row>
    <row r="133" spans="3:35" s="39" customFormat="1" ht="32.25" customHeight="1">
      <c r="C133" s="313"/>
      <c r="D133" s="63" t="s">
        <v>64</v>
      </c>
      <c r="E133" s="63" t="s">
        <v>81</v>
      </c>
      <c r="F133" s="63" t="s">
        <v>83</v>
      </c>
      <c r="G133" s="63"/>
      <c r="H133" s="63" t="s">
        <v>64</v>
      </c>
      <c r="I133" s="63">
        <v>275</v>
      </c>
      <c r="J133" s="65">
        <v>2500000</v>
      </c>
      <c r="K133" s="65">
        <v>2500000</v>
      </c>
      <c r="L133" s="189">
        <v>2264763</v>
      </c>
      <c r="M133" s="189">
        <v>2264763</v>
      </c>
      <c r="N133" s="66">
        <f t="shared" si="19"/>
        <v>4764763</v>
      </c>
      <c r="O133" s="66">
        <f t="shared" si="20"/>
        <v>4764763</v>
      </c>
      <c r="P133" s="170" t="s">
        <v>175</v>
      </c>
      <c r="Q133" s="170">
        <v>2500000</v>
      </c>
      <c r="R133" s="170">
        <v>2500000</v>
      </c>
      <c r="S133" s="170">
        <v>1764263</v>
      </c>
      <c r="T133" s="170">
        <v>1764263</v>
      </c>
      <c r="U133" s="157">
        <f t="shared" si="21"/>
        <v>0</v>
      </c>
      <c r="V133" s="157">
        <f t="shared" si="22"/>
        <v>0</v>
      </c>
      <c r="W133" s="157">
        <f t="shared" si="23"/>
        <v>500500</v>
      </c>
      <c r="X133" s="157">
        <f t="shared" si="24"/>
        <v>500500</v>
      </c>
      <c r="Z133" s="218"/>
      <c r="AA133" s="253"/>
      <c r="AB133" s="288"/>
      <c r="AC133" s="289"/>
      <c r="AD133" s="289"/>
      <c r="AE133" s="291"/>
      <c r="AF133" s="189"/>
      <c r="AI133" s="240">
        <f t="shared" si="9"/>
        <v>4764763</v>
      </c>
    </row>
    <row r="134" spans="3:35" s="39" customFormat="1" ht="32.25" customHeight="1">
      <c r="C134" s="313"/>
      <c r="D134" s="63" t="s">
        <v>64</v>
      </c>
      <c r="E134" s="63" t="s">
        <v>82</v>
      </c>
      <c r="F134" s="63" t="s">
        <v>81</v>
      </c>
      <c r="G134" s="63" t="s">
        <v>83</v>
      </c>
      <c r="H134" s="63" t="s">
        <v>64</v>
      </c>
      <c r="I134" s="63">
        <v>366</v>
      </c>
      <c r="J134" s="65">
        <v>2950000</v>
      </c>
      <c r="K134" s="65">
        <v>2950000</v>
      </c>
      <c r="L134" s="189">
        <v>3014193</v>
      </c>
      <c r="M134" s="189">
        <v>3014193</v>
      </c>
      <c r="N134" s="66">
        <f t="shared" si="19"/>
        <v>5964193</v>
      </c>
      <c r="O134" s="66">
        <f t="shared" si="20"/>
        <v>5964193</v>
      </c>
      <c r="P134" s="170" t="s">
        <v>176</v>
      </c>
      <c r="Q134" s="170">
        <v>2950000</v>
      </c>
      <c r="R134" s="170">
        <v>2950000</v>
      </c>
      <c r="S134" s="170">
        <v>2348073</v>
      </c>
      <c r="T134" s="170">
        <v>2348073</v>
      </c>
      <c r="U134" s="157">
        <f t="shared" si="21"/>
        <v>0</v>
      </c>
      <c r="V134" s="157">
        <f t="shared" si="22"/>
        <v>0</v>
      </c>
      <c r="W134" s="157">
        <f t="shared" si="23"/>
        <v>666120</v>
      </c>
      <c r="X134" s="157">
        <f t="shared" si="24"/>
        <v>666120</v>
      </c>
      <c r="Z134" s="218"/>
      <c r="AA134" s="253"/>
      <c r="AB134" s="288"/>
      <c r="AC134" s="289"/>
      <c r="AD134" s="289"/>
      <c r="AE134" s="291"/>
      <c r="AF134" s="189"/>
      <c r="AI134" s="240">
        <f t="shared" si="9"/>
        <v>5964193</v>
      </c>
    </row>
    <row r="135" spans="3:35" s="39" customFormat="1" ht="32.25" customHeight="1">
      <c r="C135" s="313"/>
      <c r="D135" s="63" t="s">
        <v>64</v>
      </c>
      <c r="E135" s="63" t="s">
        <v>84</v>
      </c>
      <c r="F135" s="63" t="s">
        <v>81</v>
      </c>
      <c r="G135" s="63"/>
      <c r="H135" s="63" t="s">
        <v>64</v>
      </c>
      <c r="I135" s="63">
        <v>276</v>
      </c>
      <c r="J135" s="65">
        <v>2550000</v>
      </c>
      <c r="K135" s="65">
        <v>2550000</v>
      </c>
      <c r="L135" s="189">
        <v>2272998</v>
      </c>
      <c r="M135" s="189">
        <v>2272998</v>
      </c>
      <c r="N135" s="66">
        <f t="shared" si="19"/>
        <v>4822998</v>
      </c>
      <c r="O135" s="66">
        <f t="shared" si="20"/>
        <v>4822998</v>
      </c>
      <c r="P135" s="170" t="s">
        <v>177</v>
      </c>
      <c r="Q135" s="170">
        <v>2550000</v>
      </c>
      <c r="R135" s="170">
        <v>2550000</v>
      </c>
      <c r="S135" s="170">
        <v>1770678</v>
      </c>
      <c r="T135" s="170">
        <v>1770678</v>
      </c>
      <c r="U135" s="157">
        <f t="shared" si="21"/>
        <v>0</v>
      </c>
      <c r="V135" s="157">
        <f t="shared" si="22"/>
        <v>0</v>
      </c>
      <c r="W135" s="157">
        <f t="shared" si="23"/>
        <v>502320</v>
      </c>
      <c r="X135" s="157">
        <f t="shared" si="24"/>
        <v>502320</v>
      </c>
      <c r="Z135" s="218"/>
      <c r="AA135" s="253"/>
      <c r="AB135" s="288"/>
      <c r="AC135" s="289"/>
      <c r="AD135" s="289"/>
      <c r="AE135" s="291"/>
      <c r="AF135" s="189"/>
      <c r="AI135" s="240">
        <f t="shared" si="9"/>
        <v>4822998</v>
      </c>
    </row>
    <row r="136" spans="3:35" s="39" customFormat="1" ht="32.25" customHeight="1">
      <c r="C136" s="313"/>
      <c r="D136" s="63" t="s">
        <v>64</v>
      </c>
      <c r="E136" s="63" t="s">
        <v>85</v>
      </c>
      <c r="F136" s="63" t="s">
        <v>81</v>
      </c>
      <c r="G136" s="63"/>
      <c r="H136" s="63" t="s">
        <v>64</v>
      </c>
      <c r="I136" s="63">
        <v>266</v>
      </c>
      <c r="J136" s="65">
        <v>2550000</v>
      </c>
      <c r="K136" s="65">
        <v>2550000</v>
      </c>
      <c r="L136" s="189">
        <v>2190643</v>
      </c>
      <c r="M136" s="189">
        <v>2190643</v>
      </c>
      <c r="N136" s="66">
        <f t="shared" si="19"/>
        <v>4740643</v>
      </c>
      <c r="O136" s="66">
        <f t="shared" si="20"/>
        <v>4740643</v>
      </c>
      <c r="P136" s="170" t="s">
        <v>178</v>
      </c>
      <c r="Q136" s="170">
        <v>2550000</v>
      </c>
      <c r="R136" s="170">
        <v>2550000</v>
      </c>
      <c r="S136" s="170">
        <v>1706523</v>
      </c>
      <c r="T136" s="170">
        <v>1706523</v>
      </c>
      <c r="U136" s="157">
        <f t="shared" si="21"/>
        <v>0</v>
      </c>
      <c r="V136" s="157">
        <f t="shared" si="22"/>
        <v>0</v>
      </c>
      <c r="W136" s="157">
        <f t="shared" si="23"/>
        <v>484120</v>
      </c>
      <c r="X136" s="157">
        <f t="shared" si="24"/>
        <v>484120</v>
      </c>
      <c r="Z136" s="218"/>
      <c r="AA136" s="253"/>
      <c r="AB136" s="288"/>
      <c r="AC136" s="289"/>
      <c r="AD136" s="289"/>
      <c r="AE136" s="291"/>
      <c r="AF136" s="189"/>
      <c r="AI136" s="240">
        <f t="shared" si="9"/>
        <v>4740643</v>
      </c>
    </row>
    <row r="137" spans="3:35" s="39" customFormat="1" ht="32.25" customHeight="1">
      <c r="C137" s="313"/>
      <c r="D137" s="79" t="s">
        <v>64</v>
      </c>
      <c r="E137" s="79" t="s">
        <v>85</v>
      </c>
      <c r="F137" s="79" t="s">
        <v>83</v>
      </c>
      <c r="G137" s="79"/>
      <c r="H137" s="79" t="s">
        <v>64</v>
      </c>
      <c r="I137" s="79">
        <v>268</v>
      </c>
      <c r="J137" s="80">
        <v>2550000</v>
      </c>
      <c r="K137" s="80">
        <v>2550000</v>
      </c>
      <c r="L137" s="189">
        <v>2207114</v>
      </c>
      <c r="M137" s="189">
        <v>2207114</v>
      </c>
      <c r="N137" s="66">
        <f t="shared" si="19"/>
        <v>4757114</v>
      </c>
      <c r="O137" s="66">
        <f t="shared" si="20"/>
        <v>4757114</v>
      </c>
      <c r="P137" s="170" t="s">
        <v>179</v>
      </c>
      <c r="Q137" s="170">
        <v>2550000</v>
      </c>
      <c r="R137" s="170">
        <v>2550000</v>
      </c>
      <c r="S137" s="170">
        <v>1719354</v>
      </c>
      <c r="T137" s="170">
        <v>1719354</v>
      </c>
      <c r="U137" s="157">
        <f t="shared" si="21"/>
        <v>0</v>
      </c>
      <c r="V137" s="157">
        <f t="shared" si="22"/>
        <v>0</v>
      </c>
      <c r="W137" s="157">
        <f t="shared" si="23"/>
        <v>487760</v>
      </c>
      <c r="X137" s="157">
        <f t="shared" si="24"/>
        <v>487760</v>
      </c>
      <c r="Z137" s="218"/>
      <c r="AA137" s="253"/>
      <c r="AB137" s="288"/>
      <c r="AC137" s="289"/>
      <c r="AD137" s="289"/>
      <c r="AE137" s="291"/>
      <c r="AF137" s="189"/>
      <c r="AI137" s="240">
        <f t="shared" si="9"/>
        <v>4757114</v>
      </c>
    </row>
    <row r="138" spans="3:35" s="39" customFormat="1" ht="32.25" customHeight="1">
      <c r="C138" s="313"/>
      <c r="D138" s="63" t="s">
        <v>64</v>
      </c>
      <c r="E138" s="63" t="s">
        <v>85</v>
      </c>
      <c r="F138" s="63" t="s">
        <v>81</v>
      </c>
      <c r="G138" s="63" t="s">
        <v>83</v>
      </c>
      <c r="H138" s="63" t="s">
        <v>64</v>
      </c>
      <c r="I138" s="63">
        <v>288</v>
      </c>
      <c r="J138" s="65">
        <v>2700000</v>
      </c>
      <c r="K138" s="65">
        <v>2700000</v>
      </c>
      <c r="L138" s="189">
        <v>2371824</v>
      </c>
      <c r="M138" s="189">
        <v>2371824</v>
      </c>
      <c r="N138" s="66">
        <f t="shared" si="19"/>
        <v>5071824</v>
      </c>
      <c r="O138" s="66">
        <f t="shared" si="20"/>
        <v>5071824</v>
      </c>
      <c r="P138" s="170" t="s">
        <v>180</v>
      </c>
      <c r="Q138" s="170">
        <v>2700000</v>
      </c>
      <c r="R138" s="170">
        <v>2700000</v>
      </c>
      <c r="S138" s="170">
        <v>1847664</v>
      </c>
      <c r="T138" s="170">
        <v>1847664</v>
      </c>
      <c r="U138" s="157">
        <f t="shared" si="21"/>
        <v>0</v>
      </c>
      <c r="V138" s="157">
        <f t="shared" si="22"/>
        <v>0</v>
      </c>
      <c r="W138" s="157">
        <f t="shared" si="23"/>
        <v>524160</v>
      </c>
      <c r="X138" s="157">
        <f t="shared" si="24"/>
        <v>524160</v>
      </c>
      <c r="Z138" s="218"/>
      <c r="AA138" s="253"/>
      <c r="AB138" s="288"/>
      <c r="AC138" s="289"/>
      <c r="AD138" s="289"/>
      <c r="AE138" s="291"/>
      <c r="AF138" s="189"/>
      <c r="AI138" s="240">
        <f t="shared" si="9"/>
        <v>5071824</v>
      </c>
    </row>
    <row r="139" spans="3:35" s="39" customFormat="1" ht="32.25" customHeight="1">
      <c r="C139" s="313"/>
      <c r="D139" s="115" t="s">
        <v>86</v>
      </c>
      <c r="E139" s="115" t="s">
        <v>82</v>
      </c>
      <c r="F139" s="115"/>
      <c r="G139" s="115"/>
      <c r="H139" s="115" t="s">
        <v>64</v>
      </c>
      <c r="I139" s="115">
        <v>287</v>
      </c>
      <c r="J139" s="116">
        <v>2400000</v>
      </c>
      <c r="K139" s="116">
        <v>2400000</v>
      </c>
      <c r="L139" s="189">
        <v>2363589</v>
      </c>
      <c r="M139" s="189">
        <v>2363589</v>
      </c>
      <c r="N139" s="66">
        <f t="shared" si="19"/>
        <v>4763589</v>
      </c>
      <c r="O139" s="66">
        <f t="shared" si="20"/>
        <v>4763589</v>
      </c>
      <c r="P139" s="170" t="s">
        <v>181</v>
      </c>
      <c r="Q139" s="170">
        <v>2400000</v>
      </c>
      <c r="R139" s="170">
        <v>2400000</v>
      </c>
      <c r="S139" s="170">
        <v>1841249</v>
      </c>
      <c r="T139" s="170">
        <v>1841249</v>
      </c>
      <c r="U139" s="157">
        <f t="shared" si="21"/>
        <v>0</v>
      </c>
      <c r="V139" s="157">
        <f t="shared" si="22"/>
        <v>0</v>
      </c>
      <c r="W139" s="157">
        <f t="shared" si="23"/>
        <v>522340</v>
      </c>
      <c r="X139" s="157">
        <f t="shared" si="24"/>
        <v>522340</v>
      </c>
      <c r="Z139" s="218"/>
      <c r="AA139" s="253"/>
      <c r="AB139" s="288"/>
      <c r="AC139" s="289"/>
      <c r="AD139" s="289"/>
      <c r="AE139" s="291"/>
      <c r="AF139" s="189"/>
      <c r="AH139" s="262" t="s">
        <v>428</v>
      </c>
      <c r="AI139" s="240">
        <f t="shared" si="9"/>
        <v>4763589</v>
      </c>
    </row>
    <row r="140" spans="3:35" s="39" customFormat="1" ht="32.25" customHeight="1">
      <c r="C140" s="313"/>
      <c r="D140" s="63" t="s">
        <v>86</v>
      </c>
      <c r="E140" s="63" t="s">
        <v>81</v>
      </c>
      <c r="F140" s="63"/>
      <c r="G140" s="63"/>
      <c r="H140" s="63" t="s">
        <v>64</v>
      </c>
      <c r="I140" s="63">
        <v>266</v>
      </c>
      <c r="J140" s="65">
        <v>2300000</v>
      </c>
      <c r="K140" s="65">
        <v>2300000</v>
      </c>
      <c r="L140" s="189">
        <v>2190643</v>
      </c>
      <c r="M140" s="189">
        <v>2190643</v>
      </c>
      <c r="N140" s="66">
        <f t="shared" si="19"/>
        <v>4490643</v>
      </c>
      <c r="O140" s="66">
        <f t="shared" si="20"/>
        <v>4490643</v>
      </c>
      <c r="P140" s="170" t="s">
        <v>182</v>
      </c>
      <c r="Q140" s="170">
        <v>2300000</v>
      </c>
      <c r="R140" s="170">
        <v>2300000</v>
      </c>
      <c r="S140" s="170">
        <v>1706523</v>
      </c>
      <c r="T140" s="170">
        <v>1706523</v>
      </c>
      <c r="U140" s="157">
        <f t="shared" si="21"/>
        <v>0</v>
      </c>
      <c r="V140" s="157">
        <f t="shared" si="22"/>
        <v>0</v>
      </c>
      <c r="W140" s="157">
        <f t="shared" si="23"/>
        <v>484120</v>
      </c>
      <c r="X140" s="157">
        <f t="shared" si="24"/>
        <v>484120</v>
      </c>
      <c r="Z140" s="218"/>
      <c r="AA140" s="253"/>
      <c r="AB140" s="288"/>
      <c r="AC140" s="289"/>
      <c r="AD140" s="289"/>
      <c r="AE140" s="291"/>
      <c r="AF140" s="189"/>
      <c r="AH140" s="263" t="s">
        <v>429</v>
      </c>
      <c r="AI140" s="240">
        <f t="shared" si="9"/>
        <v>4490643</v>
      </c>
    </row>
    <row r="141" spans="3:35" s="39" customFormat="1" ht="32.25" customHeight="1">
      <c r="C141" s="313"/>
      <c r="D141" s="63" t="s">
        <v>86</v>
      </c>
      <c r="E141" s="63" t="s">
        <v>83</v>
      </c>
      <c r="F141" s="63"/>
      <c r="G141" s="63"/>
      <c r="H141" s="63" t="s">
        <v>64</v>
      </c>
      <c r="I141" s="63">
        <v>255</v>
      </c>
      <c r="J141" s="65">
        <v>2300000</v>
      </c>
      <c r="K141" s="65">
        <v>2300000</v>
      </c>
      <c r="L141" s="189">
        <v>2100053</v>
      </c>
      <c r="M141" s="189">
        <v>2100053</v>
      </c>
      <c r="N141" s="66">
        <f t="shared" si="19"/>
        <v>4400053</v>
      </c>
      <c r="O141" s="66">
        <f t="shared" si="20"/>
        <v>4400053</v>
      </c>
      <c r="P141" s="170" t="s">
        <v>183</v>
      </c>
      <c r="Q141" s="170">
        <v>2300000</v>
      </c>
      <c r="R141" s="170">
        <v>2300000</v>
      </c>
      <c r="S141" s="170">
        <v>1635953</v>
      </c>
      <c r="T141" s="170">
        <v>1635953</v>
      </c>
      <c r="U141" s="157">
        <f t="shared" si="21"/>
        <v>0</v>
      </c>
      <c r="V141" s="157">
        <f t="shared" si="22"/>
        <v>0</v>
      </c>
      <c r="W141" s="157">
        <f t="shared" si="23"/>
        <v>464100</v>
      </c>
      <c r="X141" s="157">
        <f t="shared" si="24"/>
        <v>464100</v>
      </c>
      <c r="Z141" s="218"/>
      <c r="AA141" s="253"/>
      <c r="AB141" s="288"/>
      <c r="AC141" s="289"/>
      <c r="AD141" s="289"/>
      <c r="AE141" s="291"/>
      <c r="AF141" s="189"/>
      <c r="AH141" s="265" t="s">
        <v>430</v>
      </c>
      <c r="AI141" s="240">
        <f t="shared" si="9"/>
        <v>4400053</v>
      </c>
    </row>
    <row r="142" spans="3:35" s="39" customFormat="1" ht="32.25" customHeight="1">
      <c r="C142" s="313"/>
      <c r="D142" s="79" t="s">
        <v>86</v>
      </c>
      <c r="E142" s="79" t="s">
        <v>82</v>
      </c>
      <c r="F142" s="79" t="s">
        <v>81</v>
      </c>
      <c r="G142" s="79"/>
      <c r="H142" s="79" t="s">
        <v>64</v>
      </c>
      <c r="I142" s="79">
        <v>312</v>
      </c>
      <c r="J142" s="80">
        <v>2800000</v>
      </c>
      <c r="K142" s="80">
        <v>2800000</v>
      </c>
      <c r="L142" s="189">
        <v>2569476</v>
      </c>
      <c r="M142" s="189">
        <v>2569476</v>
      </c>
      <c r="N142" s="66">
        <f t="shared" si="19"/>
        <v>5369476</v>
      </c>
      <c r="O142" s="66">
        <f t="shared" si="20"/>
        <v>5369476</v>
      </c>
      <c r="P142" s="170" t="s">
        <v>184</v>
      </c>
      <c r="Q142" s="170">
        <v>2800000</v>
      </c>
      <c r="R142" s="170">
        <v>2800000</v>
      </c>
      <c r="S142" s="170">
        <v>2001636</v>
      </c>
      <c r="T142" s="170">
        <v>2001636</v>
      </c>
      <c r="U142" s="157">
        <f t="shared" si="21"/>
        <v>0</v>
      </c>
      <c r="V142" s="157">
        <f t="shared" si="22"/>
        <v>0</v>
      </c>
      <c r="W142" s="157">
        <f t="shared" si="23"/>
        <v>567840</v>
      </c>
      <c r="X142" s="157">
        <f t="shared" si="24"/>
        <v>567840</v>
      </c>
      <c r="Z142" s="218"/>
      <c r="AA142" s="253"/>
      <c r="AB142" s="288"/>
      <c r="AC142" s="289"/>
      <c r="AD142" s="289"/>
      <c r="AE142" s="291"/>
      <c r="AF142" s="189"/>
      <c r="AI142" s="240">
        <f t="shared" si="9"/>
        <v>5369476</v>
      </c>
    </row>
    <row r="143" spans="3:35" s="39" customFormat="1" ht="32.25" customHeight="1">
      <c r="C143" s="313"/>
      <c r="D143" s="79" t="s">
        <v>86</v>
      </c>
      <c r="E143" s="79" t="s">
        <v>82</v>
      </c>
      <c r="F143" s="79" t="s">
        <v>83</v>
      </c>
      <c r="G143" s="79"/>
      <c r="H143" s="79" t="s">
        <v>64</v>
      </c>
      <c r="I143" s="79">
        <v>320</v>
      </c>
      <c r="J143" s="80">
        <v>2800000</v>
      </c>
      <c r="K143" s="80">
        <v>2800000</v>
      </c>
      <c r="L143" s="189">
        <v>2635360</v>
      </c>
      <c r="M143" s="189">
        <v>2635360</v>
      </c>
      <c r="N143" s="66">
        <f t="shared" si="19"/>
        <v>5435360</v>
      </c>
      <c r="O143" s="66">
        <f t="shared" si="20"/>
        <v>5435360</v>
      </c>
      <c r="P143" s="170" t="s">
        <v>185</v>
      </c>
      <c r="Q143" s="170">
        <v>2800000</v>
      </c>
      <c r="R143" s="170">
        <v>2800000</v>
      </c>
      <c r="S143" s="170">
        <v>2052960</v>
      </c>
      <c r="T143" s="170">
        <v>2052960</v>
      </c>
      <c r="U143" s="157">
        <f t="shared" si="21"/>
        <v>0</v>
      </c>
      <c r="V143" s="157">
        <f t="shared" si="22"/>
        <v>0</v>
      </c>
      <c r="W143" s="157">
        <f t="shared" si="23"/>
        <v>582400</v>
      </c>
      <c r="X143" s="157">
        <f t="shared" si="24"/>
        <v>582400</v>
      </c>
      <c r="Z143" s="218"/>
      <c r="AA143" s="253"/>
      <c r="AB143" s="288"/>
      <c r="AC143" s="289"/>
      <c r="AD143" s="289"/>
      <c r="AE143" s="291"/>
      <c r="AF143" s="189"/>
      <c r="AI143" s="240">
        <f t="shared" si="9"/>
        <v>5435360</v>
      </c>
    </row>
    <row r="144" spans="3:35" s="39" customFormat="1" ht="32.25" customHeight="1">
      <c r="C144" s="313"/>
      <c r="D144" s="79" t="s">
        <v>86</v>
      </c>
      <c r="E144" s="79" t="s">
        <v>81</v>
      </c>
      <c r="F144" s="79" t="s">
        <v>83</v>
      </c>
      <c r="G144" s="79"/>
      <c r="H144" s="79" t="s">
        <v>64</v>
      </c>
      <c r="I144" s="79">
        <v>275</v>
      </c>
      <c r="J144" s="80">
        <v>2500000</v>
      </c>
      <c r="K144" s="80">
        <v>2500000</v>
      </c>
      <c r="L144" s="189">
        <v>2264763</v>
      </c>
      <c r="M144" s="189">
        <v>2264763</v>
      </c>
      <c r="N144" s="66">
        <f t="shared" si="19"/>
        <v>4764763</v>
      </c>
      <c r="O144" s="66">
        <f t="shared" si="20"/>
        <v>4764763</v>
      </c>
      <c r="P144" s="170" t="s">
        <v>186</v>
      </c>
      <c r="Q144" s="170">
        <v>2500000</v>
      </c>
      <c r="R144" s="170">
        <v>2500000</v>
      </c>
      <c r="S144" s="170">
        <v>1764263</v>
      </c>
      <c r="T144" s="170">
        <v>1764263</v>
      </c>
      <c r="U144" s="157">
        <f t="shared" si="21"/>
        <v>0</v>
      </c>
      <c r="V144" s="157">
        <f t="shared" si="22"/>
        <v>0</v>
      </c>
      <c r="W144" s="157">
        <f t="shared" si="23"/>
        <v>500500</v>
      </c>
      <c r="X144" s="157">
        <f t="shared" si="24"/>
        <v>500500</v>
      </c>
      <c r="Z144" s="218"/>
      <c r="AA144" s="253"/>
      <c r="AB144" s="288"/>
      <c r="AC144" s="289"/>
      <c r="AD144" s="289"/>
      <c r="AE144" s="291"/>
      <c r="AF144" s="189"/>
      <c r="AI144" s="240">
        <f t="shared" si="9"/>
        <v>4764763</v>
      </c>
    </row>
    <row r="145" spans="3:40" s="39" customFormat="1" ht="32.25" customHeight="1">
      <c r="C145" s="313"/>
      <c r="D145" s="79" t="s">
        <v>86</v>
      </c>
      <c r="E145" s="79" t="s">
        <v>82</v>
      </c>
      <c r="F145" s="79" t="s">
        <v>81</v>
      </c>
      <c r="G145" s="79" t="s">
        <v>83</v>
      </c>
      <c r="H145" s="79" t="s">
        <v>64</v>
      </c>
      <c r="I145" s="79">
        <v>366</v>
      </c>
      <c r="J145" s="80">
        <v>2950000</v>
      </c>
      <c r="K145" s="80">
        <v>2950000</v>
      </c>
      <c r="L145" s="189">
        <v>3014193</v>
      </c>
      <c r="M145" s="189">
        <v>3014193</v>
      </c>
      <c r="N145" s="66">
        <f t="shared" si="19"/>
        <v>5964193</v>
      </c>
      <c r="O145" s="66">
        <f t="shared" si="20"/>
        <v>5964193</v>
      </c>
      <c r="P145" s="170" t="s">
        <v>187</v>
      </c>
      <c r="Q145" s="170">
        <v>2950000</v>
      </c>
      <c r="R145" s="170">
        <v>2950000</v>
      </c>
      <c r="S145" s="170">
        <v>2348073</v>
      </c>
      <c r="T145" s="170">
        <v>2348073</v>
      </c>
      <c r="U145" s="157">
        <f t="shared" si="21"/>
        <v>0</v>
      </c>
      <c r="V145" s="157">
        <f t="shared" si="22"/>
        <v>0</v>
      </c>
      <c r="W145" s="157">
        <f t="shared" si="23"/>
        <v>666120</v>
      </c>
      <c r="X145" s="157">
        <f t="shared" si="24"/>
        <v>666120</v>
      </c>
      <c r="Z145" s="218"/>
      <c r="AA145" s="253"/>
      <c r="AB145" s="288"/>
      <c r="AC145" s="289"/>
      <c r="AD145" s="289"/>
      <c r="AE145" s="291"/>
      <c r="AF145" s="189"/>
      <c r="AI145" s="240">
        <f t="shared" ref="AI145:AI208" si="25">O145</f>
        <v>5964193</v>
      </c>
    </row>
    <row r="146" spans="3:40" s="39" customFormat="1" ht="32.25" customHeight="1">
      <c r="C146" s="313"/>
      <c r="D146" s="79" t="s">
        <v>161</v>
      </c>
      <c r="E146" s="79" t="s">
        <v>82</v>
      </c>
      <c r="F146" s="79"/>
      <c r="G146" s="79"/>
      <c r="H146" s="79" t="s">
        <v>64</v>
      </c>
      <c r="I146" s="79">
        <v>287</v>
      </c>
      <c r="J146" s="80">
        <v>2400000</v>
      </c>
      <c r="K146" s="80">
        <v>2400000</v>
      </c>
      <c r="L146" s="189">
        <v>2363589</v>
      </c>
      <c r="M146" s="189">
        <v>2363589</v>
      </c>
      <c r="N146" s="66">
        <f t="shared" si="19"/>
        <v>4763589</v>
      </c>
      <c r="O146" s="66">
        <f t="shared" si="20"/>
        <v>4763589</v>
      </c>
      <c r="P146" s="170" t="s">
        <v>188</v>
      </c>
      <c r="Q146" s="170">
        <v>2400000</v>
      </c>
      <c r="R146" s="170">
        <v>2400000</v>
      </c>
      <c r="S146" s="170">
        <v>1841249</v>
      </c>
      <c r="T146" s="170">
        <v>1841249</v>
      </c>
      <c r="U146" s="157">
        <f t="shared" si="21"/>
        <v>0</v>
      </c>
      <c r="V146" s="157">
        <f t="shared" si="22"/>
        <v>0</v>
      </c>
      <c r="W146" s="157">
        <f t="shared" si="23"/>
        <v>522340</v>
      </c>
      <c r="X146" s="157">
        <f t="shared" si="24"/>
        <v>522340</v>
      </c>
      <c r="Z146" s="218"/>
      <c r="AA146" s="253"/>
      <c r="AB146" s="288"/>
      <c r="AC146" s="289"/>
      <c r="AD146" s="289"/>
      <c r="AE146" s="291"/>
      <c r="AF146" s="189"/>
      <c r="AI146" s="240">
        <f t="shared" si="25"/>
        <v>4763589</v>
      </c>
    </row>
    <row r="147" spans="3:40" s="39" customFormat="1" ht="32.25" customHeight="1">
      <c r="C147" s="313"/>
      <c r="D147" s="79" t="s">
        <v>161</v>
      </c>
      <c r="E147" s="79" t="s">
        <v>81</v>
      </c>
      <c r="F147" s="79"/>
      <c r="G147" s="79"/>
      <c r="H147" s="79" t="s">
        <v>64</v>
      </c>
      <c r="I147" s="79">
        <v>266</v>
      </c>
      <c r="J147" s="80">
        <v>2300000</v>
      </c>
      <c r="K147" s="80">
        <v>2300000</v>
      </c>
      <c r="L147" s="189">
        <v>2190643</v>
      </c>
      <c r="M147" s="189">
        <v>2190643</v>
      </c>
      <c r="N147" s="66">
        <f t="shared" si="19"/>
        <v>4490643</v>
      </c>
      <c r="O147" s="66">
        <f t="shared" si="20"/>
        <v>4490643</v>
      </c>
      <c r="P147" s="170" t="s">
        <v>189</v>
      </c>
      <c r="Q147" s="170">
        <v>2300000</v>
      </c>
      <c r="R147" s="170">
        <v>2300000</v>
      </c>
      <c r="S147" s="170">
        <v>1706523</v>
      </c>
      <c r="T147" s="170">
        <v>1706523</v>
      </c>
      <c r="U147" s="157">
        <f t="shared" si="21"/>
        <v>0</v>
      </c>
      <c r="V147" s="157">
        <f t="shared" si="22"/>
        <v>0</v>
      </c>
      <c r="W147" s="157">
        <f t="shared" si="23"/>
        <v>484120</v>
      </c>
      <c r="X147" s="157">
        <f t="shared" si="24"/>
        <v>484120</v>
      </c>
      <c r="Z147" s="218"/>
      <c r="AA147" s="253"/>
      <c r="AB147" s="288"/>
      <c r="AC147" s="289"/>
      <c r="AD147" s="289"/>
      <c r="AE147" s="291"/>
      <c r="AF147" s="189"/>
      <c r="AI147" s="240">
        <f t="shared" si="25"/>
        <v>4490643</v>
      </c>
    </row>
    <row r="148" spans="3:40" s="39" customFormat="1" ht="32.25" customHeight="1">
      <c r="C148" s="313"/>
      <c r="D148" s="79" t="s">
        <v>161</v>
      </c>
      <c r="E148" s="79" t="s">
        <v>83</v>
      </c>
      <c r="F148" s="79"/>
      <c r="G148" s="79"/>
      <c r="H148" s="79" t="s">
        <v>64</v>
      </c>
      <c r="I148" s="79">
        <v>255</v>
      </c>
      <c r="J148" s="80">
        <v>2300000</v>
      </c>
      <c r="K148" s="80">
        <v>2300000</v>
      </c>
      <c r="L148" s="189">
        <v>2100053</v>
      </c>
      <c r="M148" s="189">
        <v>2100053</v>
      </c>
      <c r="N148" s="66">
        <f t="shared" si="19"/>
        <v>4400053</v>
      </c>
      <c r="O148" s="66">
        <f t="shared" si="20"/>
        <v>4400053</v>
      </c>
      <c r="P148" s="170" t="s">
        <v>190</v>
      </c>
      <c r="Q148" s="170">
        <v>2300000</v>
      </c>
      <c r="R148" s="170">
        <v>2300000</v>
      </c>
      <c r="S148" s="170">
        <v>1635953</v>
      </c>
      <c r="T148" s="170">
        <v>1635953</v>
      </c>
      <c r="U148" s="157">
        <f t="shared" si="21"/>
        <v>0</v>
      </c>
      <c r="V148" s="157">
        <f t="shared" si="22"/>
        <v>0</v>
      </c>
      <c r="W148" s="157">
        <f t="shared" si="23"/>
        <v>464100</v>
      </c>
      <c r="X148" s="157">
        <f t="shared" si="24"/>
        <v>464100</v>
      </c>
      <c r="Z148" s="218"/>
      <c r="AA148" s="253"/>
      <c r="AB148" s="288"/>
      <c r="AC148" s="289"/>
      <c r="AD148" s="289"/>
      <c r="AE148" s="291"/>
      <c r="AF148" s="189"/>
      <c r="AH148" s="266" t="s">
        <v>431</v>
      </c>
      <c r="AI148" s="240">
        <f t="shared" si="25"/>
        <v>4400053</v>
      </c>
    </row>
    <row r="149" spans="3:40" s="39" customFormat="1" ht="32.25" customHeight="1">
      <c r="C149" s="313"/>
      <c r="D149" s="79" t="s">
        <v>161</v>
      </c>
      <c r="E149" s="79" t="s">
        <v>82</v>
      </c>
      <c r="F149" s="79" t="s">
        <v>81</v>
      </c>
      <c r="G149" s="79"/>
      <c r="H149" s="79" t="s">
        <v>64</v>
      </c>
      <c r="I149" s="79">
        <v>312</v>
      </c>
      <c r="J149" s="80">
        <v>2800000</v>
      </c>
      <c r="K149" s="80">
        <v>2800000</v>
      </c>
      <c r="L149" s="189">
        <v>2569476</v>
      </c>
      <c r="M149" s="189">
        <v>2569476</v>
      </c>
      <c r="N149" s="66">
        <f t="shared" si="19"/>
        <v>5369476</v>
      </c>
      <c r="O149" s="66">
        <f t="shared" si="20"/>
        <v>5369476</v>
      </c>
      <c r="P149" s="170" t="s">
        <v>191</v>
      </c>
      <c r="Q149" s="170">
        <v>2800000</v>
      </c>
      <c r="R149" s="170">
        <v>2800000</v>
      </c>
      <c r="S149" s="170">
        <v>2001636</v>
      </c>
      <c r="T149" s="170">
        <v>2001636</v>
      </c>
      <c r="U149" s="157">
        <f t="shared" si="21"/>
        <v>0</v>
      </c>
      <c r="V149" s="157">
        <f t="shared" si="22"/>
        <v>0</v>
      </c>
      <c r="W149" s="157">
        <f t="shared" si="23"/>
        <v>567840</v>
      </c>
      <c r="X149" s="157">
        <f t="shared" si="24"/>
        <v>567840</v>
      </c>
      <c r="Z149" s="218"/>
      <c r="AA149" s="253"/>
      <c r="AB149" s="288"/>
      <c r="AC149" s="289"/>
      <c r="AD149" s="289"/>
      <c r="AE149" s="291"/>
      <c r="AF149" s="189"/>
      <c r="AI149" s="240">
        <f t="shared" si="25"/>
        <v>5369476</v>
      </c>
    </row>
    <row r="150" spans="3:40" s="39" customFormat="1" ht="32.25" customHeight="1">
      <c r="C150" s="313"/>
      <c r="D150" s="79" t="s">
        <v>161</v>
      </c>
      <c r="E150" s="79" t="s">
        <v>82</v>
      </c>
      <c r="F150" s="79" t="s">
        <v>83</v>
      </c>
      <c r="G150" s="79"/>
      <c r="H150" s="79" t="s">
        <v>64</v>
      </c>
      <c r="I150" s="79">
        <v>320</v>
      </c>
      <c r="J150" s="80">
        <v>2800000</v>
      </c>
      <c r="K150" s="80">
        <v>2800000</v>
      </c>
      <c r="L150" s="189">
        <v>2635360</v>
      </c>
      <c r="M150" s="189">
        <v>2635360</v>
      </c>
      <c r="N150" s="66">
        <f t="shared" si="19"/>
        <v>5435360</v>
      </c>
      <c r="O150" s="66">
        <f t="shared" si="20"/>
        <v>5435360</v>
      </c>
      <c r="P150" s="170" t="s">
        <v>192</v>
      </c>
      <c r="Q150" s="170">
        <v>2800000</v>
      </c>
      <c r="R150" s="170">
        <v>2800000</v>
      </c>
      <c r="S150" s="170">
        <v>2052960</v>
      </c>
      <c r="T150" s="170">
        <v>2052960</v>
      </c>
      <c r="U150" s="157">
        <f t="shared" si="21"/>
        <v>0</v>
      </c>
      <c r="V150" s="157">
        <f t="shared" si="22"/>
        <v>0</v>
      </c>
      <c r="W150" s="157">
        <f t="shared" si="23"/>
        <v>582400</v>
      </c>
      <c r="X150" s="157">
        <f t="shared" si="24"/>
        <v>582400</v>
      </c>
      <c r="Z150" s="218"/>
      <c r="AA150" s="253"/>
      <c r="AB150" s="288"/>
      <c r="AC150" s="289"/>
      <c r="AD150" s="289"/>
      <c r="AE150" s="291"/>
      <c r="AF150" s="189"/>
      <c r="AI150" s="240">
        <f t="shared" si="25"/>
        <v>5435360</v>
      </c>
    </row>
    <row r="151" spans="3:40" s="39" customFormat="1" ht="32.25" customHeight="1">
      <c r="C151" s="313"/>
      <c r="D151" s="79" t="s">
        <v>161</v>
      </c>
      <c r="E151" s="79" t="s">
        <v>81</v>
      </c>
      <c r="F151" s="79" t="s">
        <v>83</v>
      </c>
      <c r="G151" s="79"/>
      <c r="H151" s="79" t="s">
        <v>64</v>
      </c>
      <c r="I151" s="79">
        <v>275</v>
      </c>
      <c r="J151" s="80">
        <v>2500000</v>
      </c>
      <c r="K151" s="80">
        <v>2500000</v>
      </c>
      <c r="L151" s="189">
        <v>2264763</v>
      </c>
      <c r="M151" s="189">
        <v>2264763</v>
      </c>
      <c r="N151" s="66">
        <f t="shared" si="19"/>
        <v>4764763</v>
      </c>
      <c r="O151" s="66">
        <f t="shared" si="20"/>
        <v>4764763</v>
      </c>
      <c r="P151" s="170" t="s">
        <v>193</v>
      </c>
      <c r="Q151" s="170">
        <v>2500000</v>
      </c>
      <c r="R151" s="170">
        <v>2500000</v>
      </c>
      <c r="S151" s="170">
        <v>1764263</v>
      </c>
      <c r="T151" s="170">
        <v>1764263</v>
      </c>
      <c r="U151" s="157">
        <f t="shared" si="21"/>
        <v>0</v>
      </c>
      <c r="V151" s="157">
        <f t="shared" si="22"/>
        <v>0</v>
      </c>
      <c r="W151" s="157">
        <f t="shared" si="23"/>
        <v>500500</v>
      </c>
      <c r="X151" s="157">
        <f t="shared" si="24"/>
        <v>500500</v>
      </c>
      <c r="Z151" s="218"/>
      <c r="AA151" s="253"/>
      <c r="AB151" s="288"/>
      <c r="AC151" s="289"/>
      <c r="AD151" s="289"/>
      <c r="AE151" s="291"/>
      <c r="AF151" s="189"/>
      <c r="AI151" s="240">
        <f t="shared" si="25"/>
        <v>4764763</v>
      </c>
    </row>
    <row r="152" spans="3:40" s="39" customFormat="1" ht="32.25" customHeight="1">
      <c r="C152" s="313"/>
      <c r="D152" s="79" t="s">
        <v>161</v>
      </c>
      <c r="E152" s="79" t="s">
        <v>82</v>
      </c>
      <c r="F152" s="79" t="s">
        <v>81</v>
      </c>
      <c r="G152" s="79" t="s">
        <v>83</v>
      </c>
      <c r="H152" s="79" t="s">
        <v>64</v>
      </c>
      <c r="I152" s="79">
        <v>366</v>
      </c>
      <c r="J152" s="80">
        <v>2950000</v>
      </c>
      <c r="K152" s="80">
        <v>2950000</v>
      </c>
      <c r="L152" s="189">
        <v>3014193</v>
      </c>
      <c r="M152" s="189">
        <v>3014193</v>
      </c>
      <c r="N152" s="66">
        <f t="shared" si="19"/>
        <v>5964193</v>
      </c>
      <c r="O152" s="66">
        <f t="shared" si="20"/>
        <v>5964193</v>
      </c>
      <c r="P152" s="170" t="s">
        <v>194</v>
      </c>
      <c r="Q152" s="170">
        <v>2950000</v>
      </c>
      <c r="R152" s="170">
        <v>2950000</v>
      </c>
      <c r="S152" s="170">
        <v>2348073</v>
      </c>
      <c r="T152" s="170">
        <v>2348073</v>
      </c>
      <c r="U152" s="157">
        <f t="shared" si="21"/>
        <v>0</v>
      </c>
      <c r="V152" s="157">
        <f t="shared" si="22"/>
        <v>0</v>
      </c>
      <c r="W152" s="157">
        <f t="shared" si="23"/>
        <v>666120</v>
      </c>
      <c r="X152" s="157">
        <f t="shared" si="24"/>
        <v>666120</v>
      </c>
      <c r="Z152" s="218"/>
      <c r="AA152" s="253"/>
      <c r="AB152" s="288"/>
      <c r="AC152" s="289"/>
      <c r="AD152" s="289"/>
      <c r="AE152" s="291"/>
      <c r="AF152" s="189"/>
      <c r="AI152" s="240">
        <f t="shared" si="25"/>
        <v>5964193</v>
      </c>
    </row>
    <row r="153" spans="3:40" s="39" customFormat="1" ht="32.25" customHeight="1">
      <c r="C153" s="313"/>
      <c r="D153" s="115" t="s">
        <v>162</v>
      </c>
      <c r="E153" s="115" t="s">
        <v>82</v>
      </c>
      <c r="F153" s="115"/>
      <c r="G153" s="115"/>
      <c r="H153" s="115" t="s">
        <v>64</v>
      </c>
      <c r="I153" s="115">
        <v>287</v>
      </c>
      <c r="J153" s="116">
        <v>2400000</v>
      </c>
      <c r="K153" s="116">
        <v>2400000</v>
      </c>
      <c r="L153" s="189">
        <v>2363589</v>
      </c>
      <c r="M153" s="189">
        <v>2363589</v>
      </c>
      <c r="N153" s="66">
        <f t="shared" si="19"/>
        <v>4763589</v>
      </c>
      <c r="O153" s="66">
        <f t="shared" si="20"/>
        <v>4763589</v>
      </c>
      <c r="P153" s="170" t="s">
        <v>195</v>
      </c>
      <c r="Q153" s="170">
        <v>2400000</v>
      </c>
      <c r="R153" s="170">
        <v>2400000</v>
      </c>
      <c r="S153" s="170">
        <v>1841249</v>
      </c>
      <c r="T153" s="170">
        <v>1841249</v>
      </c>
      <c r="U153" s="157">
        <f t="shared" si="21"/>
        <v>0</v>
      </c>
      <c r="V153" s="157">
        <f t="shared" si="22"/>
        <v>0</v>
      </c>
      <c r="W153" s="157">
        <f t="shared" si="23"/>
        <v>522340</v>
      </c>
      <c r="X153" s="157">
        <f t="shared" si="24"/>
        <v>522340</v>
      </c>
      <c r="Z153" s="218"/>
      <c r="AA153" s="253"/>
      <c r="AB153" s="288"/>
      <c r="AC153" s="289"/>
      <c r="AD153" s="289"/>
      <c r="AE153" s="291"/>
      <c r="AF153" s="189"/>
      <c r="AI153" s="240">
        <f t="shared" si="25"/>
        <v>4763589</v>
      </c>
    </row>
    <row r="154" spans="3:40" s="39" customFormat="1" ht="32.25" customHeight="1">
      <c r="C154" s="313"/>
      <c r="D154" s="115" t="s">
        <v>162</v>
      </c>
      <c r="E154" s="115" t="s">
        <v>81</v>
      </c>
      <c r="F154" s="115"/>
      <c r="G154" s="115"/>
      <c r="H154" s="115" t="s">
        <v>64</v>
      </c>
      <c r="I154" s="115">
        <v>266</v>
      </c>
      <c r="J154" s="116">
        <v>2300000</v>
      </c>
      <c r="K154" s="116">
        <v>2300000</v>
      </c>
      <c r="L154" s="189">
        <v>2190643</v>
      </c>
      <c r="M154" s="189">
        <v>2190643</v>
      </c>
      <c r="N154" s="66">
        <f t="shared" si="19"/>
        <v>4490643</v>
      </c>
      <c r="O154" s="66">
        <f t="shared" si="20"/>
        <v>4490643</v>
      </c>
      <c r="P154" s="170" t="s">
        <v>196</v>
      </c>
      <c r="Q154" s="170">
        <v>2300000</v>
      </c>
      <c r="R154" s="170">
        <v>2300000</v>
      </c>
      <c r="S154" s="170">
        <v>1706523</v>
      </c>
      <c r="T154" s="170">
        <v>1706523</v>
      </c>
      <c r="U154" s="157">
        <f t="shared" si="21"/>
        <v>0</v>
      </c>
      <c r="V154" s="157">
        <f t="shared" si="22"/>
        <v>0</v>
      </c>
      <c r="W154" s="157">
        <f t="shared" si="23"/>
        <v>484120</v>
      </c>
      <c r="X154" s="157">
        <f t="shared" si="24"/>
        <v>484120</v>
      </c>
      <c r="Z154" s="218"/>
      <c r="AA154" s="253"/>
      <c r="AB154" s="288"/>
      <c r="AC154" s="289"/>
      <c r="AD154" s="289"/>
      <c r="AE154" s="291"/>
      <c r="AF154" s="189"/>
      <c r="AI154" s="240">
        <f t="shared" si="25"/>
        <v>4490643</v>
      </c>
    </row>
    <row r="155" spans="3:40" s="39" customFormat="1" ht="32.25" customHeight="1">
      <c r="C155" s="313"/>
      <c r="D155" s="115" t="s">
        <v>162</v>
      </c>
      <c r="E155" s="115" t="s">
        <v>83</v>
      </c>
      <c r="F155" s="115"/>
      <c r="G155" s="115"/>
      <c r="H155" s="115" t="s">
        <v>64</v>
      </c>
      <c r="I155" s="115">
        <v>255</v>
      </c>
      <c r="J155" s="116">
        <v>2300000</v>
      </c>
      <c r="K155" s="116">
        <v>2300000</v>
      </c>
      <c r="L155" s="189">
        <v>2100053</v>
      </c>
      <c r="M155" s="189">
        <v>2100053</v>
      </c>
      <c r="N155" s="66">
        <f t="shared" si="19"/>
        <v>4400053</v>
      </c>
      <c r="O155" s="66">
        <f t="shared" si="20"/>
        <v>4400053</v>
      </c>
      <c r="P155" s="170" t="s">
        <v>197</v>
      </c>
      <c r="Q155" s="170">
        <v>2300000</v>
      </c>
      <c r="R155" s="170">
        <v>2300000</v>
      </c>
      <c r="S155" s="170">
        <v>1635953</v>
      </c>
      <c r="T155" s="170">
        <v>1635953</v>
      </c>
      <c r="U155" s="157">
        <f t="shared" si="21"/>
        <v>0</v>
      </c>
      <c r="V155" s="157">
        <f t="shared" si="22"/>
        <v>0</v>
      </c>
      <c r="W155" s="157">
        <f t="shared" si="23"/>
        <v>464100</v>
      </c>
      <c r="X155" s="157">
        <f t="shared" si="24"/>
        <v>464100</v>
      </c>
      <c r="Z155" s="218"/>
      <c r="AA155" s="253"/>
      <c r="AB155" s="288"/>
      <c r="AC155" s="289"/>
      <c r="AD155" s="289"/>
      <c r="AE155" s="291"/>
      <c r="AF155" s="189"/>
      <c r="AI155" s="240">
        <f t="shared" si="25"/>
        <v>4400053</v>
      </c>
    </row>
    <row r="156" spans="3:40" s="39" customFormat="1" ht="32.25" customHeight="1">
      <c r="C156" s="313"/>
      <c r="D156" s="115" t="s">
        <v>162</v>
      </c>
      <c r="E156" s="115" t="s">
        <v>82</v>
      </c>
      <c r="F156" s="115" t="s">
        <v>81</v>
      </c>
      <c r="G156" s="115"/>
      <c r="H156" s="115" t="s">
        <v>64</v>
      </c>
      <c r="I156" s="115">
        <v>312</v>
      </c>
      <c r="J156" s="116">
        <v>2800000</v>
      </c>
      <c r="K156" s="116">
        <v>2800000</v>
      </c>
      <c r="L156" s="189">
        <v>2569476</v>
      </c>
      <c r="M156" s="189">
        <v>2569476</v>
      </c>
      <c r="N156" s="66">
        <f t="shared" si="19"/>
        <v>5369476</v>
      </c>
      <c r="O156" s="66">
        <f t="shared" si="20"/>
        <v>5369476</v>
      </c>
      <c r="P156" s="170" t="s">
        <v>198</v>
      </c>
      <c r="Q156" s="170">
        <v>2800000</v>
      </c>
      <c r="R156" s="170">
        <v>2800000</v>
      </c>
      <c r="S156" s="170">
        <v>2001636</v>
      </c>
      <c r="T156" s="170">
        <v>2001636</v>
      </c>
      <c r="U156" s="157">
        <f t="shared" si="21"/>
        <v>0</v>
      </c>
      <c r="V156" s="157">
        <f t="shared" si="22"/>
        <v>0</v>
      </c>
      <c r="W156" s="157">
        <f t="shared" si="23"/>
        <v>567840</v>
      </c>
      <c r="X156" s="157">
        <f t="shared" si="24"/>
        <v>567840</v>
      </c>
      <c r="Z156" s="218"/>
      <c r="AA156" s="253"/>
      <c r="AB156" s="288"/>
      <c r="AC156" s="289"/>
      <c r="AD156" s="289"/>
      <c r="AE156" s="291"/>
      <c r="AF156" s="189"/>
      <c r="AI156" s="240">
        <f t="shared" si="25"/>
        <v>5369476</v>
      </c>
    </row>
    <row r="157" spans="3:40" s="39" customFormat="1" ht="32.25" customHeight="1">
      <c r="C157" s="313"/>
      <c r="D157" s="115" t="s">
        <v>162</v>
      </c>
      <c r="E157" s="115" t="s">
        <v>82</v>
      </c>
      <c r="F157" s="115" t="s">
        <v>83</v>
      </c>
      <c r="G157" s="115"/>
      <c r="H157" s="115" t="s">
        <v>64</v>
      </c>
      <c r="I157" s="115">
        <v>320</v>
      </c>
      <c r="J157" s="116">
        <v>2800000</v>
      </c>
      <c r="K157" s="116">
        <v>2800000</v>
      </c>
      <c r="L157" s="189">
        <v>2635360</v>
      </c>
      <c r="M157" s="189">
        <v>2635360</v>
      </c>
      <c r="N157" s="66">
        <f t="shared" si="19"/>
        <v>5435360</v>
      </c>
      <c r="O157" s="66">
        <f t="shared" si="20"/>
        <v>5435360</v>
      </c>
      <c r="P157" s="170" t="s">
        <v>199</v>
      </c>
      <c r="Q157" s="170">
        <v>2800000</v>
      </c>
      <c r="R157" s="170">
        <v>2800000</v>
      </c>
      <c r="S157" s="170">
        <v>2052960</v>
      </c>
      <c r="T157" s="170">
        <v>2052960</v>
      </c>
      <c r="U157" s="157">
        <f t="shared" si="21"/>
        <v>0</v>
      </c>
      <c r="V157" s="157">
        <f t="shared" si="22"/>
        <v>0</v>
      </c>
      <c r="W157" s="157">
        <f t="shared" si="23"/>
        <v>582400</v>
      </c>
      <c r="X157" s="157">
        <f t="shared" si="24"/>
        <v>582400</v>
      </c>
      <c r="Z157" s="218"/>
      <c r="AA157" s="253"/>
      <c r="AB157" s="288"/>
      <c r="AC157" s="289"/>
      <c r="AD157" s="289"/>
      <c r="AE157" s="291"/>
      <c r="AF157" s="189"/>
      <c r="AI157" s="240">
        <f t="shared" si="25"/>
        <v>5435360</v>
      </c>
    </row>
    <row r="158" spans="3:40" s="39" customFormat="1" ht="32.25" customHeight="1">
      <c r="C158" s="313"/>
      <c r="D158" s="115" t="s">
        <v>162</v>
      </c>
      <c r="E158" s="115" t="s">
        <v>81</v>
      </c>
      <c r="F158" s="115" t="s">
        <v>83</v>
      </c>
      <c r="G158" s="115"/>
      <c r="H158" s="115" t="s">
        <v>64</v>
      </c>
      <c r="I158" s="115">
        <v>275</v>
      </c>
      <c r="J158" s="116">
        <v>2500000</v>
      </c>
      <c r="K158" s="116">
        <v>2500000</v>
      </c>
      <c r="L158" s="189">
        <v>2264763</v>
      </c>
      <c r="M158" s="189">
        <v>2264763</v>
      </c>
      <c r="N158" s="66">
        <f t="shared" si="19"/>
        <v>4764763</v>
      </c>
      <c r="O158" s="66">
        <f t="shared" si="20"/>
        <v>4764763</v>
      </c>
      <c r="P158" s="170" t="s">
        <v>200</v>
      </c>
      <c r="Q158" s="170">
        <v>2500000</v>
      </c>
      <c r="R158" s="170">
        <v>2500000</v>
      </c>
      <c r="S158" s="170">
        <v>1764263</v>
      </c>
      <c r="T158" s="170">
        <v>1764263</v>
      </c>
      <c r="U158" s="157">
        <f t="shared" si="21"/>
        <v>0</v>
      </c>
      <c r="V158" s="157">
        <f t="shared" si="22"/>
        <v>0</v>
      </c>
      <c r="W158" s="157">
        <f t="shared" si="23"/>
        <v>500500</v>
      </c>
      <c r="X158" s="157">
        <f t="shared" si="24"/>
        <v>500500</v>
      </c>
      <c r="Z158" s="218"/>
      <c r="AA158" s="253"/>
      <c r="AB158" s="288"/>
      <c r="AC158" s="289"/>
      <c r="AD158" s="289"/>
      <c r="AE158" s="291"/>
      <c r="AF158" s="189"/>
      <c r="AI158" s="240">
        <f t="shared" si="25"/>
        <v>4764763</v>
      </c>
    </row>
    <row r="159" spans="3:40" s="39" customFormat="1" ht="32.25" customHeight="1">
      <c r="C159" s="314"/>
      <c r="D159" s="79" t="s">
        <v>162</v>
      </c>
      <c r="E159" s="79" t="s">
        <v>82</v>
      </c>
      <c r="F159" s="79" t="s">
        <v>81</v>
      </c>
      <c r="G159" s="79" t="s">
        <v>83</v>
      </c>
      <c r="H159" s="79" t="s">
        <v>64</v>
      </c>
      <c r="I159" s="79">
        <v>366</v>
      </c>
      <c r="J159" s="80">
        <v>2950000</v>
      </c>
      <c r="K159" s="80">
        <v>2950000</v>
      </c>
      <c r="L159" s="189">
        <v>3014193</v>
      </c>
      <c r="M159" s="189">
        <v>3014193</v>
      </c>
      <c r="N159" s="66">
        <f t="shared" si="19"/>
        <v>5964193</v>
      </c>
      <c r="O159" s="66">
        <f t="shared" si="20"/>
        <v>5964193</v>
      </c>
      <c r="P159" s="170" t="s">
        <v>201</v>
      </c>
      <c r="Q159" s="170">
        <v>2950000</v>
      </c>
      <c r="R159" s="170">
        <v>2950000</v>
      </c>
      <c r="S159" s="170">
        <v>2348073</v>
      </c>
      <c r="T159" s="170">
        <v>2348073</v>
      </c>
      <c r="U159" s="157">
        <f t="shared" si="21"/>
        <v>0</v>
      </c>
      <c r="V159" s="157">
        <f t="shared" si="22"/>
        <v>0</v>
      </c>
      <c r="W159" s="157">
        <f t="shared" si="23"/>
        <v>666120</v>
      </c>
      <c r="X159" s="157">
        <f t="shared" si="24"/>
        <v>666120</v>
      </c>
      <c r="Z159" s="218"/>
      <c r="AA159" s="253"/>
      <c r="AB159" s="288"/>
      <c r="AC159" s="289"/>
      <c r="AD159" s="289"/>
      <c r="AE159" s="291"/>
      <c r="AF159" s="189"/>
      <c r="AI159" s="240">
        <f t="shared" si="25"/>
        <v>5964193</v>
      </c>
    </row>
    <row r="160" spans="3:40" s="39" customFormat="1" ht="32.25" customHeight="1">
      <c r="C160" s="312" t="s">
        <v>56</v>
      </c>
      <c r="D160" s="115" t="s">
        <v>64</v>
      </c>
      <c r="E160" s="115" t="s">
        <v>87</v>
      </c>
      <c r="F160" s="115"/>
      <c r="G160" s="115"/>
      <c r="H160" s="115"/>
      <c r="I160" s="115">
        <v>144</v>
      </c>
      <c r="J160" s="116">
        <v>1785000</v>
      </c>
      <c r="K160" s="116">
        <v>1785000</v>
      </c>
      <c r="L160" s="189">
        <v>1355328</v>
      </c>
      <c r="M160" s="189">
        <v>1355328</v>
      </c>
      <c r="N160" s="66">
        <f t="shared" si="19"/>
        <v>3140328</v>
      </c>
      <c r="O160" s="66">
        <f t="shared" si="20"/>
        <v>3140328</v>
      </c>
      <c r="P160" s="170" t="s">
        <v>202</v>
      </c>
      <c r="Q160" s="170">
        <v>1785000</v>
      </c>
      <c r="R160" s="170">
        <v>1785000</v>
      </c>
      <c r="S160" s="170">
        <v>1055808</v>
      </c>
      <c r="T160" s="170">
        <v>1055808</v>
      </c>
      <c r="U160" s="157">
        <f t="shared" si="21"/>
        <v>0</v>
      </c>
      <c r="V160" s="157">
        <f t="shared" si="22"/>
        <v>0</v>
      </c>
      <c r="W160" s="157">
        <f t="shared" si="23"/>
        <v>299520</v>
      </c>
      <c r="X160" s="157">
        <f t="shared" si="24"/>
        <v>299520</v>
      </c>
      <c r="Z160" s="218">
        <f>O160+O161</f>
        <v>6280656</v>
      </c>
      <c r="AA160" s="253"/>
      <c r="AB160" s="288"/>
      <c r="AC160" s="289"/>
      <c r="AD160" s="289"/>
      <c r="AE160" s="291"/>
      <c r="AF160" s="189"/>
      <c r="AH160" s="263" t="s">
        <v>432</v>
      </c>
      <c r="AI160" s="240">
        <f t="shared" si="25"/>
        <v>3140328</v>
      </c>
      <c r="AJ160" s="258"/>
      <c r="AL160" s="259"/>
      <c r="AN160" s="259">
        <f>AL160*2</f>
        <v>0</v>
      </c>
    </row>
    <row r="161" spans="3:35" s="39" customFormat="1" ht="32.25" customHeight="1">
      <c r="C161" s="313"/>
      <c r="D161" s="115" t="s">
        <v>87</v>
      </c>
      <c r="E161" s="115" t="s">
        <v>82</v>
      </c>
      <c r="F161" s="115"/>
      <c r="G161" s="115"/>
      <c r="H161" s="115" t="s">
        <v>64</v>
      </c>
      <c r="I161" s="115">
        <v>144</v>
      </c>
      <c r="J161" s="116">
        <v>1785000</v>
      </c>
      <c r="K161" s="116">
        <v>1785000</v>
      </c>
      <c r="L161" s="189">
        <v>1355328</v>
      </c>
      <c r="M161" s="189">
        <v>1355328</v>
      </c>
      <c r="N161" s="66">
        <f t="shared" si="19"/>
        <v>3140328</v>
      </c>
      <c r="O161" s="66">
        <f t="shared" si="20"/>
        <v>3140328</v>
      </c>
      <c r="P161" s="170" t="s">
        <v>203</v>
      </c>
      <c r="Q161" s="170">
        <v>1785000</v>
      </c>
      <c r="R161" s="170">
        <v>1785000</v>
      </c>
      <c r="S161" s="170">
        <v>1055808</v>
      </c>
      <c r="T161" s="170">
        <v>1055808</v>
      </c>
      <c r="U161" s="157">
        <f t="shared" si="21"/>
        <v>0</v>
      </c>
      <c r="V161" s="157">
        <f t="shared" si="22"/>
        <v>0</v>
      </c>
      <c r="W161" s="157">
        <f t="shared" si="23"/>
        <v>299520</v>
      </c>
      <c r="X161" s="157">
        <f t="shared" si="24"/>
        <v>299520</v>
      </c>
      <c r="Z161" s="218"/>
      <c r="AA161" s="253"/>
      <c r="AB161" s="288"/>
      <c r="AC161" s="289"/>
      <c r="AD161" s="289"/>
      <c r="AE161" s="291"/>
      <c r="AF161" s="189"/>
      <c r="AH161" s="263" t="s">
        <v>433</v>
      </c>
      <c r="AI161" s="240">
        <f t="shared" si="25"/>
        <v>3140328</v>
      </c>
    </row>
    <row r="162" spans="3:35" s="39" customFormat="1" ht="32.25" customHeight="1">
      <c r="C162" s="313"/>
      <c r="D162" s="64" t="s">
        <v>64</v>
      </c>
      <c r="E162" s="64" t="s">
        <v>87</v>
      </c>
      <c r="F162" s="64"/>
      <c r="G162" s="64"/>
      <c r="H162" s="64"/>
      <c r="I162" s="63">
        <v>144</v>
      </c>
      <c r="J162" s="67">
        <v>1785000</v>
      </c>
      <c r="K162" s="67">
        <v>1785000</v>
      </c>
      <c r="L162" s="189">
        <v>1355328</v>
      </c>
      <c r="M162" s="189">
        <v>1355328</v>
      </c>
      <c r="N162" s="66">
        <f t="shared" si="19"/>
        <v>3140328</v>
      </c>
      <c r="O162" s="66">
        <f t="shared" si="20"/>
        <v>3140328</v>
      </c>
      <c r="P162" s="170" t="s">
        <v>202</v>
      </c>
      <c r="Q162" s="170">
        <v>1785000</v>
      </c>
      <c r="R162" s="170">
        <v>1785000</v>
      </c>
      <c r="S162" s="170">
        <v>1055808</v>
      </c>
      <c r="T162" s="170">
        <v>1055808</v>
      </c>
      <c r="U162" s="157">
        <f t="shared" si="21"/>
        <v>0</v>
      </c>
      <c r="V162" s="157">
        <f t="shared" si="22"/>
        <v>0</v>
      </c>
      <c r="W162" s="157">
        <f t="shared" si="23"/>
        <v>299520</v>
      </c>
      <c r="X162" s="157">
        <f t="shared" si="24"/>
        <v>299520</v>
      </c>
      <c r="Z162" s="218"/>
      <c r="AA162" s="253"/>
      <c r="AB162" s="288"/>
      <c r="AC162" s="289"/>
      <c r="AD162" s="289"/>
      <c r="AE162" s="291"/>
      <c r="AF162" s="189"/>
      <c r="AI162" s="240">
        <f t="shared" si="25"/>
        <v>3140328</v>
      </c>
    </row>
    <row r="163" spans="3:35" s="39" customFormat="1" ht="32.25" customHeight="1">
      <c r="C163" s="313"/>
      <c r="D163" s="64" t="s">
        <v>87</v>
      </c>
      <c r="E163" s="64" t="s">
        <v>81</v>
      </c>
      <c r="F163" s="64"/>
      <c r="G163" s="64"/>
      <c r="H163" s="64" t="s">
        <v>64</v>
      </c>
      <c r="I163" s="63">
        <v>168</v>
      </c>
      <c r="J163" s="67">
        <v>1950000</v>
      </c>
      <c r="K163" s="67">
        <v>1950000</v>
      </c>
      <c r="L163" s="189">
        <v>1581216</v>
      </c>
      <c r="M163" s="189">
        <v>1581216</v>
      </c>
      <c r="N163" s="66">
        <f t="shared" si="19"/>
        <v>3531216</v>
      </c>
      <c r="O163" s="66">
        <f t="shared" si="20"/>
        <v>3531216</v>
      </c>
      <c r="P163" s="170" t="s">
        <v>204</v>
      </c>
      <c r="Q163" s="170">
        <v>1950000</v>
      </c>
      <c r="R163" s="170">
        <v>1950000</v>
      </c>
      <c r="S163" s="170">
        <v>1231776</v>
      </c>
      <c r="T163" s="170">
        <v>1231776</v>
      </c>
      <c r="U163" s="157">
        <f t="shared" si="21"/>
        <v>0</v>
      </c>
      <c r="V163" s="157">
        <f t="shared" si="22"/>
        <v>0</v>
      </c>
      <c r="W163" s="157">
        <f t="shared" si="23"/>
        <v>349440</v>
      </c>
      <c r="X163" s="157">
        <f t="shared" si="24"/>
        <v>349440</v>
      </c>
      <c r="Z163" s="218"/>
      <c r="AA163" s="253"/>
      <c r="AB163" s="288"/>
      <c r="AC163" s="289"/>
      <c r="AD163" s="289"/>
      <c r="AE163" s="291"/>
      <c r="AF163" s="189"/>
      <c r="AI163" s="240">
        <f t="shared" si="25"/>
        <v>3531216</v>
      </c>
    </row>
    <row r="164" spans="3:35" s="39" customFormat="1" ht="32.25" customHeight="1">
      <c r="C164" s="313"/>
      <c r="D164" s="145" t="s">
        <v>64</v>
      </c>
      <c r="E164" s="145" t="s">
        <v>87</v>
      </c>
      <c r="F164" s="145"/>
      <c r="G164" s="145"/>
      <c r="H164" s="145"/>
      <c r="I164" s="115">
        <v>144</v>
      </c>
      <c r="J164" s="146">
        <v>1785000</v>
      </c>
      <c r="K164" s="146">
        <v>1785000</v>
      </c>
      <c r="L164" s="189">
        <v>1355328</v>
      </c>
      <c r="M164" s="189">
        <v>1355328</v>
      </c>
      <c r="N164" s="66">
        <f t="shared" si="19"/>
        <v>3140328</v>
      </c>
      <c r="O164" s="66">
        <f t="shared" si="20"/>
        <v>3140328</v>
      </c>
      <c r="P164" s="170" t="s">
        <v>202</v>
      </c>
      <c r="Q164" s="170">
        <v>1785000</v>
      </c>
      <c r="R164" s="170">
        <v>1785000</v>
      </c>
      <c r="S164" s="170">
        <v>1055808</v>
      </c>
      <c r="T164" s="170">
        <v>1055808</v>
      </c>
      <c r="U164" s="157">
        <f t="shared" si="21"/>
        <v>0</v>
      </c>
      <c r="V164" s="157">
        <f t="shared" si="22"/>
        <v>0</v>
      </c>
      <c r="W164" s="157">
        <f t="shared" si="23"/>
        <v>299520</v>
      </c>
      <c r="X164" s="157">
        <f t="shared" si="24"/>
        <v>299520</v>
      </c>
      <c r="Z164" s="218"/>
      <c r="AA164" s="253"/>
      <c r="AB164" s="288"/>
      <c r="AC164" s="289"/>
      <c r="AD164" s="289"/>
      <c r="AE164" s="291"/>
      <c r="AF164" s="189"/>
      <c r="AI164" s="240">
        <f t="shared" si="25"/>
        <v>3140328</v>
      </c>
    </row>
    <row r="165" spans="3:35" s="39" customFormat="1" ht="32.25" customHeight="1">
      <c r="C165" s="313"/>
      <c r="D165" s="145" t="s">
        <v>87</v>
      </c>
      <c r="E165" s="145" t="s">
        <v>83</v>
      </c>
      <c r="F165" s="145"/>
      <c r="G165" s="145"/>
      <c r="H165" s="145" t="s">
        <v>64</v>
      </c>
      <c r="I165" s="115">
        <v>177</v>
      </c>
      <c r="J165" s="146">
        <v>1950000</v>
      </c>
      <c r="K165" s="146">
        <v>1950000</v>
      </c>
      <c r="L165" s="189">
        <v>1665924</v>
      </c>
      <c r="M165" s="189">
        <v>1665924</v>
      </c>
      <c r="N165" s="66">
        <f t="shared" si="19"/>
        <v>3615924</v>
      </c>
      <c r="O165" s="66">
        <f t="shared" si="20"/>
        <v>3615924</v>
      </c>
      <c r="P165" s="170" t="s">
        <v>205</v>
      </c>
      <c r="Q165" s="170">
        <v>1950000</v>
      </c>
      <c r="R165" s="170">
        <v>1950000</v>
      </c>
      <c r="S165" s="170">
        <v>1297764</v>
      </c>
      <c r="T165" s="170">
        <v>1297764</v>
      </c>
      <c r="U165" s="157">
        <f t="shared" si="21"/>
        <v>0</v>
      </c>
      <c r="V165" s="157">
        <f t="shared" si="22"/>
        <v>0</v>
      </c>
      <c r="W165" s="157">
        <f t="shared" si="23"/>
        <v>368160</v>
      </c>
      <c r="X165" s="157">
        <f t="shared" si="24"/>
        <v>368160</v>
      </c>
      <c r="Z165" s="218"/>
      <c r="AA165" s="253"/>
      <c r="AB165" s="288"/>
      <c r="AC165" s="289"/>
      <c r="AD165" s="289"/>
      <c r="AE165" s="291"/>
      <c r="AF165" s="189"/>
      <c r="AI165" s="240">
        <f t="shared" si="25"/>
        <v>3615924</v>
      </c>
    </row>
    <row r="166" spans="3:35" s="39" customFormat="1" ht="32.25" customHeight="1">
      <c r="C166" s="313"/>
      <c r="D166" s="81" t="s">
        <v>64</v>
      </c>
      <c r="E166" s="81" t="s">
        <v>88</v>
      </c>
      <c r="F166" s="81"/>
      <c r="G166" s="81"/>
      <c r="H166" s="81"/>
      <c r="I166" s="79">
        <v>133</v>
      </c>
      <c r="J166" s="82">
        <v>1790000</v>
      </c>
      <c r="K166" s="82">
        <v>1790000</v>
      </c>
      <c r="L166" s="189">
        <v>1251796</v>
      </c>
      <c r="M166" s="189">
        <v>1251796</v>
      </c>
      <c r="N166" s="66">
        <f t="shared" si="19"/>
        <v>3041796</v>
      </c>
      <c r="O166" s="66">
        <f t="shared" si="20"/>
        <v>3041796</v>
      </c>
      <c r="P166" s="170" t="s">
        <v>206</v>
      </c>
      <c r="Q166" s="170">
        <v>1790000</v>
      </c>
      <c r="R166" s="170">
        <v>1790000</v>
      </c>
      <c r="S166" s="170">
        <v>975156</v>
      </c>
      <c r="T166" s="170">
        <v>975156</v>
      </c>
      <c r="U166" s="157">
        <f t="shared" si="21"/>
        <v>0</v>
      </c>
      <c r="V166" s="157">
        <f t="shared" si="22"/>
        <v>0</v>
      </c>
      <c r="W166" s="157">
        <f t="shared" si="23"/>
        <v>276640</v>
      </c>
      <c r="X166" s="157">
        <f t="shared" si="24"/>
        <v>276640</v>
      </c>
      <c r="Z166" s="218"/>
      <c r="AA166" s="253"/>
      <c r="AB166" s="288"/>
      <c r="AC166" s="289"/>
      <c r="AD166" s="289"/>
      <c r="AE166" s="291"/>
      <c r="AF166" s="189"/>
      <c r="AI166" s="240">
        <f t="shared" si="25"/>
        <v>3041796</v>
      </c>
    </row>
    <row r="167" spans="3:35" s="39" customFormat="1" ht="32.25" customHeight="1">
      <c r="C167" s="313"/>
      <c r="D167" s="81" t="s">
        <v>88</v>
      </c>
      <c r="E167" s="81" t="s">
        <v>82</v>
      </c>
      <c r="F167" s="81"/>
      <c r="G167" s="81"/>
      <c r="H167" s="81" t="s">
        <v>64</v>
      </c>
      <c r="I167" s="79">
        <v>179</v>
      </c>
      <c r="J167" s="82">
        <v>1950000</v>
      </c>
      <c r="K167" s="82">
        <v>1950000</v>
      </c>
      <c r="L167" s="189">
        <v>1684748</v>
      </c>
      <c r="M167" s="189">
        <v>1684748</v>
      </c>
      <c r="N167" s="66">
        <f t="shared" si="19"/>
        <v>3634748</v>
      </c>
      <c r="O167" s="66">
        <f t="shared" si="20"/>
        <v>3634748</v>
      </c>
      <c r="P167" s="170" t="s">
        <v>207</v>
      </c>
      <c r="Q167" s="170">
        <v>1950000</v>
      </c>
      <c r="R167" s="170">
        <v>1950000</v>
      </c>
      <c r="S167" s="170">
        <v>1312428</v>
      </c>
      <c r="T167" s="170">
        <v>1312428</v>
      </c>
      <c r="U167" s="157">
        <f t="shared" si="21"/>
        <v>0</v>
      </c>
      <c r="V167" s="157">
        <f t="shared" si="22"/>
        <v>0</v>
      </c>
      <c r="W167" s="157">
        <f t="shared" si="23"/>
        <v>372320</v>
      </c>
      <c r="X167" s="157">
        <f t="shared" si="24"/>
        <v>372320</v>
      </c>
      <c r="Z167" s="218"/>
      <c r="AA167" s="253"/>
      <c r="AB167" s="288"/>
      <c r="AC167" s="289"/>
      <c r="AD167" s="289"/>
      <c r="AE167" s="291"/>
      <c r="AF167" s="189"/>
      <c r="AH167" s="263" t="s">
        <v>434</v>
      </c>
      <c r="AI167" s="240">
        <f t="shared" si="25"/>
        <v>3634748</v>
      </c>
    </row>
    <row r="168" spans="3:35" s="39" customFormat="1" ht="32.25" customHeight="1">
      <c r="C168" s="313"/>
      <c r="D168" s="81" t="s">
        <v>64</v>
      </c>
      <c r="E168" s="81" t="s">
        <v>88</v>
      </c>
      <c r="F168" s="81"/>
      <c r="G168" s="81"/>
      <c r="H168" s="81"/>
      <c r="I168" s="79">
        <v>133</v>
      </c>
      <c r="J168" s="82">
        <v>1790000</v>
      </c>
      <c r="K168" s="82">
        <v>1790000</v>
      </c>
      <c r="L168" s="189">
        <v>1251796</v>
      </c>
      <c r="M168" s="189">
        <v>1251796</v>
      </c>
      <c r="N168" s="66">
        <f t="shared" si="19"/>
        <v>3041796</v>
      </c>
      <c r="O168" s="66">
        <f t="shared" si="20"/>
        <v>3041796</v>
      </c>
      <c r="P168" s="170" t="s">
        <v>206</v>
      </c>
      <c r="Q168" s="170">
        <v>1790000</v>
      </c>
      <c r="R168" s="170">
        <v>1790000</v>
      </c>
      <c r="S168" s="170">
        <v>975156</v>
      </c>
      <c r="T168" s="170">
        <v>975156</v>
      </c>
      <c r="U168" s="157">
        <f t="shared" si="21"/>
        <v>0</v>
      </c>
      <c r="V168" s="157">
        <f t="shared" si="22"/>
        <v>0</v>
      </c>
      <c r="W168" s="157">
        <f t="shared" si="23"/>
        <v>276640</v>
      </c>
      <c r="X168" s="157">
        <f t="shared" si="24"/>
        <v>276640</v>
      </c>
      <c r="Z168" s="218"/>
      <c r="AA168" s="253"/>
      <c r="AB168" s="288"/>
      <c r="AC168" s="289"/>
      <c r="AD168" s="289"/>
      <c r="AE168" s="291"/>
      <c r="AF168" s="189"/>
      <c r="AH168" s="28"/>
      <c r="AI168" s="240">
        <f t="shared" si="25"/>
        <v>3041796</v>
      </c>
    </row>
    <row r="169" spans="3:35" s="39" customFormat="1" ht="32.25" customHeight="1">
      <c r="C169" s="313"/>
      <c r="D169" s="81" t="s">
        <v>88</v>
      </c>
      <c r="E169" s="81" t="s">
        <v>81</v>
      </c>
      <c r="F169" s="81"/>
      <c r="G169" s="81"/>
      <c r="H169" s="81" t="s">
        <v>64</v>
      </c>
      <c r="I169" s="79">
        <v>133</v>
      </c>
      <c r="J169" s="82">
        <v>1790000</v>
      </c>
      <c r="K169" s="82">
        <v>1790000</v>
      </c>
      <c r="L169" s="189">
        <v>1251796</v>
      </c>
      <c r="M169" s="189">
        <v>1251796</v>
      </c>
      <c r="N169" s="66">
        <f t="shared" si="19"/>
        <v>3041796</v>
      </c>
      <c r="O169" s="66">
        <f t="shared" si="20"/>
        <v>3041796</v>
      </c>
      <c r="P169" s="170" t="s">
        <v>208</v>
      </c>
      <c r="Q169" s="170">
        <v>1790000</v>
      </c>
      <c r="R169" s="170">
        <v>1790000</v>
      </c>
      <c r="S169" s="170">
        <v>975156</v>
      </c>
      <c r="T169" s="170">
        <v>975156</v>
      </c>
      <c r="U169" s="157">
        <f t="shared" si="21"/>
        <v>0</v>
      </c>
      <c r="V169" s="157">
        <f t="shared" si="22"/>
        <v>0</v>
      </c>
      <c r="W169" s="157">
        <f t="shared" si="23"/>
        <v>276640</v>
      </c>
      <c r="X169" s="157">
        <f t="shared" si="24"/>
        <v>276640</v>
      </c>
      <c r="Z169" s="218"/>
      <c r="AA169" s="253"/>
      <c r="AB169" s="288"/>
      <c r="AC169" s="289"/>
      <c r="AD169" s="289"/>
      <c r="AE169" s="291"/>
      <c r="AF169" s="189"/>
      <c r="AH169" s="263" t="s">
        <v>435</v>
      </c>
      <c r="AI169" s="240">
        <f t="shared" si="25"/>
        <v>3041796</v>
      </c>
    </row>
    <row r="170" spans="3:35" s="39" customFormat="1" ht="32.25" customHeight="1">
      <c r="C170" s="313"/>
      <c r="D170" s="81" t="s">
        <v>64</v>
      </c>
      <c r="E170" s="81" t="s">
        <v>88</v>
      </c>
      <c r="F170" s="81"/>
      <c r="G170" s="81"/>
      <c r="H170" s="81"/>
      <c r="I170" s="79">
        <v>133</v>
      </c>
      <c r="J170" s="82">
        <v>1790000</v>
      </c>
      <c r="K170" s="82">
        <v>1790000</v>
      </c>
      <c r="L170" s="189">
        <v>1251796</v>
      </c>
      <c r="M170" s="189">
        <v>1251796</v>
      </c>
      <c r="N170" s="66">
        <f t="shared" si="19"/>
        <v>3041796</v>
      </c>
      <c r="O170" s="66">
        <f t="shared" si="20"/>
        <v>3041796</v>
      </c>
      <c r="P170" s="170" t="s">
        <v>206</v>
      </c>
      <c r="Q170" s="170">
        <v>1790000</v>
      </c>
      <c r="R170" s="170">
        <v>1790000</v>
      </c>
      <c r="S170" s="170">
        <v>975156</v>
      </c>
      <c r="T170" s="170">
        <v>975156</v>
      </c>
      <c r="U170" s="157">
        <f t="shared" si="21"/>
        <v>0</v>
      </c>
      <c r="V170" s="157">
        <f t="shared" si="22"/>
        <v>0</v>
      </c>
      <c r="W170" s="157">
        <f t="shared" si="23"/>
        <v>276640</v>
      </c>
      <c r="X170" s="157">
        <f t="shared" si="24"/>
        <v>276640</v>
      </c>
      <c r="Z170" s="218"/>
      <c r="AA170" s="253"/>
      <c r="AB170" s="288"/>
      <c r="AC170" s="289"/>
      <c r="AD170" s="289"/>
      <c r="AE170" s="291"/>
      <c r="AF170" s="189"/>
      <c r="AH170" s="28"/>
      <c r="AI170" s="240">
        <f t="shared" si="25"/>
        <v>3041796</v>
      </c>
    </row>
    <row r="171" spans="3:35" s="39" customFormat="1" ht="32.25" customHeight="1">
      <c r="C171" s="313"/>
      <c r="D171" s="81" t="s">
        <v>88</v>
      </c>
      <c r="E171" s="81" t="s">
        <v>83</v>
      </c>
      <c r="F171" s="81"/>
      <c r="G171" s="81"/>
      <c r="H171" s="81" t="s">
        <v>64</v>
      </c>
      <c r="I171" s="79">
        <v>142</v>
      </c>
      <c r="J171" s="82">
        <v>1950000</v>
      </c>
      <c r="K171" s="82">
        <v>1950000</v>
      </c>
      <c r="L171" s="189">
        <v>1336504</v>
      </c>
      <c r="M171" s="189">
        <v>1336504</v>
      </c>
      <c r="N171" s="66">
        <f t="shared" si="19"/>
        <v>3286504</v>
      </c>
      <c r="O171" s="66">
        <f t="shared" si="20"/>
        <v>3286504</v>
      </c>
      <c r="P171" s="170" t="s">
        <v>209</v>
      </c>
      <c r="Q171" s="170">
        <v>1950000</v>
      </c>
      <c r="R171" s="170">
        <v>1950000</v>
      </c>
      <c r="S171" s="170">
        <v>1041144</v>
      </c>
      <c r="T171" s="170">
        <v>1041144</v>
      </c>
      <c r="U171" s="157">
        <f t="shared" si="21"/>
        <v>0</v>
      </c>
      <c r="V171" s="157">
        <f t="shared" si="22"/>
        <v>0</v>
      </c>
      <c r="W171" s="157">
        <f t="shared" si="23"/>
        <v>295360</v>
      </c>
      <c r="X171" s="157">
        <f t="shared" si="24"/>
        <v>295360</v>
      </c>
      <c r="Z171" s="218"/>
      <c r="AA171" s="253"/>
      <c r="AB171" s="288"/>
      <c r="AC171" s="289"/>
      <c r="AD171" s="289"/>
      <c r="AE171" s="291"/>
      <c r="AF171" s="189"/>
      <c r="AH171" s="263" t="s">
        <v>436</v>
      </c>
      <c r="AI171" s="240">
        <f t="shared" si="25"/>
        <v>3286504</v>
      </c>
    </row>
    <row r="172" spans="3:35" s="39" customFormat="1" ht="32.25" customHeight="1">
      <c r="C172" s="313"/>
      <c r="D172" s="145" t="s">
        <v>64</v>
      </c>
      <c r="E172" s="145" t="s">
        <v>89</v>
      </c>
      <c r="F172" s="145"/>
      <c r="G172" s="145"/>
      <c r="H172" s="145"/>
      <c r="I172" s="115">
        <v>122</v>
      </c>
      <c r="J172" s="146">
        <v>1790000</v>
      </c>
      <c r="K172" s="146">
        <v>1790000</v>
      </c>
      <c r="L172" s="189">
        <v>1148264</v>
      </c>
      <c r="M172" s="189">
        <v>1148264</v>
      </c>
      <c r="N172" s="66">
        <f t="shared" si="19"/>
        <v>2938264</v>
      </c>
      <c r="O172" s="66">
        <f t="shared" si="20"/>
        <v>2938264</v>
      </c>
      <c r="P172" s="170" t="s">
        <v>210</v>
      </c>
      <c r="Q172" s="170">
        <v>1790000</v>
      </c>
      <c r="R172" s="170">
        <v>1790000</v>
      </c>
      <c r="S172" s="170">
        <v>894504</v>
      </c>
      <c r="T172" s="170">
        <v>894504</v>
      </c>
      <c r="U172" s="157">
        <f t="shared" si="21"/>
        <v>0</v>
      </c>
      <c r="V172" s="157">
        <f t="shared" si="22"/>
        <v>0</v>
      </c>
      <c r="W172" s="157">
        <f t="shared" si="23"/>
        <v>253760</v>
      </c>
      <c r="X172" s="157">
        <f t="shared" si="24"/>
        <v>253760</v>
      </c>
      <c r="Z172" s="218"/>
      <c r="AA172" s="253"/>
      <c r="AB172" s="288"/>
      <c r="AC172" s="289"/>
      <c r="AD172" s="289"/>
      <c r="AE172" s="291"/>
      <c r="AF172" s="189"/>
      <c r="AH172" s="28"/>
      <c r="AI172" s="240">
        <f t="shared" si="25"/>
        <v>2938264</v>
      </c>
    </row>
    <row r="173" spans="3:35" s="39" customFormat="1" ht="32.25" customHeight="1">
      <c r="C173" s="313"/>
      <c r="D173" s="145" t="s">
        <v>89</v>
      </c>
      <c r="E173" s="145" t="s">
        <v>82</v>
      </c>
      <c r="F173" s="145"/>
      <c r="G173" s="145"/>
      <c r="H173" s="145" t="s">
        <v>64</v>
      </c>
      <c r="I173" s="115">
        <v>199</v>
      </c>
      <c r="J173" s="146">
        <v>1950000</v>
      </c>
      <c r="K173" s="146">
        <v>1950000</v>
      </c>
      <c r="L173" s="189">
        <v>1872988</v>
      </c>
      <c r="M173" s="189">
        <v>1872988</v>
      </c>
      <c r="N173" s="66">
        <f t="shared" si="19"/>
        <v>3822988</v>
      </c>
      <c r="O173" s="66">
        <f t="shared" si="20"/>
        <v>3822988</v>
      </c>
      <c r="P173" s="170" t="s">
        <v>211</v>
      </c>
      <c r="Q173" s="170">
        <v>1950000</v>
      </c>
      <c r="R173" s="170">
        <v>1950000</v>
      </c>
      <c r="S173" s="170">
        <v>1459068</v>
      </c>
      <c r="T173" s="170">
        <v>1459068</v>
      </c>
      <c r="U173" s="157">
        <f t="shared" si="21"/>
        <v>0</v>
      </c>
      <c r="V173" s="157">
        <f t="shared" si="22"/>
        <v>0</v>
      </c>
      <c r="W173" s="157">
        <f t="shared" si="23"/>
        <v>413920</v>
      </c>
      <c r="X173" s="157">
        <f t="shared" si="24"/>
        <v>413920</v>
      </c>
      <c r="Z173" s="218"/>
      <c r="AA173" s="253"/>
      <c r="AB173" s="288"/>
      <c r="AC173" s="289"/>
      <c r="AD173" s="289"/>
      <c r="AE173" s="291"/>
      <c r="AF173" s="189"/>
      <c r="AH173" s="263" t="s">
        <v>437</v>
      </c>
      <c r="AI173" s="240">
        <f t="shared" si="25"/>
        <v>3822988</v>
      </c>
    </row>
    <row r="174" spans="3:35" s="39" customFormat="1" ht="32.25" customHeight="1">
      <c r="C174" s="313"/>
      <c r="D174" s="81" t="s">
        <v>64</v>
      </c>
      <c r="E174" s="81" t="s">
        <v>89</v>
      </c>
      <c r="F174" s="81"/>
      <c r="G174" s="81"/>
      <c r="H174" s="81"/>
      <c r="I174" s="79">
        <v>122</v>
      </c>
      <c r="J174" s="82">
        <v>1790000</v>
      </c>
      <c r="K174" s="82">
        <v>1790000</v>
      </c>
      <c r="L174" s="189">
        <v>1148264</v>
      </c>
      <c r="M174" s="189">
        <v>1148264</v>
      </c>
      <c r="N174" s="66">
        <f t="shared" si="19"/>
        <v>2938264</v>
      </c>
      <c r="O174" s="66">
        <f t="shared" si="20"/>
        <v>2938264</v>
      </c>
      <c r="P174" s="170" t="s">
        <v>210</v>
      </c>
      <c r="Q174" s="170">
        <v>1790000</v>
      </c>
      <c r="R174" s="170">
        <v>1790000</v>
      </c>
      <c r="S174" s="170">
        <v>894504</v>
      </c>
      <c r="T174" s="170">
        <v>894504</v>
      </c>
      <c r="U174" s="157">
        <f t="shared" si="21"/>
        <v>0</v>
      </c>
      <c r="V174" s="157">
        <f t="shared" si="22"/>
        <v>0</v>
      </c>
      <c r="W174" s="157">
        <f t="shared" si="23"/>
        <v>253760</v>
      </c>
      <c r="X174" s="157">
        <f t="shared" si="24"/>
        <v>253760</v>
      </c>
      <c r="Z174" s="218"/>
      <c r="AA174" s="253"/>
      <c r="AB174" s="288"/>
      <c r="AC174" s="289"/>
      <c r="AD174" s="289"/>
      <c r="AE174" s="291"/>
      <c r="AF174" s="189"/>
      <c r="AH174" s="28"/>
      <c r="AI174" s="240">
        <f t="shared" si="25"/>
        <v>2938264</v>
      </c>
    </row>
    <row r="175" spans="3:35" s="39" customFormat="1" ht="32.25" customHeight="1">
      <c r="C175" s="313"/>
      <c r="D175" s="81" t="s">
        <v>89</v>
      </c>
      <c r="E175" s="81" t="s">
        <v>81</v>
      </c>
      <c r="F175" s="81"/>
      <c r="G175" s="81"/>
      <c r="H175" s="81" t="s">
        <v>64</v>
      </c>
      <c r="I175" s="79">
        <v>153</v>
      </c>
      <c r="J175" s="82">
        <v>1950000</v>
      </c>
      <c r="K175" s="82">
        <v>1950000</v>
      </c>
      <c r="L175" s="189">
        <v>1440036</v>
      </c>
      <c r="M175" s="189">
        <v>1440036</v>
      </c>
      <c r="N175" s="66">
        <f t="shared" si="19"/>
        <v>3390036</v>
      </c>
      <c r="O175" s="66">
        <f t="shared" si="20"/>
        <v>3390036</v>
      </c>
      <c r="P175" s="170" t="s">
        <v>212</v>
      </c>
      <c r="Q175" s="170">
        <v>1950000</v>
      </c>
      <c r="R175" s="170">
        <v>1950000</v>
      </c>
      <c r="S175" s="170">
        <v>1121796</v>
      </c>
      <c r="T175" s="170">
        <v>1121796</v>
      </c>
      <c r="U175" s="157">
        <f t="shared" si="21"/>
        <v>0</v>
      </c>
      <c r="V175" s="157">
        <f t="shared" si="22"/>
        <v>0</v>
      </c>
      <c r="W175" s="157">
        <f t="shared" si="23"/>
        <v>318240</v>
      </c>
      <c r="X175" s="157">
        <f t="shared" si="24"/>
        <v>318240</v>
      </c>
      <c r="Z175" s="218"/>
      <c r="AA175" s="253"/>
      <c r="AB175" s="288"/>
      <c r="AC175" s="289"/>
      <c r="AD175" s="289"/>
      <c r="AE175" s="291"/>
      <c r="AF175" s="189"/>
      <c r="AH175" s="263" t="s">
        <v>438</v>
      </c>
      <c r="AI175" s="240">
        <f t="shared" si="25"/>
        <v>3390036</v>
      </c>
    </row>
    <row r="176" spans="3:35" s="39" customFormat="1" ht="32.25" customHeight="1">
      <c r="C176" s="313"/>
      <c r="D176" s="132" t="s">
        <v>64</v>
      </c>
      <c r="E176" s="132" t="s">
        <v>89</v>
      </c>
      <c r="F176" s="132"/>
      <c r="G176" s="132"/>
      <c r="H176" s="132"/>
      <c r="I176" s="133">
        <v>122</v>
      </c>
      <c r="J176" s="137">
        <v>1790000</v>
      </c>
      <c r="K176" s="137">
        <v>1790000</v>
      </c>
      <c r="L176" s="189">
        <v>1148264</v>
      </c>
      <c r="M176" s="189">
        <v>1148264</v>
      </c>
      <c r="N176" s="66">
        <f t="shared" si="19"/>
        <v>2938264</v>
      </c>
      <c r="O176" s="66">
        <f t="shared" si="20"/>
        <v>2938264</v>
      </c>
      <c r="P176" s="170" t="s">
        <v>210</v>
      </c>
      <c r="Q176" s="170">
        <v>1790000</v>
      </c>
      <c r="R176" s="170">
        <v>1790000</v>
      </c>
      <c r="S176" s="170">
        <v>894504</v>
      </c>
      <c r="T176" s="170">
        <v>894504</v>
      </c>
      <c r="U176" s="157">
        <f t="shared" si="21"/>
        <v>0</v>
      </c>
      <c r="V176" s="157">
        <f t="shared" si="22"/>
        <v>0</v>
      </c>
      <c r="W176" s="157">
        <f t="shared" si="23"/>
        <v>253760</v>
      </c>
      <c r="X176" s="157">
        <f t="shared" si="24"/>
        <v>253760</v>
      </c>
      <c r="Z176" s="218"/>
      <c r="AA176" s="253"/>
      <c r="AB176" s="288"/>
      <c r="AC176" s="289"/>
      <c r="AD176" s="289"/>
      <c r="AE176" s="291"/>
      <c r="AF176" s="189"/>
      <c r="AH176" s="28"/>
      <c r="AI176" s="240">
        <f t="shared" si="25"/>
        <v>2938264</v>
      </c>
    </row>
    <row r="177" spans="3:35" s="39" customFormat="1" ht="32.25" customHeight="1">
      <c r="C177" s="313"/>
      <c r="D177" s="132" t="s">
        <v>89</v>
      </c>
      <c r="E177" s="132" t="s">
        <v>83</v>
      </c>
      <c r="F177" s="132"/>
      <c r="G177" s="132"/>
      <c r="H177" s="132" t="s">
        <v>64</v>
      </c>
      <c r="I177" s="133">
        <v>122</v>
      </c>
      <c r="J177" s="137">
        <v>1790000</v>
      </c>
      <c r="K177" s="137">
        <v>1790000</v>
      </c>
      <c r="L177" s="189">
        <v>1148264</v>
      </c>
      <c r="M177" s="189">
        <v>1148264</v>
      </c>
      <c r="N177" s="66">
        <f t="shared" si="19"/>
        <v>2938264</v>
      </c>
      <c r="O177" s="66">
        <f t="shared" si="20"/>
        <v>2938264</v>
      </c>
      <c r="P177" s="170" t="s">
        <v>213</v>
      </c>
      <c r="Q177" s="170">
        <v>1790000</v>
      </c>
      <c r="R177" s="170">
        <v>1790000</v>
      </c>
      <c r="S177" s="170">
        <v>894504</v>
      </c>
      <c r="T177" s="170">
        <v>894504</v>
      </c>
      <c r="U177" s="157">
        <f t="shared" si="21"/>
        <v>0</v>
      </c>
      <c r="V177" s="157">
        <f t="shared" si="22"/>
        <v>0</v>
      </c>
      <c r="W177" s="157">
        <f t="shared" si="23"/>
        <v>253760</v>
      </c>
      <c r="X177" s="157">
        <f t="shared" si="24"/>
        <v>253760</v>
      </c>
      <c r="Z177" s="218"/>
      <c r="AA177" s="253"/>
      <c r="AB177" s="288"/>
      <c r="AC177" s="289"/>
      <c r="AD177" s="289"/>
      <c r="AE177" s="291"/>
      <c r="AF177" s="189"/>
      <c r="AH177" s="263" t="s">
        <v>439</v>
      </c>
      <c r="AI177" s="240">
        <f t="shared" si="25"/>
        <v>2938264</v>
      </c>
    </row>
    <row r="178" spans="3:35" s="39" customFormat="1" ht="32.25" customHeight="1">
      <c r="C178" s="313"/>
      <c r="D178" s="132" t="s">
        <v>86</v>
      </c>
      <c r="E178" s="132" t="s">
        <v>90</v>
      </c>
      <c r="F178" s="132"/>
      <c r="G178" s="132"/>
      <c r="H178" s="132"/>
      <c r="I178" s="133">
        <v>85</v>
      </c>
      <c r="J178" s="137">
        <v>1350000</v>
      </c>
      <c r="K178" s="137">
        <v>1350000</v>
      </c>
      <c r="L178" s="189">
        <v>800020</v>
      </c>
      <c r="M178" s="189">
        <v>800020</v>
      </c>
      <c r="N178" s="66">
        <f t="shared" si="19"/>
        <v>2150020</v>
      </c>
      <c r="O178" s="66">
        <f t="shared" si="20"/>
        <v>2150020</v>
      </c>
      <c r="P178" s="170" t="s">
        <v>214</v>
      </c>
      <c r="Q178" s="170">
        <v>1350000</v>
      </c>
      <c r="R178" s="170">
        <v>1350000</v>
      </c>
      <c r="S178" s="170">
        <v>623220</v>
      </c>
      <c r="T178" s="170">
        <v>623220</v>
      </c>
      <c r="U178" s="157">
        <f t="shared" si="21"/>
        <v>0</v>
      </c>
      <c r="V178" s="157">
        <f t="shared" si="22"/>
        <v>0</v>
      </c>
      <c r="W178" s="157">
        <f t="shared" si="23"/>
        <v>176800</v>
      </c>
      <c r="X178" s="157">
        <f t="shared" si="24"/>
        <v>176800</v>
      </c>
      <c r="Z178" s="218"/>
      <c r="AA178" s="253"/>
      <c r="AB178" s="288"/>
      <c r="AC178" s="289"/>
      <c r="AD178" s="289"/>
      <c r="AE178" s="291"/>
      <c r="AF178" s="189"/>
      <c r="AI178" s="240">
        <f t="shared" si="25"/>
        <v>2150020</v>
      </c>
    </row>
    <row r="179" spans="3:35" s="39" customFormat="1" ht="32.25" customHeight="1">
      <c r="C179" s="313"/>
      <c r="D179" s="132" t="s">
        <v>90</v>
      </c>
      <c r="E179" s="132" t="s">
        <v>82</v>
      </c>
      <c r="F179" s="132"/>
      <c r="G179" s="132"/>
      <c r="H179" s="132" t="s">
        <v>64</v>
      </c>
      <c r="I179" s="133">
        <v>234</v>
      </c>
      <c r="J179" s="137">
        <v>2150000</v>
      </c>
      <c r="K179" s="137">
        <v>2150000</v>
      </c>
      <c r="L179" s="189">
        <v>2202408</v>
      </c>
      <c r="M179" s="189">
        <v>2202408</v>
      </c>
      <c r="N179" s="66">
        <f t="shared" si="19"/>
        <v>4352408</v>
      </c>
      <c r="O179" s="66">
        <f t="shared" si="20"/>
        <v>4352408</v>
      </c>
      <c r="P179" s="170" t="s">
        <v>215</v>
      </c>
      <c r="Q179" s="170">
        <v>2150000</v>
      </c>
      <c r="R179" s="170">
        <v>2150000</v>
      </c>
      <c r="S179" s="170">
        <v>1715688</v>
      </c>
      <c r="T179" s="170">
        <v>1715688</v>
      </c>
      <c r="U179" s="157">
        <f t="shared" si="21"/>
        <v>0</v>
      </c>
      <c r="V179" s="157">
        <f t="shared" si="22"/>
        <v>0</v>
      </c>
      <c r="W179" s="157">
        <f t="shared" si="23"/>
        <v>486720</v>
      </c>
      <c r="X179" s="157">
        <f t="shared" si="24"/>
        <v>486720</v>
      </c>
      <c r="Z179" s="218"/>
      <c r="AA179" s="253"/>
      <c r="AB179" s="288"/>
      <c r="AC179" s="289"/>
      <c r="AD179" s="289"/>
      <c r="AE179" s="291"/>
      <c r="AF179" s="189"/>
      <c r="AI179" s="240">
        <f t="shared" si="25"/>
        <v>4352408</v>
      </c>
    </row>
    <row r="180" spans="3:35" s="39" customFormat="1" ht="32.25" customHeight="1">
      <c r="C180" s="313"/>
      <c r="D180" s="132" t="s">
        <v>86</v>
      </c>
      <c r="E180" s="132" t="s">
        <v>90</v>
      </c>
      <c r="F180" s="132"/>
      <c r="G180" s="132"/>
      <c r="H180" s="132"/>
      <c r="I180" s="133">
        <v>85</v>
      </c>
      <c r="J180" s="137">
        <v>1350000</v>
      </c>
      <c r="K180" s="137">
        <v>1350000</v>
      </c>
      <c r="L180" s="189">
        <v>800020</v>
      </c>
      <c r="M180" s="189">
        <v>800020</v>
      </c>
      <c r="N180" s="66">
        <f t="shared" si="19"/>
        <v>2150020</v>
      </c>
      <c r="O180" s="66">
        <f t="shared" si="20"/>
        <v>2150020</v>
      </c>
      <c r="P180" s="170" t="s">
        <v>214</v>
      </c>
      <c r="Q180" s="170">
        <v>1350000</v>
      </c>
      <c r="R180" s="170">
        <v>1350000</v>
      </c>
      <c r="S180" s="170">
        <v>623220</v>
      </c>
      <c r="T180" s="170">
        <v>623220</v>
      </c>
      <c r="U180" s="157">
        <f t="shared" si="21"/>
        <v>0</v>
      </c>
      <c r="V180" s="157">
        <f t="shared" si="22"/>
        <v>0</v>
      </c>
      <c r="W180" s="157">
        <f t="shared" si="23"/>
        <v>176800</v>
      </c>
      <c r="X180" s="157">
        <f t="shared" si="24"/>
        <v>176800</v>
      </c>
      <c r="Z180" s="218"/>
      <c r="AA180" s="253"/>
      <c r="AB180" s="288"/>
      <c r="AC180" s="289"/>
      <c r="AD180" s="289"/>
      <c r="AE180" s="291"/>
      <c r="AF180" s="189"/>
      <c r="AI180" s="240">
        <f t="shared" si="25"/>
        <v>2150020</v>
      </c>
    </row>
    <row r="181" spans="3:35" s="39" customFormat="1" ht="32.25" customHeight="1">
      <c r="C181" s="313"/>
      <c r="D181" s="132" t="s">
        <v>90</v>
      </c>
      <c r="E181" s="132" t="s">
        <v>81</v>
      </c>
      <c r="F181" s="132"/>
      <c r="G181" s="132"/>
      <c r="H181" s="132" t="s">
        <v>64</v>
      </c>
      <c r="I181" s="133">
        <v>258</v>
      </c>
      <c r="J181" s="137">
        <v>2250000</v>
      </c>
      <c r="K181" s="137">
        <v>2250000</v>
      </c>
      <c r="L181" s="189">
        <v>2428296</v>
      </c>
      <c r="M181" s="189">
        <v>2428296</v>
      </c>
      <c r="N181" s="66">
        <f t="shared" si="19"/>
        <v>4678296</v>
      </c>
      <c r="O181" s="66">
        <f t="shared" si="20"/>
        <v>4678296</v>
      </c>
      <c r="P181" s="170" t="s">
        <v>216</v>
      </c>
      <c r="Q181" s="170">
        <v>2250000</v>
      </c>
      <c r="R181" s="170">
        <v>2250000</v>
      </c>
      <c r="S181" s="170">
        <v>1891656</v>
      </c>
      <c r="T181" s="170">
        <v>1891656</v>
      </c>
      <c r="U181" s="157">
        <f t="shared" si="21"/>
        <v>0</v>
      </c>
      <c r="V181" s="157">
        <f t="shared" si="22"/>
        <v>0</v>
      </c>
      <c r="W181" s="157">
        <f t="shared" si="23"/>
        <v>536640</v>
      </c>
      <c r="X181" s="157">
        <f t="shared" si="24"/>
        <v>536640</v>
      </c>
      <c r="Z181" s="218"/>
      <c r="AA181" s="253"/>
      <c r="AB181" s="288"/>
      <c r="AC181" s="289"/>
      <c r="AD181" s="289"/>
      <c r="AE181" s="291"/>
      <c r="AF181" s="189"/>
      <c r="AI181" s="240">
        <f t="shared" si="25"/>
        <v>4678296</v>
      </c>
    </row>
    <row r="182" spans="3:35" s="39" customFormat="1" ht="32.25" customHeight="1">
      <c r="C182" s="313"/>
      <c r="D182" s="132" t="s">
        <v>86</v>
      </c>
      <c r="E182" s="132" t="s">
        <v>90</v>
      </c>
      <c r="F182" s="132"/>
      <c r="G182" s="132"/>
      <c r="H182" s="132"/>
      <c r="I182" s="133">
        <v>85</v>
      </c>
      <c r="J182" s="137">
        <v>1350000</v>
      </c>
      <c r="K182" s="137">
        <v>1350000</v>
      </c>
      <c r="L182" s="189">
        <v>800020</v>
      </c>
      <c r="M182" s="189">
        <v>800020</v>
      </c>
      <c r="N182" s="66">
        <f t="shared" si="19"/>
        <v>2150020</v>
      </c>
      <c r="O182" s="66">
        <f t="shared" si="20"/>
        <v>2150020</v>
      </c>
      <c r="P182" s="170" t="s">
        <v>214</v>
      </c>
      <c r="Q182" s="170">
        <v>1350000</v>
      </c>
      <c r="R182" s="170">
        <v>1350000</v>
      </c>
      <c r="S182" s="170">
        <v>623220</v>
      </c>
      <c r="T182" s="170">
        <v>623220</v>
      </c>
      <c r="U182" s="157">
        <f t="shared" si="21"/>
        <v>0</v>
      </c>
      <c r="V182" s="157">
        <f t="shared" si="22"/>
        <v>0</v>
      </c>
      <c r="W182" s="157">
        <f t="shared" si="23"/>
        <v>176800</v>
      </c>
      <c r="X182" s="157">
        <f t="shared" si="24"/>
        <v>176800</v>
      </c>
      <c r="Z182" s="218"/>
      <c r="AA182" s="253"/>
      <c r="AB182" s="288"/>
      <c r="AC182" s="289"/>
      <c r="AD182" s="289"/>
      <c r="AE182" s="291"/>
      <c r="AF182" s="189"/>
      <c r="AI182" s="240">
        <f t="shared" si="25"/>
        <v>2150020</v>
      </c>
    </row>
    <row r="183" spans="3:35" s="39" customFormat="1" ht="32.25" customHeight="1">
      <c r="C183" s="313"/>
      <c r="D183" s="132" t="s">
        <v>90</v>
      </c>
      <c r="E183" s="132" t="s">
        <v>83</v>
      </c>
      <c r="F183" s="132"/>
      <c r="G183" s="132"/>
      <c r="H183" s="132" t="s">
        <v>64</v>
      </c>
      <c r="I183" s="133">
        <v>267</v>
      </c>
      <c r="J183" s="137">
        <v>2250000</v>
      </c>
      <c r="K183" s="137">
        <v>2250000</v>
      </c>
      <c r="L183" s="189">
        <v>2513004</v>
      </c>
      <c r="M183" s="189">
        <v>2513004</v>
      </c>
      <c r="N183" s="66">
        <f t="shared" si="19"/>
        <v>4763004</v>
      </c>
      <c r="O183" s="66">
        <f t="shared" si="20"/>
        <v>4763004</v>
      </c>
      <c r="P183" s="170" t="s">
        <v>217</v>
      </c>
      <c r="Q183" s="170">
        <v>2250000</v>
      </c>
      <c r="R183" s="170">
        <v>2250000</v>
      </c>
      <c r="S183" s="170">
        <v>1957644</v>
      </c>
      <c r="T183" s="170">
        <v>1957644</v>
      </c>
      <c r="U183" s="157">
        <f t="shared" si="21"/>
        <v>0</v>
      </c>
      <c r="V183" s="157">
        <f t="shared" si="22"/>
        <v>0</v>
      </c>
      <c r="W183" s="157">
        <f t="shared" si="23"/>
        <v>555360</v>
      </c>
      <c r="X183" s="157">
        <f t="shared" si="24"/>
        <v>555360</v>
      </c>
      <c r="Z183" s="218"/>
      <c r="AA183" s="253"/>
      <c r="AB183" s="288"/>
      <c r="AC183" s="289"/>
      <c r="AD183" s="289"/>
      <c r="AE183" s="291"/>
      <c r="AF183" s="189"/>
      <c r="AI183" s="240">
        <f t="shared" si="25"/>
        <v>4763004</v>
      </c>
    </row>
    <row r="184" spans="3:35" s="39" customFormat="1" ht="32.25" customHeight="1">
      <c r="C184" s="313"/>
      <c r="D184" s="132" t="s">
        <v>86</v>
      </c>
      <c r="E184" s="132" t="s">
        <v>91</v>
      </c>
      <c r="F184" s="132"/>
      <c r="G184" s="132"/>
      <c r="H184" s="132"/>
      <c r="I184" s="133">
        <v>35</v>
      </c>
      <c r="J184" s="137">
        <v>1020000</v>
      </c>
      <c r="K184" s="137">
        <v>1020000</v>
      </c>
      <c r="L184" s="189">
        <v>329420</v>
      </c>
      <c r="M184" s="189">
        <v>329420</v>
      </c>
      <c r="N184" s="66">
        <f t="shared" si="19"/>
        <v>1349420</v>
      </c>
      <c r="O184" s="66">
        <f t="shared" si="20"/>
        <v>1349420</v>
      </c>
      <c r="P184" s="170" t="s">
        <v>218</v>
      </c>
      <c r="Q184" s="170">
        <v>1020000</v>
      </c>
      <c r="R184" s="170">
        <v>1020000</v>
      </c>
      <c r="S184" s="170">
        <v>256620</v>
      </c>
      <c r="T184" s="170">
        <v>256620</v>
      </c>
      <c r="U184" s="157">
        <f t="shared" si="21"/>
        <v>0</v>
      </c>
      <c r="V184" s="157">
        <f t="shared" si="22"/>
        <v>0</v>
      </c>
      <c r="W184" s="157">
        <f t="shared" si="23"/>
        <v>72800</v>
      </c>
      <c r="X184" s="157">
        <f t="shared" si="24"/>
        <v>72800</v>
      </c>
      <c r="Z184" s="218"/>
      <c r="AA184" s="253"/>
      <c r="AB184" s="288"/>
      <c r="AC184" s="289"/>
      <c r="AD184" s="289"/>
      <c r="AE184" s="291"/>
      <c r="AF184" s="189"/>
      <c r="AI184" s="240">
        <f t="shared" si="25"/>
        <v>1349420</v>
      </c>
    </row>
    <row r="185" spans="3:35" s="39" customFormat="1" ht="32.25" customHeight="1">
      <c r="C185" s="313"/>
      <c r="D185" s="132" t="s">
        <v>91</v>
      </c>
      <c r="E185" s="132" t="s">
        <v>82</v>
      </c>
      <c r="F185" s="132"/>
      <c r="G185" s="132"/>
      <c r="H185" s="132" t="s">
        <v>64</v>
      </c>
      <c r="I185" s="133">
        <v>269</v>
      </c>
      <c r="J185" s="137">
        <v>2250000</v>
      </c>
      <c r="K185" s="137">
        <v>2250000</v>
      </c>
      <c r="L185" s="189">
        <v>2531828</v>
      </c>
      <c r="M185" s="189">
        <v>2531828</v>
      </c>
      <c r="N185" s="66">
        <f t="shared" si="19"/>
        <v>4781828</v>
      </c>
      <c r="O185" s="66">
        <f t="shared" si="20"/>
        <v>4781828</v>
      </c>
      <c r="P185" s="170" t="s">
        <v>219</v>
      </c>
      <c r="Q185" s="170">
        <v>2250000</v>
      </c>
      <c r="R185" s="170">
        <v>2250000</v>
      </c>
      <c r="S185" s="170">
        <v>1972308</v>
      </c>
      <c r="T185" s="170">
        <v>1972308</v>
      </c>
      <c r="U185" s="157">
        <f t="shared" si="21"/>
        <v>0</v>
      </c>
      <c r="V185" s="157">
        <f t="shared" si="22"/>
        <v>0</v>
      </c>
      <c r="W185" s="157">
        <f t="shared" si="23"/>
        <v>559520</v>
      </c>
      <c r="X185" s="157">
        <f t="shared" si="24"/>
        <v>559520</v>
      </c>
      <c r="Z185" s="218"/>
      <c r="AA185" s="253"/>
      <c r="AB185" s="288"/>
      <c r="AC185" s="289"/>
      <c r="AD185" s="289"/>
      <c r="AE185" s="291"/>
      <c r="AF185" s="189"/>
      <c r="AI185" s="240">
        <f t="shared" si="25"/>
        <v>4781828</v>
      </c>
    </row>
    <row r="186" spans="3:35" s="39" customFormat="1" ht="32.25" customHeight="1">
      <c r="C186" s="315" t="s">
        <v>40</v>
      </c>
      <c r="D186" s="316" t="s">
        <v>39</v>
      </c>
      <c r="E186" s="317"/>
      <c r="F186" s="317"/>
      <c r="G186" s="317"/>
      <c r="H186" s="318"/>
      <c r="I186" s="319" t="s">
        <v>41</v>
      </c>
      <c r="J186" s="320" t="s">
        <v>69</v>
      </c>
      <c r="K186" s="320"/>
      <c r="L186" s="307" t="s">
        <v>38</v>
      </c>
      <c r="M186" s="308"/>
      <c r="N186" s="311" t="s">
        <v>13</v>
      </c>
      <c r="O186" s="311"/>
      <c r="P186" s="170"/>
      <c r="Q186" s="170"/>
      <c r="R186" s="170"/>
      <c r="S186" s="170"/>
      <c r="T186" s="170"/>
      <c r="U186" s="157"/>
      <c r="V186" s="157"/>
      <c r="W186" s="157"/>
      <c r="X186" s="157"/>
      <c r="Z186" s="218"/>
      <c r="AA186" s="253"/>
      <c r="AB186" s="288"/>
      <c r="AC186" s="289"/>
      <c r="AD186" s="289"/>
      <c r="AE186" s="307"/>
      <c r="AF186" s="308"/>
      <c r="AI186" s="240">
        <f t="shared" si="25"/>
        <v>0</v>
      </c>
    </row>
    <row r="187" spans="3:35" s="39" customFormat="1" ht="32.25" customHeight="1">
      <c r="C187" s="301"/>
      <c r="D187" s="117" t="s">
        <v>15</v>
      </c>
      <c r="E187" s="117" t="s">
        <v>16</v>
      </c>
      <c r="F187" s="117" t="s">
        <v>16</v>
      </c>
      <c r="G187" s="117" t="s">
        <v>16</v>
      </c>
      <c r="H187" s="117" t="s">
        <v>16</v>
      </c>
      <c r="I187" s="301"/>
      <c r="J187" s="117" t="s">
        <v>35</v>
      </c>
      <c r="K187" s="117" t="s">
        <v>36</v>
      </c>
      <c r="L187" s="190" t="s">
        <v>35</v>
      </c>
      <c r="M187" s="190" t="s">
        <v>36</v>
      </c>
      <c r="N187" s="117" t="s">
        <v>35</v>
      </c>
      <c r="O187" s="117" t="s">
        <v>36</v>
      </c>
      <c r="P187" s="170"/>
      <c r="Q187" s="170"/>
      <c r="R187" s="170"/>
      <c r="S187" s="170"/>
      <c r="T187" s="170"/>
      <c r="U187" s="157"/>
      <c r="V187" s="157"/>
      <c r="W187" s="157"/>
      <c r="X187" s="157"/>
      <c r="Z187" s="218"/>
      <c r="AA187" s="253"/>
      <c r="AB187" s="288"/>
      <c r="AC187" s="289"/>
      <c r="AD187" s="289"/>
      <c r="AE187" s="293"/>
      <c r="AF187" s="190"/>
      <c r="AI187" s="240" t="str">
        <f t="shared" si="25"/>
        <v>20FT</v>
      </c>
    </row>
    <row r="188" spans="3:35" s="39" customFormat="1" ht="39" customHeight="1">
      <c r="C188" s="313" t="s">
        <v>56</v>
      </c>
      <c r="D188" s="132" t="s">
        <v>86</v>
      </c>
      <c r="E188" s="132" t="s">
        <v>91</v>
      </c>
      <c r="F188" s="132"/>
      <c r="G188" s="132"/>
      <c r="H188" s="132"/>
      <c r="I188" s="133">
        <v>35</v>
      </c>
      <c r="J188" s="137">
        <v>1020000</v>
      </c>
      <c r="K188" s="137">
        <v>1020000</v>
      </c>
      <c r="L188" s="189">
        <v>329420</v>
      </c>
      <c r="M188" s="189">
        <v>329420</v>
      </c>
      <c r="N188" s="66">
        <f t="shared" ref="N188:N194" si="26">+J188+L188</f>
        <v>1349420</v>
      </c>
      <c r="O188" s="66">
        <f t="shared" ref="O188:O194" si="27">+K188+M188</f>
        <v>1349420</v>
      </c>
      <c r="P188" s="170" t="s">
        <v>218</v>
      </c>
      <c r="Q188" s="170">
        <v>1020000</v>
      </c>
      <c r="R188" s="170">
        <v>1020000</v>
      </c>
      <c r="S188" s="170">
        <v>256620</v>
      </c>
      <c r="T188" s="170">
        <v>256620</v>
      </c>
      <c r="U188" s="157">
        <f t="shared" si="21"/>
        <v>0</v>
      </c>
      <c r="V188" s="157">
        <f t="shared" si="22"/>
        <v>0</v>
      </c>
      <c r="W188" s="157">
        <f t="shared" si="23"/>
        <v>72800</v>
      </c>
      <c r="X188" s="157">
        <f t="shared" si="24"/>
        <v>72800</v>
      </c>
      <c r="Z188" s="218"/>
      <c r="AA188" s="253"/>
      <c r="AB188" s="288"/>
      <c r="AC188" s="289"/>
      <c r="AD188" s="289"/>
      <c r="AE188" s="291"/>
      <c r="AF188" s="189"/>
      <c r="AI188" s="240">
        <f t="shared" si="25"/>
        <v>1349420</v>
      </c>
    </row>
    <row r="189" spans="3:35" s="39" customFormat="1" ht="39" customHeight="1">
      <c r="C189" s="313"/>
      <c r="D189" s="132" t="s">
        <v>91</v>
      </c>
      <c r="E189" s="132" t="s">
        <v>81</v>
      </c>
      <c r="F189" s="132"/>
      <c r="G189" s="132"/>
      <c r="H189" s="132" t="s">
        <v>64</v>
      </c>
      <c r="I189" s="133">
        <v>223</v>
      </c>
      <c r="J189" s="137">
        <v>2150000</v>
      </c>
      <c r="K189" s="137">
        <v>2150000</v>
      </c>
      <c r="L189" s="189">
        <v>2098876</v>
      </c>
      <c r="M189" s="189">
        <v>2098876</v>
      </c>
      <c r="N189" s="66">
        <f t="shared" si="26"/>
        <v>4248876</v>
      </c>
      <c r="O189" s="66">
        <f t="shared" si="27"/>
        <v>4248876</v>
      </c>
      <c r="P189" s="170" t="s">
        <v>220</v>
      </c>
      <c r="Q189" s="170">
        <v>2150000</v>
      </c>
      <c r="R189" s="170">
        <v>2150000</v>
      </c>
      <c r="S189" s="170">
        <v>1635036</v>
      </c>
      <c r="T189" s="170">
        <v>1635036</v>
      </c>
      <c r="U189" s="157">
        <f t="shared" si="21"/>
        <v>0</v>
      </c>
      <c r="V189" s="157">
        <f t="shared" si="22"/>
        <v>0</v>
      </c>
      <c r="W189" s="157">
        <f t="shared" si="23"/>
        <v>463840</v>
      </c>
      <c r="X189" s="157">
        <f t="shared" si="24"/>
        <v>463840</v>
      </c>
      <c r="Z189" s="218"/>
      <c r="AA189" s="253"/>
      <c r="AB189" s="288"/>
      <c r="AC189" s="289"/>
      <c r="AD189" s="289"/>
      <c r="AE189" s="291"/>
      <c r="AF189" s="189"/>
      <c r="AI189" s="240">
        <f t="shared" si="25"/>
        <v>4248876</v>
      </c>
    </row>
    <row r="190" spans="3:35" s="39" customFormat="1" ht="39" customHeight="1">
      <c r="C190" s="313"/>
      <c r="D190" s="132" t="s">
        <v>86</v>
      </c>
      <c r="E190" s="132" t="s">
        <v>91</v>
      </c>
      <c r="F190" s="132"/>
      <c r="G190" s="132"/>
      <c r="H190" s="132"/>
      <c r="I190" s="133">
        <v>35</v>
      </c>
      <c r="J190" s="137">
        <v>1020000</v>
      </c>
      <c r="K190" s="137">
        <v>1020000</v>
      </c>
      <c r="L190" s="189">
        <v>329420</v>
      </c>
      <c r="M190" s="189">
        <v>329420</v>
      </c>
      <c r="N190" s="66">
        <f t="shared" si="26"/>
        <v>1349420</v>
      </c>
      <c r="O190" s="66">
        <f t="shared" si="27"/>
        <v>1349420</v>
      </c>
      <c r="P190" s="170" t="s">
        <v>218</v>
      </c>
      <c r="Q190" s="170">
        <v>1020000</v>
      </c>
      <c r="R190" s="170">
        <v>1020000</v>
      </c>
      <c r="S190" s="170">
        <v>256620</v>
      </c>
      <c r="T190" s="170">
        <v>256620</v>
      </c>
      <c r="U190" s="157">
        <f t="shared" si="21"/>
        <v>0</v>
      </c>
      <c r="V190" s="157">
        <f t="shared" si="22"/>
        <v>0</v>
      </c>
      <c r="W190" s="157">
        <f t="shared" si="23"/>
        <v>72800</v>
      </c>
      <c r="X190" s="157">
        <f t="shared" si="24"/>
        <v>72800</v>
      </c>
      <c r="Z190" s="218"/>
      <c r="AA190" s="253"/>
      <c r="AB190" s="288"/>
      <c r="AC190" s="289"/>
      <c r="AD190" s="289"/>
      <c r="AE190" s="291"/>
      <c r="AF190" s="189"/>
      <c r="AI190" s="240">
        <f t="shared" si="25"/>
        <v>1349420</v>
      </c>
    </row>
    <row r="191" spans="3:35" s="39" customFormat="1" ht="39" customHeight="1">
      <c r="C191" s="313"/>
      <c r="D191" s="132" t="s">
        <v>91</v>
      </c>
      <c r="E191" s="132" t="s">
        <v>83</v>
      </c>
      <c r="F191" s="132"/>
      <c r="G191" s="132"/>
      <c r="H191" s="132" t="s">
        <v>64</v>
      </c>
      <c r="I191" s="133">
        <v>232</v>
      </c>
      <c r="J191" s="137">
        <v>2150000</v>
      </c>
      <c r="K191" s="137">
        <v>2150000</v>
      </c>
      <c r="L191" s="189">
        <v>2183584</v>
      </c>
      <c r="M191" s="189">
        <v>2183584</v>
      </c>
      <c r="N191" s="66">
        <f t="shared" si="26"/>
        <v>4333584</v>
      </c>
      <c r="O191" s="66">
        <f t="shared" si="27"/>
        <v>4333584</v>
      </c>
      <c r="P191" s="170" t="s">
        <v>221</v>
      </c>
      <c r="Q191" s="170">
        <v>2150000</v>
      </c>
      <c r="R191" s="170">
        <v>2150000</v>
      </c>
      <c r="S191" s="170">
        <v>1701024</v>
      </c>
      <c r="T191" s="170">
        <v>1701024</v>
      </c>
      <c r="U191" s="157">
        <f t="shared" si="21"/>
        <v>0</v>
      </c>
      <c r="V191" s="157">
        <f t="shared" si="22"/>
        <v>0</v>
      </c>
      <c r="W191" s="157">
        <f t="shared" si="23"/>
        <v>482560</v>
      </c>
      <c r="X191" s="157">
        <f t="shared" si="24"/>
        <v>482560</v>
      </c>
      <c r="Z191" s="218"/>
      <c r="AA191" s="253"/>
      <c r="AB191" s="288"/>
      <c r="AC191" s="289"/>
      <c r="AD191" s="289"/>
      <c r="AE191" s="291"/>
      <c r="AF191" s="189"/>
      <c r="AI191" s="240">
        <f t="shared" si="25"/>
        <v>4333584</v>
      </c>
    </row>
    <row r="192" spans="3:35" s="39" customFormat="1" ht="39" customHeight="1">
      <c r="C192" s="313"/>
      <c r="D192" s="132" t="s">
        <v>86</v>
      </c>
      <c r="E192" s="132" t="s">
        <v>92</v>
      </c>
      <c r="F192" s="132"/>
      <c r="G192" s="132"/>
      <c r="H192" s="132"/>
      <c r="I192" s="133">
        <v>20</v>
      </c>
      <c r="J192" s="137">
        <v>1020000</v>
      </c>
      <c r="K192" s="137">
        <v>1020000</v>
      </c>
      <c r="L192" s="189">
        <v>188240</v>
      </c>
      <c r="M192" s="189">
        <v>188240</v>
      </c>
      <c r="N192" s="66">
        <f t="shared" si="26"/>
        <v>1208240</v>
      </c>
      <c r="O192" s="66">
        <f t="shared" si="27"/>
        <v>1208240</v>
      </c>
      <c r="P192" s="170" t="s">
        <v>222</v>
      </c>
      <c r="Q192" s="170">
        <v>1020000</v>
      </c>
      <c r="R192" s="170">
        <v>1020000</v>
      </c>
      <c r="S192" s="170">
        <v>146640</v>
      </c>
      <c r="T192" s="170">
        <v>146640</v>
      </c>
      <c r="U192" s="157">
        <f t="shared" si="21"/>
        <v>0</v>
      </c>
      <c r="V192" s="157">
        <f t="shared" si="22"/>
        <v>0</v>
      </c>
      <c r="W192" s="157">
        <f t="shared" si="23"/>
        <v>41600</v>
      </c>
      <c r="X192" s="157">
        <f t="shared" si="24"/>
        <v>41600</v>
      </c>
      <c r="Z192" s="218"/>
      <c r="AA192" s="253"/>
      <c r="AB192" s="288"/>
      <c r="AC192" s="289"/>
      <c r="AD192" s="289"/>
      <c r="AE192" s="291"/>
      <c r="AF192" s="189"/>
      <c r="AI192" s="240">
        <f t="shared" si="25"/>
        <v>1208240</v>
      </c>
    </row>
    <row r="193" spans="3:35" s="39" customFormat="1" ht="39" customHeight="1">
      <c r="C193" s="313"/>
      <c r="D193" s="132" t="s">
        <v>92</v>
      </c>
      <c r="E193" s="132" t="s">
        <v>82</v>
      </c>
      <c r="F193" s="132"/>
      <c r="G193" s="132"/>
      <c r="H193" s="132" t="s">
        <v>64</v>
      </c>
      <c r="I193" s="133">
        <v>289</v>
      </c>
      <c r="J193" s="137">
        <v>2350000</v>
      </c>
      <c r="K193" s="137">
        <v>2350000</v>
      </c>
      <c r="L193" s="189">
        <v>2720068</v>
      </c>
      <c r="M193" s="189">
        <v>2720068</v>
      </c>
      <c r="N193" s="66">
        <f t="shared" si="26"/>
        <v>5070068</v>
      </c>
      <c r="O193" s="66">
        <f t="shared" si="27"/>
        <v>5070068</v>
      </c>
      <c r="P193" s="170" t="s">
        <v>223</v>
      </c>
      <c r="Q193" s="170">
        <v>2350000</v>
      </c>
      <c r="R193" s="170">
        <v>2350000</v>
      </c>
      <c r="S193" s="170">
        <v>2118948</v>
      </c>
      <c r="T193" s="170">
        <v>2118948</v>
      </c>
      <c r="U193" s="157">
        <f t="shared" si="21"/>
        <v>0</v>
      </c>
      <c r="V193" s="157">
        <f t="shared" si="22"/>
        <v>0</v>
      </c>
      <c r="W193" s="157">
        <f t="shared" si="23"/>
        <v>601120</v>
      </c>
      <c r="X193" s="157">
        <f t="shared" si="24"/>
        <v>601120</v>
      </c>
      <c r="Z193" s="218"/>
      <c r="AA193" s="253"/>
      <c r="AB193" s="288"/>
      <c r="AC193" s="289"/>
      <c r="AD193" s="289"/>
      <c r="AE193" s="291"/>
      <c r="AF193" s="189"/>
      <c r="AI193" s="240">
        <f t="shared" si="25"/>
        <v>5070068</v>
      </c>
    </row>
    <row r="194" spans="3:35" s="39" customFormat="1" ht="39" customHeight="1">
      <c r="C194" s="313"/>
      <c r="D194" s="132" t="s">
        <v>86</v>
      </c>
      <c r="E194" s="132" t="s">
        <v>92</v>
      </c>
      <c r="F194" s="132"/>
      <c r="G194" s="132"/>
      <c r="H194" s="132"/>
      <c r="I194" s="133">
        <v>20</v>
      </c>
      <c r="J194" s="137">
        <v>1020000</v>
      </c>
      <c r="K194" s="137">
        <v>1020000</v>
      </c>
      <c r="L194" s="189">
        <v>188240</v>
      </c>
      <c r="M194" s="189">
        <v>188240</v>
      </c>
      <c r="N194" s="66">
        <f t="shared" si="26"/>
        <v>1208240</v>
      </c>
      <c r="O194" s="66">
        <f t="shared" si="27"/>
        <v>1208240</v>
      </c>
      <c r="P194" s="170" t="s">
        <v>222</v>
      </c>
      <c r="Q194" s="170">
        <v>1020000</v>
      </c>
      <c r="R194" s="170">
        <v>1020000</v>
      </c>
      <c r="S194" s="170">
        <v>146640</v>
      </c>
      <c r="T194" s="170">
        <v>146640</v>
      </c>
      <c r="U194" s="157">
        <f t="shared" si="21"/>
        <v>0</v>
      </c>
      <c r="V194" s="157">
        <f t="shared" si="22"/>
        <v>0</v>
      </c>
      <c r="W194" s="157">
        <f t="shared" si="23"/>
        <v>41600</v>
      </c>
      <c r="X194" s="157">
        <f t="shared" si="24"/>
        <v>41600</v>
      </c>
      <c r="Z194" s="218"/>
      <c r="AA194" s="253"/>
      <c r="AB194" s="288"/>
      <c r="AC194" s="289"/>
      <c r="AD194" s="289"/>
      <c r="AE194" s="291"/>
      <c r="AF194" s="189"/>
      <c r="AI194" s="240">
        <f t="shared" si="25"/>
        <v>1208240</v>
      </c>
    </row>
    <row r="195" spans="3:35" s="39" customFormat="1" ht="39" customHeight="1">
      <c r="C195" s="313"/>
      <c r="D195" s="132" t="s">
        <v>92</v>
      </c>
      <c r="E195" s="132" t="s">
        <v>81</v>
      </c>
      <c r="F195" s="132"/>
      <c r="G195" s="132"/>
      <c r="H195" s="132" t="s">
        <v>64</v>
      </c>
      <c r="I195" s="133">
        <v>243</v>
      </c>
      <c r="J195" s="137">
        <v>2250000</v>
      </c>
      <c r="K195" s="137">
        <v>2250000</v>
      </c>
      <c r="L195" s="189">
        <v>2287116</v>
      </c>
      <c r="M195" s="189">
        <v>2287116</v>
      </c>
      <c r="N195" s="66">
        <f t="shared" ref="N195:N233" si="28">+J195+L195</f>
        <v>4537116</v>
      </c>
      <c r="O195" s="66">
        <f t="shared" ref="O195:O233" si="29">+K195+M195</f>
        <v>4537116</v>
      </c>
      <c r="P195" s="170" t="s">
        <v>224</v>
      </c>
      <c r="Q195" s="170">
        <v>2250000</v>
      </c>
      <c r="R195" s="170">
        <v>2250000</v>
      </c>
      <c r="S195" s="170">
        <v>1781676</v>
      </c>
      <c r="T195" s="170">
        <v>1781676</v>
      </c>
      <c r="U195" s="157">
        <f t="shared" ref="U195:U244" si="30">J195-Q195</f>
        <v>0</v>
      </c>
      <c r="V195" s="157">
        <f t="shared" ref="V195:V244" si="31">K195-R195</f>
        <v>0</v>
      </c>
      <c r="W195" s="157">
        <f t="shared" ref="W195:W244" si="32">L195-S195</f>
        <v>505440</v>
      </c>
      <c r="X195" s="157">
        <f t="shared" ref="X195:X244" si="33">M195-T195</f>
        <v>505440</v>
      </c>
      <c r="Z195" s="218"/>
      <c r="AA195" s="253"/>
      <c r="AB195" s="288"/>
      <c r="AC195" s="289"/>
      <c r="AD195" s="289"/>
      <c r="AE195" s="291"/>
      <c r="AF195" s="189"/>
      <c r="AI195" s="240">
        <f t="shared" si="25"/>
        <v>4537116</v>
      </c>
    </row>
    <row r="196" spans="3:35" s="39" customFormat="1" ht="39" customHeight="1">
      <c r="C196" s="313"/>
      <c r="D196" s="132" t="s">
        <v>86</v>
      </c>
      <c r="E196" s="132" t="s">
        <v>92</v>
      </c>
      <c r="F196" s="132"/>
      <c r="G196" s="132"/>
      <c r="H196" s="132"/>
      <c r="I196" s="133">
        <v>20</v>
      </c>
      <c r="J196" s="137">
        <v>1020000</v>
      </c>
      <c r="K196" s="137">
        <v>1020000</v>
      </c>
      <c r="L196" s="189">
        <v>188240</v>
      </c>
      <c r="M196" s="189">
        <v>188240</v>
      </c>
      <c r="N196" s="66">
        <f t="shared" si="28"/>
        <v>1208240</v>
      </c>
      <c r="O196" s="66">
        <f t="shared" si="29"/>
        <v>1208240</v>
      </c>
      <c r="P196" s="170" t="s">
        <v>222</v>
      </c>
      <c r="Q196" s="170">
        <v>1020000</v>
      </c>
      <c r="R196" s="170">
        <v>1020000</v>
      </c>
      <c r="S196" s="170">
        <v>146640</v>
      </c>
      <c r="T196" s="170">
        <v>146640</v>
      </c>
      <c r="U196" s="157">
        <f t="shared" si="30"/>
        <v>0</v>
      </c>
      <c r="V196" s="157">
        <f t="shared" si="31"/>
        <v>0</v>
      </c>
      <c r="W196" s="157">
        <f t="shared" si="32"/>
        <v>41600</v>
      </c>
      <c r="X196" s="157">
        <f t="shared" si="33"/>
        <v>41600</v>
      </c>
      <c r="Z196" s="218"/>
      <c r="AA196" s="253"/>
      <c r="AB196" s="288"/>
      <c r="AC196" s="289"/>
      <c r="AD196" s="289"/>
      <c r="AE196" s="291"/>
      <c r="AF196" s="189"/>
      <c r="AI196" s="240">
        <f t="shared" si="25"/>
        <v>1208240</v>
      </c>
    </row>
    <row r="197" spans="3:35" s="39" customFormat="1" ht="39" customHeight="1">
      <c r="C197" s="313"/>
      <c r="D197" s="132" t="s">
        <v>92</v>
      </c>
      <c r="E197" s="132" t="s">
        <v>83</v>
      </c>
      <c r="F197" s="132"/>
      <c r="G197" s="132"/>
      <c r="H197" s="132" t="s">
        <v>64</v>
      </c>
      <c r="I197" s="133">
        <v>212</v>
      </c>
      <c r="J197" s="137">
        <v>2250000</v>
      </c>
      <c r="K197" s="137">
        <v>2250000</v>
      </c>
      <c r="L197" s="189">
        <v>1995344</v>
      </c>
      <c r="M197" s="189">
        <v>1995344</v>
      </c>
      <c r="N197" s="66">
        <f t="shared" si="28"/>
        <v>4245344</v>
      </c>
      <c r="O197" s="66">
        <f t="shared" si="29"/>
        <v>4245344</v>
      </c>
      <c r="P197" s="170" t="s">
        <v>225</v>
      </c>
      <c r="Q197" s="170">
        <v>2250000</v>
      </c>
      <c r="R197" s="170">
        <v>2250000</v>
      </c>
      <c r="S197" s="170">
        <v>1554384</v>
      </c>
      <c r="T197" s="170">
        <v>1554384</v>
      </c>
      <c r="U197" s="157">
        <f t="shared" si="30"/>
        <v>0</v>
      </c>
      <c r="V197" s="157">
        <f t="shared" si="31"/>
        <v>0</v>
      </c>
      <c r="W197" s="157">
        <f t="shared" si="32"/>
        <v>440960</v>
      </c>
      <c r="X197" s="157">
        <f t="shared" si="33"/>
        <v>440960</v>
      </c>
      <c r="Z197" s="218"/>
      <c r="AA197" s="253"/>
      <c r="AB197" s="288"/>
      <c r="AC197" s="289"/>
      <c r="AD197" s="289"/>
      <c r="AE197" s="291"/>
      <c r="AF197" s="189"/>
      <c r="AI197" s="240">
        <f t="shared" si="25"/>
        <v>4245344</v>
      </c>
    </row>
    <row r="198" spans="3:35" s="39" customFormat="1" ht="39" customHeight="1">
      <c r="C198" s="313"/>
      <c r="D198" s="132" t="s">
        <v>161</v>
      </c>
      <c r="E198" s="132" t="s">
        <v>163</v>
      </c>
      <c r="F198" s="132"/>
      <c r="G198" s="132"/>
      <c r="H198" s="132"/>
      <c r="I198" s="133">
        <v>65</v>
      </c>
      <c r="J198" s="137">
        <v>1200000</v>
      </c>
      <c r="K198" s="137">
        <v>1200000</v>
      </c>
      <c r="L198" s="189">
        <v>611780</v>
      </c>
      <c r="M198" s="189">
        <v>611780</v>
      </c>
      <c r="N198" s="66">
        <f t="shared" si="28"/>
        <v>1811780</v>
      </c>
      <c r="O198" s="66">
        <f t="shared" si="29"/>
        <v>1811780</v>
      </c>
      <c r="P198" s="170" t="s">
        <v>226</v>
      </c>
      <c r="Q198" s="170">
        <v>1200000</v>
      </c>
      <c r="R198" s="170">
        <v>1200000</v>
      </c>
      <c r="S198" s="170">
        <v>476580</v>
      </c>
      <c r="T198" s="170">
        <v>476580</v>
      </c>
      <c r="U198" s="157">
        <f t="shared" si="30"/>
        <v>0</v>
      </c>
      <c r="V198" s="157">
        <f t="shared" si="31"/>
        <v>0</v>
      </c>
      <c r="W198" s="157">
        <f t="shared" si="32"/>
        <v>135200</v>
      </c>
      <c r="X198" s="157">
        <f t="shared" si="33"/>
        <v>135200</v>
      </c>
      <c r="Z198" s="218"/>
      <c r="AA198" s="253"/>
      <c r="AB198" s="288"/>
      <c r="AC198" s="289"/>
      <c r="AD198" s="289"/>
      <c r="AE198" s="291"/>
      <c r="AF198" s="189"/>
      <c r="AI198" s="240">
        <f t="shared" si="25"/>
        <v>1811780</v>
      </c>
    </row>
    <row r="199" spans="3:35" s="39" customFormat="1" ht="39" customHeight="1">
      <c r="C199" s="313"/>
      <c r="D199" s="132" t="s">
        <v>163</v>
      </c>
      <c r="E199" s="132" t="s">
        <v>82</v>
      </c>
      <c r="F199" s="132"/>
      <c r="G199" s="132"/>
      <c r="H199" s="132" t="s">
        <v>64</v>
      </c>
      <c r="I199" s="133">
        <v>234</v>
      </c>
      <c r="J199" s="137">
        <v>2150000</v>
      </c>
      <c r="K199" s="137">
        <v>2150000</v>
      </c>
      <c r="L199" s="189">
        <v>2202408</v>
      </c>
      <c r="M199" s="189">
        <v>2202408</v>
      </c>
      <c r="N199" s="66">
        <f t="shared" si="28"/>
        <v>4352408</v>
      </c>
      <c r="O199" s="66">
        <f t="shared" si="29"/>
        <v>4352408</v>
      </c>
      <c r="P199" s="170" t="s">
        <v>227</v>
      </c>
      <c r="Q199" s="170">
        <v>2150000</v>
      </c>
      <c r="R199" s="170">
        <v>2150000</v>
      </c>
      <c r="S199" s="170">
        <v>1715688</v>
      </c>
      <c r="T199" s="170">
        <v>1715688</v>
      </c>
      <c r="U199" s="157">
        <f t="shared" si="30"/>
        <v>0</v>
      </c>
      <c r="V199" s="157">
        <f t="shared" si="31"/>
        <v>0</v>
      </c>
      <c r="W199" s="157">
        <f t="shared" si="32"/>
        <v>486720</v>
      </c>
      <c r="X199" s="157">
        <f t="shared" si="33"/>
        <v>486720</v>
      </c>
      <c r="Z199" s="218"/>
      <c r="AA199" s="253"/>
      <c r="AB199" s="288"/>
      <c r="AC199" s="289"/>
      <c r="AD199" s="289"/>
      <c r="AE199" s="291"/>
      <c r="AF199" s="189"/>
      <c r="AI199" s="240">
        <f t="shared" si="25"/>
        <v>4352408</v>
      </c>
    </row>
    <row r="200" spans="3:35" s="39" customFormat="1" ht="39" customHeight="1">
      <c r="C200" s="313"/>
      <c r="D200" s="132" t="s">
        <v>161</v>
      </c>
      <c r="E200" s="132" t="s">
        <v>163</v>
      </c>
      <c r="F200" s="132"/>
      <c r="G200" s="132"/>
      <c r="H200" s="132"/>
      <c r="I200" s="133">
        <v>65</v>
      </c>
      <c r="J200" s="137">
        <v>1200000</v>
      </c>
      <c r="K200" s="137">
        <v>1200000</v>
      </c>
      <c r="L200" s="189">
        <v>611780</v>
      </c>
      <c r="M200" s="189">
        <v>611780</v>
      </c>
      <c r="N200" s="66">
        <f t="shared" si="28"/>
        <v>1811780</v>
      </c>
      <c r="O200" s="66">
        <f t="shared" si="29"/>
        <v>1811780</v>
      </c>
      <c r="P200" s="170" t="s">
        <v>226</v>
      </c>
      <c r="Q200" s="170">
        <v>1200000</v>
      </c>
      <c r="R200" s="170">
        <v>1200000</v>
      </c>
      <c r="S200" s="170">
        <v>476580</v>
      </c>
      <c r="T200" s="170">
        <v>476580</v>
      </c>
      <c r="U200" s="157">
        <f t="shared" si="30"/>
        <v>0</v>
      </c>
      <c r="V200" s="157">
        <f t="shared" si="31"/>
        <v>0</v>
      </c>
      <c r="W200" s="157">
        <f t="shared" si="32"/>
        <v>135200</v>
      </c>
      <c r="X200" s="157">
        <f t="shared" si="33"/>
        <v>135200</v>
      </c>
      <c r="Z200" s="218"/>
      <c r="AA200" s="253"/>
      <c r="AB200" s="288"/>
      <c r="AC200" s="289"/>
      <c r="AD200" s="289"/>
      <c r="AE200" s="291"/>
      <c r="AF200" s="189"/>
      <c r="AI200" s="240">
        <f t="shared" si="25"/>
        <v>1811780</v>
      </c>
    </row>
    <row r="201" spans="3:35" s="39" customFormat="1" ht="39" customHeight="1">
      <c r="C201" s="313"/>
      <c r="D201" s="132" t="s">
        <v>163</v>
      </c>
      <c r="E201" s="132" t="s">
        <v>81</v>
      </c>
      <c r="F201" s="132"/>
      <c r="G201" s="132"/>
      <c r="H201" s="132" t="s">
        <v>64</v>
      </c>
      <c r="I201" s="133">
        <v>258</v>
      </c>
      <c r="J201" s="137">
        <v>2250000</v>
      </c>
      <c r="K201" s="137">
        <v>2250000</v>
      </c>
      <c r="L201" s="189">
        <v>2428296</v>
      </c>
      <c r="M201" s="189">
        <v>2428296</v>
      </c>
      <c r="N201" s="66">
        <f t="shared" si="28"/>
        <v>4678296</v>
      </c>
      <c r="O201" s="66">
        <f t="shared" si="29"/>
        <v>4678296</v>
      </c>
      <c r="P201" s="170" t="s">
        <v>228</v>
      </c>
      <c r="Q201" s="170">
        <v>2250000</v>
      </c>
      <c r="R201" s="170">
        <v>2250000</v>
      </c>
      <c r="S201" s="170">
        <v>1891656</v>
      </c>
      <c r="T201" s="170">
        <v>1891656</v>
      </c>
      <c r="U201" s="157">
        <f t="shared" si="30"/>
        <v>0</v>
      </c>
      <c r="V201" s="157">
        <f t="shared" si="31"/>
        <v>0</v>
      </c>
      <c r="W201" s="157">
        <f t="shared" si="32"/>
        <v>536640</v>
      </c>
      <c r="X201" s="157">
        <f t="shared" si="33"/>
        <v>536640</v>
      </c>
      <c r="Z201" s="218"/>
      <c r="AA201" s="253"/>
      <c r="AB201" s="288"/>
      <c r="AC201" s="289"/>
      <c r="AD201" s="289"/>
      <c r="AE201" s="291"/>
      <c r="AF201" s="189"/>
      <c r="AI201" s="240">
        <f t="shared" si="25"/>
        <v>4678296</v>
      </c>
    </row>
    <row r="202" spans="3:35" s="39" customFormat="1" ht="39" customHeight="1">
      <c r="C202" s="313"/>
      <c r="D202" s="132" t="s">
        <v>161</v>
      </c>
      <c r="E202" s="132" t="s">
        <v>163</v>
      </c>
      <c r="F202" s="132"/>
      <c r="G202" s="132"/>
      <c r="H202" s="132"/>
      <c r="I202" s="133">
        <v>65</v>
      </c>
      <c r="J202" s="137">
        <v>1200000</v>
      </c>
      <c r="K202" s="137">
        <v>1200000</v>
      </c>
      <c r="L202" s="189">
        <v>611780</v>
      </c>
      <c r="M202" s="189">
        <v>611780</v>
      </c>
      <c r="N202" s="66">
        <f t="shared" si="28"/>
        <v>1811780</v>
      </c>
      <c r="O202" s="66">
        <f t="shared" si="29"/>
        <v>1811780</v>
      </c>
      <c r="P202" s="170" t="s">
        <v>226</v>
      </c>
      <c r="Q202" s="170">
        <v>1200000</v>
      </c>
      <c r="R202" s="170">
        <v>1200000</v>
      </c>
      <c r="S202" s="170">
        <v>476580</v>
      </c>
      <c r="T202" s="170">
        <v>476580</v>
      </c>
      <c r="U202" s="157">
        <f t="shared" si="30"/>
        <v>0</v>
      </c>
      <c r="V202" s="157">
        <f t="shared" si="31"/>
        <v>0</v>
      </c>
      <c r="W202" s="157">
        <f t="shared" si="32"/>
        <v>135200</v>
      </c>
      <c r="X202" s="157">
        <f t="shared" si="33"/>
        <v>135200</v>
      </c>
      <c r="Z202" s="218"/>
      <c r="AA202" s="253"/>
      <c r="AB202" s="288"/>
      <c r="AC202" s="289"/>
      <c r="AD202" s="289"/>
      <c r="AE202" s="291"/>
      <c r="AF202" s="189"/>
      <c r="AI202" s="240">
        <f t="shared" si="25"/>
        <v>1811780</v>
      </c>
    </row>
    <row r="203" spans="3:35" s="39" customFormat="1" ht="39" customHeight="1">
      <c r="C203" s="313"/>
      <c r="D203" s="132" t="s">
        <v>163</v>
      </c>
      <c r="E203" s="132" t="s">
        <v>83</v>
      </c>
      <c r="F203" s="132"/>
      <c r="G203" s="132"/>
      <c r="H203" s="132" t="s">
        <v>64</v>
      </c>
      <c r="I203" s="133">
        <v>267</v>
      </c>
      <c r="J203" s="137">
        <v>2250000</v>
      </c>
      <c r="K203" s="137">
        <v>2250000</v>
      </c>
      <c r="L203" s="189">
        <v>2513004</v>
      </c>
      <c r="M203" s="189">
        <v>2513004</v>
      </c>
      <c r="N203" s="66">
        <f t="shared" si="28"/>
        <v>4763004</v>
      </c>
      <c r="O203" s="66">
        <f t="shared" si="29"/>
        <v>4763004</v>
      </c>
      <c r="P203" s="170" t="s">
        <v>229</v>
      </c>
      <c r="Q203" s="170">
        <v>2250000</v>
      </c>
      <c r="R203" s="170">
        <v>2250000</v>
      </c>
      <c r="S203" s="170">
        <v>1957644</v>
      </c>
      <c r="T203" s="170">
        <v>1957644</v>
      </c>
      <c r="U203" s="157">
        <f t="shared" si="30"/>
        <v>0</v>
      </c>
      <c r="V203" s="157">
        <f t="shared" si="31"/>
        <v>0</v>
      </c>
      <c r="W203" s="157">
        <f t="shared" si="32"/>
        <v>555360</v>
      </c>
      <c r="X203" s="157">
        <f t="shared" si="33"/>
        <v>555360</v>
      </c>
      <c r="Z203" s="218"/>
      <c r="AA203" s="253"/>
      <c r="AB203" s="288"/>
      <c r="AC203" s="289"/>
      <c r="AD203" s="289"/>
      <c r="AE203" s="291"/>
      <c r="AF203" s="189"/>
      <c r="AI203" s="240">
        <f t="shared" si="25"/>
        <v>4763004</v>
      </c>
    </row>
    <row r="204" spans="3:35" s="39" customFormat="1" ht="39" customHeight="1">
      <c r="C204" s="313"/>
      <c r="D204" s="132" t="s">
        <v>161</v>
      </c>
      <c r="E204" s="132" t="s">
        <v>164</v>
      </c>
      <c r="F204" s="132"/>
      <c r="G204" s="132"/>
      <c r="H204" s="132"/>
      <c r="I204" s="133">
        <v>20</v>
      </c>
      <c r="J204" s="137">
        <v>1100000</v>
      </c>
      <c r="K204" s="137">
        <v>1100000</v>
      </c>
      <c r="L204" s="189">
        <v>188240</v>
      </c>
      <c r="M204" s="189">
        <v>188240</v>
      </c>
      <c r="N204" s="66">
        <f t="shared" si="28"/>
        <v>1288240</v>
      </c>
      <c r="O204" s="66">
        <f t="shared" si="29"/>
        <v>1288240</v>
      </c>
      <c r="P204" s="170" t="s">
        <v>230</v>
      </c>
      <c r="Q204" s="170">
        <v>1100000</v>
      </c>
      <c r="R204" s="170">
        <v>1100000</v>
      </c>
      <c r="S204" s="170">
        <v>146640</v>
      </c>
      <c r="T204" s="170">
        <v>146640</v>
      </c>
      <c r="U204" s="157">
        <f t="shared" si="30"/>
        <v>0</v>
      </c>
      <c r="V204" s="157">
        <f t="shared" si="31"/>
        <v>0</v>
      </c>
      <c r="W204" s="157">
        <f t="shared" si="32"/>
        <v>41600</v>
      </c>
      <c r="X204" s="157">
        <f t="shared" si="33"/>
        <v>41600</v>
      </c>
      <c r="Z204" s="218"/>
      <c r="AA204" s="253"/>
      <c r="AB204" s="288"/>
      <c r="AC204" s="289"/>
      <c r="AD204" s="289"/>
      <c r="AE204" s="291"/>
      <c r="AF204" s="189"/>
      <c r="AI204" s="240">
        <f t="shared" si="25"/>
        <v>1288240</v>
      </c>
    </row>
    <row r="205" spans="3:35" s="39" customFormat="1" ht="39" customHeight="1">
      <c r="C205" s="313"/>
      <c r="D205" s="132" t="s">
        <v>164</v>
      </c>
      <c r="E205" s="132" t="s">
        <v>82</v>
      </c>
      <c r="F205" s="132"/>
      <c r="G205" s="132"/>
      <c r="H205" s="132" t="s">
        <v>64</v>
      </c>
      <c r="I205" s="133">
        <v>269</v>
      </c>
      <c r="J205" s="137">
        <v>2250000</v>
      </c>
      <c r="K205" s="137">
        <v>2250000</v>
      </c>
      <c r="L205" s="189">
        <v>2531828</v>
      </c>
      <c r="M205" s="189">
        <v>2531828</v>
      </c>
      <c r="N205" s="66">
        <f t="shared" si="28"/>
        <v>4781828</v>
      </c>
      <c r="O205" s="66">
        <f t="shared" si="29"/>
        <v>4781828</v>
      </c>
      <c r="P205" s="170" t="s">
        <v>231</v>
      </c>
      <c r="Q205" s="170">
        <v>2250000</v>
      </c>
      <c r="R205" s="170">
        <v>2250000</v>
      </c>
      <c r="S205" s="170">
        <v>1972308</v>
      </c>
      <c r="T205" s="170">
        <v>1972308</v>
      </c>
      <c r="U205" s="157">
        <f t="shared" si="30"/>
        <v>0</v>
      </c>
      <c r="V205" s="157">
        <f t="shared" si="31"/>
        <v>0</v>
      </c>
      <c r="W205" s="157">
        <f t="shared" si="32"/>
        <v>559520</v>
      </c>
      <c r="X205" s="157">
        <f t="shared" si="33"/>
        <v>559520</v>
      </c>
      <c r="Z205" s="218"/>
      <c r="AA205" s="253"/>
      <c r="AB205" s="288"/>
      <c r="AC205" s="289"/>
      <c r="AD205" s="289"/>
      <c r="AE205" s="291"/>
      <c r="AF205" s="189"/>
      <c r="AI205" s="240">
        <f t="shared" si="25"/>
        <v>4781828</v>
      </c>
    </row>
    <row r="206" spans="3:35" s="39" customFormat="1" ht="39" customHeight="1">
      <c r="C206" s="313"/>
      <c r="D206" s="132" t="s">
        <v>161</v>
      </c>
      <c r="E206" s="132" t="s">
        <v>164</v>
      </c>
      <c r="F206" s="132"/>
      <c r="G206" s="132"/>
      <c r="H206" s="132"/>
      <c r="I206" s="133">
        <v>20</v>
      </c>
      <c r="J206" s="137">
        <v>1100000</v>
      </c>
      <c r="K206" s="137">
        <v>1100000</v>
      </c>
      <c r="L206" s="189">
        <v>188240</v>
      </c>
      <c r="M206" s="189">
        <v>188240</v>
      </c>
      <c r="N206" s="66">
        <f t="shared" si="28"/>
        <v>1288240</v>
      </c>
      <c r="O206" s="66">
        <f t="shared" si="29"/>
        <v>1288240</v>
      </c>
      <c r="P206" s="170" t="s">
        <v>230</v>
      </c>
      <c r="Q206" s="170">
        <v>1100000</v>
      </c>
      <c r="R206" s="170">
        <v>1100000</v>
      </c>
      <c r="S206" s="170">
        <v>146640</v>
      </c>
      <c r="T206" s="170">
        <v>146640</v>
      </c>
      <c r="U206" s="157">
        <f t="shared" si="30"/>
        <v>0</v>
      </c>
      <c r="V206" s="157">
        <f t="shared" si="31"/>
        <v>0</v>
      </c>
      <c r="W206" s="157">
        <f t="shared" si="32"/>
        <v>41600</v>
      </c>
      <c r="X206" s="157">
        <f t="shared" si="33"/>
        <v>41600</v>
      </c>
      <c r="Z206" s="218"/>
      <c r="AA206" s="253"/>
      <c r="AB206" s="288"/>
      <c r="AC206" s="289"/>
      <c r="AD206" s="289"/>
      <c r="AE206" s="291"/>
      <c r="AF206" s="189"/>
      <c r="AI206" s="240">
        <f t="shared" si="25"/>
        <v>1288240</v>
      </c>
    </row>
    <row r="207" spans="3:35" s="39" customFormat="1" ht="39" customHeight="1">
      <c r="C207" s="313"/>
      <c r="D207" s="132" t="s">
        <v>164</v>
      </c>
      <c r="E207" s="132" t="s">
        <v>81</v>
      </c>
      <c r="F207" s="132"/>
      <c r="G207" s="132"/>
      <c r="H207" s="132" t="s">
        <v>64</v>
      </c>
      <c r="I207" s="133">
        <v>223</v>
      </c>
      <c r="J207" s="137">
        <v>2150000</v>
      </c>
      <c r="K207" s="137">
        <v>2150000</v>
      </c>
      <c r="L207" s="189">
        <v>2098876</v>
      </c>
      <c r="M207" s="189">
        <v>2098876</v>
      </c>
      <c r="N207" s="66">
        <f t="shared" si="28"/>
        <v>4248876</v>
      </c>
      <c r="O207" s="66">
        <f t="shared" si="29"/>
        <v>4248876</v>
      </c>
      <c r="P207" s="170" t="s">
        <v>232</v>
      </c>
      <c r="Q207" s="170">
        <v>2150000</v>
      </c>
      <c r="R207" s="170">
        <v>2150000</v>
      </c>
      <c r="S207" s="170">
        <v>1635036</v>
      </c>
      <c r="T207" s="170">
        <v>1635036</v>
      </c>
      <c r="U207" s="157">
        <f t="shared" si="30"/>
        <v>0</v>
      </c>
      <c r="V207" s="157">
        <f t="shared" si="31"/>
        <v>0</v>
      </c>
      <c r="W207" s="157">
        <f t="shared" si="32"/>
        <v>463840</v>
      </c>
      <c r="X207" s="157">
        <f t="shared" si="33"/>
        <v>463840</v>
      </c>
      <c r="Z207" s="218"/>
      <c r="AA207" s="253"/>
      <c r="AB207" s="288"/>
      <c r="AC207" s="289"/>
      <c r="AD207" s="289"/>
      <c r="AE207" s="291"/>
      <c r="AF207" s="189"/>
      <c r="AI207" s="240">
        <f t="shared" si="25"/>
        <v>4248876</v>
      </c>
    </row>
    <row r="208" spans="3:35" s="39" customFormat="1" ht="39" customHeight="1">
      <c r="C208" s="313"/>
      <c r="D208" s="132" t="s">
        <v>161</v>
      </c>
      <c r="E208" s="132" t="s">
        <v>164</v>
      </c>
      <c r="F208" s="132"/>
      <c r="G208" s="132"/>
      <c r="H208" s="132"/>
      <c r="I208" s="133">
        <v>20</v>
      </c>
      <c r="J208" s="137">
        <v>1100000</v>
      </c>
      <c r="K208" s="137">
        <v>1100000</v>
      </c>
      <c r="L208" s="189">
        <v>188240</v>
      </c>
      <c r="M208" s="189">
        <v>188240</v>
      </c>
      <c r="N208" s="66">
        <f t="shared" si="28"/>
        <v>1288240</v>
      </c>
      <c r="O208" s="66">
        <f t="shared" si="29"/>
        <v>1288240</v>
      </c>
      <c r="P208" s="170" t="s">
        <v>230</v>
      </c>
      <c r="Q208" s="170">
        <v>1100000</v>
      </c>
      <c r="R208" s="170">
        <v>1100000</v>
      </c>
      <c r="S208" s="170">
        <v>146640</v>
      </c>
      <c r="T208" s="170">
        <v>146640</v>
      </c>
      <c r="U208" s="157">
        <f t="shared" si="30"/>
        <v>0</v>
      </c>
      <c r="V208" s="157">
        <f t="shared" si="31"/>
        <v>0</v>
      </c>
      <c r="W208" s="157">
        <f t="shared" si="32"/>
        <v>41600</v>
      </c>
      <c r="X208" s="157">
        <f t="shared" si="33"/>
        <v>41600</v>
      </c>
      <c r="Z208" s="218"/>
      <c r="AA208" s="253"/>
      <c r="AB208" s="288"/>
      <c r="AC208" s="289"/>
      <c r="AD208" s="289"/>
      <c r="AE208" s="291"/>
      <c r="AF208" s="189"/>
      <c r="AI208" s="240">
        <f t="shared" si="25"/>
        <v>1288240</v>
      </c>
    </row>
    <row r="209" spans="3:35" s="39" customFormat="1" ht="39" customHeight="1">
      <c r="C209" s="313"/>
      <c r="D209" s="132" t="s">
        <v>164</v>
      </c>
      <c r="E209" s="132" t="s">
        <v>83</v>
      </c>
      <c r="F209" s="132"/>
      <c r="G209" s="132"/>
      <c r="H209" s="132" t="s">
        <v>64</v>
      </c>
      <c r="I209" s="133">
        <v>232</v>
      </c>
      <c r="J209" s="137">
        <v>2150000</v>
      </c>
      <c r="K209" s="137">
        <v>2150000</v>
      </c>
      <c r="L209" s="189">
        <v>2183584</v>
      </c>
      <c r="M209" s="189">
        <v>2183584</v>
      </c>
      <c r="N209" s="66">
        <f t="shared" si="28"/>
        <v>4333584</v>
      </c>
      <c r="O209" s="66">
        <f t="shared" si="29"/>
        <v>4333584</v>
      </c>
      <c r="P209" s="170" t="s">
        <v>233</v>
      </c>
      <c r="Q209" s="170">
        <v>2150000</v>
      </c>
      <c r="R209" s="170">
        <v>2150000</v>
      </c>
      <c r="S209" s="170">
        <v>1701024</v>
      </c>
      <c r="T209" s="170">
        <v>1701024</v>
      </c>
      <c r="U209" s="157">
        <f t="shared" si="30"/>
        <v>0</v>
      </c>
      <c r="V209" s="157">
        <f t="shared" si="31"/>
        <v>0</v>
      </c>
      <c r="W209" s="157">
        <f t="shared" si="32"/>
        <v>482560</v>
      </c>
      <c r="X209" s="157">
        <f t="shared" si="33"/>
        <v>482560</v>
      </c>
      <c r="Z209" s="218"/>
      <c r="AA209" s="253"/>
      <c r="AB209" s="288"/>
      <c r="AC209" s="289"/>
      <c r="AD209" s="289"/>
      <c r="AE209" s="291"/>
      <c r="AF209" s="189"/>
      <c r="AI209" s="240">
        <f t="shared" ref="AI209:AI272" si="34">O209</f>
        <v>4333584</v>
      </c>
    </row>
    <row r="210" spans="3:35" s="39" customFormat="1" ht="39" customHeight="1">
      <c r="C210" s="313"/>
      <c r="D210" s="132" t="s">
        <v>161</v>
      </c>
      <c r="E210" s="132" t="s">
        <v>165</v>
      </c>
      <c r="F210" s="132"/>
      <c r="G210" s="132"/>
      <c r="H210" s="132"/>
      <c r="I210" s="133">
        <v>30</v>
      </c>
      <c r="J210" s="137">
        <v>1100000</v>
      </c>
      <c r="K210" s="137">
        <v>1100000</v>
      </c>
      <c r="L210" s="189">
        <v>282360</v>
      </c>
      <c r="M210" s="189">
        <v>282360</v>
      </c>
      <c r="N210" s="66">
        <f t="shared" si="28"/>
        <v>1382360</v>
      </c>
      <c r="O210" s="66">
        <f t="shared" si="29"/>
        <v>1382360</v>
      </c>
      <c r="P210" s="170" t="s">
        <v>234</v>
      </c>
      <c r="Q210" s="170">
        <v>1100000</v>
      </c>
      <c r="R210" s="170">
        <v>1100000</v>
      </c>
      <c r="S210" s="170">
        <v>219960</v>
      </c>
      <c r="T210" s="170">
        <v>219960</v>
      </c>
      <c r="U210" s="157">
        <f t="shared" si="30"/>
        <v>0</v>
      </c>
      <c r="V210" s="157">
        <f t="shared" si="31"/>
        <v>0</v>
      </c>
      <c r="W210" s="157">
        <f t="shared" si="32"/>
        <v>62400</v>
      </c>
      <c r="X210" s="157">
        <f t="shared" si="33"/>
        <v>62400</v>
      </c>
      <c r="Z210" s="218"/>
      <c r="AA210" s="253"/>
      <c r="AB210" s="288"/>
      <c r="AC210" s="289"/>
      <c r="AD210" s="289"/>
      <c r="AE210" s="291"/>
      <c r="AF210" s="189"/>
      <c r="AI210" s="240">
        <f t="shared" si="34"/>
        <v>1382360</v>
      </c>
    </row>
    <row r="211" spans="3:35" s="39" customFormat="1" ht="39" customHeight="1">
      <c r="C211" s="313"/>
      <c r="D211" s="132" t="s">
        <v>165</v>
      </c>
      <c r="E211" s="132" t="s">
        <v>82</v>
      </c>
      <c r="F211" s="132"/>
      <c r="G211" s="132"/>
      <c r="H211" s="132" t="s">
        <v>64</v>
      </c>
      <c r="I211" s="133">
        <v>289</v>
      </c>
      <c r="J211" s="137">
        <v>2350000</v>
      </c>
      <c r="K211" s="137">
        <v>2350000</v>
      </c>
      <c r="L211" s="189">
        <v>2720068</v>
      </c>
      <c r="M211" s="189">
        <v>2720068</v>
      </c>
      <c r="N211" s="66">
        <f t="shared" si="28"/>
        <v>5070068</v>
      </c>
      <c r="O211" s="66">
        <f t="shared" si="29"/>
        <v>5070068</v>
      </c>
      <c r="P211" s="170" t="s">
        <v>235</v>
      </c>
      <c r="Q211" s="170">
        <v>2350000</v>
      </c>
      <c r="R211" s="170">
        <v>2350000</v>
      </c>
      <c r="S211" s="170">
        <v>2118948</v>
      </c>
      <c r="T211" s="170">
        <v>2118948</v>
      </c>
      <c r="U211" s="157">
        <f t="shared" si="30"/>
        <v>0</v>
      </c>
      <c r="V211" s="157">
        <f t="shared" si="31"/>
        <v>0</v>
      </c>
      <c r="W211" s="157">
        <f t="shared" si="32"/>
        <v>601120</v>
      </c>
      <c r="X211" s="157">
        <f t="shared" si="33"/>
        <v>601120</v>
      </c>
      <c r="Z211" s="218"/>
      <c r="AA211" s="253"/>
      <c r="AB211" s="288"/>
      <c r="AC211" s="289"/>
      <c r="AD211" s="289"/>
      <c r="AE211" s="291"/>
      <c r="AF211" s="189"/>
      <c r="AI211" s="240">
        <f t="shared" si="34"/>
        <v>5070068</v>
      </c>
    </row>
    <row r="212" spans="3:35" s="39" customFormat="1" ht="39" customHeight="1">
      <c r="C212" s="313"/>
      <c r="D212" s="132" t="s">
        <v>161</v>
      </c>
      <c r="E212" s="132" t="s">
        <v>165</v>
      </c>
      <c r="F212" s="132"/>
      <c r="G212" s="132"/>
      <c r="H212" s="132"/>
      <c r="I212" s="133">
        <v>30</v>
      </c>
      <c r="J212" s="137">
        <v>1100000</v>
      </c>
      <c r="K212" s="137">
        <v>1100000</v>
      </c>
      <c r="L212" s="189">
        <v>282360</v>
      </c>
      <c r="M212" s="189">
        <v>282360</v>
      </c>
      <c r="N212" s="66">
        <f t="shared" si="28"/>
        <v>1382360</v>
      </c>
      <c r="O212" s="66">
        <f t="shared" si="29"/>
        <v>1382360</v>
      </c>
      <c r="P212" s="170" t="s">
        <v>234</v>
      </c>
      <c r="Q212" s="170">
        <v>1100000</v>
      </c>
      <c r="R212" s="170">
        <v>1100000</v>
      </c>
      <c r="S212" s="170">
        <v>219960</v>
      </c>
      <c r="T212" s="170">
        <v>219960</v>
      </c>
      <c r="U212" s="157">
        <f t="shared" si="30"/>
        <v>0</v>
      </c>
      <c r="V212" s="157">
        <f t="shared" si="31"/>
        <v>0</v>
      </c>
      <c r="W212" s="157">
        <f t="shared" si="32"/>
        <v>62400</v>
      </c>
      <c r="X212" s="157">
        <f t="shared" si="33"/>
        <v>62400</v>
      </c>
      <c r="Z212" s="218"/>
      <c r="AA212" s="253"/>
      <c r="AB212" s="288"/>
      <c r="AC212" s="289"/>
      <c r="AD212" s="289"/>
      <c r="AE212" s="291"/>
      <c r="AF212" s="189"/>
      <c r="AI212" s="240">
        <f t="shared" si="34"/>
        <v>1382360</v>
      </c>
    </row>
    <row r="213" spans="3:35" s="39" customFormat="1" ht="39" customHeight="1">
      <c r="C213" s="313"/>
      <c r="D213" s="132" t="s">
        <v>165</v>
      </c>
      <c r="E213" s="132" t="s">
        <v>81</v>
      </c>
      <c r="F213" s="132"/>
      <c r="G213" s="132"/>
      <c r="H213" s="132" t="s">
        <v>64</v>
      </c>
      <c r="I213" s="133">
        <v>243</v>
      </c>
      <c r="J213" s="137">
        <v>2250000</v>
      </c>
      <c r="K213" s="137">
        <v>2250000</v>
      </c>
      <c r="L213" s="189">
        <v>2287116</v>
      </c>
      <c r="M213" s="189">
        <v>2287116</v>
      </c>
      <c r="N213" s="66">
        <f t="shared" si="28"/>
        <v>4537116</v>
      </c>
      <c r="O213" s="66">
        <f t="shared" si="29"/>
        <v>4537116</v>
      </c>
      <c r="P213" s="170" t="s">
        <v>236</v>
      </c>
      <c r="Q213" s="170">
        <v>2250000</v>
      </c>
      <c r="R213" s="170">
        <v>2250000</v>
      </c>
      <c r="S213" s="170">
        <v>1781676</v>
      </c>
      <c r="T213" s="170">
        <v>1781676</v>
      </c>
      <c r="U213" s="157">
        <f t="shared" si="30"/>
        <v>0</v>
      </c>
      <c r="V213" s="157">
        <f t="shared" si="31"/>
        <v>0</v>
      </c>
      <c r="W213" s="157">
        <f t="shared" si="32"/>
        <v>505440</v>
      </c>
      <c r="X213" s="157">
        <f t="shared" si="33"/>
        <v>505440</v>
      </c>
      <c r="Z213" s="218"/>
      <c r="AA213" s="253"/>
      <c r="AB213" s="288"/>
      <c r="AC213" s="289"/>
      <c r="AD213" s="289"/>
      <c r="AE213" s="291"/>
      <c r="AF213" s="189"/>
      <c r="AI213" s="240">
        <f t="shared" si="34"/>
        <v>4537116</v>
      </c>
    </row>
    <row r="214" spans="3:35" s="39" customFormat="1" ht="39" customHeight="1">
      <c r="C214" s="313"/>
      <c r="D214" s="132" t="s">
        <v>161</v>
      </c>
      <c r="E214" s="132" t="s">
        <v>165</v>
      </c>
      <c r="F214" s="132"/>
      <c r="G214" s="132"/>
      <c r="H214" s="132"/>
      <c r="I214" s="133">
        <v>30</v>
      </c>
      <c r="J214" s="137">
        <v>1100000</v>
      </c>
      <c r="K214" s="137">
        <v>1100000</v>
      </c>
      <c r="L214" s="189">
        <v>282360</v>
      </c>
      <c r="M214" s="189">
        <v>282360</v>
      </c>
      <c r="N214" s="66">
        <f t="shared" si="28"/>
        <v>1382360</v>
      </c>
      <c r="O214" s="66">
        <f t="shared" si="29"/>
        <v>1382360</v>
      </c>
      <c r="P214" s="170" t="s">
        <v>234</v>
      </c>
      <c r="Q214" s="170">
        <v>1100000</v>
      </c>
      <c r="R214" s="170">
        <v>1100000</v>
      </c>
      <c r="S214" s="170">
        <v>219960</v>
      </c>
      <c r="T214" s="170">
        <v>219960</v>
      </c>
      <c r="U214" s="157">
        <f t="shared" si="30"/>
        <v>0</v>
      </c>
      <c r="V214" s="157">
        <f t="shared" si="31"/>
        <v>0</v>
      </c>
      <c r="W214" s="157">
        <f t="shared" si="32"/>
        <v>62400</v>
      </c>
      <c r="X214" s="157">
        <f t="shared" si="33"/>
        <v>62400</v>
      </c>
      <c r="Z214" s="218"/>
      <c r="AA214" s="253"/>
      <c r="AB214" s="288"/>
      <c r="AC214" s="289"/>
      <c r="AD214" s="289"/>
      <c r="AE214" s="291"/>
      <c r="AF214" s="189"/>
      <c r="AI214" s="240">
        <f t="shared" si="34"/>
        <v>1382360</v>
      </c>
    </row>
    <row r="215" spans="3:35" s="39" customFormat="1" ht="39" customHeight="1">
      <c r="C215" s="313"/>
      <c r="D215" s="132" t="s">
        <v>165</v>
      </c>
      <c r="E215" s="132" t="s">
        <v>83</v>
      </c>
      <c r="F215" s="132"/>
      <c r="G215" s="132"/>
      <c r="H215" s="132" t="s">
        <v>64</v>
      </c>
      <c r="I215" s="133">
        <v>212</v>
      </c>
      <c r="J215" s="137">
        <v>2250000</v>
      </c>
      <c r="K215" s="137">
        <v>2250000</v>
      </c>
      <c r="L215" s="189">
        <v>1995344</v>
      </c>
      <c r="M215" s="189">
        <v>1995344</v>
      </c>
      <c r="N215" s="66">
        <f t="shared" si="28"/>
        <v>4245344</v>
      </c>
      <c r="O215" s="66">
        <f t="shared" si="29"/>
        <v>4245344</v>
      </c>
      <c r="P215" s="170" t="s">
        <v>237</v>
      </c>
      <c r="Q215" s="170">
        <v>2250000</v>
      </c>
      <c r="R215" s="170">
        <v>2250000</v>
      </c>
      <c r="S215" s="170">
        <v>1554384</v>
      </c>
      <c r="T215" s="170">
        <v>1554384</v>
      </c>
      <c r="U215" s="157">
        <f t="shared" si="30"/>
        <v>0</v>
      </c>
      <c r="V215" s="157">
        <f t="shared" si="31"/>
        <v>0</v>
      </c>
      <c r="W215" s="157">
        <f t="shared" si="32"/>
        <v>440960</v>
      </c>
      <c r="X215" s="157">
        <f t="shared" si="33"/>
        <v>440960</v>
      </c>
      <c r="Z215" s="218"/>
      <c r="AA215" s="253"/>
      <c r="AB215" s="288"/>
      <c r="AC215" s="289"/>
      <c r="AD215" s="289"/>
      <c r="AE215" s="291"/>
      <c r="AF215" s="189"/>
      <c r="AI215" s="240">
        <f t="shared" si="34"/>
        <v>4245344</v>
      </c>
    </row>
    <row r="216" spans="3:35" s="39" customFormat="1" ht="39" customHeight="1">
      <c r="C216" s="313"/>
      <c r="D216" s="132" t="s">
        <v>162</v>
      </c>
      <c r="E216" s="132" t="s">
        <v>166</v>
      </c>
      <c r="F216" s="132"/>
      <c r="G216" s="132"/>
      <c r="H216" s="132"/>
      <c r="I216" s="133">
        <v>55</v>
      </c>
      <c r="J216" s="137">
        <v>1550000</v>
      </c>
      <c r="K216" s="137">
        <v>1550000</v>
      </c>
      <c r="L216" s="189">
        <v>517660</v>
      </c>
      <c r="M216" s="189">
        <v>517660</v>
      </c>
      <c r="N216" s="66">
        <f t="shared" si="28"/>
        <v>2067660</v>
      </c>
      <c r="O216" s="66">
        <f t="shared" si="29"/>
        <v>2067660</v>
      </c>
      <c r="P216" s="170" t="s">
        <v>238</v>
      </c>
      <c r="Q216" s="170">
        <v>1550000</v>
      </c>
      <c r="R216" s="170">
        <v>1550000</v>
      </c>
      <c r="S216" s="170">
        <v>403260</v>
      </c>
      <c r="T216" s="170">
        <v>403260</v>
      </c>
      <c r="U216" s="157">
        <f t="shared" si="30"/>
        <v>0</v>
      </c>
      <c r="V216" s="157">
        <f t="shared" si="31"/>
        <v>0</v>
      </c>
      <c r="W216" s="157">
        <f t="shared" si="32"/>
        <v>114400</v>
      </c>
      <c r="X216" s="157">
        <f t="shared" si="33"/>
        <v>114400</v>
      </c>
      <c r="Z216" s="218"/>
      <c r="AA216" s="253"/>
      <c r="AB216" s="288"/>
      <c r="AC216" s="289"/>
      <c r="AD216" s="289"/>
      <c r="AE216" s="291"/>
      <c r="AF216" s="189"/>
      <c r="AI216" s="240">
        <f t="shared" si="34"/>
        <v>2067660</v>
      </c>
    </row>
    <row r="217" spans="3:35" s="39" customFormat="1" ht="39" customHeight="1">
      <c r="C217" s="313"/>
      <c r="D217" s="132" t="s">
        <v>166</v>
      </c>
      <c r="E217" s="132" t="s">
        <v>82</v>
      </c>
      <c r="F217" s="132"/>
      <c r="G217" s="132"/>
      <c r="H217" s="132" t="s">
        <v>64</v>
      </c>
      <c r="I217" s="133">
        <v>234</v>
      </c>
      <c r="J217" s="137">
        <v>2150000</v>
      </c>
      <c r="K217" s="137">
        <v>2150000</v>
      </c>
      <c r="L217" s="189">
        <v>2202408</v>
      </c>
      <c r="M217" s="189">
        <v>2202408</v>
      </c>
      <c r="N217" s="66">
        <f t="shared" si="28"/>
        <v>4352408</v>
      </c>
      <c r="O217" s="66">
        <f t="shared" si="29"/>
        <v>4352408</v>
      </c>
      <c r="P217" s="170" t="s">
        <v>239</v>
      </c>
      <c r="Q217" s="170">
        <v>2150000</v>
      </c>
      <c r="R217" s="170">
        <v>2150000</v>
      </c>
      <c r="S217" s="170">
        <v>1715688</v>
      </c>
      <c r="T217" s="170">
        <v>1715688</v>
      </c>
      <c r="U217" s="157">
        <f t="shared" si="30"/>
        <v>0</v>
      </c>
      <c r="V217" s="157">
        <f t="shared" si="31"/>
        <v>0</v>
      </c>
      <c r="W217" s="157">
        <f t="shared" si="32"/>
        <v>486720</v>
      </c>
      <c r="X217" s="157">
        <f t="shared" si="33"/>
        <v>486720</v>
      </c>
      <c r="Z217" s="218"/>
      <c r="AA217" s="253"/>
      <c r="AB217" s="288"/>
      <c r="AC217" s="289"/>
      <c r="AD217" s="289"/>
      <c r="AE217" s="291"/>
      <c r="AF217" s="189"/>
      <c r="AI217" s="240">
        <f t="shared" si="34"/>
        <v>4352408</v>
      </c>
    </row>
    <row r="218" spans="3:35" s="39" customFormat="1" ht="39" customHeight="1">
      <c r="C218" s="313"/>
      <c r="D218" s="132" t="s">
        <v>162</v>
      </c>
      <c r="E218" s="132" t="s">
        <v>166</v>
      </c>
      <c r="F218" s="132"/>
      <c r="G218" s="132"/>
      <c r="H218" s="132"/>
      <c r="I218" s="133">
        <v>55</v>
      </c>
      <c r="J218" s="137">
        <v>1550000</v>
      </c>
      <c r="K218" s="137">
        <v>1550000</v>
      </c>
      <c r="L218" s="189">
        <v>517660</v>
      </c>
      <c r="M218" s="189">
        <v>517660</v>
      </c>
      <c r="N218" s="66">
        <f t="shared" si="28"/>
        <v>2067660</v>
      </c>
      <c r="O218" s="66">
        <f t="shared" si="29"/>
        <v>2067660</v>
      </c>
      <c r="P218" s="170" t="s">
        <v>238</v>
      </c>
      <c r="Q218" s="170">
        <v>1550000</v>
      </c>
      <c r="R218" s="170">
        <v>1550000</v>
      </c>
      <c r="S218" s="170">
        <v>403260</v>
      </c>
      <c r="T218" s="170">
        <v>403260</v>
      </c>
      <c r="U218" s="157">
        <f t="shared" si="30"/>
        <v>0</v>
      </c>
      <c r="V218" s="157">
        <f t="shared" si="31"/>
        <v>0</v>
      </c>
      <c r="W218" s="157">
        <f t="shared" si="32"/>
        <v>114400</v>
      </c>
      <c r="X218" s="157">
        <f t="shared" si="33"/>
        <v>114400</v>
      </c>
      <c r="Z218" s="218"/>
      <c r="AA218" s="253"/>
      <c r="AB218" s="288"/>
      <c r="AC218" s="289"/>
      <c r="AD218" s="289"/>
      <c r="AE218" s="291"/>
      <c r="AF218" s="189"/>
      <c r="AI218" s="240">
        <f t="shared" si="34"/>
        <v>2067660</v>
      </c>
    </row>
    <row r="219" spans="3:35" s="39" customFormat="1" ht="39" customHeight="1">
      <c r="C219" s="313"/>
      <c r="D219" s="132" t="s">
        <v>166</v>
      </c>
      <c r="E219" s="132" t="s">
        <v>81</v>
      </c>
      <c r="F219" s="132"/>
      <c r="G219" s="132"/>
      <c r="H219" s="132" t="s">
        <v>64</v>
      </c>
      <c r="I219" s="133">
        <v>258</v>
      </c>
      <c r="J219" s="137">
        <v>2250000</v>
      </c>
      <c r="K219" s="137">
        <v>2250000</v>
      </c>
      <c r="L219" s="189">
        <v>2428296</v>
      </c>
      <c r="M219" s="189">
        <v>2428296</v>
      </c>
      <c r="N219" s="66">
        <f t="shared" si="28"/>
        <v>4678296</v>
      </c>
      <c r="O219" s="66">
        <f t="shared" si="29"/>
        <v>4678296</v>
      </c>
      <c r="P219" s="170" t="s">
        <v>240</v>
      </c>
      <c r="Q219" s="170">
        <v>2250000</v>
      </c>
      <c r="R219" s="170">
        <v>2250000</v>
      </c>
      <c r="S219" s="170">
        <v>1891656</v>
      </c>
      <c r="T219" s="170">
        <v>1891656</v>
      </c>
      <c r="U219" s="157">
        <f t="shared" si="30"/>
        <v>0</v>
      </c>
      <c r="V219" s="157">
        <f t="shared" si="31"/>
        <v>0</v>
      </c>
      <c r="W219" s="157">
        <f t="shared" si="32"/>
        <v>536640</v>
      </c>
      <c r="X219" s="157">
        <f t="shared" si="33"/>
        <v>536640</v>
      </c>
      <c r="Z219" s="218"/>
      <c r="AA219" s="253"/>
      <c r="AB219" s="288"/>
      <c r="AC219" s="289"/>
      <c r="AD219" s="289"/>
      <c r="AE219" s="291"/>
      <c r="AF219" s="189"/>
      <c r="AI219" s="240">
        <f t="shared" si="34"/>
        <v>4678296</v>
      </c>
    </row>
    <row r="220" spans="3:35" s="39" customFormat="1" ht="39" customHeight="1">
      <c r="C220" s="313"/>
      <c r="D220" s="132" t="s">
        <v>162</v>
      </c>
      <c r="E220" s="132" t="s">
        <v>166</v>
      </c>
      <c r="F220" s="132"/>
      <c r="G220" s="132"/>
      <c r="H220" s="132"/>
      <c r="I220" s="133">
        <v>55</v>
      </c>
      <c r="J220" s="137">
        <v>1550000</v>
      </c>
      <c r="K220" s="137">
        <v>1550000</v>
      </c>
      <c r="L220" s="189">
        <v>517660</v>
      </c>
      <c r="M220" s="189">
        <v>517660</v>
      </c>
      <c r="N220" s="66">
        <f t="shared" si="28"/>
        <v>2067660</v>
      </c>
      <c r="O220" s="66">
        <f t="shared" si="29"/>
        <v>2067660</v>
      </c>
      <c r="P220" s="170" t="s">
        <v>238</v>
      </c>
      <c r="Q220" s="170">
        <v>1550000</v>
      </c>
      <c r="R220" s="170">
        <v>1550000</v>
      </c>
      <c r="S220" s="170">
        <v>403260</v>
      </c>
      <c r="T220" s="170">
        <v>403260</v>
      </c>
      <c r="U220" s="157">
        <f t="shared" si="30"/>
        <v>0</v>
      </c>
      <c r="V220" s="157">
        <f t="shared" si="31"/>
        <v>0</v>
      </c>
      <c r="W220" s="157">
        <f t="shared" si="32"/>
        <v>114400</v>
      </c>
      <c r="X220" s="157">
        <f t="shared" si="33"/>
        <v>114400</v>
      </c>
      <c r="Z220" s="218"/>
      <c r="AA220" s="253"/>
      <c r="AB220" s="288"/>
      <c r="AC220" s="289"/>
      <c r="AD220" s="289"/>
      <c r="AE220" s="291"/>
      <c r="AF220" s="189"/>
      <c r="AI220" s="240">
        <f t="shared" si="34"/>
        <v>2067660</v>
      </c>
    </row>
    <row r="221" spans="3:35" s="39" customFormat="1" ht="39" customHeight="1">
      <c r="C221" s="313"/>
      <c r="D221" s="132" t="s">
        <v>166</v>
      </c>
      <c r="E221" s="132" t="s">
        <v>83</v>
      </c>
      <c r="F221" s="132"/>
      <c r="G221" s="132"/>
      <c r="H221" s="132" t="s">
        <v>64</v>
      </c>
      <c r="I221" s="133">
        <v>267</v>
      </c>
      <c r="J221" s="137">
        <v>2250000</v>
      </c>
      <c r="K221" s="137">
        <v>2250000</v>
      </c>
      <c r="L221" s="189">
        <v>2513004</v>
      </c>
      <c r="M221" s="189">
        <v>2513004</v>
      </c>
      <c r="N221" s="66">
        <f t="shared" si="28"/>
        <v>4763004</v>
      </c>
      <c r="O221" s="66">
        <f t="shared" si="29"/>
        <v>4763004</v>
      </c>
      <c r="P221" s="170" t="s">
        <v>241</v>
      </c>
      <c r="Q221" s="170">
        <v>2250000</v>
      </c>
      <c r="R221" s="170">
        <v>2250000</v>
      </c>
      <c r="S221" s="170">
        <v>1957644</v>
      </c>
      <c r="T221" s="170">
        <v>1957644</v>
      </c>
      <c r="U221" s="157">
        <f t="shared" si="30"/>
        <v>0</v>
      </c>
      <c r="V221" s="157">
        <f t="shared" si="31"/>
        <v>0</v>
      </c>
      <c r="W221" s="157">
        <f t="shared" si="32"/>
        <v>555360</v>
      </c>
      <c r="X221" s="157">
        <f t="shared" si="33"/>
        <v>555360</v>
      </c>
      <c r="Z221" s="218"/>
      <c r="AA221" s="253"/>
      <c r="AB221" s="288"/>
      <c r="AC221" s="289"/>
      <c r="AD221" s="289"/>
      <c r="AE221" s="291"/>
      <c r="AF221" s="189"/>
      <c r="AI221" s="240">
        <f t="shared" si="34"/>
        <v>4763004</v>
      </c>
    </row>
    <row r="222" spans="3:35" s="39" customFormat="1" ht="39" customHeight="1">
      <c r="C222" s="313"/>
      <c r="D222" s="132" t="s">
        <v>162</v>
      </c>
      <c r="E222" s="132" t="s">
        <v>167</v>
      </c>
      <c r="F222" s="132"/>
      <c r="G222" s="132"/>
      <c r="H222" s="132"/>
      <c r="I222" s="133">
        <v>15</v>
      </c>
      <c r="J222" s="137">
        <v>1050000</v>
      </c>
      <c r="K222" s="137">
        <v>1050000</v>
      </c>
      <c r="L222" s="189">
        <v>141180</v>
      </c>
      <c r="M222" s="189">
        <v>141180</v>
      </c>
      <c r="N222" s="66">
        <f t="shared" si="28"/>
        <v>1191180</v>
      </c>
      <c r="O222" s="66">
        <f t="shared" si="29"/>
        <v>1191180</v>
      </c>
      <c r="P222" s="170" t="s">
        <v>242</v>
      </c>
      <c r="Q222" s="170">
        <v>1050000</v>
      </c>
      <c r="R222" s="170">
        <v>1050000</v>
      </c>
      <c r="S222" s="170">
        <v>109980</v>
      </c>
      <c r="T222" s="170">
        <v>109980</v>
      </c>
      <c r="U222" s="157">
        <f t="shared" si="30"/>
        <v>0</v>
      </c>
      <c r="V222" s="157">
        <f t="shared" si="31"/>
        <v>0</v>
      </c>
      <c r="W222" s="157">
        <f t="shared" si="32"/>
        <v>31200</v>
      </c>
      <c r="X222" s="157">
        <f t="shared" si="33"/>
        <v>31200</v>
      </c>
      <c r="Z222" s="218"/>
      <c r="AA222" s="253"/>
      <c r="AB222" s="288"/>
      <c r="AC222" s="289"/>
      <c r="AD222" s="289"/>
      <c r="AE222" s="291"/>
      <c r="AF222" s="189"/>
      <c r="AI222" s="240">
        <f t="shared" si="34"/>
        <v>1191180</v>
      </c>
    </row>
    <row r="223" spans="3:35" s="39" customFormat="1" ht="39" customHeight="1">
      <c r="C223" s="313"/>
      <c r="D223" s="132" t="s">
        <v>167</v>
      </c>
      <c r="E223" s="132" t="s">
        <v>82</v>
      </c>
      <c r="F223" s="132"/>
      <c r="G223" s="132"/>
      <c r="H223" s="132" t="s">
        <v>64</v>
      </c>
      <c r="I223" s="133">
        <v>269</v>
      </c>
      <c r="J223" s="137">
        <v>2250000</v>
      </c>
      <c r="K223" s="137">
        <v>2250000</v>
      </c>
      <c r="L223" s="189">
        <v>2531828</v>
      </c>
      <c r="M223" s="189">
        <v>2531828</v>
      </c>
      <c r="N223" s="66">
        <f t="shared" si="28"/>
        <v>4781828</v>
      </c>
      <c r="O223" s="66">
        <f t="shared" si="29"/>
        <v>4781828</v>
      </c>
      <c r="P223" s="170" t="s">
        <v>243</v>
      </c>
      <c r="Q223" s="170">
        <v>2250000</v>
      </c>
      <c r="R223" s="170">
        <v>2250000</v>
      </c>
      <c r="S223" s="170">
        <v>1972308</v>
      </c>
      <c r="T223" s="170">
        <v>1972308</v>
      </c>
      <c r="U223" s="157">
        <f t="shared" si="30"/>
        <v>0</v>
      </c>
      <c r="V223" s="157">
        <f t="shared" si="31"/>
        <v>0</v>
      </c>
      <c r="W223" s="157">
        <f t="shared" si="32"/>
        <v>559520</v>
      </c>
      <c r="X223" s="157">
        <f t="shared" si="33"/>
        <v>559520</v>
      </c>
      <c r="Z223" s="218"/>
      <c r="AA223" s="253"/>
      <c r="AB223" s="288"/>
      <c r="AC223" s="289"/>
      <c r="AD223" s="289"/>
      <c r="AE223" s="291"/>
      <c r="AF223" s="189"/>
      <c r="AI223" s="240">
        <f t="shared" si="34"/>
        <v>4781828</v>
      </c>
    </row>
    <row r="224" spans="3:35" s="39" customFormat="1" ht="39" customHeight="1">
      <c r="C224" s="313"/>
      <c r="D224" s="132" t="s">
        <v>162</v>
      </c>
      <c r="E224" s="132" t="s">
        <v>167</v>
      </c>
      <c r="F224" s="132"/>
      <c r="G224" s="132"/>
      <c r="H224" s="132"/>
      <c r="I224" s="133">
        <v>15</v>
      </c>
      <c r="J224" s="137">
        <v>1050000</v>
      </c>
      <c r="K224" s="137">
        <v>1050000</v>
      </c>
      <c r="L224" s="189">
        <v>141180</v>
      </c>
      <c r="M224" s="189">
        <v>141180</v>
      </c>
      <c r="N224" s="66">
        <f t="shared" si="28"/>
        <v>1191180</v>
      </c>
      <c r="O224" s="66">
        <f t="shared" si="29"/>
        <v>1191180</v>
      </c>
      <c r="P224" s="170" t="s">
        <v>242</v>
      </c>
      <c r="Q224" s="170">
        <v>1050000</v>
      </c>
      <c r="R224" s="170">
        <v>1050000</v>
      </c>
      <c r="S224" s="170">
        <v>109980</v>
      </c>
      <c r="T224" s="170">
        <v>109980</v>
      </c>
      <c r="U224" s="157">
        <f t="shared" si="30"/>
        <v>0</v>
      </c>
      <c r="V224" s="157">
        <f t="shared" si="31"/>
        <v>0</v>
      </c>
      <c r="W224" s="157">
        <f t="shared" si="32"/>
        <v>31200</v>
      </c>
      <c r="X224" s="157">
        <f t="shared" si="33"/>
        <v>31200</v>
      </c>
      <c r="Z224" s="218"/>
      <c r="AA224" s="253"/>
      <c r="AB224" s="288"/>
      <c r="AC224" s="289"/>
      <c r="AD224" s="289"/>
      <c r="AE224" s="291"/>
      <c r="AF224" s="189"/>
      <c r="AI224" s="240">
        <f t="shared" si="34"/>
        <v>1191180</v>
      </c>
    </row>
    <row r="225" spans="3:35" s="39" customFormat="1" ht="39" customHeight="1">
      <c r="C225" s="313"/>
      <c r="D225" s="132" t="s">
        <v>167</v>
      </c>
      <c r="E225" s="132" t="s">
        <v>81</v>
      </c>
      <c r="F225" s="132"/>
      <c r="G225" s="132"/>
      <c r="H225" s="132" t="s">
        <v>64</v>
      </c>
      <c r="I225" s="133">
        <v>223</v>
      </c>
      <c r="J225" s="137">
        <v>2150000</v>
      </c>
      <c r="K225" s="137">
        <v>2150000</v>
      </c>
      <c r="L225" s="189">
        <v>2098876</v>
      </c>
      <c r="M225" s="189">
        <v>2098876</v>
      </c>
      <c r="N225" s="66">
        <f t="shared" si="28"/>
        <v>4248876</v>
      </c>
      <c r="O225" s="66">
        <f t="shared" si="29"/>
        <v>4248876</v>
      </c>
      <c r="P225" s="170" t="s">
        <v>244</v>
      </c>
      <c r="Q225" s="170">
        <v>2150000</v>
      </c>
      <c r="R225" s="170">
        <v>2150000</v>
      </c>
      <c r="S225" s="170">
        <v>1635036</v>
      </c>
      <c r="T225" s="170">
        <v>1635036</v>
      </c>
      <c r="U225" s="157">
        <f t="shared" si="30"/>
        <v>0</v>
      </c>
      <c r="V225" s="157">
        <f t="shared" si="31"/>
        <v>0</v>
      </c>
      <c r="W225" s="157">
        <f t="shared" si="32"/>
        <v>463840</v>
      </c>
      <c r="X225" s="157">
        <f t="shared" si="33"/>
        <v>463840</v>
      </c>
      <c r="Z225" s="218"/>
      <c r="AA225" s="253"/>
      <c r="AB225" s="288"/>
      <c r="AC225" s="289"/>
      <c r="AD225" s="289"/>
      <c r="AE225" s="291"/>
      <c r="AF225" s="189"/>
      <c r="AI225" s="240">
        <f t="shared" si="34"/>
        <v>4248876</v>
      </c>
    </row>
    <row r="226" spans="3:35" s="39" customFormat="1" ht="39" customHeight="1">
      <c r="C226" s="313"/>
      <c r="D226" s="132" t="s">
        <v>162</v>
      </c>
      <c r="E226" s="132" t="s">
        <v>167</v>
      </c>
      <c r="F226" s="132"/>
      <c r="G226" s="132"/>
      <c r="H226" s="132"/>
      <c r="I226" s="133">
        <v>15</v>
      </c>
      <c r="J226" s="137">
        <v>1050000</v>
      </c>
      <c r="K226" s="137">
        <v>1050000</v>
      </c>
      <c r="L226" s="189">
        <v>141180</v>
      </c>
      <c r="M226" s="189">
        <v>141180</v>
      </c>
      <c r="N226" s="66">
        <f t="shared" si="28"/>
        <v>1191180</v>
      </c>
      <c r="O226" s="66">
        <f t="shared" si="29"/>
        <v>1191180</v>
      </c>
      <c r="P226" s="170" t="s">
        <v>242</v>
      </c>
      <c r="Q226" s="170">
        <v>1050000</v>
      </c>
      <c r="R226" s="170">
        <v>1050000</v>
      </c>
      <c r="S226" s="170">
        <v>109980</v>
      </c>
      <c r="T226" s="170">
        <v>109980</v>
      </c>
      <c r="U226" s="157">
        <f t="shared" si="30"/>
        <v>0</v>
      </c>
      <c r="V226" s="157">
        <f t="shared" si="31"/>
        <v>0</v>
      </c>
      <c r="W226" s="157">
        <f t="shared" si="32"/>
        <v>31200</v>
      </c>
      <c r="X226" s="157">
        <f t="shared" si="33"/>
        <v>31200</v>
      </c>
      <c r="Z226" s="218"/>
      <c r="AA226" s="253"/>
      <c r="AB226" s="288"/>
      <c r="AC226" s="289"/>
      <c r="AD226" s="289"/>
      <c r="AE226" s="291"/>
      <c r="AF226" s="189"/>
      <c r="AI226" s="240">
        <f t="shared" si="34"/>
        <v>1191180</v>
      </c>
    </row>
    <row r="227" spans="3:35" s="39" customFormat="1" ht="39" customHeight="1">
      <c r="C227" s="313"/>
      <c r="D227" s="132" t="s">
        <v>167</v>
      </c>
      <c r="E227" s="132" t="s">
        <v>83</v>
      </c>
      <c r="F227" s="132"/>
      <c r="G227" s="132"/>
      <c r="H227" s="132" t="s">
        <v>64</v>
      </c>
      <c r="I227" s="133">
        <v>232</v>
      </c>
      <c r="J227" s="137">
        <v>2150000</v>
      </c>
      <c r="K227" s="137">
        <v>2150000</v>
      </c>
      <c r="L227" s="189">
        <v>2183584</v>
      </c>
      <c r="M227" s="189">
        <v>2183584</v>
      </c>
      <c r="N227" s="66">
        <f t="shared" si="28"/>
        <v>4333584</v>
      </c>
      <c r="O227" s="66">
        <f t="shared" si="29"/>
        <v>4333584</v>
      </c>
      <c r="P227" s="170" t="s">
        <v>245</v>
      </c>
      <c r="Q227" s="170">
        <v>2150000</v>
      </c>
      <c r="R227" s="170">
        <v>2150000</v>
      </c>
      <c r="S227" s="170">
        <v>1701024</v>
      </c>
      <c r="T227" s="170">
        <v>1701024</v>
      </c>
      <c r="U227" s="157">
        <f t="shared" si="30"/>
        <v>0</v>
      </c>
      <c r="V227" s="157">
        <f t="shared" si="31"/>
        <v>0</v>
      </c>
      <c r="W227" s="157">
        <f t="shared" si="32"/>
        <v>482560</v>
      </c>
      <c r="X227" s="157">
        <f t="shared" si="33"/>
        <v>482560</v>
      </c>
      <c r="Z227" s="218"/>
      <c r="AA227" s="253"/>
      <c r="AB227" s="288"/>
      <c r="AC227" s="289"/>
      <c r="AD227" s="289"/>
      <c r="AE227" s="291"/>
      <c r="AF227" s="189"/>
      <c r="AI227" s="240">
        <f t="shared" si="34"/>
        <v>4333584</v>
      </c>
    </row>
    <row r="228" spans="3:35" s="39" customFormat="1" ht="39" customHeight="1">
      <c r="C228" s="313"/>
      <c r="D228" s="132" t="s">
        <v>162</v>
      </c>
      <c r="E228" s="132" t="s">
        <v>168</v>
      </c>
      <c r="F228" s="132"/>
      <c r="G228" s="132"/>
      <c r="H228" s="132"/>
      <c r="I228" s="133">
        <v>14</v>
      </c>
      <c r="J228" s="137">
        <v>1050000</v>
      </c>
      <c r="K228" s="137">
        <v>1050000</v>
      </c>
      <c r="L228" s="189">
        <v>131768</v>
      </c>
      <c r="M228" s="189">
        <v>131768</v>
      </c>
      <c r="N228" s="66">
        <f t="shared" si="28"/>
        <v>1181768</v>
      </c>
      <c r="O228" s="66">
        <f t="shared" si="29"/>
        <v>1181768</v>
      </c>
      <c r="P228" s="170" t="s">
        <v>246</v>
      </c>
      <c r="Q228" s="170">
        <v>1050000</v>
      </c>
      <c r="R228" s="170">
        <v>1050000</v>
      </c>
      <c r="S228" s="170">
        <v>102648</v>
      </c>
      <c r="T228" s="170">
        <v>102648</v>
      </c>
      <c r="U228" s="157">
        <f t="shared" si="30"/>
        <v>0</v>
      </c>
      <c r="V228" s="157">
        <f t="shared" si="31"/>
        <v>0</v>
      </c>
      <c r="W228" s="157">
        <f t="shared" si="32"/>
        <v>29120</v>
      </c>
      <c r="X228" s="157">
        <f t="shared" si="33"/>
        <v>29120</v>
      </c>
      <c r="Z228" s="218"/>
      <c r="AA228" s="253"/>
      <c r="AB228" s="288"/>
      <c r="AC228" s="289"/>
      <c r="AD228" s="289"/>
      <c r="AE228" s="291"/>
      <c r="AF228" s="189"/>
      <c r="AI228" s="240">
        <f t="shared" si="34"/>
        <v>1181768</v>
      </c>
    </row>
    <row r="229" spans="3:35" s="39" customFormat="1" ht="39" customHeight="1">
      <c r="C229" s="313"/>
      <c r="D229" s="132" t="s">
        <v>168</v>
      </c>
      <c r="E229" s="132" t="s">
        <v>82</v>
      </c>
      <c r="F229" s="132"/>
      <c r="G229" s="132"/>
      <c r="H229" s="132" t="s">
        <v>64</v>
      </c>
      <c r="I229" s="133">
        <v>289</v>
      </c>
      <c r="J229" s="137">
        <v>2350000</v>
      </c>
      <c r="K229" s="137">
        <v>2350000</v>
      </c>
      <c r="L229" s="189">
        <v>2720068</v>
      </c>
      <c r="M229" s="189">
        <v>2720068</v>
      </c>
      <c r="N229" s="66">
        <f t="shared" si="28"/>
        <v>5070068</v>
      </c>
      <c r="O229" s="66">
        <f t="shared" si="29"/>
        <v>5070068</v>
      </c>
      <c r="P229" s="170" t="s">
        <v>247</v>
      </c>
      <c r="Q229" s="170">
        <v>2350000</v>
      </c>
      <c r="R229" s="170">
        <v>2350000</v>
      </c>
      <c r="S229" s="170">
        <v>2118948</v>
      </c>
      <c r="T229" s="170">
        <v>2118948</v>
      </c>
      <c r="U229" s="157">
        <f t="shared" si="30"/>
        <v>0</v>
      </c>
      <c r="V229" s="157">
        <f t="shared" si="31"/>
        <v>0</v>
      </c>
      <c r="W229" s="157">
        <f t="shared" si="32"/>
        <v>601120</v>
      </c>
      <c r="X229" s="157">
        <f t="shared" si="33"/>
        <v>601120</v>
      </c>
      <c r="Z229" s="218"/>
      <c r="AA229" s="253"/>
      <c r="AB229" s="288"/>
      <c r="AC229" s="289"/>
      <c r="AD229" s="289"/>
      <c r="AE229" s="291"/>
      <c r="AF229" s="189"/>
      <c r="AI229" s="240">
        <f t="shared" si="34"/>
        <v>5070068</v>
      </c>
    </row>
    <row r="230" spans="3:35" s="39" customFormat="1" ht="39" customHeight="1">
      <c r="C230" s="313"/>
      <c r="D230" s="132" t="s">
        <v>162</v>
      </c>
      <c r="E230" s="132" t="s">
        <v>168</v>
      </c>
      <c r="F230" s="132"/>
      <c r="G230" s="132"/>
      <c r="H230" s="132"/>
      <c r="I230" s="133">
        <v>14</v>
      </c>
      <c r="J230" s="137">
        <v>1050000</v>
      </c>
      <c r="K230" s="137">
        <v>1050000</v>
      </c>
      <c r="L230" s="189">
        <v>131768</v>
      </c>
      <c r="M230" s="189">
        <v>131768</v>
      </c>
      <c r="N230" s="66">
        <f t="shared" si="28"/>
        <v>1181768</v>
      </c>
      <c r="O230" s="66">
        <f t="shared" si="29"/>
        <v>1181768</v>
      </c>
      <c r="P230" s="170" t="s">
        <v>246</v>
      </c>
      <c r="Q230" s="170">
        <v>1050000</v>
      </c>
      <c r="R230" s="170">
        <v>1050000</v>
      </c>
      <c r="S230" s="170">
        <v>102648</v>
      </c>
      <c r="T230" s="170">
        <v>102648</v>
      </c>
      <c r="U230" s="157">
        <f t="shared" si="30"/>
        <v>0</v>
      </c>
      <c r="V230" s="157">
        <f t="shared" si="31"/>
        <v>0</v>
      </c>
      <c r="W230" s="157">
        <f t="shared" si="32"/>
        <v>29120</v>
      </c>
      <c r="X230" s="157">
        <f t="shared" si="33"/>
        <v>29120</v>
      </c>
      <c r="Z230" s="218"/>
      <c r="AA230" s="253"/>
      <c r="AB230" s="288"/>
      <c r="AC230" s="289"/>
      <c r="AD230" s="289"/>
      <c r="AE230" s="291"/>
      <c r="AF230" s="189"/>
      <c r="AI230" s="240">
        <f t="shared" si="34"/>
        <v>1181768</v>
      </c>
    </row>
    <row r="231" spans="3:35" s="39" customFormat="1" ht="39" customHeight="1">
      <c r="C231" s="313"/>
      <c r="D231" s="132" t="s">
        <v>168</v>
      </c>
      <c r="E231" s="132" t="s">
        <v>81</v>
      </c>
      <c r="F231" s="132"/>
      <c r="G231" s="132"/>
      <c r="H231" s="132" t="s">
        <v>64</v>
      </c>
      <c r="I231" s="133">
        <v>243</v>
      </c>
      <c r="J231" s="137">
        <v>2250000</v>
      </c>
      <c r="K231" s="137">
        <v>2250000</v>
      </c>
      <c r="L231" s="189">
        <v>2287116</v>
      </c>
      <c r="M231" s="189">
        <v>2287116</v>
      </c>
      <c r="N231" s="66">
        <f t="shared" si="28"/>
        <v>4537116</v>
      </c>
      <c r="O231" s="66">
        <f t="shared" si="29"/>
        <v>4537116</v>
      </c>
      <c r="P231" s="170" t="s">
        <v>248</v>
      </c>
      <c r="Q231" s="170">
        <v>2250000</v>
      </c>
      <c r="R231" s="170">
        <v>2250000</v>
      </c>
      <c r="S231" s="170">
        <v>1781676</v>
      </c>
      <c r="T231" s="170">
        <v>1781676</v>
      </c>
      <c r="U231" s="157">
        <f t="shared" si="30"/>
        <v>0</v>
      </c>
      <c r="V231" s="157">
        <f t="shared" si="31"/>
        <v>0</v>
      </c>
      <c r="W231" s="157">
        <f t="shared" si="32"/>
        <v>505440</v>
      </c>
      <c r="X231" s="157">
        <f t="shared" si="33"/>
        <v>505440</v>
      </c>
      <c r="Z231" s="218"/>
      <c r="AA231" s="253"/>
      <c r="AB231" s="288"/>
      <c r="AC231" s="289"/>
      <c r="AD231" s="289"/>
      <c r="AE231" s="291"/>
      <c r="AF231" s="189"/>
      <c r="AI231" s="240">
        <f t="shared" si="34"/>
        <v>4537116</v>
      </c>
    </row>
    <row r="232" spans="3:35" s="39" customFormat="1" ht="39" customHeight="1">
      <c r="C232" s="313"/>
      <c r="D232" s="132" t="s">
        <v>162</v>
      </c>
      <c r="E232" s="132" t="s">
        <v>168</v>
      </c>
      <c r="F232" s="132"/>
      <c r="G232" s="132"/>
      <c r="H232" s="132"/>
      <c r="I232" s="133">
        <v>14</v>
      </c>
      <c r="J232" s="137">
        <v>1050000</v>
      </c>
      <c r="K232" s="137">
        <v>1050000</v>
      </c>
      <c r="L232" s="189">
        <v>131768</v>
      </c>
      <c r="M232" s="189">
        <v>131768</v>
      </c>
      <c r="N232" s="66">
        <f t="shared" si="28"/>
        <v>1181768</v>
      </c>
      <c r="O232" s="66">
        <f t="shared" si="29"/>
        <v>1181768</v>
      </c>
      <c r="P232" s="170" t="s">
        <v>246</v>
      </c>
      <c r="Q232" s="170">
        <v>1050000</v>
      </c>
      <c r="R232" s="170">
        <v>1050000</v>
      </c>
      <c r="S232" s="170">
        <v>102648</v>
      </c>
      <c r="T232" s="170">
        <v>102648</v>
      </c>
      <c r="U232" s="157">
        <f t="shared" si="30"/>
        <v>0</v>
      </c>
      <c r="V232" s="157">
        <f t="shared" si="31"/>
        <v>0</v>
      </c>
      <c r="W232" s="157">
        <f t="shared" si="32"/>
        <v>29120</v>
      </c>
      <c r="X232" s="157">
        <f t="shared" si="33"/>
        <v>29120</v>
      </c>
      <c r="Z232" s="218"/>
      <c r="AA232" s="253"/>
      <c r="AB232" s="288"/>
      <c r="AC232" s="289"/>
      <c r="AD232" s="289"/>
      <c r="AE232" s="291"/>
      <c r="AF232" s="189"/>
      <c r="AI232" s="240">
        <f t="shared" si="34"/>
        <v>1181768</v>
      </c>
    </row>
    <row r="233" spans="3:35" s="39" customFormat="1" ht="39" customHeight="1">
      <c r="C233" s="314"/>
      <c r="D233" s="132" t="s">
        <v>168</v>
      </c>
      <c r="E233" s="132" t="s">
        <v>83</v>
      </c>
      <c r="F233" s="132"/>
      <c r="G233" s="132"/>
      <c r="H233" s="132" t="s">
        <v>64</v>
      </c>
      <c r="I233" s="133">
        <v>212</v>
      </c>
      <c r="J233" s="137">
        <v>2250000</v>
      </c>
      <c r="K233" s="137">
        <v>2250000</v>
      </c>
      <c r="L233" s="189">
        <v>1995344</v>
      </c>
      <c r="M233" s="189">
        <v>1995344</v>
      </c>
      <c r="N233" s="66">
        <f t="shared" si="28"/>
        <v>4245344</v>
      </c>
      <c r="O233" s="66">
        <f t="shared" si="29"/>
        <v>4245344</v>
      </c>
      <c r="P233" s="170" t="s">
        <v>249</v>
      </c>
      <c r="Q233" s="170">
        <v>2250000</v>
      </c>
      <c r="R233" s="170">
        <v>2250000</v>
      </c>
      <c r="S233" s="170">
        <v>1554384</v>
      </c>
      <c r="T233" s="170">
        <v>1554384</v>
      </c>
      <c r="U233" s="157">
        <f t="shared" si="30"/>
        <v>0</v>
      </c>
      <c r="V233" s="157">
        <f t="shared" si="31"/>
        <v>0</v>
      </c>
      <c r="W233" s="157">
        <f t="shared" si="32"/>
        <v>440960</v>
      </c>
      <c r="X233" s="157">
        <f t="shared" si="33"/>
        <v>440960</v>
      </c>
      <c r="Z233" s="218"/>
      <c r="AA233" s="253"/>
      <c r="AB233" s="288"/>
      <c r="AC233" s="289"/>
      <c r="AD233" s="289"/>
      <c r="AE233" s="291"/>
      <c r="AF233" s="189"/>
      <c r="AI233" s="240">
        <f t="shared" si="34"/>
        <v>4245344</v>
      </c>
    </row>
    <row r="234" spans="3:35" s="39" customFormat="1" ht="33" customHeight="1">
      <c r="C234" s="315" t="s">
        <v>40</v>
      </c>
      <c r="D234" s="316" t="s">
        <v>39</v>
      </c>
      <c r="E234" s="317"/>
      <c r="F234" s="317"/>
      <c r="G234" s="317"/>
      <c r="H234" s="318"/>
      <c r="I234" s="319" t="s">
        <v>41</v>
      </c>
      <c r="J234" s="320" t="s">
        <v>69</v>
      </c>
      <c r="K234" s="320"/>
      <c r="L234" s="307" t="s">
        <v>38</v>
      </c>
      <c r="M234" s="308"/>
      <c r="N234" s="311" t="s">
        <v>13</v>
      </c>
      <c r="O234" s="311"/>
      <c r="P234" s="170" t="s">
        <v>39</v>
      </c>
      <c r="Q234" s="170" t="e">
        <v>#N/A</v>
      </c>
      <c r="R234" s="170" t="e">
        <v>#N/A</v>
      </c>
      <c r="S234" s="170" t="e">
        <v>#N/A</v>
      </c>
      <c r="T234" s="170" t="e">
        <v>#N/A</v>
      </c>
      <c r="U234" s="157" t="e">
        <f t="shared" si="30"/>
        <v>#VALUE!</v>
      </c>
      <c r="V234" s="157" t="e">
        <f t="shared" si="31"/>
        <v>#N/A</v>
      </c>
      <c r="W234" s="157" t="e">
        <f t="shared" si="32"/>
        <v>#VALUE!</v>
      </c>
      <c r="X234" s="157" t="e">
        <f t="shared" si="33"/>
        <v>#N/A</v>
      </c>
      <c r="Z234" s="218"/>
      <c r="AA234" s="253"/>
      <c r="AB234" s="288"/>
      <c r="AC234" s="289"/>
      <c r="AD234" s="289"/>
      <c r="AE234" s="307"/>
      <c r="AF234" s="308"/>
      <c r="AI234" s="240">
        <f t="shared" si="34"/>
        <v>0</v>
      </c>
    </row>
    <row r="235" spans="3:35" s="39" customFormat="1" ht="33" customHeight="1">
      <c r="C235" s="301"/>
      <c r="D235" s="117" t="s">
        <v>15</v>
      </c>
      <c r="E235" s="117" t="s">
        <v>16</v>
      </c>
      <c r="F235" s="117" t="s">
        <v>16</v>
      </c>
      <c r="G235" s="117" t="s">
        <v>16</v>
      </c>
      <c r="H235" s="117" t="s">
        <v>16</v>
      </c>
      <c r="I235" s="301"/>
      <c r="J235" s="117" t="s">
        <v>35</v>
      </c>
      <c r="K235" s="117" t="s">
        <v>36</v>
      </c>
      <c r="L235" s="190" t="s">
        <v>35</v>
      </c>
      <c r="M235" s="190" t="s">
        <v>36</v>
      </c>
      <c r="N235" s="117" t="s">
        <v>35</v>
      </c>
      <c r="O235" s="117" t="s">
        <v>36</v>
      </c>
      <c r="P235" s="170" t="s">
        <v>250</v>
      </c>
      <c r="Q235" s="170" t="e">
        <v>#N/A</v>
      </c>
      <c r="R235" s="170" t="e">
        <v>#N/A</v>
      </c>
      <c r="S235" s="170" t="e">
        <v>#N/A</v>
      </c>
      <c r="T235" s="170" t="e">
        <v>#N/A</v>
      </c>
      <c r="U235" s="157" t="e">
        <f t="shared" si="30"/>
        <v>#VALUE!</v>
      </c>
      <c r="V235" s="157" t="e">
        <f t="shared" si="31"/>
        <v>#VALUE!</v>
      </c>
      <c r="W235" s="157" t="e">
        <f t="shared" si="32"/>
        <v>#VALUE!</v>
      </c>
      <c r="X235" s="157" t="e">
        <f t="shared" si="33"/>
        <v>#VALUE!</v>
      </c>
      <c r="Z235" s="218"/>
      <c r="AA235" s="253"/>
      <c r="AB235" s="288"/>
      <c r="AC235" s="289"/>
      <c r="AD235" s="289"/>
      <c r="AE235" s="293"/>
      <c r="AF235" s="190"/>
      <c r="AI235" s="240" t="str">
        <f t="shared" si="34"/>
        <v>20FT</v>
      </c>
    </row>
    <row r="236" spans="3:35" s="39" customFormat="1" ht="51.75" customHeight="1">
      <c r="C236" s="355" t="s">
        <v>57</v>
      </c>
      <c r="D236" s="283" t="s">
        <v>132</v>
      </c>
      <c r="E236" s="283" t="s">
        <v>82</v>
      </c>
      <c r="F236" s="283"/>
      <c r="G236" s="283"/>
      <c r="H236" s="283" t="s">
        <v>64</v>
      </c>
      <c r="I236" s="131">
        <v>195</v>
      </c>
      <c r="J236" s="284">
        <v>1863000</v>
      </c>
      <c r="K236" s="284">
        <v>1863000</v>
      </c>
      <c r="L236" s="258">
        <v>1835340</v>
      </c>
      <c r="M236" s="258">
        <v>1835340</v>
      </c>
      <c r="N236" s="285">
        <f>+J236+L236</f>
        <v>3698340</v>
      </c>
      <c r="O236" s="285">
        <f t="shared" ref="O236" si="35">+K236+M236</f>
        <v>3698340</v>
      </c>
      <c r="P236" s="170" t="s">
        <v>251</v>
      </c>
      <c r="Q236" s="170">
        <v>1863000</v>
      </c>
      <c r="R236" s="170">
        <v>1863000</v>
      </c>
      <c r="S236" s="170">
        <v>1429740</v>
      </c>
      <c r="T236" s="170">
        <v>1429740</v>
      </c>
      <c r="U236" s="157">
        <f t="shared" si="30"/>
        <v>0</v>
      </c>
      <c r="V236" s="157">
        <f t="shared" si="31"/>
        <v>0</v>
      </c>
      <c r="W236" s="157">
        <f t="shared" si="32"/>
        <v>405600</v>
      </c>
      <c r="X236" s="157">
        <f t="shared" si="33"/>
        <v>405600</v>
      </c>
      <c r="Z236" s="218"/>
      <c r="AA236" s="253"/>
      <c r="AB236" s="288"/>
      <c r="AC236" s="289"/>
      <c r="AD236" s="289"/>
      <c r="AE236" s="291"/>
      <c r="AF236" s="258"/>
      <c r="AH236" s="265" t="s">
        <v>440</v>
      </c>
      <c r="AI236" s="240">
        <f t="shared" si="34"/>
        <v>3698340</v>
      </c>
    </row>
    <row r="237" spans="3:35" s="39" customFormat="1" ht="51.75" customHeight="1">
      <c r="C237" s="355"/>
      <c r="D237" s="283" t="s">
        <v>132</v>
      </c>
      <c r="E237" s="283" t="s">
        <v>81</v>
      </c>
      <c r="F237" s="283"/>
      <c r="G237" s="283"/>
      <c r="H237" s="283" t="s">
        <v>64</v>
      </c>
      <c r="I237" s="131">
        <v>183</v>
      </c>
      <c r="J237" s="284">
        <v>1900000</v>
      </c>
      <c r="K237" s="284">
        <v>1900000</v>
      </c>
      <c r="L237" s="258">
        <v>1722396</v>
      </c>
      <c r="M237" s="258">
        <v>1722396</v>
      </c>
      <c r="N237" s="285">
        <f t="shared" ref="N237:N244" si="36">+J237+L237</f>
        <v>3622396</v>
      </c>
      <c r="O237" s="285">
        <f t="shared" ref="O237:O244" si="37">+K237+M237</f>
        <v>3622396</v>
      </c>
      <c r="P237" s="170" t="s">
        <v>252</v>
      </c>
      <c r="Q237" s="170">
        <v>1900000</v>
      </c>
      <c r="R237" s="170">
        <v>1900000</v>
      </c>
      <c r="S237" s="170">
        <v>1341756</v>
      </c>
      <c r="T237" s="170">
        <v>1341756</v>
      </c>
      <c r="U237" s="157">
        <f t="shared" si="30"/>
        <v>0</v>
      </c>
      <c r="V237" s="157">
        <f t="shared" si="31"/>
        <v>0</v>
      </c>
      <c r="W237" s="157">
        <f t="shared" si="32"/>
        <v>380640</v>
      </c>
      <c r="X237" s="157">
        <f t="shared" si="33"/>
        <v>380640</v>
      </c>
      <c r="Z237" s="218"/>
      <c r="AA237" s="253"/>
      <c r="AB237" s="288"/>
      <c r="AC237" s="289"/>
      <c r="AD237" s="289"/>
      <c r="AE237" s="291"/>
      <c r="AF237" s="258"/>
      <c r="AH237" s="265" t="s">
        <v>441</v>
      </c>
      <c r="AI237" s="240">
        <f t="shared" si="34"/>
        <v>3622396</v>
      </c>
    </row>
    <row r="238" spans="3:35" s="39" customFormat="1" ht="51.75" customHeight="1">
      <c r="C238" s="355"/>
      <c r="D238" s="283" t="s">
        <v>132</v>
      </c>
      <c r="E238" s="283" t="s">
        <v>83</v>
      </c>
      <c r="F238" s="283"/>
      <c r="G238" s="283"/>
      <c r="H238" s="283" t="s">
        <v>64</v>
      </c>
      <c r="I238" s="131">
        <v>190</v>
      </c>
      <c r="J238" s="284">
        <v>1900000</v>
      </c>
      <c r="K238" s="284">
        <v>1900000</v>
      </c>
      <c r="L238" s="258">
        <v>1788280</v>
      </c>
      <c r="M238" s="258">
        <v>1788280</v>
      </c>
      <c r="N238" s="285">
        <f t="shared" si="36"/>
        <v>3688280</v>
      </c>
      <c r="O238" s="285">
        <f t="shared" si="37"/>
        <v>3688280</v>
      </c>
      <c r="P238" s="170" t="s">
        <v>253</v>
      </c>
      <c r="Q238" s="170">
        <v>1900000</v>
      </c>
      <c r="R238" s="170">
        <v>1900000</v>
      </c>
      <c r="S238" s="170">
        <v>1393080</v>
      </c>
      <c r="T238" s="170">
        <v>1393080</v>
      </c>
      <c r="U238" s="157">
        <f t="shared" si="30"/>
        <v>0</v>
      </c>
      <c r="V238" s="157">
        <f t="shared" si="31"/>
        <v>0</v>
      </c>
      <c r="W238" s="157">
        <f t="shared" si="32"/>
        <v>395200</v>
      </c>
      <c r="X238" s="157">
        <f t="shared" si="33"/>
        <v>395200</v>
      </c>
      <c r="Z238" s="218"/>
      <c r="AA238" s="253"/>
      <c r="AB238" s="288"/>
      <c r="AC238" s="289"/>
      <c r="AD238" s="289"/>
      <c r="AE238" s="291"/>
      <c r="AF238" s="258"/>
      <c r="AH238" s="265" t="s">
        <v>442</v>
      </c>
      <c r="AI238" s="240">
        <f t="shared" si="34"/>
        <v>3688280</v>
      </c>
    </row>
    <row r="239" spans="3:35" s="39" customFormat="1" ht="51.75" customHeight="1">
      <c r="C239" s="355"/>
      <c r="D239" s="283" t="s">
        <v>93</v>
      </c>
      <c r="E239" s="283" t="s">
        <v>82</v>
      </c>
      <c r="F239" s="283"/>
      <c r="G239" s="283"/>
      <c r="H239" s="283" t="s">
        <v>64</v>
      </c>
      <c r="I239" s="131">
        <v>214</v>
      </c>
      <c r="J239" s="284">
        <v>2657000</v>
      </c>
      <c r="K239" s="284">
        <v>2657000</v>
      </c>
      <c r="L239" s="258">
        <v>2014168</v>
      </c>
      <c r="M239" s="258">
        <v>2014168</v>
      </c>
      <c r="N239" s="285">
        <f t="shared" si="36"/>
        <v>4671168</v>
      </c>
      <c r="O239" s="285">
        <f t="shared" si="37"/>
        <v>4671168</v>
      </c>
      <c r="P239" s="170" t="s">
        <v>254</v>
      </c>
      <c r="Q239" s="170">
        <v>2657000</v>
      </c>
      <c r="R239" s="170">
        <v>2657000</v>
      </c>
      <c r="S239" s="170">
        <v>1569048</v>
      </c>
      <c r="T239" s="170">
        <v>1569048</v>
      </c>
      <c r="U239" s="157">
        <f t="shared" si="30"/>
        <v>0</v>
      </c>
      <c r="V239" s="157">
        <f t="shared" si="31"/>
        <v>0</v>
      </c>
      <c r="W239" s="157">
        <f t="shared" si="32"/>
        <v>445120</v>
      </c>
      <c r="X239" s="157">
        <f t="shared" si="33"/>
        <v>445120</v>
      </c>
      <c r="Z239" s="218"/>
      <c r="AA239" s="253"/>
      <c r="AB239" s="288"/>
      <c r="AC239" s="289"/>
      <c r="AD239" s="289"/>
      <c r="AE239" s="291"/>
      <c r="AF239" s="258"/>
      <c r="AH239" s="265" t="s">
        <v>443</v>
      </c>
      <c r="AI239" s="240">
        <f t="shared" si="34"/>
        <v>4671168</v>
      </c>
    </row>
    <row r="240" spans="3:35" s="39" customFormat="1" ht="51.75" customHeight="1">
      <c r="C240" s="355"/>
      <c r="D240" s="283" t="s">
        <v>93</v>
      </c>
      <c r="E240" s="283" t="s">
        <v>81</v>
      </c>
      <c r="F240" s="283"/>
      <c r="G240" s="283"/>
      <c r="H240" s="283" t="s">
        <v>64</v>
      </c>
      <c r="I240" s="131">
        <v>168</v>
      </c>
      <c r="J240" s="284">
        <v>2496000</v>
      </c>
      <c r="K240" s="284">
        <v>2496000</v>
      </c>
      <c r="L240" s="258">
        <v>1581216</v>
      </c>
      <c r="M240" s="258">
        <v>1581216</v>
      </c>
      <c r="N240" s="285">
        <f t="shared" si="36"/>
        <v>4077216</v>
      </c>
      <c r="O240" s="285">
        <f t="shared" si="37"/>
        <v>4077216</v>
      </c>
      <c r="P240" s="170" t="s">
        <v>255</v>
      </c>
      <c r="Q240" s="170">
        <v>2496000</v>
      </c>
      <c r="R240" s="170">
        <v>2496000</v>
      </c>
      <c r="S240" s="170">
        <v>1231776</v>
      </c>
      <c r="T240" s="170">
        <v>1231776</v>
      </c>
      <c r="U240" s="157">
        <f t="shared" si="30"/>
        <v>0</v>
      </c>
      <c r="V240" s="157">
        <f t="shared" si="31"/>
        <v>0</v>
      </c>
      <c r="W240" s="157">
        <f t="shared" si="32"/>
        <v>349440</v>
      </c>
      <c r="X240" s="157">
        <f t="shared" si="33"/>
        <v>349440</v>
      </c>
      <c r="Z240" s="218"/>
      <c r="AA240" s="253"/>
      <c r="AB240" s="288"/>
      <c r="AC240" s="289"/>
      <c r="AD240" s="289"/>
      <c r="AE240" s="291"/>
      <c r="AF240" s="258"/>
      <c r="AH240" s="265" t="s">
        <v>444</v>
      </c>
      <c r="AI240" s="240">
        <f t="shared" si="34"/>
        <v>4077216</v>
      </c>
    </row>
    <row r="241" spans="2:35" s="39" customFormat="1" ht="51.75" customHeight="1">
      <c r="C241" s="355"/>
      <c r="D241" s="283" t="s">
        <v>93</v>
      </c>
      <c r="E241" s="283" t="s">
        <v>83</v>
      </c>
      <c r="F241" s="283"/>
      <c r="G241" s="283"/>
      <c r="H241" s="283" t="s">
        <v>64</v>
      </c>
      <c r="I241" s="131">
        <v>147</v>
      </c>
      <c r="J241" s="284">
        <v>2508000</v>
      </c>
      <c r="K241" s="284">
        <v>2508000</v>
      </c>
      <c r="L241" s="258">
        <v>1383564</v>
      </c>
      <c r="M241" s="258">
        <v>1383564</v>
      </c>
      <c r="N241" s="285">
        <f t="shared" si="36"/>
        <v>3891564</v>
      </c>
      <c r="O241" s="285">
        <f t="shared" si="37"/>
        <v>3891564</v>
      </c>
      <c r="P241" s="170" t="s">
        <v>256</v>
      </c>
      <c r="Q241" s="170">
        <v>2508000</v>
      </c>
      <c r="R241" s="170">
        <v>2508000</v>
      </c>
      <c r="S241" s="170">
        <v>1077804</v>
      </c>
      <c r="T241" s="170">
        <v>1077804</v>
      </c>
      <c r="U241" s="157">
        <f t="shared" si="30"/>
        <v>0</v>
      </c>
      <c r="V241" s="157">
        <f t="shared" si="31"/>
        <v>0</v>
      </c>
      <c r="W241" s="157">
        <f t="shared" si="32"/>
        <v>305760</v>
      </c>
      <c r="X241" s="157">
        <f t="shared" si="33"/>
        <v>305760</v>
      </c>
      <c r="Z241" s="218"/>
      <c r="AA241" s="253"/>
      <c r="AB241" s="288"/>
      <c r="AC241" s="289"/>
      <c r="AD241" s="289"/>
      <c r="AE241" s="291"/>
      <c r="AF241" s="258"/>
      <c r="AH241" s="265" t="s">
        <v>445</v>
      </c>
      <c r="AI241" s="240">
        <f t="shared" si="34"/>
        <v>3891564</v>
      </c>
    </row>
    <row r="242" spans="2:35" s="28" customFormat="1" ht="51.75" customHeight="1">
      <c r="C242" s="355"/>
      <c r="D242" s="283" t="s">
        <v>94</v>
      </c>
      <c r="E242" s="283" t="s">
        <v>82</v>
      </c>
      <c r="F242" s="283"/>
      <c r="G242" s="283"/>
      <c r="H242" s="283" t="s">
        <v>64</v>
      </c>
      <c r="I242" s="131">
        <v>184</v>
      </c>
      <c r="J242" s="284">
        <v>1850000</v>
      </c>
      <c r="K242" s="284">
        <v>1850000</v>
      </c>
      <c r="L242" s="258">
        <v>1731808</v>
      </c>
      <c r="M242" s="258">
        <v>1731808</v>
      </c>
      <c r="N242" s="285">
        <f t="shared" si="36"/>
        <v>3581808</v>
      </c>
      <c r="O242" s="285">
        <f t="shared" si="37"/>
        <v>3581808</v>
      </c>
      <c r="P242" s="170" t="s">
        <v>257</v>
      </c>
      <c r="Q242" s="170">
        <v>1850000</v>
      </c>
      <c r="R242" s="170">
        <v>1850000</v>
      </c>
      <c r="S242" s="170">
        <v>1349088</v>
      </c>
      <c r="T242" s="170">
        <v>1349088</v>
      </c>
      <c r="U242" s="157">
        <f t="shared" si="30"/>
        <v>0</v>
      </c>
      <c r="V242" s="157">
        <f t="shared" si="31"/>
        <v>0</v>
      </c>
      <c r="W242" s="157">
        <f t="shared" si="32"/>
        <v>382720</v>
      </c>
      <c r="X242" s="157">
        <f t="shared" si="33"/>
        <v>382720</v>
      </c>
      <c r="Z242" s="218"/>
      <c r="AA242" s="253"/>
      <c r="AB242" s="288"/>
      <c r="AC242" s="289"/>
      <c r="AD242" s="289"/>
      <c r="AE242" s="291"/>
      <c r="AF242" s="258"/>
      <c r="AH242" s="265" t="s">
        <v>446</v>
      </c>
      <c r="AI242" s="240">
        <f t="shared" si="34"/>
        <v>3581808</v>
      </c>
    </row>
    <row r="243" spans="2:35" s="39" customFormat="1" ht="51.75" customHeight="1">
      <c r="C243" s="355"/>
      <c r="D243" s="283" t="s">
        <v>94</v>
      </c>
      <c r="E243" s="283" t="s">
        <v>81</v>
      </c>
      <c r="F243" s="283"/>
      <c r="G243" s="283"/>
      <c r="H243" s="283" t="s">
        <v>64</v>
      </c>
      <c r="I243" s="131">
        <v>163</v>
      </c>
      <c r="J243" s="284">
        <v>1873000</v>
      </c>
      <c r="K243" s="284">
        <v>1873000</v>
      </c>
      <c r="L243" s="258">
        <v>1534156</v>
      </c>
      <c r="M243" s="258">
        <v>1534156</v>
      </c>
      <c r="N243" s="285">
        <f t="shared" si="36"/>
        <v>3407156</v>
      </c>
      <c r="O243" s="285">
        <f t="shared" si="37"/>
        <v>3407156</v>
      </c>
      <c r="P243" s="170" t="s">
        <v>258</v>
      </c>
      <c r="Q243" s="170">
        <v>1873000</v>
      </c>
      <c r="R243" s="170">
        <v>1873000</v>
      </c>
      <c r="S243" s="170">
        <v>1195116</v>
      </c>
      <c r="T243" s="170">
        <v>1195116</v>
      </c>
      <c r="U243" s="157">
        <f t="shared" si="30"/>
        <v>0</v>
      </c>
      <c r="V243" s="157">
        <f t="shared" si="31"/>
        <v>0</v>
      </c>
      <c r="W243" s="157">
        <f t="shared" si="32"/>
        <v>339040</v>
      </c>
      <c r="X243" s="157">
        <f t="shared" si="33"/>
        <v>339040</v>
      </c>
      <c r="Z243" s="218"/>
      <c r="AA243" s="253"/>
      <c r="AB243" s="288"/>
      <c r="AC243" s="289"/>
      <c r="AD243" s="289"/>
      <c r="AE243" s="291"/>
      <c r="AF243" s="258"/>
      <c r="AH243" s="265" t="s">
        <v>447</v>
      </c>
      <c r="AI243" s="240">
        <f t="shared" si="34"/>
        <v>3407156</v>
      </c>
    </row>
    <row r="244" spans="2:35" s="39" customFormat="1" ht="51.75" customHeight="1">
      <c r="C244" s="355"/>
      <c r="D244" s="283" t="s">
        <v>94</v>
      </c>
      <c r="E244" s="283" t="s">
        <v>83</v>
      </c>
      <c r="F244" s="283"/>
      <c r="G244" s="283"/>
      <c r="H244" s="283" t="s">
        <v>64</v>
      </c>
      <c r="I244" s="131">
        <v>177</v>
      </c>
      <c r="J244" s="284">
        <v>1873000</v>
      </c>
      <c r="K244" s="284">
        <v>1873000</v>
      </c>
      <c r="L244" s="258">
        <v>1665924</v>
      </c>
      <c r="M244" s="258">
        <v>1665924</v>
      </c>
      <c r="N244" s="285">
        <f t="shared" si="36"/>
        <v>3538924</v>
      </c>
      <c r="O244" s="285">
        <f t="shared" si="37"/>
        <v>3538924</v>
      </c>
      <c r="P244" s="170" t="s">
        <v>259</v>
      </c>
      <c r="Q244" s="170">
        <v>1873000</v>
      </c>
      <c r="R244" s="170">
        <v>1873000</v>
      </c>
      <c r="S244" s="170">
        <v>1297764</v>
      </c>
      <c r="T244" s="170">
        <v>1297764</v>
      </c>
      <c r="U244" s="157">
        <f t="shared" si="30"/>
        <v>0</v>
      </c>
      <c r="V244" s="157">
        <f t="shared" si="31"/>
        <v>0</v>
      </c>
      <c r="W244" s="157">
        <f t="shared" si="32"/>
        <v>368160</v>
      </c>
      <c r="X244" s="157">
        <f t="shared" si="33"/>
        <v>368160</v>
      </c>
      <c r="Z244" s="218"/>
      <c r="AA244" s="253"/>
      <c r="AB244" s="288"/>
      <c r="AC244" s="289"/>
      <c r="AD244" s="289"/>
      <c r="AE244" s="291"/>
      <c r="AF244" s="258"/>
      <c r="AH244" s="265" t="s">
        <v>448</v>
      </c>
      <c r="AI244" s="240">
        <f t="shared" si="34"/>
        <v>3538924</v>
      </c>
    </row>
    <row r="245" spans="2:35" s="39" customFormat="1" ht="9" customHeight="1">
      <c r="C245" s="68"/>
      <c r="D245" s="69"/>
      <c r="E245" s="69"/>
      <c r="F245" s="69"/>
      <c r="G245" s="69"/>
      <c r="H245" s="69"/>
      <c r="I245" s="69"/>
      <c r="J245" s="70"/>
      <c r="K245" s="70"/>
      <c r="L245" s="191"/>
      <c r="M245" s="191"/>
      <c r="N245" s="71"/>
      <c r="O245" s="71"/>
      <c r="P245" s="170" t="s">
        <v>260</v>
      </c>
      <c r="Q245" s="171"/>
      <c r="R245" s="158"/>
      <c r="S245" s="151"/>
      <c r="T245" s="151"/>
      <c r="U245" s="159"/>
      <c r="V245" s="159"/>
      <c r="W245" s="160"/>
      <c r="X245" s="160"/>
      <c r="Z245" s="218"/>
      <c r="AA245" s="253"/>
      <c r="AB245" s="288"/>
      <c r="AC245" s="289"/>
      <c r="AD245" s="289"/>
      <c r="AE245" s="70"/>
      <c r="AF245" s="191"/>
      <c r="AI245" s="240">
        <f t="shared" si="34"/>
        <v>0</v>
      </c>
    </row>
    <row r="246" spans="2:35" s="39" customFormat="1" ht="24.9" customHeight="1">
      <c r="B246" s="114" t="s">
        <v>45</v>
      </c>
      <c r="C246" s="112" t="s">
        <v>60</v>
      </c>
      <c r="L246" s="192"/>
      <c r="M246" s="192"/>
      <c r="P246" s="170" t="s">
        <v>260</v>
      </c>
      <c r="Q246" s="160"/>
      <c r="R246" s="158"/>
      <c r="S246" s="151"/>
      <c r="T246" s="151"/>
      <c r="U246" s="159"/>
      <c r="V246" s="159"/>
      <c r="W246" s="160"/>
      <c r="X246" s="160"/>
      <c r="Z246" s="218"/>
      <c r="AA246" s="253"/>
      <c r="AB246" s="288"/>
      <c r="AC246" s="289"/>
      <c r="AD246" s="289"/>
      <c r="AE246" s="259"/>
      <c r="AF246" s="192"/>
      <c r="AI246" s="240">
        <f t="shared" si="34"/>
        <v>0</v>
      </c>
    </row>
    <row r="247" spans="2:35" s="113" customFormat="1" ht="24.9" customHeight="1">
      <c r="B247" s="114" t="s">
        <v>61</v>
      </c>
      <c r="C247" s="112" t="s">
        <v>67</v>
      </c>
      <c r="L247" s="193"/>
      <c r="M247" s="193"/>
      <c r="P247" s="170" t="s">
        <v>260</v>
      </c>
      <c r="Q247" s="160"/>
      <c r="R247" s="158"/>
      <c r="S247" s="151"/>
      <c r="T247" s="151"/>
      <c r="U247" s="159"/>
      <c r="V247" s="159"/>
      <c r="W247" s="160"/>
      <c r="X247" s="160"/>
      <c r="Z247" s="218"/>
      <c r="AA247" s="253"/>
      <c r="AB247" s="288"/>
      <c r="AC247" s="289"/>
      <c r="AD247" s="289"/>
      <c r="AE247" s="294"/>
      <c r="AF247" s="193"/>
      <c r="AI247" s="240">
        <f t="shared" si="34"/>
        <v>0</v>
      </c>
    </row>
    <row r="248" spans="2:35" s="113" customFormat="1" ht="12" customHeight="1">
      <c r="B248" s="114"/>
      <c r="C248" s="112"/>
      <c r="L248" s="193"/>
      <c r="M248" s="193"/>
      <c r="P248" s="170" t="s">
        <v>260</v>
      </c>
      <c r="Q248" s="160"/>
      <c r="R248" s="158"/>
      <c r="S248" s="151"/>
      <c r="T248" s="151"/>
      <c r="U248" s="159"/>
      <c r="V248" s="159"/>
      <c r="W248" s="160"/>
      <c r="X248" s="160"/>
      <c r="Z248" s="218"/>
      <c r="AA248" s="253"/>
      <c r="AB248" s="288"/>
      <c r="AC248" s="289"/>
      <c r="AD248" s="289"/>
      <c r="AE248" s="294"/>
      <c r="AF248" s="193"/>
      <c r="AI248" s="240">
        <f t="shared" si="34"/>
        <v>0</v>
      </c>
    </row>
    <row r="249" spans="2:35" s="39" customFormat="1" ht="28.5" customHeight="1">
      <c r="C249" s="315" t="s">
        <v>40</v>
      </c>
      <c r="D249" s="316" t="s">
        <v>39</v>
      </c>
      <c r="E249" s="317"/>
      <c r="F249" s="317"/>
      <c r="G249" s="317"/>
      <c r="H249" s="318"/>
      <c r="I249" s="319" t="s">
        <v>41</v>
      </c>
      <c r="J249" s="320" t="s">
        <v>69</v>
      </c>
      <c r="K249" s="320"/>
      <c r="L249" s="307" t="s">
        <v>38</v>
      </c>
      <c r="M249" s="308"/>
      <c r="N249" s="311" t="s">
        <v>13</v>
      </c>
      <c r="O249" s="311"/>
      <c r="P249" s="170" t="s">
        <v>39</v>
      </c>
      <c r="Q249" s="166"/>
      <c r="R249" s="158"/>
      <c r="S249" s="151"/>
      <c r="T249" s="151"/>
      <c r="U249" s="159"/>
      <c r="V249" s="159"/>
      <c r="W249" s="160"/>
      <c r="X249" s="160"/>
      <c r="Z249" s="218"/>
      <c r="AA249" s="253"/>
      <c r="AB249" s="288"/>
      <c r="AC249" s="289"/>
      <c r="AD249" s="289"/>
      <c r="AE249" s="307"/>
      <c r="AF249" s="308"/>
      <c r="AI249" s="240">
        <f t="shared" si="34"/>
        <v>0</v>
      </c>
    </row>
    <row r="250" spans="2:35" s="39" customFormat="1" ht="28.5" customHeight="1">
      <c r="C250" s="301"/>
      <c r="D250" s="117" t="s">
        <v>15</v>
      </c>
      <c r="E250" s="117" t="s">
        <v>16</v>
      </c>
      <c r="F250" s="117" t="s">
        <v>16</v>
      </c>
      <c r="G250" s="117" t="s">
        <v>16</v>
      </c>
      <c r="H250" s="117" t="s">
        <v>16</v>
      </c>
      <c r="I250" s="301"/>
      <c r="J250" s="117" t="s">
        <v>35</v>
      </c>
      <c r="K250" s="117" t="s">
        <v>36</v>
      </c>
      <c r="L250" s="190" t="s">
        <v>35</v>
      </c>
      <c r="M250" s="190" t="s">
        <v>36</v>
      </c>
      <c r="N250" s="117" t="s">
        <v>35</v>
      </c>
      <c r="O250" s="117" t="s">
        <v>36</v>
      </c>
      <c r="P250" s="170" t="s">
        <v>250</v>
      </c>
      <c r="Q250" s="166"/>
      <c r="R250" s="158"/>
      <c r="S250" s="151"/>
      <c r="T250" s="151"/>
      <c r="U250" s="159"/>
      <c r="V250" s="159"/>
      <c r="W250" s="160"/>
      <c r="X250" s="160"/>
      <c r="Z250" s="218"/>
      <c r="AA250" s="253"/>
      <c r="AB250" s="288"/>
      <c r="AC250" s="289"/>
      <c r="AD250" s="289"/>
      <c r="AE250" s="293"/>
      <c r="AF250" s="190"/>
      <c r="AI250" s="240" t="str">
        <f t="shared" si="34"/>
        <v>20FT</v>
      </c>
    </row>
    <row r="251" spans="2:35" s="39" customFormat="1" ht="34.5" customHeight="1">
      <c r="C251" s="312" t="s">
        <v>53</v>
      </c>
      <c r="D251" s="64" t="s">
        <v>64</v>
      </c>
      <c r="E251" s="63" t="s">
        <v>82</v>
      </c>
      <c r="F251" s="63"/>
      <c r="G251" s="63"/>
      <c r="H251" s="63" t="s">
        <v>46</v>
      </c>
      <c r="I251" s="63">
        <v>331</v>
      </c>
      <c r="J251" s="65">
        <v>2150000</v>
      </c>
      <c r="K251" s="65">
        <v>2150000</v>
      </c>
      <c r="L251" s="189">
        <v>2725951</v>
      </c>
      <c r="M251" s="189">
        <v>2725951</v>
      </c>
      <c r="N251" s="66">
        <f t="shared" ref="N251" si="38">+J251+L251</f>
        <v>4875951</v>
      </c>
      <c r="O251" s="66">
        <f t="shared" ref="O251" si="39">+K251+M251</f>
        <v>4875951</v>
      </c>
      <c r="P251" s="170" t="s">
        <v>261</v>
      </c>
      <c r="Q251" s="171">
        <v>2150000</v>
      </c>
      <c r="R251" s="171">
        <v>2150000</v>
      </c>
      <c r="S251" s="171">
        <v>2123531</v>
      </c>
      <c r="T251" s="171">
        <v>2123531</v>
      </c>
      <c r="U251" s="157">
        <f t="shared" ref="U251" si="40">J251-Q251</f>
        <v>0</v>
      </c>
      <c r="V251" s="157">
        <f t="shared" ref="V251" si="41">K251-R251</f>
        <v>0</v>
      </c>
      <c r="W251" s="157">
        <f t="shared" ref="W251" si="42">L251-S251</f>
        <v>602420</v>
      </c>
      <c r="X251" s="157">
        <f t="shared" ref="X251" si="43">M251-T251</f>
        <v>602420</v>
      </c>
      <c r="Z251" s="218"/>
      <c r="AA251" s="253"/>
      <c r="AB251" s="288"/>
      <c r="AC251" s="289"/>
      <c r="AD251" s="289"/>
      <c r="AE251" s="291"/>
      <c r="AF251" s="189"/>
      <c r="AH251" s="263" t="s">
        <v>449</v>
      </c>
      <c r="AI251" s="240">
        <f t="shared" si="34"/>
        <v>4875951</v>
      </c>
    </row>
    <row r="252" spans="2:35" s="39" customFormat="1" ht="34.5" customHeight="1">
      <c r="C252" s="313"/>
      <c r="D252" s="64" t="s">
        <v>64</v>
      </c>
      <c r="E252" s="63" t="s">
        <v>81</v>
      </c>
      <c r="F252" s="63"/>
      <c r="G252" s="63"/>
      <c r="H252" s="63" t="s">
        <v>46</v>
      </c>
      <c r="I252" s="63">
        <v>310</v>
      </c>
      <c r="J252" s="65">
        <v>2050000</v>
      </c>
      <c r="K252" s="65">
        <v>2050000</v>
      </c>
      <c r="L252" s="189">
        <v>2553005</v>
      </c>
      <c r="M252" s="189">
        <v>2553005</v>
      </c>
      <c r="N252" s="66">
        <f t="shared" ref="N252:N292" si="44">+J252+L252</f>
        <v>4603005</v>
      </c>
      <c r="O252" s="66">
        <f t="shared" ref="O252:O292" si="45">+K252+M252</f>
        <v>4603005</v>
      </c>
      <c r="P252" s="170" t="s">
        <v>262</v>
      </c>
      <c r="Q252" s="171">
        <v>2050000</v>
      </c>
      <c r="R252" s="171">
        <v>2050000</v>
      </c>
      <c r="S252" s="171">
        <v>1988805</v>
      </c>
      <c r="T252" s="171">
        <v>1988805</v>
      </c>
      <c r="U252" s="157">
        <f t="shared" ref="U252:U317" si="46">J252-Q252</f>
        <v>0</v>
      </c>
      <c r="V252" s="157">
        <f t="shared" ref="V252:V317" si="47">K252-R252</f>
        <v>0</v>
      </c>
      <c r="W252" s="157">
        <f t="shared" ref="W252:W317" si="48">L252-S252</f>
        <v>564200</v>
      </c>
      <c r="X252" s="157">
        <f t="shared" ref="X252:X317" si="49">M252-T252</f>
        <v>564200</v>
      </c>
      <c r="Z252" s="218"/>
      <c r="AA252" s="253"/>
      <c r="AB252" s="288"/>
      <c r="AC252" s="289"/>
      <c r="AD252" s="289"/>
      <c r="AE252" s="291"/>
      <c r="AF252" s="189"/>
      <c r="AH252" s="263" t="s">
        <v>450</v>
      </c>
      <c r="AI252" s="240">
        <f t="shared" si="34"/>
        <v>4603005</v>
      </c>
    </row>
    <row r="253" spans="2:35" s="39" customFormat="1" ht="34.5" customHeight="1">
      <c r="C253" s="313"/>
      <c r="D253" s="81" t="s">
        <v>64</v>
      </c>
      <c r="E253" s="79" t="s">
        <v>83</v>
      </c>
      <c r="F253" s="79"/>
      <c r="G253" s="79"/>
      <c r="H253" s="79" t="s">
        <v>46</v>
      </c>
      <c r="I253" s="79">
        <v>299</v>
      </c>
      <c r="J253" s="80">
        <v>2050000</v>
      </c>
      <c r="K253" s="80">
        <v>2050000</v>
      </c>
      <c r="L253" s="189">
        <v>2462415</v>
      </c>
      <c r="M253" s="189">
        <v>2462415</v>
      </c>
      <c r="N253" s="66">
        <f t="shared" si="44"/>
        <v>4512415</v>
      </c>
      <c r="O253" s="66">
        <f t="shared" si="45"/>
        <v>4512415</v>
      </c>
      <c r="P253" s="170" t="s">
        <v>263</v>
      </c>
      <c r="Q253" s="171">
        <v>2050000</v>
      </c>
      <c r="R253" s="171">
        <v>2050000</v>
      </c>
      <c r="S253" s="171">
        <v>1918235</v>
      </c>
      <c r="T253" s="171">
        <v>1918235</v>
      </c>
      <c r="U253" s="157">
        <f t="shared" si="46"/>
        <v>0</v>
      </c>
      <c r="V253" s="157">
        <f t="shared" si="47"/>
        <v>0</v>
      </c>
      <c r="W253" s="157">
        <f t="shared" si="48"/>
        <v>544180</v>
      </c>
      <c r="X253" s="157">
        <f t="shared" si="49"/>
        <v>544180</v>
      </c>
      <c r="Z253" s="218"/>
      <c r="AA253" s="253"/>
      <c r="AB253" s="288"/>
      <c r="AC253" s="289"/>
      <c r="AD253" s="289"/>
      <c r="AE253" s="291"/>
      <c r="AF253" s="189"/>
      <c r="AH253" s="263" t="s">
        <v>451</v>
      </c>
      <c r="AI253" s="240">
        <f t="shared" si="34"/>
        <v>4512415</v>
      </c>
    </row>
    <row r="254" spans="2:35" s="39" customFormat="1" ht="34.5" customHeight="1">
      <c r="C254" s="313"/>
      <c r="D254" s="64" t="s">
        <v>64</v>
      </c>
      <c r="E254" s="63" t="s">
        <v>82</v>
      </c>
      <c r="F254" s="63" t="s">
        <v>81</v>
      </c>
      <c r="G254" s="63"/>
      <c r="H254" s="63" t="s">
        <v>46</v>
      </c>
      <c r="I254" s="63">
        <v>356</v>
      </c>
      <c r="J254" s="65">
        <v>2550000</v>
      </c>
      <c r="K254" s="65">
        <v>2550000</v>
      </c>
      <c r="L254" s="189">
        <v>2931838</v>
      </c>
      <c r="M254" s="189">
        <v>2931838</v>
      </c>
      <c r="N254" s="66">
        <f t="shared" si="44"/>
        <v>5481838</v>
      </c>
      <c r="O254" s="66">
        <f t="shared" si="45"/>
        <v>5481838</v>
      </c>
      <c r="P254" s="170" t="s">
        <v>264</v>
      </c>
      <c r="Q254" s="171">
        <v>2550000</v>
      </c>
      <c r="R254" s="171">
        <v>2550000</v>
      </c>
      <c r="S254" s="171">
        <v>2283918</v>
      </c>
      <c r="T254" s="171">
        <v>2283918</v>
      </c>
      <c r="U254" s="157">
        <f t="shared" si="46"/>
        <v>0</v>
      </c>
      <c r="V254" s="157">
        <f t="shared" si="47"/>
        <v>0</v>
      </c>
      <c r="W254" s="157">
        <f t="shared" si="48"/>
        <v>647920</v>
      </c>
      <c r="X254" s="157">
        <f t="shared" si="49"/>
        <v>647920</v>
      </c>
      <c r="Z254" s="218"/>
      <c r="AA254" s="253"/>
      <c r="AB254" s="288"/>
      <c r="AC254" s="289"/>
      <c r="AD254" s="289"/>
      <c r="AE254" s="291"/>
      <c r="AF254" s="189"/>
      <c r="AI254" s="240">
        <f t="shared" si="34"/>
        <v>5481838</v>
      </c>
    </row>
    <row r="255" spans="2:35" s="39" customFormat="1" ht="34.5" customHeight="1">
      <c r="C255" s="313"/>
      <c r="D255" s="64" t="s">
        <v>64</v>
      </c>
      <c r="E255" s="115" t="s">
        <v>82</v>
      </c>
      <c r="F255" s="115" t="s">
        <v>83</v>
      </c>
      <c r="G255" s="115"/>
      <c r="H255" s="115" t="s">
        <v>46</v>
      </c>
      <c r="I255" s="115">
        <v>364</v>
      </c>
      <c r="J255" s="116">
        <v>2550000</v>
      </c>
      <c r="K255" s="116">
        <v>2550000</v>
      </c>
      <c r="L255" s="189">
        <v>2997722</v>
      </c>
      <c r="M255" s="189">
        <v>2997722</v>
      </c>
      <c r="N255" s="66">
        <f t="shared" si="44"/>
        <v>5547722</v>
      </c>
      <c r="O255" s="66">
        <f t="shared" si="45"/>
        <v>5547722</v>
      </c>
      <c r="P255" s="170" t="s">
        <v>265</v>
      </c>
      <c r="Q255" s="171">
        <v>2550000</v>
      </c>
      <c r="R255" s="171">
        <v>2550000</v>
      </c>
      <c r="S255" s="171">
        <v>2335242</v>
      </c>
      <c r="T255" s="171">
        <v>2335242</v>
      </c>
      <c r="U255" s="157">
        <f t="shared" si="46"/>
        <v>0</v>
      </c>
      <c r="V255" s="157">
        <f t="shared" si="47"/>
        <v>0</v>
      </c>
      <c r="W255" s="157">
        <f t="shared" si="48"/>
        <v>662480</v>
      </c>
      <c r="X255" s="157">
        <f t="shared" si="49"/>
        <v>662480</v>
      </c>
      <c r="Z255" s="218"/>
      <c r="AA255" s="253"/>
      <c r="AB255" s="288"/>
      <c r="AC255" s="289"/>
      <c r="AD255" s="289"/>
      <c r="AE255" s="291"/>
      <c r="AF255" s="189"/>
      <c r="AI255" s="240">
        <f t="shared" si="34"/>
        <v>5547722</v>
      </c>
    </row>
    <row r="256" spans="2:35" s="39" customFormat="1" ht="34.5" customHeight="1">
      <c r="C256" s="313"/>
      <c r="D256" s="64" t="s">
        <v>64</v>
      </c>
      <c r="E256" s="63" t="s">
        <v>81</v>
      </c>
      <c r="F256" s="63" t="s">
        <v>83</v>
      </c>
      <c r="G256" s="63"/>
      <c r="H256" s="63" t="s">
        <v>46</v>
      </c>
      <c r="I256" s="63">
        <v>319</v>
      </c>
      <c r="J256" s="65">
        <v>2250000</v>
      </c>
      <c r="K256" s="65">
        <v>2250000</v>
      </c>
      <c r="L256" s="189">
        <v>2627125</v>
      </c>
      <c r="M256" s="189">
        <v>2627125</v>
      </c>
      <c r="N256" s="66">
        <f t="shared" si="44"/>
        <v>4877125</v>
      </c>
      <c r="O256" s="66">
        <f t="shared" si="45"/>
        <v>4877125</v>
      </c>
      <c r="P256" s="170" t="s">
        <v>266</v>
      </c>
      <c r="Q256" s="171">
        <v>2250000</v>
      </c>
      <c r="R256" s="171">
        <v>2250000</v>
      </c>
      <c r="S256" s="171">
        <v>2046545</v>
      </c>
      <c r="T256" s="171">
        <v>2046545</v>
      </c>
      <c r="U256" s="157">
        <f t="shared" si="46"/>
        <v>0</v>
      </c>
      <c r="V256" s="157">
        <f t="shared" si="47"/>
        <v>0</v>
      </c>
      <c r="W256" s="157">
        <f t="shared" si="48"/>
        <v>580580</v>
      </c>
      <c r="X256" s="157">
        <f t="shared" si="49"/>
        <v>580580</v>
      </c>
      <c r="Z256" s="218"/>
      <c r="AA256" s="253"/>
      <c r="AB256" s="288"/>
      <c r="AC256" s="289"/>
      <c r="AD256" s="289"/>
      <c r="AE256" s="291"/>
      <c r="AF256" s="189"/>
      <c r="AI256" s="240">
        <f t="shared" si="34"/>
        <v>4877125</v>
      </c>
    </row>
    <row r="257" spans="3:35" s="39" customFormat="1" ht="34.5" customHeight="1">
      <c r="C257" s="313"/>
      <c r="D257" s="64" t="s">
        <v>64</v>
      </c>
      <c r="E257" s="63" t="s">
        <v>82</v>
      </c>
      <c r="F257" s="63" t="s">
        <v>81</v>
      </c>
      <c r="G257" s="63" t="s">
        <v>83</v>
      </c>
      <c r="H257" s="63" t="s">
        <v>46</v>
      </c>
      <c r="I257" s="63">
        <v>410</v>
      </c>
      <c r="J257" s="65">
        <v>2700000</v>
      </c>
      <c r="K257" s="65">
        <v>2700000</v>
      </c>
      <c r="L257" s="189">
        <v>3376555</v>
      </c>
      <c r="M257" s="189">
        <v>3376555</v>
      </c>
      <c r="N257" s="66">
        <f t="shared" si="44"/>
        <v>6076555</v>
      </c>
      <c r="O257" s="66">
        <f t="shared" si="45"/>
        <v>6076555</v>
      </c>
      <c r="P257" s="170" t="s">
        <v>267</v>
      </c>
      <c r="Q257" s="171">
        <v>2700000</v>
      </c>
      <c r="R257" s="171">
        <v>2700000</v>
      </c>
      <c r="S257" s="171">
        <v>2630355</v>
      </c>
      <c r="T257" s="171">
        <v>2630355</v>
      </c>
      <c r="U257" s="157">
        <f t="shared" si="46"/>
        <v>0</v>
      </c>
      <c r="V257" s="157">
        <f t="shared" si="47"/>
        <v>0</v>
      </c>
      <c r="W257" s="157">
        <f t="shared" si="48"/>
        <v>746200</v>
      </c>
      <c r="X257" s="157">
        <f t="shared" si="49"/>
        <v>746200</v>
      </c>
      <c r="Z257" s="218"/>
      <c r="AA257" s="253"/>
      <c r="AB257" s="288"/>
      <c r="AC257" s="289"/>
      <c r="AD257" s="289"/>
      <c r="AE257" s="291"/>
      <c r="AF257" s="189"/>
      <c r="AI257" s="240">
        <f t="shared" si="34"/>
        <v>6076555</v>
      </c>
    </row>
    <row r="258" spans="3:35" s="39" customFormat="1" ht="34.5" customHeight="1">
      <c r="C258" s="313"/>
      <c r="D258" s="81" t="s">
        <v>64</v>
      </c>
      <c r="E258" s="79" t="s">
        <v>84</v>
      </c>
      <c r="F258" s="79" t="s">
        <v>81</v>
      </c>
      <c r="G258" s="79"/>
      <c r="H258" s="79" t="s">
        <v>46</v>
      </c>
      <c r="I258" s="79">
        <v>320</v>
      </c>
      <c r="J258" s="80">
        <v>2300000</v>
      </c>
      <c r="K258" s="80">
        <v>2300000</v>
      </c>
      <c r="L258" s="189">
        <v>2635360</v>
      </c>
      <c r="M258" s="189">
        <v>2635360</v>
      </c>
      <c r="N258" s="66">
        <f t="shared" si="44"/>
        <v>4935360</v>
      </c>
      <c r="O258" s="66">
        <f t="shared" si="45"/>
        <v>4935360</v>
      </c>
      <c r="P258" s="170" t="s">
        <v>268</v>
      </c>
      <c r="Q258" s="171">
        <v>2300000</v>
      </c>
      <c r="R258" s="171">
        <v>2300000</v>
      </c>
      <c r="S258" s="171">
        <v>2052960</v>
      </c>
      <c r="T258" s="171">
        <v>2052960</v>
      </c>
      <c r="U258" s="157">
        <f t="shared" si="46"/>
        <v>0</v>
      </c>
      <c r="V258" s="157">
        <f t="shared" si="47"/>
        <v>0</v>
      </c>
      <c r="W258" s="157">
        <f t="shared" si="48"/>
        <v>582400</v>
      </c>
      <c r="X258" s="157">
        <f t="shared" si="49"/>
        <v>582400</v>
      </c>
      <c r="Z258" s="218"/>
      <c r="AA258" s="253"/>
      <c r="AB258" s="288"/>
      <c r="AC258" s="289"/>
      <c r="AD258" s="289"/>
      <c r="AE258" s="291"/>
      <c r="AF258" s="189"/>
      <c r="AI258" s="240">
        <f t="shared" si="34"/>
        <v>4935360</v>
      </c>
    </row>
    <row r="259" spans="3:35" s="39" customFormat="1" ht="34.5" customHeight="1">
      <c r="C259" s="313"/>
      <c r="D259" s="64" t="s">
        <v>64</v>
      </c>
      <c r="E259" s="63" t="s">
        <v>85</v>
      </c>
      <c r="F259" s="63" t="s">
        <v>81</v>
      </c>
      <c r="G259" s="63"/>
      <c r="H259" s="63" t="s">
        <v>46</v>
      </c>
      <c r="I259" s="63">
        <v>310</v>
      </c>
      <c r="J259" s="65">
        <v>2300000</v>
      </c>
      <c r="K259" s="65">
        <v>2300000</v>
      </c>
      <c r="L259" s="189">
        <v>2553005</v>
      </c>
      <c r="M259" s="189">
        <v>2553005</v>
      </c>
      <c r="N259" s="66">
        <f t="shared" si="44"/>
        <v>4853005</v>
      </c>
      <c r="O259" s="66">
        <f t="shared" si="45"/>
        <v>4853005</v>
      </c>
      <c r="P259" s="170" t="s">
        <v>269</v>
      </c>
      <c r="Q259" s="171">
        <v>2300000</v>
      </c>
      <c r="R259" s="171">
        <v>2300000</v>
      </c>
      <c r="S259" s="171">
        <v>1988805</v>
      </c>
      <c r="T259" s="171">
        <v>1988805</v>
      </c>
      <c r="U259" s="157">
        <f t="shared" si="46"/>
        <v>0</v>
      </c>
      <c r="V259" s="157">
        <f t="shared" si="47"/>
        <v>0</v>
      </c>
      <c r="W259" s="157">
        <f t="shared" si="48"/>
        <v>564200</v>
      </c>
      <c r="X259" s="157">
        <f t="shared" si="49"/>
        <v>564200</v>
      </c>
      <c r="Z259" s="218"/>
      <c r="AA259" s="253"/>
      <c r="AB259" s="288"/>
      <c r="AC259" s="289"/>
      <c r="AD259" s="289"/>
      <c r="AE259" s="291"/>
      <c r="AF259" s="189"/>
      <c r="AI259" s="240">
        <f t="shared" si="34"/>
        <v>4853005</v>
      </c>
    </row>
    <row r="260" spans="3:35" s="39" customFormat="1" ht="34.5" customHeight="1">
      <c r="C260" s="313"/>
      <c r="D260" s="81" t="s">
        <v>64</v>
      </c>
      <c r="E260" s="79" t="s">
        <v>85</v>
      </c>
      <c r="F260" s="79" t="s">
        <v>83</v>
      </c>
      <c r="G260" s="79"/>
      <c r="H260" s="79" t="s">
        <v>46</v>
      </c>
      <c r="I260" s="79">
        <v>312</v>
      </c>
      <c r="J260" s="80">
        <v>2300000</v>
      </c>
      <c r="K260" s="80">
        <v>2300000</v>
      </c>
      <c r="L260" s="189">
        <v>2569476</v>
      </c>
      <c r="M260" s="189">
        <v>2569476</v>
      </c>
      <c r="N260" s="66">
        <f t="shared" si="44"/>
        <v>4869476</v>
      </c>
      <c r="O260" s="66">
        <f t="shared" si="45"/>
        <v>4869476</v>
      </c>
      <c r="P260" s="170" t="s">
        <v>270</v>
      </c>
      <c r="Q260" s="171">
        <v>2300000</v>
      </c>
      <c r="R260" s="171">
        <v>2300000</v>
      </c>
      <c r="S260" s="171">
        <v>2001636</v>
      </c>
      <c r="T260" s="171">
        <v>2001636</v>
      </c>
      <c r="U260" s="157">
        <f t="shared" si="46"/>
        <v>0</v>
      </c>
      <c r="V260" s="157">
        <f t="shared" si="47"/>
        <v>0</v>
      </c>
      <c r="W260" s="157">
        <f t="shared" si="48"/>
        <v>567840</v>
      </c>
      <c r="X260" s="157">
        <f t="shared" si="49"/>
        <v>567840</v>
      </c>
      <c r="Z260" s="218"/>
      <c r="AA260" s="253"/>
      <c r="AB260" s="288"/>
      <c r="AC260" s="289"/>
      <c r="AD260" s="289"/>
      <c r="AE260" s="291"/>
      <c r="AF260" s="189"/>
      <c r="AI260" s="240">
        <f t="shared" si="34"/>
        <v>4869476</v>
      </c>
    </row>
    <row r="261" spans="3:35" s="39" customFormat="1" ht="34.5" customHeight="1">
      <c r="C261" s="313"/>
      <c r="D261" s="64" t="s">
        <v>64</v>
      </c>
      <c r="E261" s="63" t="s">
        <v>85</v>
      </c>
      <c r="F261" s="63" t="s">
        <v>81</v>
      </c>
      <c r="G261" s="63" t="s">
        <v>83</v>
      </c>
      <c r="H261" s="63" t="s">
        <v>46</v>
      </c>
      <c r="I261" s="63">
        <v>332</v>
      </c>
      <c r="J261" s="65">
        <v>2450000</v>
      </c>
      <c r="K261" s="65">
        <v>2450000</v>
      </c>
      <c r="L261" s="189">
        <v>2734186</v>
      </c>
      <c r="M261" s="189">
        <v>2734186</v>
      </c>
      <c r="N261" s="66">
        <f t="shared" si="44"/>
        <v>5184186</v>
      </c>
      <c r="O261" s="66">
        <f t="shared" si="45"/>
        <v>5184186</v>
      </c>
      <c r="P261" s="170" t="s">
        <v>271</v>
      </c>
      <c r="Q261" s="171">
        <v>2450000</v>
      </c>
      <c r="R261" s="171">
        <v>2450000</v>
      </c>
      <c r="S261" s="171">
        <v>2129946</v>
      </c>
      <c r="T261" s="171">
        <v>2129946</v>
      </c>
      <c r="U261" s="157">
        <f t="shared" si="46"/>
        <v>0</v>
      </c>
      <c r="V261" s="157">
        <f t="shared" si="47"/>
        <v>0</v>
      </c>
      <c r="W261" s="157">
        <f t="shared" si="48"/>
        <v>604240</v>
      </c>
      <c r="X261" s="157">
        <f t="shared" si="49"/>
        <v>604240</v>
      </c>
      <c r="Z261" s="218"/>
      <c r="AA261" s="253"/>
      <c r="AB261" s="288"/>
      <c r="AC261" s="289"/>
      <c r="AD261" s="289"/>
      <c r="AE261" s="291"/>
      <c r="AF261" s="189"/>
      <c r="AI261" s="240">
        <f t="shared" si="34"/>
        <v>5184186</v>
      </c>
    </row>
    <row r="262" spans="3:35" s="39" customFormat="1" ht="34.5" customHeight="1">
      <c r="C262" s="313"/>
      <c r="D262" s="145" t="s">
        <v>86</v>
      </c>
      <c r="E262" s="115" t="s">
        <v>82</v>
      </c>
      <c r="F262" s="115"/>
      <c r="G262" s="115"/>
      <c r="H262" s="115" t="s">
        <v>46</v>
      </c>
      <c r="I262" s="115">
        <v>331</v>
      </c>
      <c r="J262" s="116">
        <v>2150000</v>
      </c>
      <c r="K262" s="116">
        <v>2150000</v>
      </c>
      <c r="L262" s="189">
        <v>2725951</v>
      </c>
      <c r="M262" s="189">
        <v>2725951</v>
      </c>
      <c r="N262" s="66">
        <f t="shared" si="44"/>
        <v>4875951</v>
      </c>
      <c r="O262" s="66">
        <f t="shared" si="45"/>
        <v>4875951</v>
      </c>
      <c r="P262" s="170" t="s">
        <v>272</v>
      </c>
      <c r="Q262" s="171">
        <v>2150000</v>
      </c>
      <c r="R262" s="171">
        <v>2150000</v>
      </c>
      <c r="S262" s="171">
        <v>2123531</v>
      </c>
      <c r="T262" s="171">
        <v>2123531</v>
      </c>
      <c r="U262" s="157">
        <f t="shared" si="46"/>
        <v>0</v>
      </c>
      <c r="V262" s="157">
        <f t="shared" si="47"/>
        <v>0</v>
      </c>
      <c r="W262" s="157">
        <f t="shared" si="48"/>
        <v>602420</v>
      </c>
      <c r="X262" s="157">
        <f t="shared" si="49"/>
        <v>602420</v>
      </c>
      <c r="Z262" s="218"/>
      <c r="AA262" s="253"/>
      <c r="AB262" s="288"/>
      <c r="AC262" s="289"/>
      <c r="AD262" s="289"/>
      <c r="AE262" s="291"/>
      <c r="AF262" s="189"/>
      <c r="AH262" s="263" t="s">
        <v>452</v>
      </c>
      <c r="AI262" s="240">
        <f t="shared" si="34"/>
        <v>4875951</v>
      </c>
    </row>
    <row r="263" spans="3:35" s="39" customFormat="1" ht="34.5" customHeight="1">
      <c r="C263" s="313"/>
      <c r="D263" s="64" t="s">
        <v>86</v>
      </c>
      <c r="E263" s="63" t="s">
        <v>81</v>
      </c>
      <c r="F263" s="63"/>
      <c r="G263" s="63"/>
      <c r="H263" s="63" t="s">
        <v>46</v>
      </c>
      <c r="I263" s="63">
        <v>310</v>
      </c>
      <c r="J263" s="65">
        <v>2050000</v>
      </c>
      <c r="K263" s="65">
        <v>2050000</v>
      </c>
      <c r="L263" s="189">
        <v>2553005</v>
      </c>
      <c r="M263" s="189">
        <v>2553005</v>
      </c>
      <c r="N263" s="66">
        <f t="shared" si="44"/>
        <v>4603005</v>
      </c>
      <c r="O263" s="66">
        <f t="shared" si="45"/>
        <v>4603005</v>
      </c>
      <c r="P263" s="170" t="s">
        <v>273</v>
      </c>
      <c r="Q263" s="171">
        <v>2050000</v>
      </c>
      <c r="R263" s="171">
        <v>2050000</v>
      </c>
      <c r="S263" s="171">
        <v>1988805</v>
      </c>
      <c r="T263" s="171">
        <v>1988805</v>
      </c>
      <c r="U263" s="157">
        <f t="shared" si="46"/>
        <v>0</v>
      </c>
      <c r="V263" s="157">
        <f t="shared" si="47"/>
        <v>0</v>
      </c>
      <c r="W263" s="157">
        <f t="shared" si="48"/>
        <v>564200</v>
      </c>
      <c r="X263" s="157">
        <f t="shared" si="49"/>
        <v>564200</v>
      </c>
      <c r="Z263" s="218"/>
      <c r="AA263" s="253"/>
      <c r="AB263" s="288"/>
      <c r="AC263" s="289"/>
      <c r="AD263" s="289"/>
      <c r="AE263" s="291"/>
      <c r="AF263" s="189"/>
      <c r="AH263" s="263" t="s">
        <v>453</v>
      </c>
      <c r="AI263" s="240">
        <f t="shared" si="34"/>
        <v>4603005</v>
      </c>
    </row>
    <row r="264" spans="3:35" s="39" customFormat="1" ht="34.5" customHeight="1">
      <c r="C264" s="313"/>
      <c r="D264" s="64" t="s">
        <v>86</v>
      </c>
      <c r="E264" s="63" t="s">
        <v>83</v>
      </c>
      <c r="F264" s="63"/>
      <c r="G264" s="63"/>
      <c r="H264" s="63" t="s">
        <v>46</v>
      </c>
      <c r="I264" s="63">
        <v>299</v>
      </c>
      <c r="J264" s="65">
        <v>2050000</v>
      </c>
      <c r="K264" s="65">
        <v>2050000</v>
      </c>
      <c r="L264" s="189">
        <v>2462415</v>
      </c>
      <c r="M264" s="189">
        <v>2462415</v>
      </c>
      <c r="N264" s="66">
        <f t="shared" si="44"/>
        <v>4512415</v>
      </c>
      <c r="O264" s="66">
        <f t="shared" si="45"/>
        <v>4512415</v>
      </c>
      <c r="P264" s="170" t="s">
        <v>274</v>
      </c>
      <c r="Q264" s="171">
        <v>2050000</v>
      </c>
      <c r="R264" s="171">
        <v>2050000</v>
      </c>
      <c r="S264" s="171">
        <v>1918235</v>
      </c>
      <c r="T264" s="171">
        <v>1918235</v>
      </c>
      <c r="U264" s="157">
        <f t="shared" si="46"/>
        <v>0</v>
      </c>
      <c r="V264" s="157">
        <f t="shared" si="47"/>
        <v>0</v>
      </c>
      <c r="W264" s="157">
        <f t="shared" si="48"/>
        <v>544180</v>
      </c>
      <c r="X264" s="157">
        <f t="shared" si="49"/>
        <v>544180</v>
      </c>
      <c r="Z264" s="218"/>
      <c r="AA264" s="253"/>
      <c r="AB264" s="288"/>
      <c r="AC264" s="289"/>
      <c r="AD264" s="289"/>
      <c r="AE264" s="291"/>
      <c r="AF264" s="189"/>
      <c r="AH264" s="263" t="s">
        <v>454</v>
      </c>
      <c r="AI264" s="240">
        <f t="shared" si="34"/>
        <v>4512415</v>
      </c>
    </row>
    <row r="265" spans="3:35" s="39" customFormat="1" ht="34.5" customHeight="1">
      <c r="C265" s="313"/>
      <c r="D265" s="81" t="s">
        <v>86</v>
      </c>
      <c r="E265" s="79" t="s">
        <v>82</v>
      </c>
      <c r="F265" s="79" t="s">
        <v>81</v>
      </c>
      <c r="G265" s="79"/>
      <c r="H265" s="79" t="s">
        <v>46</v>
      </c>
      <c r="I265" s="79">
        <v>356</v>
      </c>
      <c r="J265" s="80">
        <v>2550000</v>
      </c>
      <c r="K265" s="80">
        <v>2550000</v>
      </c>
      <c r="L265" s="189">
        <v>2931838</v>
      </c>
      <c r="M265" s="189">
        <v>2931838</v>
      </c>
      <c r="N265" s="66">
        <f t="shared" si="44"/>
        <v>5481838</v>
      </c>
      <c r="O265" s="66">
        <f t="shared" si="45"/>
        <v>5481838</v>
      </c>
      <c r="P265" s="170" t="s">
        <v>275</v>
      </c>
      <c r="Q265" s="171">
        <v>2550000</v>
      </c>
      <c r="R265" s="171">
        <v>2550000</v>
      </c>
      <c r="S265" s="171">
        <v>2283918</v>
      </c>
      <c r="T265" s="171">
        <v>2283918</v>
      </c>
      <c r="U265" s="157">
        <f t="shared" si="46"/>
        <v>0</v>
      </c>
      <c r="V265" s="157">
        <f t="shared" si="47"/>
        <v>0</v>
      </c>
      <c r="W265" s="157">
        <f t="shared" si="48"/>
        <v>647920</v>
      </c>
      <c r="X265" s="157">
        <f t="shared" si="49"/>
        <v>647920</v>
      </c>
      <c r="Z265" s="218"/>
      <c r="AA265" s="253"/>
      <c r="AB265" s="288"/>
      <c r="AC265" s="289"/>
      <c r="AD265" s="289"/>
      <c r="AE265" s="291"/>
      <c r="AF265" s="189"/>
      <c r="AI265" s="240">
        <f t="shared" si="34"/>
        <v>5481838</v>
      </c>
    </row>
    <row r="266" spans="3:35" s="39" customFormat="1" ht="34.5" customHeight="1">
      <c r="C266" s="313"/>
      <c r="D266" s="81" t="s">
        <v>86</v>
      </c>
      <c r="E266" s="79" t="s">
        <v>82</v>
      </c>
      <c r="F266" s="79" t="s">
        <v>83</v>
      </c>
      <c r="G266" s="79"/>
      <c r="H266" s="79" t="s">
        <v>46</v>
      </c>
      <c r="I266" s="79">
        <v>364</v>
      </c>
      <c r="J266" s="80">
        <v>2550000</v>
      </c>
      <c r="K266" s="80">
        <v>2550000</v>
      </c>
      <c r="L266" s="189">
        <v>2997722</v>
      </c>
      <c r="M266" s="189">
        <v>2997722</v>
      </c>
      <c r="N266" s="66">
        <f t="shared" si="44"/>
        <v>5547722</v>
      </c>
      <c r="O266" s="66">
        <f t="shared" si="45"/>
        <v>5547722</v>
      </c>
      <c r="P266" s="170" t="s">
        <v>276</v>
      </c>
      <c r="Q266" s="171">
        <v>2550000</v>
      </c>
      <c r="R266" s="171">
        <v>2550000</v>
      </c>
      <c r="S266" s="171">
        <v>2335242</v>
      </c>
      <c r="T266" s="171">
        <v>2335242</v>
      </c>
      <c r="U266" s="157">
        <f t="shared" si="46"/>
        <v>0</v>
      </c>
      <c r="V266" s="157">
        <f t="shared" si="47"/>
        <v>0</v>
      </c>
      <c r="W266" s="157">
        <f t="shared" si="48"/>
        <v>662480</v>
      </c>
      <c r="X266" s="157">
        <f t="shared" si="49"/>
        <v>662480</v>
      </c>
      <c r="Z266" s="218"/>
      <c r="AA266" s="253"/>
      <c r="AB266" s="288"/>
      <c r="AC266" s="289"/>
      <c r="AD266" s="289"/>
      <c r="AE266" s="291"/>
      <c r="AF266" s="189"/>
      <c r="AI266" s="240">
        <f t="shared" si="34"/>
        <v>5547722</v>
      </c>
    </row>
    <row r="267" spans="3:35" s="39" customFormat="1" ht="34.5" customHeight="1">
      <c r="C267" s="313"/>
      <c r="D267" s="81" t="s">
        <v>86</v>
      </c>
      <c r="E267" s="79" t="s">
        <v>81</v>
      </c>
      <c r="F267" s="79" t="s">
        <v>83</v>
      </c>
      <c r="G267" s="79"/>
      <c r="H267" s="79" t="s">
        <v>46</v>
      </c>
      <c r="I267" s="79">
        <v>319</v>
      </c>
      <c r="J267" s="80">
        <v>2250000</v>
      </c>
      <c r="K267" s="80">
        <v>2250000</v>
      </c>
      <c r="L267" s="189">
        <v>2627125</v>
      </c>
      <c r="M267" s="189">
        <v>2627125</v>
      </c>
      <c r="N267" s="66">
        <f t="shared" si="44"/>
        <v>4877125</v>
      </c>
      <c r="O267" s="66">
        <f t="shared" si="45"/>
        <v>4877125</v>
      </c>
      <c r="P267" s="170" t="s">
        <v>277</v>
      </c>
      <c r="Q267" s="171">
        <v>2250000</v>
      </c>
      <c r="R267" s="171">
        <v>2250000</v>
      </c>
      <c r="S267" s="171">
        <v>2046545</v>
      </c>
      <c r="T267" s="171">
        <v>2046545</v>
      </c>
      <c r="U267" s="157">
        <f t="shared" si="46"/>
        <v>0</v>
      </c>
      <c r="V267" s="157">
        <f t="shared" si="47"/>
        <v>0</v>
      </c>
      <c r="W267" s="157">
        <f t="shared" si="48"/>
        <v>580580</v>
      </c>
      <c r="X267" s="157">
        <f t="shared" si="49"/>
        <v>580580</v>
      </c>
      <c r="Z267" s="218"/>
      <c r="AA267" s="253"/>
      <c r="AB267" s="288"/>
      <c r="AC267" s="289"/>
      <c r="AD267" s="289"/>
      <c r="AE267" s="291"/>
      <c r="AF267" s="189"/>
      <c r="AI267" s="240">
        <f t="shared" si="34"/>
        <v>4877125</v>
      </c>
    </row>
    <row r="268" spans="3:35" s="39" customFormat="1" ht="34.5" customHeight="1">
      <c r="C268" s="313"/>
      <c r="D268" s="81" t="s">
        <v>86</v>
      </c>
      <c r="E268" s="79" t="s">
        <v>82</v>
      </c>
      <c r="F268" s="79" t="s">
        <v>81</v>
      </c>
      <c r="G268" s="79" t="s">
        <v>83</v>
      </c>
      <c r="H268" s="79" t="s">
        <v>46</v>
      </c>
      <c r="I268" s="79">
        <v>410</v>
      </c>
      <c r="J268" s="80">
        <v>2700000</v>
      </c>
      <c r="K268" s="80">
        <v>2700000</v>
      </c>
      <c r="L268" s="189">
        <v>3376555</v>
      </c>
      <c r="M268" s="189">
        <v>3376555</v>
      </c>
      <c r="N268" s="66">
        <f t="shared" si="44"/>
        <v>6076555</v>
      </c>
      <c r="O268" s="66">
        <f t="shared" si="45"/>
        <v>6076555</v>
      </c>
      <c r="P268" s="170" t="s">
        <v>278</v>
      </c>
      <c r="Q268" s="171">
        <v>2700000</v>
      </c>
      <c r="R268" s="171">
        <v>2700000</v>
      </c>
      <c r="S268" s="171">
        <v>2630355</v>
      </c>
      <c r="T268" s="171">
        <v>2630355</v>
      </c>
      <c r="U268" s="157">
        <f t="shared" si="46"/>
        <v>0</v>
      </c>
      <c r="V268" s="157">
        <f t="shared" si="47"/>
        <v>0</v>
      </c>
      <c r="W268" s="157">
        <f t="shared" si="48"/>
        <v>746200</v>
      </c>
      <c r="X268" s="157">
        <f t="shared" si="49"/>
        <v>746200</v>
      </c>
      <c r="Z268" s="218"/>
      <c r="AA268" s="253"/>
      <c r="AB268" s="288"/>
      <c r="AC268" s="289"/>
      <c r="AD268" s="289"/>
      <c r="AE268" s="291"/>
      <c r="AF268" s="189"/>
      <c r="AI268" s="240">
        <f t="shared" si="34"/>
        <v>6076555</v>
      </c>
    </row>
    <row r="269" spans="3:35" s="39" customFormat="1" ht="34.5" customHeight="1">
      <c r="C269" s="313"/>
      <c r="D269" s="145" t="s">
        <v>161</v>
      </c>
      <c r="E269" s="115" t="s">
        <v>82</v>
      </c>
      <c r="F269" s="115"/>
      <c r="G269" s="115"/>
      <c r="H269" s="115" t="s">
        <v>46</v>
      </c>
      <c r="I269" s="115">
        <v>331</v>
      </c>
      <c r="J269" s="116">
        <v>2150000</v>
      </c>
      <c r="K269" s="116">
        <v>2150000</v>
      </c>
      <c r="L269" s="189">
        <v>2725951</v>
      </c>
      <c r="M269" s="189">
        <v>2725951</v>
      </c>
      <c r="N269" s="66">
        <f t="shared" si="44"/>
        <v>4875951</v>
      </c>
      <c r="O269" s="66">
        <f t="shared" si="45"/>
        <v>4875951</v>
      </c>
      <c r="P269" s="170" t="s">
        <v>279</v>
      </c>
      <c r="Q269" s="171">
        <v>2150000</v>
      </c>
      <c r="R269" s="171">
        <v>2150000</v>
      </c>
      <c r="S269" s="171">
        <v>2123531</v>
      </c>
      <c r="T269" s="171">
        <v>2123531</v>
      </c>
      <c r="U269" s="157">
        <f t="shared" si="46"/>
        <v>0</v>
      </c>
      <c r="V269" s="157">
        <f t="shared" si="47"/>
        <v>0</v>
      </c>
      <c r="W269" s="157">
        <f t="shared" si="48"/>
        <v>602420</v>
      </c>
      <c r="X269" s="157">
        <f t="shared" si="49"/>
        <v>602420</v>
      </c>
      <c r="Z269" s="218"/>
      <c r="AA269" s="253"/>
      <c r="AB269" s="288"/>
      <c r="AC269" s="289"/>
      <c r="AD269" s="289"/>
      <c r="AE269" s="291"/>
      <c r="AF269" s="189"/>
      <c r="AH269" s="263" t="s">
        <v>455</v>
      </c>
      <c r="AI269" s="240">
        <f t="shared" si="34"/>
        <v>4875951</v>
      </c>
    </row>
    <row r="270" spans="3:35" s="39" customFormat="1" ht="34.5" customHeight="1">
      <c r="C270" s="313"/>
      <c r="D270" s="64" t="s">
        <v>161</v>
      </c>
      <c r="E270" s="63" t="s">
        <v>81</v>
      </c>
      <c r="F270" s="63"/>
      <c r="G270" s="63"/>
      <c r="H270" s="63" t="s">
        <v>46</v>
      </c>
      <c r="I270" s="63">
        <v>310</v>
      </c>
      <c r="J270" s="65">
        <v>2050000</v>
      </c>
      <c r="K270" s="65">
        <v>2050000</v>
      </c>
      <c r="L270" s="189">
        <v>2553005</v>
      </c>
      <c r="M270" s="189">
        <v>2553005</v>
      </c>
      <c r="N270" s="66">
        <f t="shared" si="44"/>
        <v>4603005</v>
      </c>
      <c r="O270" s="66">
        <f t="shared" si="45"/>
        <v>4603005</v>
      </c>
      <c r="P270" s="170" t="s">
        <v>280</v>
      </c>
      <c r="Q270" s="171">
        <v>2050000</v>
      </c>
      <c r="R270" s="171">
        <v>2050000</v>
      </c>
      <c r="S270" s="171">
        <v>1988805</v>
      </c>
      <c r="T270" s="171">
        <v>1988805</v>
      </c>
      <c r="U270" s="157">
        <f t="shared" si="46"/>
        <v>0</v>
      </c>
      <c r="V270" s="157">
        <f t="shared" si="47"/>
        <v>0</v>
      </c>
      <c r="W270" s="157">
        <f t="shared" si="48"/>
        <v>564200</v>
      </c>
      <c r="X270" s="157">
        <f t="shared" si="49"/>
        <v>564200</v>
      </c>
      <c r="Z270" s="218"/>
      <c r="AA270" s="253"/>
      <c r="AB270" s="288"/>
      <c r="AC270" s="289"/>
      <c r="AD270" s="289"/>
      <c r="AE270" s="291"/>
      <c r="AF270" s="189"/>
      <c r="AH270" s="263" t="s">
        <v>456</v>
      </c>
      <c r="AI270" s="240">
        <f t="shared" si="34"/>
        <v>4603005</v>
      </c>
    </row>
    <row r="271" spans="3:35" s="39" customFormat="1" ht="34.5" customHeight="1">
      <c r="C271" s="313"/>
      <c r="D271" s="64" t="s">
        <v>161</v>
      </c>
      <c r="E271" s="63" t="s">
        <v>83</v>
      </c>
      <c r="F271" s="63"/>
      <c r="G271" s="63"/>
      <c r="H271" s="63" t="s">
        <v>46</v>
      </c>
      <c r="I271" s="63">
        <v>299</v>
      </c>
      <c r="J271" s="65">
        <v>2050000</v>
      </c>
      <c r="K271" s="65">
        <v>2050000</v>
      </c>
      <c r="L271" s="189">
        <v>2462415</v>
      </c>
      <c r="M271" s="189">
        <v>2462415</v>
      </c>
      <c r="N271" s="66">
        <f t="shared" si="44"/>
        <v>4512415</v>
      </c>
      <c r="O271" s="66">
        <f t="shared" si="45"/>
        <v>4512415</v>
      </c>
      <c r="P271" s="170" t="s">
        <v>281</v>
      </c>
      <c r="Q271" s="171">
        <v>2050000</v>
      </c>
      <c r="R271" s="171">
        <v>2050000</v>
      </c>
      <c r="S271" s="171">
        <v>1918235</v>
      </c>
      <c r="T271" s="171">
        <v>1918235</v>
      </c>
      <c r="U271" s="157">
        <f t="shared" si="46"/>
        <v>0</v>
      </c>
      <c r="V271" s="157">
        <f t="shared" si="47"/>
        <v>0</v>
      </c>
      <c r="W271" s="157">
        <f t="shared" si="48"/>
        <v>544180</v>
      </c>
      <c r="X271" s="157">
        <f t="shared" si="49"/>
        <v>544180</v>
      </c>
      <c r="Z271" s="218"/>
      <c r="AA271" s="253"/>
      <c r="AB271" s="288"/>
      <c r="AC271" s="289"/>
      <c r="AD271" s="289"/>
      <c r="AE271" s="291"/>
      <c r="AF271" s="189"/>
      <c r="AH271" s="263" t="s">
        <v>457</v>
      </c>
      <c r="AI271" s="240">
        <f t="shared" si="34"/>
        <v>4512415</v>
      </c>
    </row>
    <row r="272" spans="3:35" s="39" customFormat="1" ht="34.5" customHeight="1">
      <c r="C272" s="313"/>
      <c r="D272" s="81" t="s">
        <v>161</v>
      </c>
      <c r="E272" s="79" t="s">
        <v>82</v>
      </c>
      <c r="F272" s="79" t="s">
        <v>81</v>
      </c>
      <c r="G272" s="79"/>
      <c r="H272" s="79" t="s">
        <v>46</v>
      </c>
      <c r="I272" s="79">
        <v>356</v>
      </c>
      <c r="J272" s="80">
        <v>2550000</v>
      </c>
      <c r="K272" s="80">
        <v>2550000</v>
      </c>
      <c r="L272" s="189">
        <v>2931838</v>
      </c>
      <c r="M272" s="189">
        <v>2931838</v>
      </c>
      <c r="N272" s="66">
        <f t="shared" si="44"/>
        <v>5481838</v>
      </c>
      <c r="O272" s="66">
        <f t="shared" si="45"/>
        <v>5481838</v>
      </c>
      <c r="P272" s="170" t="s">
        <v>282</v>
      </c>
      <c r="Q272" s="171">
        <v>2550000</v>
      </c>
      <c r="R272" s="171">
        <v>2550000</v>
      </c>
      <c r="S272" s="171">
        <v>2283918</v>
      </c>
      <c r="T272" s="171">
        <v>2283918</v>
      </c>
      <c r="U272" s="157">
        <f t="shared" si="46"/>
        <v>0</v>
      </c>
      <c r="V272" s="157">
        <f t="shared" si="47"/>
        <v>0</v>
      </c>
      <c r="W272" s="157">
        <f t="shared" si="48"/>
        <v>647920</v>
      </c>
      <c r="X272" s="157">
        <f t="shared" si="49"/>
        <v>647920</v>
      </c>
      <c r="Z272" s="218"/>
      <c r="AA272" s="253"/>
      <c r="AB272" s="288"/>
      <c r="AC272" s="289"/>
      <c r="AD272" s="289"/>
      <c r="AE272" s="291"/>
      <c r="AF272" s="189"/>
      <c r="AI272" s="240">
        <f t="shared" si="34"/>
        <v>5481838</v>
      </c>
    </row>
    <row r="273" spans="3:35" s="39" customFormat="1" ht="34.5" customHeight="1">
      <c r="C273" s="313"/>
      <c r="D273" s="81" t="s">
        <v>161</v>
      </c>
      <c r="E273" s="79" t="s">
        <v>82</v>
      </c>
      <c r="F273" s="79" t="s">
        <v>83</v>
      </c>
      <c r="G273" s="79"/>
      <c r="H273" s="79" t="s">
        <v>46</v>
      </c>
      <c r="I273" s="79">
        <v>364</v>
      </c>
      <c r="J273" s="80">
        <v>2550000</v>
      </c>
      <c r="K273" s="80">
        <v>2550000</v>
      </c>
      <c r="L273" s="189">
        <v>2997722</v>
      </c>
      <c r="M273" s="189">
        <v>2997722</v>
      </c>
      <c r="N273" s="66">
        <f t="shared" si="44"/>
        <v>5547722</v>
      </c>
      <c r="O273" s="66">
        <f t="shared" si="45"/>
        <v>5547722</v>
      </c>
      <c r="P273" s="170" t="s">
        <v>283</v>
      </c>
      <c r="Q273" s="171">
        <v>2550000</v>
      </c>
      <c r="R273" s="171">
        <v>2550000</v>
      </c>
      <c r="S273" s="171">
        <v>2335242</v>
      </c>
      <c r="T273" s="171">
        <v>2335242</v>
      </c>
      <c r="U273" s="157">
        <f t="shared" si="46"/>
        <v>0</v>
      </c>
      <c r="V273" s="157">
        <f t="shared" si="47"/>
        <v>0</v>
      </c>
      <c r="W273" s="157">
        <f t="shared" si="48"/>
        <v>662480</v>
      </c>
      <c r="X273" s="157">
        <f t="shared" si="49"/>
        <v>662480</v>
      </c>
      <c r="Z273" s="218"/>
      <c r="AA273" s="253"/>
      <c r="AB273" s="288"/>
      <c r="AC273" s="289"/>
      <c r="AD273" s="289"/>
      <c r="AE273" s="291"/>
      <c r="AF273" s="189"/>
      <c r="AI273" s="240">
        <f t="shared" ref="AI273:AI336" si="50">O273</f>
        <v>5547722</v>
      </c>
    </row>
    <row r="274" spans="3:35" s="39" customFormat="1" ht="34.5" customHeight="1">
      <c r="C274" s="313"/>
      <c r="D274" s="81" t="s">
        <v>161</v>
      </c>
      <c r="E274" s="79" t="s">
        <v>81</v>
      </c>
      <c r="F274" s="79" t="s">
        <v>83</v>
      </c>
      <c r="G274" s="79"/>
      <c r="H274" s="79" t="s">
        <v>46</v>
      </c>
      <c r="I274" s="79">
        <v>319</v>
      </c>
      <c r="J274" s="80">
        <v>2250000</v>
      </c>
      <c r="K274" s="80">
        <v>2250000</v>
      </c>
      <c r="L274" s="189">
        <v>2627125</v>
      </c>
      <c r="M274" s="189">
        <v>2627125</v>
      </c>
      <c r="N274" s="66">
        <f t="shared" si="44"/>
        <v>4877125</v>
      </c>
      <c r="O274" s="66">
        <f t="shared" si="45"/>
        <v>4877125</v>
      </c>
      <c r="P274" s="170" t="s">
        <v>284</v>
      </c>
      <c r="Q274" s="171">
        <v>2250000</v>
      </c>
      <c r="R274" s="171">
        <v>2250000</v>
      </c>
      <c r="S274" s="171">
        <v>2046545</v>
      </c>
      <c r="T274" s="171">
        <v>2046545</v>
      </c>
      <c r="U274" s="157">
        <f t="shared" si="46"/>
        <v>0</v>
      </c>
      <c r="V274" s="157">
        <f t="shared" si="47"/>
        <v>0</v>
      </c>
      <c r="W274" s="157">
        <f t="shared" si="48"/>
        <v>580580</v>
      </c>
      <c r="X274" s="157">
        <f t="shared" si="49"/>
        <v>580580</v>
      </c>
      <c r="Z274" s="218"/>
      <c r="AA274" s="253"/>
      <c r="AB274" s="288"/>
      <c r="AC274" s="289"/>
      <c r="AD274" s="289"/>
      <c r="AE274" s="291"/>
      <c r="AF274" s="189"/>
      <c r="AI274" s="240">
        <f t="shared" si="50"/>
        <v>4877125</v>
      </c>
    </row>
    <row r="275" spans="3:35" s="39" customFormat="1" ht="34.5" customHeight="1">
      <c r="C275" s="313"/>
      <c r="D275" s="81" t="s">
        <v>161</v>
      </c>
      <c r="E275" s="79" t="s">
        <v>82</v>
      </c>
      <c r="F275" s="79" t="s">
        <v>81</v>
      </c>
      <c r="G275" s="79" t="s">
        <v>83</v>
      </c>
      <c r="H275" s="79" t="s">
        <v>46</v>
      </c>
      <c r="I275" s="79">
        <v>410</v>
      </c>
      <c r="J275" s="80">
        <v>2700000</v>
      </c>
      <c r="K275" s="80">
        <v>2700000</v>
      </c>
      <c r="L275" s="189">
        <v>3376555</v>
      </c>
      <c r="M275" s="189">
        <v>3376555</v>
      </c>
      <c r="N275" s="66">
        <f t="shared" si="44"/>
        <v>6076555</v>
      </c>
      <c r="O275" s="66">
        <f t="shared" si="45"/>
        <v>6076555</v>
      </c>
      <c r="P275" s="170" t="s">
        <v>285</v>
      </c>
      <c r="Q275" s="171">
        <v>2700000</v>
      </c>
      <c r="R275" s="171">
        <v>2700000</v>
      </c>
      <c r="S275" s="171">
        <v>2630355</v>
      </c>
      <c r="T275" s="171">
        <v>2630355</v>
      </c>
      <c r="U275" s="157">
        <f t="shared" si="46"/>
        <v>0</v>
      </c>
      <c r="V275" s="157">
        <f t="shared" si="47"/>
        <v>0</v>
      </c>
      <c r="W275" s="157">
        <f t="shared" si="48"/>
        <v>746200</v>
      </c>
      <c r="X275" s="157">
        <f t="shared" si="49"/>
        <v>746200</v>
      </c>
      <c r="Z275" s="218"/>
      <c r="AA275" s="253"/>
      <c r="AB275" s="288"/>
      <c r="AC275" s="289"/>
      <c r="AD275" s="289"/>
      <c r="AE275" s="291"/>
      <c r="AF275" s="189"/>
      <c r="AI275" s="240">
        <f t="shared" si="50"/>
        <v>6076555</v>
      </c>
    </row>
    <row r="276" spans="3:35" s="39" customFormat="1" ht="34.5" customHeight="1">
      <c r="C276" s="313"/>
      <c r="D276" s="81" t="s">
        <v>162</v>
      </c>
      <c r="E276" s="79" t="s">
        <v>82</v>
      </c>
      <c r="F276" s="79"/>
      <c r="G276" s="79"/>
      <c r="H276" s="79" t="s">
        <v>46</v>
      </c>
      <c r="I276" s="79">
        <v>331</v>
      </c>
      <c r="J276" s="80">
        <v>2150000</v>
      </c>
      <c r="K276" s="80">
        <v>2150000</v>
      </c>
      <c r="L276" s="189">
        <v>2725951</v>
      </c>
      <c r="M276" s="189">
        <v>2725951</v>
      </c>
      <c r="N276" s="66">
        <f t="shared" si="44"/>
        <v>4875951</v>
      </c>
      <c r="O276" s="66">
        <f t="shared" si="45"/>
        <v>4875951</v>
      </c>
      <c r="P276" s="170" t="s">
        <v>286</v>
      </c>
      <c r="Q276" s="171">
        <v>2150000</v>
      </c>
      <c r="R276" s="171">
        <v>2150000</v>
      </c>
      <c r="S276" s="171">
        <v>2123531</v>
      </c>
      <c r="T276" s="171">
        <v>2123531</v>
      </c>
      <c r="U276" s="157">
        <f t="shared" si="46"/>
        <v>0</v>
      </c>
      <c r="V276" s="157">
        <f t="shared" si="47"/>
        <v>0</v>
      </c>
      <c r="W276" s="157">
        <f t="shared" si="48"/>
        <v>602420</v>
      </c>
      <c r="X276" s="157">
        <f t="shared" si="49"/>
        <v>602420</v>
      </c>
      <c r="Z276" s="218"/>
      <c r="AA276" s="253"/>
      <c r="AB276" s="288"/>
      <c r="AC276" s="289"/>
      <c r="AD276" s="289"/>
      <c r="AE276" s="291"/>
      <c r="AF276" s="189"/>
      <c r="AI276" s="240">
        <f t="shared" si="50"/>
        <v>4875951</v>
      </c>
    </row>
    <row r="277" spans="3:35" s="39" customFormat="1" ht="34.5" customHeight="1">
      <c r="C277" s="313"/>
      <c r="D277" s="81" t="s">
        <v>162</v>
      </c>
      <c r="E277" s="79" t="s">
        <v>81</v>
      </c>
      <c r="F277" s="79"/>
      <c r="G277" s="79"/>
      <c r="H277" s="79" t="s">
        <v>46</v>
      </c>
      <c r="I277" s="79">
        <v>310</v>
      </c>
      <c r="J277" s="80">
        <v>2050000</v>
      </c>
      <c r="K277" s="80">
        <v>2050000</v>
      </c>
      <c r="L277" s="189">
        <v>2553005</v>
      </c>
      <c r="M277" s="189">
        <v>2553005</v>
      </c>
      <c r="N277" s="66">
        <f t="shared" si="44"/>
        <v>4603005</v>
      </c>
      <c r="O277" s="66">
        <f t="shared" si="45"/>
        <v>4603005</v>
      </c>
      <c r="P277" s="170" t="s">
        <v>287</v>
      </c>
      <c r="Q277" s="171">
        <v>2050000</v>
      </c>
      <c r="R277" s="171">
        <v>2050000</v>
      </c>
      <c r="S277" s="171">
        <v>1988805</v>
      </c>
      <c r="T277" s="171">
        <v>1988805</v>
      </c>
      <c r="U277" s="157">
        <f t="shared" si="46"/>
        <v>0</v>
      </c>
      <c r="V277" s="157">
        <f t="shared" si="47"/>
        <v>0</v>
      </c>
      <c r="W277" s="157">
        <f t="shared" si="48"/>
        <v>564200</v>
      </c>
      <c r="X277" s="157">
        <f t="shared" si="49"/>
        <v>564200</v>
      </c>
      <c r="Z277" s="218"/>
      <c r="AA277" s="253"/>
      <c r="AB277" s="288"/>
      <c r="AC277" s="289"/>
      <c r="AD277" s="289"/>
      <c r="AE277" s="291"/>
      <c r="AF277" s="189"/>
      <c r="AI277" s="240">
        <f t="shared" si="50"/>
        <v>4603005</v>
      </c>
    </row>
    <row r="278" spans="3:35" s="39" customFormat="1" ht="34.5" customHeight="1">
      <c r="C278" s="313"/>
      <c r="D278" s="81" t="s">
        <v>162</v>
      </c>
      <c r="E278" s="79" t="s">
        <v>83</v>
      </c>
      <c r="F278" s="79"/>
      <c r="G278" s="79"/>
      <c r="H278" s="79" t="s">
        <v>46</v>
      </c>
      <c r="I278" s="79">
        <v>299</v>
      </c>
      <c r="J278" s="80">
        <v>2050000</v>
      </c>
      <c r="K278" s="80">
        <v>2050000</v>
      </c>
      <c r="L278" s="189">
        <v>2462415</v>
      </c>
      <c r="M278" s="189">
        <v>2462415</v>
      </c>
      <c r="N278" s="66">
        <f t="shared" si="44"/>
        <v>4512415</v>
      </c>
      <c r="O278" s="66">
        <f t="shared" si="45"/>
        <v>4512415</v>
      </c>
      <c r="P278" s="170" t="s">
        <v>288</v>
      </c>
      <c r="Q278" s="171">
        <v>2050000</v>
      </c>
      <c r="R278" s="171">
        <v>2050000</v>
      </c>
      <c r="S278" s="171">
        <v>1918235</v>
      </c>
      <c r="T278" s="171">
        <v>1918235</v>
      </c>
      <c r="U278" s="157">
        <f t="shared" si="46"/>
        <v>0</v>
      </c>
      <c r="V278" s="157">
        <f t="shared" si="47"/>
        <v>0</v>
      </c>
      <c r="W278" s="157">
        <f t="shared" si="48"/>
        <v>544180</v>
      </c>
      <c r="X278" s="157">
        <f t="shared" si="49"/>
        <v>544180</v>
      </c>
      <c r="Z278" s="218"/>
      <c r="AA278" s="253"/>
      <c r="AB278" s="288"/>
      <c r="AC278" s="289"/>
      <c r="AD278" s="289"/>
      <c r="AE278" s="291"/>
      <c r="AF278" s="189"/>
      <c r="AI278" s="240">
        <f t="shared" si="50"/>
        <v>4512415</v>
      </c>
    </row>
    <row r="279" spans="3:35" s="39" customFormat="1" ht="34.5" customHeight="1">
      <c r="C279" s="313"/>
      <c r="D279" s="81" t="s">
        <v>162</v>
      </c>
      <c r="E279" s="79" t="s">
        <v>82</v>
      </c>
      <c r="F279" s="79" t="s">
        <v>81</v>
      </c>
      <c r="G279" s="79"/>
      <c r="H279" s="79" t="s">
        <v>46</v>
      </c>
      <c r="I279" s="79">
        <v>356</v>
      </c>
      <c r="J279" s="80">
        <v>2550000</v>
      </c>
      <c r="K279" s="80">
        <v>2550000</v>
      </c>
      <c r="L279" s="189">
        <v>2931838</v>
      </c>
      <c r="M279" s="189">
        <v>2931838</v>
      </c>
      <c r="N279" s="66">
        <f t="shared" si="44"/>
        <v>5481838</v>
      </c>
      <c r="O279" s="66">
        <f t="shared" si="45"/>
        <v>5481838</v>
      </c>
      <c r="P279" s="170" t="s">
        <v>289</v>
      </c>
      <c r="Q279" s="171">
        <v>2550000</v>
      </c>
      <c r="R279" s="171">
        <v>2550000</v>
      </c>
      <c r="S279" s="171">
        <v>2283918</v>
      </c>
      <c r="T279" s="171">
        <v>2283918</v>
      </c>
      <c r="U279" s="157">
        <f t="shared" si="46"/>
        <v>0</v>
      </c>
      <c r="V279" s="157">
        <f t="shared" si="47"/>
        <v>0</v>
      </c>
      <c r="W279" s="157">
        <f t="shared" si="48"/>
        <v>647920</v>
      </c>
      <c r="X279" s="157">
        <f t="shared" si="49"/>
        <v>647920</v>
      </c>
      <c r="Z279" s="218"/>
      <c r="AA279" s="253"/>
      <c r="AB279" s="288"/>
      <c r="AC279" s="289"/>
      <c r="AD279" s="289"/>
      <c r="AE279" s="291"/>
      <c r="AF279" s="189"/>
      <c r="AI279" s="240">
        <f t="shared" si="50"/>
        <v>5481838</v>
      </c>
    </row>
    <row r="280" spans="3:35" s="39" customFormat="1" ht="34.5" customHeight="1">
      <c r="C280" s="313"/>
      <c r="D280" s="81" t="s">
        <v>162</v>
      </c>
      <c r="E280" s="79" t="s">
        <v>82</v>
      </c>
      <c r="F280" s="79" t="s">
        <v>83</v>
      </c>
      <c r="G280" s="79"/>
      <c r="H280" s="79" t="s">
        <v>46</v>
      </c>
      <c r="I280" s="79">
        <v>364</v>
      </c>
      <c r="J280" s="80">
        <v>2550000</v>
      </c>
      <c r="K280" s="80">
        <v>2550000</v>
      </c>
      <c r="L280" s="189">
        <v>2997722</v>
      </c>
      <c r="M280" s="189">
        <v>2997722</v>
      </c>
      <c r="N280" s="66">
        <f t="shared" si="44"/>
        <v>5547722</v>
      </c>
      <c r="O280" s="66">
        <f t="shared" si="45"/>
        <v>5547722</v>
      </c>
      <c r="P280" s="170" t="s">
        <v>290</v>
      </c>
      <c r="Q280" s="171">
        <v>2550000</v>
      </c>
      <c r="R280" s="171">
        <v>2550000</v>
      </c>
      <c r="S280" s="171">
        <v>2335242</v>
      </c>
      <c r="T280" s="171">
        <v>2335242</v>
      </c>
      <c r="U280" s="157">
        <f t="shared" si="46"/>
        <v>0</v>
      </c>
      <c r="V280" s="157">
        <f t="shared" si="47"/>
        <v>0</v>
      </c>
      <c r="W280" s="157">
        <f t="shared" si="48"/>
        <v>662480</v>
      </c>
      <c r="X280" s="157">
        <f t="shared" si="49"/>
        <v>662480</v>
      </c>
      <c r="Z280" s="218"/>
      <c r="AA280" s="253"/>
      <c r="AB280" s="288"/>
      <c r="AC280" s="289"/>
      <c r="AD280" s="289"/>
      <c r="AE280" s="291"/>
      <c r="AF280" s="189"/>
      <c r="AI280" s="240">
        <f t="shared" si="50"/>
        <v>5547722</v>
      </c>
    </row>
    <row r="281" spans="3:35" s="39" customFormat="1" ht="34.5" customHeight="1">
      <c r="C281" s="313"/>
      <c r="D281" s="81" t="s">
        <v>162</v>
      </c>
      <c r="E281" s="79" t="s">
        <v>81</v>
      </c>
      <c r="F281" s="79" t="s">
        <v>83</v>
      </c>
      <c r="G281" s="79"/>
      <c r="H281" s="79" t="s">
        <v>46</v>
      </c>
      <c r="I281" s="79">
        <v>319</v>
      </c>
      <c r="J281" s="80">
        <v>2250000</v>
      </c>
      <c r="K281" s="80">
        <v>2250000</v>
      </c>
      <c r="L281" s="189">
        <v>2627125</v>
      </c>
      <c r="M281" s="189">
        <v>2627125</v>
      </c>
      <c r="N281" s="66">
        <f t="shared" si="44"/>
        <v>4877125</v>
      </c>
      <c r="O281" s="66">
        <f t="shared" si="45"/>
        <v>4877125</v>
      </c>
      <c r="P281" s="170" t="s">
        <v>291</v>
      </c>
      <c r="Q281" s="171">
        <v>2250000</v>
      </c>
      <c r="R281" s="171">
        <v>2250000</v>
      </c>
      <c r="S281" s="171">
        <v>2046545</v>
      </c>
      <c r="T281" s="171">
        <v>2046545</v>
      </c>
      <c r="U281" s="157">
        <f t="shared" si="46"/>
        <v>0</v>
      </c>
      <c r="V281" s="157">
        <f t="shared" si="47"/>
        <v>0</v>
      </c>
      <c r="W281" s="157">
        <f t="shared" si="48"/>
        <v>580580</v>
      </c>
      <c r="X281" s="157">
        <f t="shared" si="49"/>
        <v>580580</v>
      </c>
      <c r="Z281" s="218"/>
      <c r="AA281" s="253"/>
      <c r="AB281" s="288"/>
      <c r="AC281" s="289"/>
      <c r="AD281" s="289"/>
      <c r="AE281" s="291"/>
      <c r="AF281" s="189"/>
      <c r="AI281" s="240">
        <f t="shared" si="50"/>
        <v>4877125</v>
      </c>
    </row>
    <row r="282" spans="3:35" s="39" customFormat="1" ht="34.5" customHeight="1">
      <c r="C282" s="314"/>
      <c r="D282" s="81" t="s">
        <v>162</v>
      </c>
      <c r="E282" s="79" t="s">
        <v>82</v>
      </c>
      <c r="F282" s="79" t="s">
        <v>81</v>
      </c>
      <c r="G282" s="79" t="s">
        <v>83</v>
      </c>
      <c r="H282" s="79" t="s">
        <v>46</v>
      </c>
      <c r="I282" s="79">
        <v>410</v>
      </c>
      <c r="J282" s="80">
        <v>2700000</v>
      </c>
      <c r="K282" s="80">
        <v>2700000</v>
      </c>
      <c r="L282" s="189">
        <v>3376555</v>
      </c>
      <c r="M282" s="189">
        <v>3376555</v>
      </c>
      <c r="N282" s="66">
        <f t="shared" si="44"/>
        <v>6076555</v>
      </c>
      <c r="O282" s="66">
        <f t="shared" si="45"/>
        <v>6076555</v>
      </c>
      <c r="P282" s="170" t="s">
        <v>292</v>
      </c>
      <c r="Q282" s="171">
        <v>2700000</v>
      </c>
      <c r="R282" s="171">
        <v>2700000</v>
      </c>
      <c r="S282" s="171">
        <v>2630355</v>
      </c>
      <c r="T282" s="171">
        <v>2630355</v>
      </c>
      <c r="U282" s="157">
        <f t="shared" si="46"/>
        <v>0</v>
      </c>
      <c r="V282" s="157">
        <f t="shared" si="47"/>
        <v>0</v>
      </c>
      <c r="W282" s="157">
        <f t="shared" si="48"/>
        <v>746200</v>
      </c>
      <c r="X282" s="157">
        <f t="shared" si="49"/>
        <v>746200</v>
      </c>
      <c r="Z282" s="218"/>
      <c r="AA282" s="253"/>
      <c r="AB282" s="288"/>
      <c r="AC282" s="289"/>
      <c r="AD282" s="289"/>
      <c r="AE282" s="291"/>
      <c r="AF282" s="189"/>
      <c r="AI282" s="240">
        <f t="shared" si="50"/>
        <v>6076555</v>
      </c>
    </row>
    <row r="283" spans="3:35" s="39" customFormat="1" ht="34.5" customHeight="1">
      <c r="C283" s="312" t="s">
        <v>56</v>
      </c>
      <c r="D283" s="64" t="s">
        <v>64</v>
      </c>
      <c r="E283" s="64" t="s">
        <v>87</v>
      </c>
      <c r="F283" s="64"/>
      <c r="G283" s="64"/>
      <c r="H283" s="63"/>
      <c r="I283" s="63">
        <v>144</v>
      </c>
      <c r="J283" s="67">
        <v>1635000</v>
      </c>
      <c r="K283" s="67">
        <v>1635000</v>
      </c>
      <c r="L283" s="189">
        <v>1355328</v>
      </c>
      <c r="M283" s="189">
        <v>1355328</v>
      </c>
      <c r="N283" s="66">
        <f t="shared" si="44"/>
        <v>2990328</v>
      </c>
      <c r="O283" s="66">
        <f t="shared" si="45"/>
        <v>2990328</v>
      </c>
      <c r="P283" s="170" t="s">
        <v>202</v>
      </c>
      <c r="Q283" s="171">
        <v>1635000</v>
      </c>
      <c r="R283" s="171">
        <v>1635000</v>
      </c>
      <c r="S283" s="171">
        <v>1055808</v>
      </c>
      <c r="T283" s="171">
        <v>1055808</v>
      </c>
      <c r="U283" s="157">
        <f t="shared" si="46"/>
        <v>0</v>
      </c>
      <c r="V283" s="157">
        <f t="shared" si="47"/>
        <v>0</v>
      </c>
      <c r="W283" s="157">
        <f t="shared" si="48"/>
        <v>299520</v>
      </c>
      <c r="X283" s="157">
        <f t="shared" si="49"/>
        <v>299520</v>
      </c>
      <c r="Z283" s="218"/>
      <c r="AA283" s="253"/>
      <c r="AB283" s="288"/>
      <c r="AC283" s="289"/>
      <c r="AD283" s="289"/>
      <c r="AE283" s="291"/>
      <c r="AF283" s="189"/>
      <c r="AI283" s="240">
        <f t="shared" si="50"/>
        <v>2990328</v>
      </c>
    </row>
    <row r="284" spans="3:35" s="39" customFormat="1" ht="34.5" customHeight="1">
      <c r="C284" s="313"/>
      <c r="D284" s="145" t="s">
        <v>87</v>
      </c>
      <c r="E284" s="115" t="s">
        <v>82</v>
      </c>
      <c r="F284" s="115"/>
      <c r="G284" s="115"/>
      <c r="H284" s="115" t="s">
        <v>46</v>
      </c>
      <c r="I284" s="115">
        <v>188</v>
      </c>
      <c r="J284" s="116">
        <v>1685000</v>
      </c>
      <c r="K284" s="116">
        <v>1685000</v>
      </c>
      <c r="L284" s="189">
        <v>1769456</v>
      </c>
      <c r="M284" s="189">
        <v>1769456</v>
      </c>
      <c r="N284" s="66">
        <f t="shared" si="44"/>
        <v>3454456</v>
      </c>
      <c r="O284" s="66">
        <f t="shared" si="45"/>
        <v>3454456</v>
      </c>
      <c r="P284" s="170" t="s">
        <v>293</v>
      </c>
      <c r="Q284" s="171">
        <v>1685000</v>
      </c>
      <c r="R284" s="171">
        <v>1685000</v>
      </c>
      <c r="S284" s="171">
        <v>1378416</v>
      </c>
      <c r="T284" s="171">
        <v>1378416</v>
      </c>
      <c r="U284" s="157">
        <f t="shared" si="46"/>
        <v>0</v>
      </c>
      <c r="V284" s="157">
        <f t="shared" si="47"/>
        <v>0</v>
      </c>
      <c r="W284" s="157">
        <f t="shared" si="48"/>
        <v>391040</v>
      </c>
      <c r="X284" s="157">
        <f t="shared" si="49"/>
        <v>391040</v>
      </c>
      <c r="Z284" s="218"/>
      <c r="AA284" s="253"/>
      <c r="AB284" s="288"/>
      <c r="AC284" s="289"/>
      <c r="AD284" s="289"/>
      <c r="AE284" s="291"/>
      <c r="AF284" s="189"/>
      <c r="AI284" s="240">
        <f t="shared" si="50"/>
        <v>3454456</v>
      </c>
    </row>
    <row r="285" spans="3:35" s="39" customFormat="1" ht="34.5" customHeight="1">
      <c r="C285" s="313"/>
      <c r="D285" s="64" t="s">
        <v>64</v>
      </c>
      <c r="E285" s="64" t="s">
        <v>87</v>
      </c>
      <c r="F285" s="64"/>
      <c r="G285" s="64"/>
      <c r="H285" s="63"/>
      <c r="I285" s="63">
        <v>144</v>
      </c>
      <c r="J285" s="67">
        <v>1635000</v>
      </c>
      <c r="K285" s="67">
        <v>1635000</v>
      </c>
      <c r="L285" s="189">
        <v>1355328</v>
      </c>
      <c r="M285" s="189">
        <v>1355328</v>
      </c>
      <c r="N285" s="66">
        <f t="shared" si="44"/>
        <v>2990328</v>
      </c>
      <c r="O285" s="66">
        <f t="shared" si="45"/>
        <v>2990328</v>
      </c>
      <c r="P285" s="170" t="s">
        <v>202</v>
      </c>
      <c r="Q285" s="171">
        <v>1635000</v>
      </c>
      <c r="R285" s="171">
        <v>1635000</v>
      </c>
      <c r="S285" s="171">
        <v>1055808</v>
      </c>
      <c r="T285" s="171">
        <v>1055808</v>
      </c>
      <c r="U285" s="157">
        <f t="shared" si="46"/>
        <v>0</v>
      </c>
      <c r="V285" s="157">
        <f t="shared" si="47"/>
        <v>0</v>
      </c>
      <c r="W285" s="157">
        <f t="shared" si="48"/>
        <v>299520</v>
      </c>
      <c r="X285" s="157">
        <f t="shared" si="49"/>
        <v>299520</v>
      </c>
      <c r="Z285" s="218"/>
      <c r="AA285" s="253"/>
      <c r="AB285" s="288"/>
      <c r="AC285" s="289"/>
      <c r="AD285" s="289"/>
      <c r="AE285" s="291"/>
      <c r="AF285" s="189"/>
      <c r="AI285" s="240">
        <f t="shared" si="50"/>
        <v>2990328</v>
      </c>
    </row>
    <row r="286" spans="3:35" s="39" customFormat="1" ht="34.5" customHeight="1">
      <c r="C286" s="313"/>
      <c r="D286" s="64" t="s">
        <v>87</v>
      </c>
      <c r="E286" s="64" t="s">
        <v>81</v>
      </c>
      <c r="F286" s="64"/>
      <c r="G286" s="64"/>
      <c r="H286" s="63" t="s">
        <v>46</v>
      </c>
      <c r="I286" s="63">
        <v>212</v>
      </c>
      <c r="J286" s="67">
        <v>1850000</v>
      </c>
      <c r="K286" s="67">
        <v>1850000</v>
      </c>
      <c r="L286" s="189">
        <v>1995344</v>
      </c>
      <c r="M286" s="189">
        <v>1995344</v>
      </c>
      <c r="N286" s="66">
        <f t="shared" si="44"/>
        <v>3845344</v>
      </c>
      <c r="O286" s="66">
        <f t="shared" si="45"/>
        <v>3845344</v>
      </c>
      <c r="P286" s="170" t="s">
        <v>294</v>
      </c>
      <c r="Q286" s="171">
        <v>1850000</v>
      </c>
      <c r="R286" s="171">
        <v>1850000</v>
      </c>
      <c r="S286" s="171">
        <v>1554384</v>
      </c>
      <c r="T286" s="171">
        <v>1554384</v>
      </c>
      <c r="U286" s="157">
        <f t="shared" si="46"/>
        <v>0</v>
      </c>
      <c r="V286" s="157">
        <f t="shared" si="47"/>
        <v>0</v>
      </c>
      <c r="W286" s="157">
        <f t="shared" si="48"/>
        <v>440960</v>
      </c>
      <c r="X286" s="157">
        <f t="shared" si="49"/>
        <v>440960</v>
      </c>
      <c r="Z286" s="218"/>
      <c r="AA286" s="253"/>
      <c r="AB286" s="288"/>
      <c r="AC286" s="289"/>
      <c r="AD286" s="289"/>
      <c r="AE286" s="291"/>
      <c r="AF286" s="189"/>
      <c r="AI286" s="240">
        <f t="shared" si="50"/>
        <v>3845344</v>
      </c>
    </row>
    <row r="287" spans="3:35" s="39" customFormat="1" ht="34.5" customHeight="1">
      <c r="C287" s="313"/>
      <c r="D287" s="64" t="s">
        <v>64</v>
      </c>
      <c r="E287" s="64" t="s">
        <v>87</v>
      </c>
      <c r="F287" s="64"/>
      <c r="G287" s="64"/>
      <c r="H287" s="63"/>
      <c r="I287" s="63">
        <v>144</v>
      </c>
      <c r="J287" s="67">
        <v>1635000</v>
      </c>
      <c r="K287" s="67">
        <v>1635000</v>
      </c>
      <c r="L287" s="189">
        <v>1355328</v>
      </c>
      <c r="M287" s="189">
        <v>1355328</v>
      </c>
      <c r="N287" s="66">
        <f t="shared" si="44"/>
        <v>2990328</v>
      </c>
      <c r="O287" s="66">
        <f t="shared" si="45"/>
        <v>2990328</v>
      </c>
      <c r="P287" s="170" t="s">
        <v>202</v>
      </c>
      <c r="Q287" s="171">
        <v>1635000</v>
      </c>
      <c r="R287" s="171">
        <v>1635000</v>
      </c>
      <c r="S287" s="171">
        <v>1055808</v>
      </c>
      <c r="T287" s="171">
        <v>1055808</v>
      </c>
      <c r="U287" s="157">
        <f t="shared" si="46"/>
        <v>0</v>
      </c>
      <c r="V287" s="157">
        <f t="shared" si="47"/>
        <v>0</v>
      </c>
      <c r="W287" s="157">
        <f t="shared" si="48"/>
        <v>299520</v>
      </c>
      <c r="X287" s="157">
        <f t="shared" si="49"/>
        <v>299520</v>
      </c>
      <c r="Z287" s="218"/>
      <c r="AA287" s="253"/>
      <c r="AB287" s="288"/>
      <c r="AC287" s="289"/>
      <c r="AD287" s="289"/>
      <c r="AE287" s="291"/>
      <c r="AF287" s="189"/>
      <c r="AI287" s="240">
        <f t="shared" si="50"/>
        <v>2990328</v>
      </c>
    </row>
    <row r="288" spans="3:35" s="39" customFormat="1" ht="34.5" customHeight="1">
      <c r="C288" s="313"/>
      <c r="D288" s="145" t="s">
        <v>87</v>
      </c>
      <c r="E288" s="145" t="s">
        <v>83</v>
      </c>
      <c r="F288" s="145"/>
      <c r="G288" s="145"/>
      <c r="H288" s="115" t="s">
        <v>46</v>
      </c>
      <c r="I288" s="115">
        <v>221</v>
      </c>
      <c r="J288" s="146">
        <v>1850000</v>
      </c>
      <c r="K288" s="146">
        <v>1850000</v>
      </c>
      <c r="L288" s="189">
        <v>2080052</v>
      </c>
      <c r="M288" s="189">
        <v>2080052</v>
      </c>
      <c r="N288" s="66">
        <f t="shared" si="44"/>
        <v>3930052</v>
      </c>
      <c r="O288" s="66">
        <f t="shared" si="45"/>
        <v>3930052</v>
      </c>
      <c r="P288" s="170" t="s">
        <v>295</v>
      </c>
      <c r="Q288" s="171">
        <v>1850000</v>
      </c>
      <c r="R288" s="171">
        <v>1850000</v>
      </c>
      <c r="S288" s="171">
        <v>1620372</v>
      </c>
      <c r="T288" s="171">
        <v>1620372</v>
      </c>
      <c r="U288" s="157">
        <f t="shared" si="46"/>
        <v>0</v>
      </c>
      <c r="V288" s="157">
        <f t="shared" si="47"/>
        <v>0</v>
      </c>
      <c r="W288" s="157">
        <f t="shared" si="48"/>
        <v>459680</v>
      </c>
      <c r="X288" s="157">
        <f t="shared" si="49"/>
        <v>459680</v>
      </c>
      <c r="Z288" s="218"/>
      <c r="AA288" s="253"/>
      <c r="AB288" s="288"/>
      <c r="AC288" s="289"/>
      <c r="AD288" s="289"/>
      <c r="AE288" s="291"/>
      <c r="AF288" s="189"/>
      <c r="AI288" s="240">
        <f t="shared" si="50"/>
        <v>3930052</v>
      </c>
    </row>
    <row r="289" spans="2:35" s="84" customFormat="1" ht="34.5" customHeight="1">
      <c r="B289" s="83"/>
      <c r="C289" s="313"/>
      <c r="D289" s="64" t="s">
        <v>64</v>
      </c>
      <c r="E289" s="64" t="s">
        <v>88</v>
      </c>
      <c r="F289" s="64"/>
      <c r="G289" s="64"/>
      <c r="H289" s="63"/>
      <c r="I289" s="63">
        <v>133</v>
      </c>
      <c r="J289" s="65">
        <v>1640000</v>
      </c>
      <c r="K289" s="65">
        <v>1640000</v>
      </c>
      <c r="L289" s="189">
        <v>1251796</v>
      </c>
      <c r="M289" s="189">
        <v>1251796</v>
      </c>
      <c r="N289" s="66">
        <f t="shared" si="44"/>
        <v>2891796</v>
      </c>
      <c r="O289" s="66">
        <f t="shared" si="45"/>
        <v>2891796</v>
      </c>
      <c r="P289" s="170" t="s">
        <v>206</v>
      </c>
      <c r="Q289" s="171">
        <v>1640000</v>
      </c>
      <c r="R289" s="171">
        <v>1640000</v>
      </c>
      <c r="S289" s="171">
        <v>975156</v>
      </c>
      <c r="T289" s="171">
        <v>975156</v>
      </c>
      <c r="U289" s="157">
        <f t="shared" si="46"/>
        <v>0</v>
      </c>
      <c r="V289" s="157">
        <f t="shared" si="47"/>
        <v>0</v>
      </c>
      <c r="W289" s="157">
        <f t="shared" si="48"/>
        <v>276640</v>
      </c>
      <c r="X289" s="157">
        <f t="shared" si="49"/>
        <v>276640</v>
      </c>
      <c r="Z289" s="218"/>
      <c r="AA289" s="253"/>
      <c r="AB289" s="288"/>
      <c r="AC289" s="289"/>
      <c r="AD289" s="289"/>
      <c r="AE289" s="291"/>
      <c r="AF289" s="189"/>
      <c r="AI289" s="240">
        <f t="shared" si="50"/>
        <v>2891796</v>
      </c>
    </row>
    <row r="290" spans="2:35" s="84" customFormat="1" ht="34.5" customHeight="1">
      <c r="B290" s="83"/>
      <c r="C290" s="313"/>
      <c r="D290" s="64" t="s">
        <v>88</v>
      </c>
      <c r="E290" s="64" t="s">
        <v>82</v>
      </c>
      <c r="F290" s="64"/>
      <c r="G290" s="64"/>
      <c r="H290" s="63" t="s">
        <v>46</v>
      </c>
      <c r="I290" s="63">
        <v>223</v>
      </c>
      <c r="J290" s="65">
        <v>1850000</v>
      </c>
      <c r="K290" s="65">
        <v>1850000</v>
      </c>
      <c r="L290" s="189">
        <v>2098876</v>
      </c>
      <c r="M290" s="189">
        <v>2098876</v>
      </c>
      <c r="N290" s="66">
        <f t="shared" si="44"/>
        <v>3948876</v>
      </c>
      <c r="O290" s="66">
        <f t="shared" si="45"/>
        <v>3948876</v>
      </c>
      <c r="P290" s="170" t="s">
        <v>296</v>
      </c>
      <c r="Q290" s="171">
        <v>1850000</v>
      </c>
      <c r="R290" s="171">
        <v>1850000</v>
      </c>
      <c r="S290" s="171">
        <v>1635036</v>
      </c>
      <c r="T290" s="171">
        <v>1635036</v>
      </c>
      <c r="U290" s="157">
        <f t="shared" si="46"/>
        <v>0</v>
      </c>
      <c r="V290" s="157">
        <f t="shared" si="47"/>
        <v>0</v>
      </c>
      <c r="W290" s="157">
        <f t="shared" si="48"/>
        <v>463840</v>
      </c>
      <c r="X290" s="157">
        <f t="shared" si="49"/>
        <v>463840</v>
      </c>
      <c r="Z290" s="218"/>
      <c r="AA290" s="253"/>
      <c r="AB290" s="288"/>
      <c r="AC290" s="289"/>
      <c r="AD290" s="289"/>
      <c r="AE290" s="291"/>
      <c r="AF290" s="189"/>
      <c r="AI290" s="240">
        <f t="shared" si="50"/>
        <v>3948876</v>
      </c>
    </row>
    <row r="291" spans="2:35" s="84" customFormat="1" ht="34.5" customHeight="1">
      <c r="B291" s="83"/>
      <c r="C291" s="313"/>
      <c r="D291" s="81" t="s">
        <v>64</v>
      </c>
      <c r="E291" s="81" t="s">
        <v>88</v>
      </c>
      <c r="F291" s="81"/>
      <c r="G291" s="81"/>
      <c r="H291" s="79"/>
      <c r="I291" s="79">
        <v>133</v>
      </c>
      <c r="J291" s="80">
        <v>1640000</v>
      </c>
      <c r="K291" s="80">
        <v>1640000</v>
      </c>
      <c r="L291" s="189">
        <v>1251796</v>
      </c>
      <c r="M291" s="189">
        <v>1251796</v>
      </c>
      <c r="N291" s="66">
        <f t="shared" si="44"/>
        <v>2891796</v>
      </c>
      <c r="O291" s="66">
        <f t="shared" si="45"/>
        <v>2891796</v>
      </c>
      <c r="P291" s="170" t="s">
        <v>206</v>
      </c>
      <c r="Q291" s="171">
        <v>1640000</v>
      </c>
      <c r="R291" s="171">
        <v>1640000</v>
      </c>
      <c r="S291" s="171">
        <v>975156</v>
      </c>
      <c r="T291" s="171">
        <v>975156</v>
      </c>
      <c r="U291" s="157">
        <f t="shared" si="46"/>
        <v>0</v>
      </c>
      <c r="V291" s="157">
        <f t="shared" si="47"/>
        <v>0</v>
      </c>
      <c r="W291" s="157">
        <f t="shared" si="48"/>
        <v>276640</v>
      </c>
      <c r="X291" s="157">
        <f t="shared" si="49"/>
        <v>276640</v>
      </c>
      <c r="Z291" s="218"/>
      <c r="AA291" s="253"/>
      <c r="AB291" s="288"/>
      <c r="AC291" s="289"/>
      <c r="AD291" s="289"/>
      <c r="AE291" s="291"/>
      <c r="AF291" s="189"/>
      <c r="AI291" s="240">
        <f t="shared" si="50"/>
        <v>2891796</v>
      </c>
    </row>
    <row r="292" spans="2:35" s="84" customFormat="1" ht="34.5" customHeight="1">
      <c r="B292" s="83"/>
      <c r="C292" s="313"/>
      <c r="D292" s="81" t="s">
        <v>88</v>
      </c>
      <c r="E292" s="81" t="s">
        <v>81</v>
      </c>
      <c r="F292" s="81"/>
      <c r="G292" s="81"/>
      <c r="H292" s="79" t="s">
        <v>46</v>
      </c>
      <c r="I292" s="79">
        <v>177</v>
      </c>
      <c r="J292" s="80">
        <v>1690000</v>
      </c>
      <c r="K292" s="80">
        <v>1690000</v>
      </c>
      <c r="L292" s="189">
        <v>1665924</v>
      </c>
      <c r="M292" s="189">
        <v>1665924</v>
      </c>
      <c r="N292" s="66">
        <f t="shared" si="44"/>
        <v>3355924</v>
      </c>
      <c r="O292" s="66">
        <f t="shared" si="45"/>
        <v>3355924</v>
      </c>
      <c r="P292" s="170" t="s">
        <v>297</v>
      </c>
      <c r="Q292" s="171">
        <v>1690000</v>
      </c>
      <c r="R292" s="171">
        <v>1690000</v>
      </c>
      <c r="S292" s="171">
        <v>1297764</v>
      </c>
      <c r="T292" s="171">
        <v>1297764</v>
      </c>
      <c r="U292" s="157">
        <f t="shared" si="46"/>
        <v>0</v>
      </c>
      <c r="V292" s="157">
        <f t="shared" si="47"/>
        <v>0</v>
      </c>
      <c r="W292" s="157">
        <f t="shared" si="48"/>
        <v>368160</v>
      </c>
      <c r="X292" s="157">
        <f t="shared" si="49"/>
        <v>368160</v>
      </c>
      <c r="Z292" s="218"/>
      <c r="AA292" s="253"/>
      <c r="AB292" s="288"/>
      <c r="AC292" s="289"/>
      <c r="AD292" s="289"/>
      <c r="AE292" s="291"/>
      <c r="AF292" s="189"/>
      <c r="AI292" s="240">
        <f t="shared" si="50"/>
        <v>3355924</v>
      </c>
    </row>
    <row r="293" spans="2:35" s="84" customFormat="1" ht="34.5" customHeight="1">
      <c r="B293" s="83"/>
      <c r="C293" s="313"/>
      <c r="D293" s="81" t="s">
        <v>64</v>
      </c>
      <c r="E293" s="81" t="s">
        <v>88</v>
      </c>
      <c r="F293" s="81"/>
      <c r="G293" s="81"/>
      <c r="H293" s="79"/>
      <c r="I293" s="79">
        <v>133</v>
      </c>
      <c r="J293" s="80">
        <v>1640000</v>
      </c>
      <c r="K293" s="80">
        <v>1640000</v>
      </c>
      <c r="L293" s="189">
        <v>1251796</v>
      </c>
      <c r="M293" s="189">
        <v>1251796</v>
      </c>
      <c r="N293" s="66">
        <f t="shared" ref="N293:N320" si="51">+J293+L293</f>
        <v>2891796</v>
      </c>
      <c r="O293" s="66">
        <f t="shared" ref="O293:O320" si="52">+K293+M293</f>
        <v>2891796</v>
      </c>
      <c r="P293" s="170" t="s">
        <v>206</v>
      </c>
      <c r="Q293" s="171">
        <v>1640000</v>
      </c>
      <c r="R293" s="171">
        <v>1640000</v>
      </c>
      <c r="S293" s="171">
        <v>975156</v>
      </c>
      <c r="T293" s="171">
        <v>975156</v>
      </c>
      <c r="U293" s="157">
        <f t="shared" si="46"/>
        <v>0</v>
      </c>
      <c r="V293" s="157">
        <f t="shared" si="47"/>
        <v>0</v>
      </c>
      <c r="W293" s="157">
        <f t="shared" si="48"/>
        <v>276640</v>
      </c>
      <c r="X293" s="157">
        <f t="shared" si="49"/>
        <v>276640</v>
      </c>
      <c r="Z293" s="218"/>
      <c r="AA293" s="253"/>
      <c r="AB293" s="288"/>
      <c r="AC293" s="289"/>
      <c r="AD293" s="289"/>
      <c r="AE293" s="291"/>
      <c r="AF293" s="189"/>
      <c r="AI293" s="240">
        <f t="shared" si="50"/>
        <v>2891796</v>
      </c>
    </row>
    <row r="294" spans="2:35" s="84" customFormat="1" ht="34.5" customHeight="1">
      <c r="B294" s="83"/>
      <c r="C294" s="313"/>
      <c r="D294" s="81" t="s">
        <v>88</v>
      </c>
      <c r="E294" s="81" t="s">
        <v>83</v>
      </c>
      <c r="F294" s="81"/>
      <c r="G294" s="81"/>
      <c r="H294" s="79" t="s">
        <v>46</v>
      </c>
      <c r="I294" s="79">
        <v>186</v>
      </c>
      <c r="J294" s="80">
        <v>1850000</v>
      </c>
      <c r="K294" s="80">
        <v>1850000</v>
      </c>
      <c r="L294" s="189">
        <v>1750632</v>
      </c>
      <c r="M294" s="189">
        <v>1750632</v>
      </c>
      <c r="N294" s="66">
        <f t="shared" si="51"/>
        <v>3600632</v>
      </c>
      <c r="O294" s="66">
        <f t="shared" si="52"/>
        <v>3600632</v>
      </c>
      <c r="P294" s="170" t="s">
        <v>298</v>
      </c>
      <c r="Q294" s="171">
        <v>1850000</v>
      </c>
      <c r="R294" s="171">
        <v>1850000</v>
      </c>
      <c r="S294" s="171">
        <v>1363752</v>
      </c>
      <c r="T294" s="171">
        <v>1363752</v>
      </c>
      <c r="U294" s="157">
        <f t="shared" si="46"/>
        <v>0</v>
      </c>
      <c r="V294" s="157">
        <f t="shared" si="47"/>
        <v>0</v>
      </c>
      <c r="W294" s="157">
        <f t="shared" si="48"/>
        <v>386880</v>
      </c>
      <c r="X294" s="157">
        <f t="shared" si="49"/>
        <v>386880</v>
      </c>
      <c r="Z294" s="218"/>
      <c r="AA294" s="253"/>
      <c r="AB294" s="288"/>
      <c r="AC294" s="289"/>
      <c r="AD294" s="289"/>
      <c r="AE294" s="291"/>
      <c r="AF294" s="189"/>
      <c r="AI294" s="240">
        <f t="shared" si="50"/>
        <v>3600632</v>
      </c>
    </row>
    <row r="295" spans="2:35" s="84" customFormat="1" ht="34.5" customHeight="1">
      <c r="B295" s="83"/>
      <c r="C295" s="313"/>
      <c r="D295" s="81" t="s">
        <v>64</v>
      </c>
      <c r="E295" s="81" t="s">
        <v>89</v>
      </c>
      <c r="F295" s="81"/>
      <c r="G295" s="81"/>
      <c r="H295" s="79"/>
      <c r="I295" s="79">
        <v>122</v>
      </c>
      <c r="J295" s="80">
        <v>1640000</v>
      </c>
      <c r="K295" s="80">
        <v>1640000</v>
      </c>
      <c r="L295" s="189">
        <v>1148264</v>
      </c>
      <c r="M295" s="189">
        <v>1148264</v>
      </c>
      <c r="N295" s="66">
        <f t="shared" si="51"/>
        <v>2788264</v>
      </c>
      <c r="O295" s="66">
        <f t="shared" si="52"/>
        <v>2788264</v>
      </c>
      <c r="P295" s="170" t="s">
        <v>210</v>
      </c>
      <c r="Q295" s="171">
        <v>1640000</v>
      </c>
      <c r="R295" s="171">
        <v>1640000</v>
      </c>
      <c r="S295" s="171">
        <v>894504</v>
      </c>
      <c r="T295" s="171">
        <v>894504</v>
      </c>
      <c r="U295" s="157">
        <f t="shared" si="46"/>
        <v>0</v>
      </c>
      <c r="V295" s="157">
        <f t="shared" si="47"/>
        <v>0</v>
      </c>
      <c r="W295" s="157">
        <f t="shared" si="48"/>
        <v>253760</v>
      </c>
      <c r="X295" s="157">
        <f t="shared" si="49"/>
        <v>253760</v>
      </c>
      <c r="Z295" s="218"/>
      <c r="AA295" s="253"/>
      <c r="AB295" s="288"/>
      <c r="AC295" s="289"/>
      <c r="AD295" s="289"/>
      <c r="AE295" s="291"/>
      <c r="AF295" s="189"/>
      <c r="AI295" s="240">
        <f t="shared" si="50"/>
        <v>2788264</v>
      </c>
    </row>
    <row r="296" spans="2:35" s="84" customFormat="1" ht="34.5" customHeight="1">
      <c r="B296" s="83"/>
      <c r="C296" s="313"/>
      <c r="D296" s="145" t="s">
        <v>89</v>
      </c>
      <c r="E296" s="145" t="s">
        <v>82</v>
      </c>
      <c r="F296" s="145"/>
      <c r="G296" s="145"/>
      <c r="H296" s="115" t="s">
        <v>46</v>
      </c>
      <c r="I296" s="115">
        <v>243</v>
      </c>
      <c r="J296" s="116">
        <v>1850000</v>
      </c>
      <c r="K296" s="116">
        <v>1850000</v>
      </c>
      <c r="L296" s="189">
        <v>2287116</v>
      </c>
      <c r="M296" s="189">
        <v>2287116</v>
      </c>
      <c r="N296" s="66">
        <f t="shared" si="51"/>
        <v>4137116</v>
      </c>
      <c r="O296" s="66">
        <f t="shared" si="52"/>
        <v>4137116</v>
      </c>
      <c r="P296" s="170" t="s">
        <v>299</v>
      </c>
      <c r="Q296" s="171">
        <v>1850000</v>
      </c>
      <c r="R296" s="171">
        <v>1850000</v>
      </c>
      <c r="S296" s="171">
        <v>1781676</v>
      </c>
      <c r="T296" s="171">
        <v>1781676</v>
      </c>
      <c r="U296" s="157">
        <f t="shared" si="46"/>
        <v>0</v>
      </c>
      <c r="V296" s="157">
        <f t="shared" si="47"/>
        <v>0</v>
      </c>
      <c r="W296" s="157">
        <f t="shared" si="48"/>
        <v>505440</v>
      </c>
      <c r="X296" s="157">
        <f t="shared" si="49"/>
        <v>505440</v>
      </c>
      <c r="Z296" s="218"/>
      <c r="AA296" s="253"/>
      <c r="AB296" s="288"/>
      <c r="AC296" s="289"/>
      <c r="AD296" s="289"/>
      <c r="AE296" s="291"/>
      <c r="AF296" s="189"/>
      <c r="AI296" s="240">
        <f t="shared" si="50"/>
        <v>4137116</v>
      </c>
    </row>
    <row r="297" spans="2:35" s="84" customFormat="1" ht="34.5" customHeight="1">
      <c r="B297" s="83"/>
      <c r="C297" s="313"/>
      <c r="D297" s="81" t="s">
        <v>64</v>
      </c>
      <c r="E297" s="81" t="s">
        <v>89</v>
      </c>
      <c r="F297" s="81"/>
      <c r="G297" s="81"/>
      <c r="H297" s="79"/>
      <c r="I297" s="79">
        <v>122</v>
      </c>
      <c r="J297" s="80">
        <v>1640000</v>
      </c>
      <c r="K297" s="80">
        <v>1640000</v>
      </c>
      <c r="L297" s="189">
        <v>1148264</v>
      </c>
      <c r="M297" s="189">
        <v>1148264</v>
      </c>
      <c r="N297" s="66">
        <f t="shared" si="51"/>
        <v>2788264</v>
      </c>
      <c r="O297" s="66">
        <f t="shared" si="52"/>
        <v>2788264</v>
      </c>
      <c r="P297" s="170" t="s">
        <v>210</v>
      </c>
      <c r="Q297" s="171">
        <v>1640000</v>
      </c>
      <c r="R297" s="171">
        <v>1640000</v>
      </c>
      <c r="S297" s="171">
        <v>894504</v>
      </c>
      <c r="T297" s="171">
        <v>894504</v>
      </c>
      <c r="U297" s="157">
        <f t="shared" si="46"/>
        <v>0</v>
      </c>
      <c r="V297" s="157">
        <f t="shared" si="47"/>
        <v>0</v>
      </c>
      <c r="W297" s="157">
        <f t="shared" si="48"/>
        <v>253760</v>
      </c>
      <c r="X297" s="157">
        <f t="shared" si="49"/>
        <v>253760</v>
      </c>
      <c r="Z297" s="218"/>
      <c r="AA297" s="253"/>
      <c r="AB297" s="288"/>
      <c r="AC297" s="289"/>
      <c r="AD297" s="289"/>
      <c r="AE297" s="291"/>
      <c r="AF297" s="189"/>
      <c r="AI297" s="240">
        <f t="shared" si="50"/>
        <v>2788264</v>
      </c>
    </row>
    <row r="298" spans="2:35" s="84" customFormat="1" ht="34.5" customHeight="1">
      <c r="B298" s="83"/>
      <c r="C298" s="313"/>
      <c r="D298" s="81" t="s">
        <v>89</v>
      </c>
      <c r="E298" s="81" t="s">
        <v>81</v>
      </c>
      <c r="F298" s="81"/>
      <c r="G298" s="81"/>
      <c r="H298" s="79" t="s">
        <v>46</v>
      </c>
      <c r="I298" s="79">
        <v>197</v>
      </c>
      <c r="J298" s="80">
        <v>1850000</v>
      </c>
      <c r="K298" s="80">
        <v>1850000</v>
      </c>
      <c r="L298" s="189">
        <v>1854164</v>
      </c>
      <c r="M298" s="189">
        <v>1854164</v>
      </c>
      <c r="N298" s="66">
        <f t="shared" si="51"/>
        <v>3704164</v>
      </c>
      <c r="O298" s="66">
        <f t="shared" si="52"/>
        <v>3704164</v>
      </c>
      <c r="P298" s="170" t="s">
        <v>300</v>
      </c>
      <c r="Q298" s="171">
        <v>1850000</v>
      </c>
      <c r="R298" s="171">
        <v>1850000</v>
      </c>
      <c r="S298" s="171">
        <v>1444404</v>
      </c>
      <c r="T298" s="171">
        <v>1444404</v>
      </c>
      <c r="U298" s="157">
        <f t="shared" si="46"/>
        <v>0</v>
      </c>
      <c r="V298" s="157">
        <f t="shared" si="47"/>
        <v>0</v>
      </c>
      <c r="W298" s="157">
        <f t="shared" si="48"/>
        <v>409760</v>
      </c>
      <c r="X298" s="157">
        <f t="shared" si="49"/>
        <v>409760</v>
      </c>
      <c r="Z298" s="218"/>
      <c r="AA298" s="253"/>
      <c r="AB298" s="288"/>
      <c r="AC298" s="289"/>
      <c r="AD298" s="289"/>
      <c r="AE298" s="291"/>
      <c r="AF298" s="189"/>
      <c r="AI298" s="240">
        <f t="shared" si="50"/>
        <v>3704164</v>
      </c>
    </row>
    <row r="299" spans="2:35" s="84" customFormat="1" ht="34.5" customHeight="1">
      <c r="B299" s="83"/>
      <c r="C299" s="313"/>
      <c r="D299" s="132" t="s">
        <v>64</v>
      </c>
      <c r="E299" s="132" t="s">
        <v>89</v>
      </c>
      <c r="F299" s="132"/>
      <c r="G299" s="132"/>
      <c r="H299" s="133"/>
      <c r="I299" s="133">
        <v>122</v>
      </c>
      <c r="J299" s="134">
        <v>1640000</v>
      </c>
      <c r="K299" s="134">
        <v>1640000</v>
      </c>
      <c r="L299" s="189">
        <v>1148264</v>
      </c>
      <c r="M299" s="189">
        <v>1148264</v>
      </c>
      <c r="N299" s="66">
        <f t="shared" si="51"/>
        <v>2788264</v>
      </c>
      <c r="O299" s="66">
        <f t="shared" si="52"/>
        <v>2788264</v>
      </c>
      <c r="P299" s="170" t="s">
        <v>210</v>
      </c>
      <c r="Q299" s="171">
        <v>1640000</v>
      </c>
      <c r="R299" s="171">
        <v>1640000</v>
      </c>
      <c r="S299" s="171">
        <v>894504</v>
      </c>
      <c r="T299" s="171">
        <v>894504</v>
      </c>
      <c r="U299" s="157">
        <f t="shared" si="46"/>
        <v>0</v>
      </c>
      <c r="V299" s="157">
        <f t="shared" si="47"/>
        <v>0</v>
      </c>
      <c r="W299" s="157">
        <f t="shared" si="48"/>
        <v>253760</v>
      </c>
      <c r="X299" s="157">
        <f t="shared" si="49"/>
        <v>253760</v>
      </c>
      <c r="Z299" s="218"/>
      <c r="AA299" s="253"/>
      <c r="AB299" s="288"/>
      <c r="AC299" s="289"/>
      <c r="AD299" s="289"/>
      <c r="AE299" s="291"/>
      <c r="AF299" s="189"/>
      <c r="AI299" s="240">
        <f t="shared" si="50"/>
        <v>2788264</v>
      </c>
    </row>
    <row r="300" spans="2:35" s="84" customFormat="1" ht="34.5" customHeight="1">
      <c r="B300" s="83"/>
      <c r="C300" s="313"/>
      <c r="D300" s="132" t="s">
        <v>89</v>
      </c>
      <c r="E300" s="132" t="s">
        <v>83</v>
      </c>
      <c r="F300" s="132"/>
      <c r="G300" s="132"/>
      <c r="H300" s="133" t="s">
        <v>46</v>
      </c>
      <c r="I300" s="133">
        <v>166</v>
      </c>
      <c r="J300" s="134">
        <v>1690000</v>
      </c>
      <c r="K300" s="134">
        <v>1690000</v>
      </c>
      <c r="L300" s="189">
        <v>1562392</v>
      </c>
      <c r="M300" s="189">
        <v>1562392</v>
      </c>
      <c r="N300" s="66">
        <f t="shared" si="51"/>
        <v>3252392</v>
      </c>
      <c r="O300" s="66">
        <f t="shared" si="52"/>
        <v>3252392</v>
      </c>
      <c r="P300" s="170" t="s">
        <v>301</v>
      </c>
      <c r="Q300" s="171">
        <v>1690000</v>
      </c>
      <c r="R300" s="171">
        <v>1690000</v>
      </c>
      <c r="S300" s="171">
        <v>1217112</v>
      </c>
      <c r="T300" s="171">
        <v>1217112</v>
      </c>
      <c r="U300" s="157">
        <f t="shared" si="46"/>
        <v>0</v>
      </c>
      <c r="V300" s="157">
        <f t="shared" si="47"/>
        <v>0</v>
      </c>
      <c r="W300" s="157">
        <f t="shared" si="48"/>
        <v>345280</v>
      </c>
      <c r="X300" s="157">
        <f t="shared" si="49"/>
        <v>345280</v>
      </c>
      <c r="Z300" s="218"/>
      <c r="AA300" s="253"/>
      <c r="AB300" s="288"/>
      <c r="AC300" s="289"/>
      <c r="AD300" s="289"/>
      <c r="AE300" s="291"/>
      <c r="AF300" s="189"/>
      <c r="AI300" s="240">
        <f t="shared" si="50"/>
        <v>3252392</v>
      </c>
    </row>
    <row r="301" spans="2:35" s="84" customFormat="1" ht="34.5" customHeight="1">
      <c r="B301" s="83"/>
      <c r="C301" s="313"/>
      <c r="D301" s="132" t="s">
        <v>86</v>
      </c>
      <c r="E301" s="132" t="s">
        <v>90</v>
      </c>
      <c r="F301" s="132"/>
      <c r="G301" s="132"/>
      <c r="H301" s="132"/>
      <c r="I301" s="133">
        <v>85</v>
      </c>
      <c r="J301" s="134">
        <v>1200000</v>
      </c>
      <c r="K301" s="134">
        <v>1200000</v>
      </c>
      <c r="L301" s="189">
        <v>800020</v>
      </c>
      <c r="M301" s="189">
        <v>800020</v>
      </c>
      <c r="N301" s="66">
        <f t="shared" si="51"/>
        <v>2000020</v>
      </c>
      <c r="O301" s="66">
        <f t="shared" si="52"/>
        <v>2000020</v>
      </c>
      <c r="P301" s="170" t="s">
        <v>214</v>
      </c>
      <c r="Q301" s="171">
        <v>1200000</v>
      </c>
      <c r="R301" s="171">
        <v>1200000</v>
      </c>
      <c r="S301" s="171">
        <v>623220</v>
      </c>
      <c r="T301" s="171">
        <v>623220</v>
      </c>
      <c r="U301" s="157">
        <f t="shared" si="46"/>
        <v>0</v>
      </c>
      <c r="V301" s="157">
        <f t="shared" si="47"/>
        <v>0</v>
      </c>
      <c r="W301" s="157">
        <f t="shared" si="48"/>
        <v>176800</v>
      </c>
      <c r="X301" s="157">
        <f t="shared" si="49"/>
        <v>176800</v>
      </c>
      <c r="Z301" s="218"/>
      <c r="AA301" s="253"/>
      <c r="AB301" s="288"/>
      <c r="AC301" s="289"/>
      <c r="AD301" s="289"/>
      <c r="AE301" s="291"/>
      <c r="AF301" s="189"/>
      <c r="AI301" s="240">
        <f t="shared" si="50"/>
        <v>2000020</v>
      </c>
    </row>
    <row r="302" spans="2:35" s="84" customFormat="1" ht="34.5" customHeight="1">
      <c r="B302" s="83"/>
      <c r="C302" s="313"/>
      <c r="D302" s="132" t="s">
        <v>90</v>
      </c>
      <c r="E302" s="132" t="s">
        <v>82</v>
      </c>
      <c r="F302" s="132"/>
      <c r="G302" s="132"/>
      <c r="H302" s="132" t="s">
        <v>46</v>
      </c>
      <c r="I302" s="133">
        <v>278</v>
      </c>
      <c r="J302" s="134">
        <v>2050000</v>
      </c>
      <c r="K302" s="134">
        <v>2050000</v>
      </c>
      <c r="L302" s="189">
        <v>2616536</v>
      </c>
      <c r="M302" s="189">
        <v>2616536</v>
      </c>
      <c r="N302" s="66">
        <f t="shared" si="51"/>
        <v>4666536</v>
      </c>
      <c r="O302" s="66">
        <f t="shared" si="52"/>
        <v>4666536</v>
      </c>
      <c r="P302" s="170" t="s">
        <v>302</v>
      </c>
      <c r="Q302" s="171">
        <v>2050000</v>
      </c>
      <c r="R302" s="171">
        <v>2050000</v>
      </c>
      <c r="S302" s="171">
        <v>2038296</v>
      </c>
      <c r="T302" s="171">
        <v>2038296</v>
      </c>
      <c r="U302" s="157">
        <f t="shared" si="46"/>
        <v>0</v>
      </c>
      <c r="V302" s="157">
        <f t="shared" si="47"/>
        <v>0</v>
      </c>
      <c r="W302" s="157">
        <f t="shared" si="48"/>
        <v>578240</v>
      </c>
      <c r="X302" s="157">
        <f t="shared" si="49"/>
        <v>578240</v>
      </c>
      <c r="Z302" s="218"/>
      <c r="AA302" s="253"/>
      <c r="AB302" s="288"/>
      <c r="AC302" s="289"/>
      <c r="AD302" s="289"/>
      <c r="AE302" s="291"/>
      <c r="AF302" s="189"/>
      <c r="AI302" s="240">
        <f t="shared" si="50"/>
        <v>4666536</v>
      </c>
    </row>
    <row r="303" spans="2:35" s="84" customFormat="1" ht="34.5" customHeight="1">
      <c r="B303" s="83"/>
      <c r="C303" s="313"/>
      <c r="D303" s="132" t="s">
        <v>86</v>
      </c>
      <c r="E303" s="132" t="s">
        <v>90</v>
      </c>
      <c r="F303" s="132"/>
      <c r="G303" s="132"/>
      <c r="H303" s="132"/>
      <c r="I303" s="133">
        <v>85</v>
      </c>
      <c r="J303" s="134">
        <v>1200000</v>
      </c>
      <c r="K303" s="134">
        <v>1200000</v>
      </c>
      <c r="L303" s="189">
        <v>800020</v>
      </c>
      <c r="M303" s="189">
        <v>800020</v>
      </c>
      <c r="N303" s="66">
        <f t="shared" si="51"/>
        <v>2000020</v>
      </c>
      <c r="O303" s="66">
        <f t="shared" si="52"/>
        <v>2000020</v>
      </c>
      <c r="P303" s="170" t="s">
        <v>214</v>
      </c>
      <c r="Q303" s="171">
        <v>1200000</v>
      </c>
      <c r="R303" s="171">
        <v>1200000</v>
      </c>
      <c r="S303" s="171">
        <v>623220</v>
      </c>
      <c r="T303" s="171">
        <v>623220</v>
      </c>
      <c r="U303" s="157">
        <f t="shared" si="46"/>
        <v>0</v>
      </c>
      <c r="V303" s="157">
        <f t="shared" si="47"/>
        <v>0</v>
      </c>
      <c r="W303" s="157">
        <f t="shared" si="48"/>
        <v>176800</v>
      </c>
      <c r="X303" s="157">
        <f t="shared" si="49"/>
        <v>176800</v>
      </c>
      <c r="Z303" s="218"/>
      <c r="AA303" s="253"/>
      <c r="AB303" s="288"/>
      <c r="AC303" s="289"/>
      <c r="AD303" s="289"/>
      <c r="AE303" s="291"/>
      <c r="AF303" s="189"/>
      <c r="AI303" s="240">
        <f t="shared" si="50"/>
        <v>2000020</v>
      </c>
    </row>
    <row r="304" spans="2:35" s="84" customFormat="1" ht="34.5" customHeight="1">
      <c r="B304" s="83"/>
      <c r="C304" s="313"/>
      <c r="D304" s="132" t="s">
        <v>90</v>
      </c>
      <c r="E304" s="132" t="s">
        <v>81</v>
      </c>
      <c r="F304" s="132"/>
      <c r="G304" s="132"/>
      <c r="H304" s="132" t="s">
        <v>46</v>
      </c>
      <c r="I304" s="133">
        <v>302</v>
      </c>
      <c r="J304" s="134">
        <v>2150000</v>
      </c>
      <c r="K304" s="134">
        <v>2150000</v>
      </c>
      <c r="L304" s="189">
        <v>2842424</v>
      </c>
      <c r="M304" s="189">
        <v>2842424</v>
      </c>
      <c r="N304" s="66">
        <f t="shared" si="51"/>
        <v>4992424</v>
      </c>
      <c r="O304" s="66">
        <f t="shared" si="52"/>
        <v>4992424</v>
      </c>
      <c r="P304" s="170" t="s">
        <v>303</v>
      </c>
      <c r="Q304" s="171">
        <v>2150000</v>
      </c>
      <c r="R304" s="171">
        <v>2150000</v>
      </c>
      <c r="S304" s="171">
        <v>2214264</v>
      </c>
      <c r="T304" s="171">
        <v>2214264</v>
      </c>
      <c r="U304" s="157">
        <f t="shared" si="46"/>
        <v>0</v>
      </c>
      <c r="V304" s="157">
        <f t="shared" si="47"/>
        <v>0</v>
      </c>
      <c r="W304" s="157">
        <f t="shared" si="48"/>
        <v>628160</v>
      </c>
      <c r="X304" s="157">
        <f t="shared" si="49"/>
        <v>628160</v>
      </c>
      <c r="Z304" s="218"/>
      <c r="AA304" s="253"/>
      <c r="AB304" s="288"/>
      <c r="AC304" s="289"/>
      <c r="AD304" s="289"/>
      <c r="AE304" s="291"/>
      <c r="AF304" s="189"/>
      <c r="AI304" s="240">
        <f t="shared" si="50"/>
        <v>4992424</v>
      </c>
    </row>
    <row r="305" spans="2:35" s="84" customFormat="1" ht="34.5" customHeight="1">
      <c r="B305" s="83"/>
      <c r="C305" s="315" t="s">
        <v>40</v>
      </c>
      <c r="D305" s="316" t="s">
        <v>39</v>
      </c>
      <c r="E305" s="317"/>
      <c r="F305" s="317"/>
      <c r="G305" s="317"/>
      <c r="H305" s="318"/>
      <c r="I305" s="319" t="s">
        <v>41</v>
      </c>
      <c r="J305" s="320" t="s">
        <v>69</v>
      </c>
      <c r="K305" s="320"/>
      <c r="L305" s="307" t="s">
        <v>38</v>
      </c>
      <c r="M305" s="308"/>
      <c r="N305" s="311" t="s">
        <v>13</v>
      </c>
      <c r="O305" s="311"/>
      <c r="P305" s="170"/>
      <c r="Q305" s="171"/>
      <c r="R305" s="171"/>
      <c r="S305" s="171"/>
      <c r="T305" s="171"/>
      <c r="U305" s="157"/>
      <c r="V305" s="157"/>
      <c r="W305" s="157"/>
      <c r="X305" s="157"/>
      <c r="Z305" s="218"/>
      <c r="AA305" s="253"/>
      <c r="AB305" s="288"/>
      <c r="AC305" s="289"/>
      <c r="AD305" s="289"/>
      <c r="AE305" s="307"/>
      <c r="AF305" s="308"/>
      <c r="AI305" s="240">
        <f t="shared" si="50"/>
        <v>0</v>
      </c>
    </row>
    <row r="306" spans="2:35" s="84" customFormat="1" ht="34.5" customHeight="1">
      <c r="B306" s="83"/>
      <c r="C306" s="301"/>
      <c r="D306" s="117" t="s">
        <v>15</v>
      </c>
      <c r="E306" s="117" t="s">
        <v>16</v>
      </c>
      <c r="F306" s="117" t="s">
        <v>16</v>
      </c>
      <c r="G306" s="117" t="s">
        <v>16</v>
      </c>
      <c r="H306" s="117" t="s">
        <v>16</v>
      </c>
      <c r="I306" s="301"/>
      <c r="J306" s="117" t="s">
        <v>35</v>
      </c>
      <c r="K306" s="117" t="s">
        <v>36</v>
      </c>
      <c r="L306" s="190" t="s">
        <v>35</v>
      </c>
      <c r="M306" s="190" t="s">
        <v>36</v>
      </c>
      <c r="N306" s="117" t="s">
        <v>35</v>
      </c>
      <c r="O306" s="117" t="s">
        <v>36</v>
      </c>
      <c r="P306" s="170"/>
      <c r="Q306" s="171"/>
      <c r="R306" s="171"/>
      <c r="S306" s="171"/>
      <c r="T306" s="171"/>
      <c r="U306" s="157"/>
      <c r="V306" s="157"/>
      <c r="W306" s="157"/>
      <c r="X306" s="157"/>
      <c r="Z306" s="218"/>
      <c r="AA306" s="253"/>
      <c r="AB306" s="288"/>
      <c r="AC306" s="289"/>
      <c r="AD306" s="289"/>
      <c r="AE306" s="293"/>
      <c r="AF306" s="190"/>
      <c r="AI306" s="240" t="str">
        <f t="shared" si="50"/>
        <v>20FT</v>
      </c>
    </row>
    <row r="307" spans="2:35" s="84" customFormat="1" ht="38.25" customHeight="1">
      <c r="B307" s="83"/>
      <c r="C307" s="312" t="s">
        <v>56</v>
      </c>
      <c r="D307" s="132" t="s">
        <v>86</v>
      </c>
      <c r="E307" s="132" t="s">
        <v>90</v>
      </c>
      <c r="F307" s="132"/>
      <c r="G307" s="132"/>
      <c r="H307" s="132"/>
      <c r="I307" s="133">
        <v>85</v>
      </c>
      <c r="J307" s="134">
        <v>1200000</v>
      </c>
      <c r="K307" s="134">
        <v>1200000</v>
      </c>
      <c r="L307" s="189">
        <v>800020</v>
      </c>
      <c r="M307" s="189">
        <v>800020</v>
      </c>
      <c r="N307" s="66">
        <f t="shared" si="51"/>
        <v>2000020</v>
      </c>
      <c r="O307" s="66">
        <f t="shared" si="52"/>
        <v>2000020</v>
      </c>
      <c r="P307" s="170" t="s">
        <v>214</v>
      </c>
      <c r="Q307" s="171">
        <v>1200000</v>
      </c>
      <c r="R307" s="171">
        <v>1200000</v>
      </c>
      <c r="S307" s="171">
        <v>623220</v>
      </c>
      <c r="T307" s="171">
        <v>623220</v>
      </c>
      <c r="U307" s="157">
        <f t="shared" si="46"/>
        <v>0</v>
      </c>
      <c r="V307" s="157">
        <f t="shared" si="47"/>
        <v>0</v>
      </c>
      <c r="W307" s="157">
        <f t="shared" si="48"/>
        <v>176800</v>
      </c>
      <c r="X307" s="157">
        <f t="shared" si="49"/>
        <v>176800</v>
      </c>
      <c r="Z307" s="218"/>
      <c r="AA307" s="253"/>
      <c r="AB307" s="288"/>
      <c r="AC307" s="289"/>
      <c r="AD307" s="289"/>
      <c r="AE307" s="291"/>
      <c r="AF307" s="189"/>
      <c r="AI307" s="240">
        <f t="shared" si="50"/>
        <v>2000020</v>
      </c>
    </row>
    <row r="308" spans="2:35" s="84" customFormat="1" ht="38.25" customHeight="1">
      <c r="B308" s="83"/>
      <c r="C308" s="313"/>
      <c r="D308" s="132" t="s">
        <v>90</v>
      </c>
      <c r="E308" s="132" t="s">
        <v>83</v>
      </c>
      <c r="F308" s="132"/>
      <c r="G308" s="132"/>
      <c r="H308" s="132" t="s">
        <v>46</v>
      </c>
      <c r="I308" s="133">
        <v>311</v>
      </c>
      <c r="J308" s="134">
        <v>2150000</v>
      </c>
      <c r="K308" s="134">
        <v>2150000</v>
      </c>
      <c r="L308" s="189">
        <v>2927132</v>
      </c>
      <c r="M308" s="189">
        <v>2927132</v>
      </c>
      <c r="N308" s="66">
        <f t="shared" si="51"/>
        <v>5077132</v>
      </c>
      <c r="O308" s="66">
        <f t="shared" si="52"/>
        <v>5077132</v>
      </c>
      <c r="P308" s="170" t="s">
        <v>304</v>
      </c>
      <c r="Q308" s="171">
        <v>2150000</v>
      </c>
      <c r="R308" s="171">
        <v>2150000</v>
      </c>
      <c r="S308" s="171">
        <v>2280252</v>
      </c>
      <c r="T308" s="171">
        <v>2280252</v>
      </c>
      <c r="U308" s="157">
        <f t="shared" si="46"/>
        <v>0</v>
      </c>
      <c r="V308" s="157">
        <f t="shared" si="47"/>
        <v>0</v>
      </c>
      <c r="W308" s="157">
        <f t="shared" si="48"/>
        <v>646880</v>
      </c>
      <c r="X308" s="157">
        <f t="shared" si="49"/>
        <v>646880</v>
      </c>
      <c r="Z308" s="218"/>
      <c r="AA308" s="253"/>
      <c r="AB308" s="288"/>
      <c r="AC308" s="289"/>
      <c r="AD308" s="289"/>
      <c r="AE308" s="291"/>
      <c r="AF308" s="189"/>
      <c r="AI308" s="240">
        <f t="shared" si="50"/>
        <v>5077132</v>
      </c>
    </row>
    <row r="309" spans="2:35" s="84" customFormat="1" ht="38.25" customHeight="1">
      <c r="B309" s="83"/>
      <c r="C309" s="313"/>
      <c r="D309" s="132" t="s">
        <v>86</v>
      </c>
      <c r="E309" s="132" t="s">
        <v>91</v>
      </c>
      <c r="F309" s="132"/>
      <c r="G309" s="132"/>
      <c r="H309" s="132"/>
      <c r="I309" s="133">
        <v>35</v>
      </c>
      <c r="J309" s="134">
        <v>870000</v>
      </c>
      <c r="K309" s="134">
        <v>870000</v>
      </c>
      <c r="L309" s="189">
        <v>329420</v>
      </c>
      <c r="M309" s="189">
        <v>329420</v>
      </c>
      <c r="N309" s="66">
        <f t="shared" si="51"/>
        <v>1199420</v>
      </c>
      <c r="O309" s="66">
        <f t="shared" si="52"/>
        <v>1199420</v>
      </c>
      <c r="P309" s="170" t="s">
        <v>218</v>
      </c>
      <c r="Q309" s="171">
        <v>870000</v>
      </c>
      <c r="R309" s="171">
        <v>870000</v>
      </c>
      <c r="S309" s="171">
        <v>256620</v>
      </c>
      <c r="T309" s="171">
        <v>256620</v>
      </c>
      <c r="U309" s="157">
        <f t="shared" si="46"/>
        <v>0</v>
      </c>
      <c r="V309" s="157">
        <f t="shared" si="47"/>
        <v>0</v>
      </c>
      <c r="W309" s="157">
        <f t="shared" si="48"/>
        <v>72800</v>
      </c>
      <c r="X309" s="157">
        <f t="shared" si="49"/>
        <v>72800</v>
      </c>
      <c r="Z309" s="218"/>
      <c r="AA309" s="253"/>
      <c r="AB309" s="288"/>
      <c r="AC309" s="289"/>
      <c r="AD309" s="289"/>
      <c r="AE309" s="291"/>
      <c r="AF309" s="189"/>
      <c r="AI309" s="240">
        <f t="shared" si="50"/>
        <v>1199420</v>
      </c>
    </row>
    <row r="310" spans="2:35" s="84" customFormat="1" ht="38.25" customHeight="1">
      <c r="B310" s="83"/>
      <c r="C310" s="313"/>
      <c r="D310" s="132" t="s">
        <v>91</v>
      </c>
      <c r="E310" s="132" t="s">
        <v>82</v>
      </c>
      <c r="F310" s="132"/>
      <c r="G310" s="132"/>
      <c r="H310" s="132" t="s">
        <v>46</v>
      </c>
      <c r="I310" s="133">
        <v>313</v>
      </c>
      <c r="J310" s="134">
        <v>2150000</v>
      </c>
      <c r="K310" s="134">
        <v>2150000</v>
      </c>
      <c r="L310" s="189">
        <v>2945956</v>
      </c>
      <c r="M310" s="189">
        <v>2945956</v>
      </c>
      <c r="N310" s="66">
        <f t="shared" si="51"/>
        <v>5095956</v>
      </c>
      <c r="O310" s="66">
        <f t="shared" si="52"/>
        <v>5095956</v>
      </c>
      <c r="P310" s="170" t="s">
        <v>305</v>
      </c>
      <c r="Q310" s="171">
        <v>2150000</v>
      </c>
      <c r="R310" s="171">
        <v>2150000</v>
      </c>
      <c r="S310" s="171">
        <v>2294916</v>
      </c>
      <c r="T310" s="171">
        <v>2294916</v>
      </c>
      <c r="U310" s="157">
        <f t="shared" si="46"/>
        <v>0</v>
      </c>
      <c r="V310" s="157">
        <f t="shared" si="47"/>
        <v>0</v>
      </c>
      <c r="W310" s="157">
        <f t="shared" si="48"/>
        <v>651040</v>
      </c>
      <c r="X310" s="157">
        <f t="shared" si="49"/>
        <v>651040</v>
      </c>
      <c r="Z310" s="218"/>
      <c r="AA310" s="253"/>
      <c r="AB310" s="288"/>
      <c r="AC310" s="289"/>
      <c r="AD310" s="289"/>
      <c r="AE310" s="291"/>
      <c r="AF310" s="189"/>
      <c r="AI310" s="240">
        <f t="shared" si="50"/>
        <v>5095956</v>
      </c>
    </row>
    <row r="311" spans="2:35" s="84" customFormat="1" ht="38.25" customHeight="1">
      <c r="B311" s="83"/>
      <c r="C311" s="313"/>
      <c r="D311" s="132" t="s">
        <v>86</v>
      </c>
      <c r="E311" s="132" t="s">
        <v>91</v>
      </c>
      <c r="F311" s="132"/>
      <c r="G311" s="132"/>
      <c r="H311" s="132"/>
      <c r="I311" s="133">
        <v>35</v>
      </c>
      <c r="J311" s="134">
        <v>870000</v>
      </c>
      <c r="K311" s="134">
        <v>870000</v>
      </c>
      <c r="L311" s="189">
        <v>329420</v>
      </c>
      <c r="M311" s="189">
        <v>329420</v>
      </c>
      <c r="N311" s="66">
        <f t="shared" si="51"/>
        <v>1199420</v>
      </c>
      <c r="O311" s="66">
        <f t="shared" si="52"/>
        <v>1199420</v>
      </c>
      <c r="P311" s="170" t="s">
        <v>218</v>
      </c>
      <c r="Q311" s="171">
        <v>870000</v>
      </c>
      <c r="R311" s="171">
        <v>870000</v>
      </c>
      <c r="S311" s="171">
        <v>256620</v>
      </c>
      <c r="T311" s="171">
        <v>256620</v>
      </c>
      <c r="U311" s="157">
        <f t="shared" si="46"/>
        <v>0</v>
      </c>
      <c r="V311" s="157">
        <f t="shared" si="47"/>
        <v>0</v>
      </c>
      <c r="W311" s="157">
        <f t="shared" si="48"/>
        <v>72800</v>
      </c>
      <c r="X311" s="157">
        <f t="shared" si="49"/>
        <v>72800</v>
      </c>
      <c r="Z311" s="218"/>
      <c r="AA311" s="253"/>
      <c r="AB311" s="288"/>
      <c r="AC311" s="289"/>
      <c r="AD311" s="289"/>
      <c r="AE311" s="291"/>
      <c r="AF311" s="189"/>
      <c r="AI311" s="240">
        <f t="shared" si="50"/>
        <v>1199420</v>
      </c>
    </row>
    <row r="312" spans="2:35" s="84" customFormat="1" ht="38.25" customHeight="1">
      <c r="B312" s="83"/>
      <c r="C312" s="313"/>
      <c r="D312" s="132" t="s">
        <v>91</v>
      </c>
      <c r="E312" s="132" t="s">
        <v>81</v>
      </c>
      <c r="F312" s="132"/>
      <c r="G312" s="132"/>
      <c r="H312" s="132" t="s">
        <v>46</v>
      </c>
      <c r="I312" s="133">
        <v>267</v>
      </c>
      <c r="J312" s="134">
        <v>2050000</v>
      </c>
      <c r="K312" s="134">
        <v>2050000</v>
      </c>
      <c r="L312" s="189">
        <v>2513004</v>
      </c>
      <c r="M312" s="189">
        <v>2513004</v>
      </c>
      <c r="N312" s="66">
        <f t="shared" si="51"/>
        <v>4563004</v>
      </c>
      <c r="O312" s="66">
        <f t="shared" si="52"/>
        <v>4563004</v>
      </c>
      <c r="P312" s="170" t="s">
        <v>306</v>
      </c>
      <c r="Q312" s="171">
        <v>2050000</v>
      </c>
      <c r="R312" s="171">
        <v>2050000</v>
      </c>
      <c r="S312" s="171">
        <v>1957644</v>
      </c>
      <c r="T312" s="171">
        <v>1957644</v>
      </c>
      <c r="U312" s="157">
        <f t="shared" si="46"/>
        <v>0</v>
      </c>
      <c r="V312" s="157">
        <f t="shared" si="47"/>
        <v>0</v>
      </c>
      <c r="W312" s="157">
        <f t="shared" si="48"/>
        <v>555360</v>
      </c>
      <c r="X312" s="157">
        <f t="shared" si="49"/>
        <v>555360</v>
      </c>
      <c r="Z312" s="218"/>
      <c r="AA312" s="253"/>
      <c r="AB312" s="288"/>
      <c r="AC312" s="289"/>
      <c r="AD312" s="289"/>
      <c r="AE312" s="291"/>
      <c r="AF312" s="189"/>
      <c r="AI312" s="240">
        <f t="shared" si="50"/>
        <v>4563004</v>
      </c>
    </row>
    <row r="313" spans="2:35" s="84" customFormat="1" ht="38.25" customHeight="1">
      <c r="B313" s="83"/>
      <c r="C313" s="313"/>
      <c r="D313" s="132" t="s">
        <v>86</v>
      </c>
      <c r="E313" s="132" t="s">
        <v>91</v>
      </c>
      <c r="F313" s="132"/>
      <c r="G313" s="132"/>
      <c r="H313" s="132"/>
      <c r="I313" s="133">
        <v>35</v>
      </c>
      <c r="J313" s="134">
        <v>870000</v>
      </c>
      <c r="K313" s="134">
        <v>870000</v>
      </c>
      <c r="L313" s="189">
        <v>329420</v>
      </c>
      <c r="M313" s="189">
        <v>329420</v>
      </c>
      <c r="N313" s="66">
        <f t="shared" si="51"/>
        <v>1199420</v>
      </c>
      <c r="O313" s="66">
        <f t="shared" si="52"/>
        <v>1199420</v>
      </c>
      <c r="P313" s="170" t="s">
        <v>218</v>
      </c>
      <c r="Q313" s="171">
        <v>870000</v>
      </c>
      <c r="R313" s="171">
        <v>870000</v>
      </c>
      <c r="S313" s="171">
        <v>256620</v>
      </c>
      <c r="T313" s="171">
        <v>256620</v>
      </c>
      <c r="U313" s="157">
        <f t="shared" si="46"/>
        <v>0</v>
      </c>
      <c r="V313" s="157">
        <f t="shared" si="47"/>
        <v>0</v>
      </c>
      <c r="W313" s="157">
        <f t="shared" si="48"/>
        <v>72800</v>
      </c>
      <c r="X313" s="157">
        <f t="shared" si="49"/>
        <v>72800</v>
      </c>
      <c r="Z313" s="218"/>
      <c r="AA313" s="253"/>
      <c r="AB313" s="288"/>
      <c r="AC313" s="289"/>
      <c r="AD313" s="289"/>
      <c r="AE313" s="291"/>
      <c r="AF313" s="189"/>
      <c r="AI313" s="240">
        <f t="shared" si="50"/>
        <v>1199420</v>
      </c>
    </row>
    <row r="314" spans="2:35" s="84" customFormat="1" ht="38.25" customHeight="1">
      <c r="B314" s="83"/>
      <c r="C314" s="313"/>
      <c r="D314" s="132" t="s">
        <v>91</v>
      </c>
      <c r="E314" s="132" t="s">
        <v>83</v>
      </c>
      <c r="F314" s="132"/>
      <c r="G314" s="132"/>
      <c r="H314" s="132" t="s">
        <v>46</v>
      </c>
      <c r="I314" s="133">
        <v>276</v>
      </c>
      <c r="J314" s="134">
        <v>2050000</v>
      </c>
      <c r="K314" s="134">
        <v>2050000</v>
      </c>
      <c r="L314" s="189">
        <v>2597712</v>
      </c>
      <c r="M314" s="189">
        <v>2597712</v>
      </c>
      <c r="N314" s="66">
        <f t="shared" si="51"/>
        <v>4647712</v>
      </c>
      <c r="O314" s="66">
        <f t="shared" si="52"/>
        <v>4647712</v>
      </c>
      <c r="P314" s="170" t="s">
        <v>307</v>
      </c>
      <c r="Q314" s="171">
        <v>2050000</v>
      </c>
      <c r="R314" s="171">
        <v>2050000</v>
      </c>
      <c r="S314" s="171">
        <v>2023632</v>
      </c>
      <c r="T314" s="171">
        <v>2023632</v>
      </c>
      <c r="U314" s="157">
        <f t="shared" si="46"/>
        <v>0</v>
      </c>
      <c r="V314" s="157">
        <f t="shared" si="47"/>
        <v>0</v>
      </c>
      <c r="W314" s="157">
        <f t="shared" si="48"/>
        <v>574080</v>
      </c>
      <c r="X314" s="157">
        <f t="shared" si="49"/>
        <v>574080</v>
      </c>
      <c r="Z314" s="218"/>
      <c r="AA314" s="253"/>
      <c r="AB314" s="288"/>
      <c r="AC314" s="289"/>
      <c r="AD314" s="289"/>
      <c r="AE314" s="291"/>
      <c r="AF314" s="189"/>
      <c r="AI314" s="240">
        <f t="shared" si="50"/>
        <v>4647712</v>
      </c>
    </row>
    <row r="315" spans="2:35" s="84" customFormat="1" ht="38.25" customHeight="1">
      <c r="B315" s="83"/>
      <c r="C315" s="313"/>
      <c r="D315" s="132" t="s">
        <v>86</v>
      </c>
      <c r="E315" s="132" t="s">
        <v>92</v>
      </c>
      <c r="F315" s="132"/>
      <c r="G315" s="132"/>
      <c r="H315" s="132"/>
      <c r="I315" s="133">
        <v>20</v>
      </c>
      <c r="J315" s="134">
        <v>870000</v>
      </c>
      <c r="K315" s="134">
        <v>870000</v>
      </c>
      <c r="L315" s="189">
        <v>188240</v>
      </c>
      <c r="M315" s="189">
        <v>188240</v>
      </c>
      <c r="N315" s="66">
        <f t="shared" si="51"/>
        <v>1058240</v>
      </c>
      <c r="O315" s="66">
        <f t="shared" si="52"/>
        <v>1058240</v>
      </c>
      <c r="P315" s="170" t="s">
        <v>222</v>
      </c>
      <c r="Q315" s="171">
        <v>870000</v>
      </c>
      <c r="R315" s="171">
        <v>870000</v>
      </c>
      <c r="S315" s="171">
        <v>146640</v>
      </c>
      <c r="T315" s="171">
        <v>146640</v>
      </c>
      <c r="U315" s="157">
        <f t="shared" si="46"/>
        <v>0</v>
      </c>
      <c r="V315" s="157">
        <f t="shared" si="47"/>
        <v>0</v>
      </c>
      <c r="W315" s="157">
        <f t="shared" si="48"/>
        <v>41600</v>
      </c>
      <c r="X315" s="157">
        <f t="shared" si="49"/>
        <v>41600</v>
      </c>
      <c r="Z315" s="218"/>
      <c r="AA315" s="253"/>
      <c r="AB315" s="288"/>
      <c r="AC315" s="289"/>
      <c r="AD315" s="289"/>
      <c r="AE315" s="291"/>
      <c r="AF315" s="189"/>
      <c r="AI315" s="240">
        <f t="shared" si="50"/>
        <v>1058240</v>
      </c>
    </row>
    <row r="316" spans="2:35" s="84" customFormat="1" ht="38.25" customHeight="1">
      <c r="B316" s="83"/>
      <c r="C316" s="313"/>
      <c r="D316" s="132" t="s">
        <v>92</v>
      </c>
      <c r="E316" s="132" t="s">
        <v>82</v>
      </c>
      <c r="F316" s="132"/>
      <c r="G316" s="132"/>
      <c r="H316" s="132" t="s">
        <v>46</v>
      </c>
      <c r="I316" s="133">
        <v>333</v>
      </c>
      <c r="J316" s="134">
        <v>2250000</v>
      </c>
      <c r="K316" s="134">
        <v>2250000</v>
      </c>
      <c r="L316" s="189">
        <v>3134196</v>
      </c>
      <c r="M316" s="189">
        <v>3134196</v>
      </c>
      <c r="N316" s="66">
        <f t="shared" si="51"/>
        <v>5384196</v>
      </c>
      <c r="O316" s="66">
        <f t="shared" si="52"/>
        <v>5384196</v>
      </c>
      <c r="P316" s="170" t="s">
        <v>308</v>
      </c>
      <c r="Q316" s="171">
        <v>2250000</v>
      </c>
      <c r="R316" s="171">
        <v>2250000</v>
      </c>
      <c r="S316" s="171">
        <v>2441556</v>
      </c>
      <c r="T316" s="171">
        <v>2441556</v>
      </c>
      <c r="U316" s="157">
        <f t="shared" si="46"/>
        <v>0</v>
      </c>
      <c r="V316" s="157">
        <f t="shared" si="47"/>
        <v>0</v>
      </c>
      <c r="W316" s="157">
        <f t="shared" si="48"/>
        <v>692640</v>
      </c>
      <c r="X316" s="157">
        <f t="shared" si="49"/>
        <v>692640</v>
      </c>
      <c r="Z316" s="218"/>
      <c r="AA316" s="253"/>
      <c r="AB316" s="288"/>
      <c r="AC316" s="289"/>
      <c r="AD316" s="289"/>
      <c r="AE316" s="291"/>
      <c r="AF316" s="189"/>
      <c r="AI316" s="240">
        <f t="shared" si="50"/>
        <v>5384196</v>
      </c>
    </row>
    <row r="317" spans="2:35" s="84" customFormat="1" ht="38.25" customHeight="1">
      <c r="B317" s="83"/>
      <c r="C317" s="313"/>
      <c r="D317" s="132" t="s">
        <v>86</v>
      </c>
      <c r="E317" s="132" t="s">
        <v>92</v>
      </c>
      <c r="F317" s="132"/>
      <c r="G317" s="132"/>
      <c r="H317" s="132"/>
      <c r="I317" s="133">
        <v>20</v>
      </c>
      <c r="J317" s="134">
        <v>870000</v>
      </c>
      <c r="K317" s="134">
        <v>870000</v>
      </c>
      <c r="L317" s="189">
        <v>188240</v>
      </c>
      <c r="M317" s="189">
        <v>188240</v>
      </c>
      <c r="N317" s="66">
        <f t="shared" si="51"/>
        <v>1058240</v>
      </c>
      <c r="O317" s="66">
        <f t="shared" si="52"/>
        <v>1058240</v>
      </c>
      <c r="P317" s="170" t="s">
        <v>222</v>
      </c>
      <c r="Q317" s="171">
        <v>870000</v>
      </c>
      <c r="R317" s="171">
        <v>870000</v>
      </c>
      <c r="S317" s="171">
        <v>146640</v>
      </c>
      <c r="T317" s="171">
        <v>146640</v>
      </c>
      <c r="U317" s="157">
        <f t="shared" si="46"/>
        <v>0</v>
      </c>
      <c r="V317" s="157">
        <f t="shared" si="47"/>
        <v>0</v>
      </c>
      <c r="W317" s="157">
        <f t="shared" si="48"/>
        <v>41600</v>
      </c>
      <c r="X317" s="157">
        <f t="shared" si="49"/>
        <v>41600</v>
      </c>
      <c r="Z317" s="218"/>
      <c r="AA317" s="253"/>
      <c r="AB317" s="288"/>
      <c r="AC317" s="289"/>
      <c r="AD317" s="289"/>
      <c r="AE317" s="291"/>
      <c r="AF317" s="189"/>
      <c r="AI317" s="240">
        <f t="shared" si="50"/>
        <v>1058240</v>
      </c>
    </row>
    <row r="318" spans="2:35" s="84" customFormat="1" ht="38.25" customHeight="1">
      <c r="B318" s="83"/>
      <c r="C318" s="313"/>
      <c r="D318" s="132" t="s">
        <v>92</v>
      </c>
      <c r="E318" s="132" t="s">
        <v>81</v>
      </c>
      <c r="F318" s="132"/>
      <c r="G318" s="132"/>
      <c r="H318" s="132" t="s">
        <v>46</v>
      </c>
      <c r="I318" s="133">
        <v>287</v>
      </c>
      <c r="J318" s="134">
        <v>2150000</v>
      </c>
      <c r="K318" s="134">
        <v>2150000</v>
      </c>
      <c r="L318" s="189">
        <v>2701244</v>
      </c>
      <c r="M318" s="189">
        <v>2701244</v>
      </c>
      <c r="N318" s="66">
        <f t="shared" si="51"/>
        <v>4851244</v>
      </c>
      <c r="O318" s="66">
        <f t="shared" si="52"/>
        <v>4851244</v>
      </c>
      <c r="P318" s="170" t="s">
        <v>309</v>
      </c>
      <c r="Q318" s="171">
        <v>2150000</v>
      </c>
      <c r="R318" s="171">
        <v>2150000</v>
      </c>
      <c r="S318" s="171">
        <v>2104284</v>
      </c>
      <c r="T318" s="171">
        <v>2104284</v>
      </c>
      <c r="U318" s="157">
        <f t="shared" ref="U318:U356" si="53">J318-Q318</f>
        <v>0</v>
      </c>
      <c r="V318" s="157">
        <f t="shared" ref="V318:V356" si="54">K318-R318</f>
        <v>0</v>
      </c>
      <c r="W318" s="157">
        <f t="shared" ref="W318:W356" si="55">L318-S318</f>
        <v>596960</v>
      </c>
      <c r="X318" s="157">
        <f t="shared" ref="X318:X356" si="56">M318-T318</f>
        <v>596960</v>
      </c>
      <c r="Z318" s="218"/>
      <c r="AA318" s="253"/>
      <c r="AB318" s="288"/>
      <c r="AC318" s="289"/>
      <c r="AD318" s="289"/>
      <c r="AE318" s="291"/>
      <c r="AF318" s="189"/>
      <c r="AI318" s="240">
        <f t="shared" si="50"/>
        <v>4851244</v>
      </c>
    </row>
    <row r="319" spans="2:35" s="84" customFormat="1" ht="38.25" customHeight="1">
      <c r="B319" s="83"/>
      <c r="C319" s="313"/>
      <c r="D319" s="132" t="s">
        <v>86</v>
      </c>
      <c r="E319" s="132" t="s">
        <v>92</v>
      </c>
      <c r="F319" s="132"/>
      <c r="G319" s="132"/>
      <c r="H319" s="132"/>
      <c r="I319" s="133">
        <v>20</v>
      </c>
      <c r="J319" s="134">
        <v>870000</v>
      </c>
      <c r="K319" s="134">
        <v>870000</v>
      </c>
      <c r="L319" s="189">
        <v>188240</v>
      </c>
      <c r="M319" s="189">
        <v>188240</v>
      </c>
      <c r="N319" s="66">
        <f t="shared" si="51"/>
        <v>1058240</v>
      </c>
      <c r="O319" s="66">
        <f t="shared" si="52"/>
        <v>1058240</v>
      </c>
      <c r="P319" s="170" t="s">
        <v>222</v>
      </c>
      <c r="Q319" s="171">
        <v>870000</v>
      </c>
      <c r="R319" s="171">
        <v>870000</v>
      </c>
      <c r="S319" s="171">
        <v>146640</v>
      </c>
      <c r="T319" s="171">
        <v>146640</v>
      </c>
      <c r="U319" s="157">
        <f t="shared" si="53"/>
        <v>0</v>
      </c>
      <c r="V319" s="157">
        <f t="shared" si="54"/>
        <v>0</v>
      </c>
      <c r="W319" s="157">
        <f t="shared" si="55"/>
        <v>41600</v>
      </c>
      <c r="X319" s="157">
        <f t="shared" si="56"/>
        <v>41600</v>
      </c>
      <c r="Z319" s="218"/>
      <c r="AA319" s="253"/>
      <c r="AB319" s="288"/>
      <c r="AC319" s="289"/>
      <c r="AD319" s="289"/>
      <c r="AE319" s="291"/>
      <c r="AF319" s="189"/>
      <c r="AI319" s="240">
        <f t="shared" si="50"/>
        <v>1058240</v>
      </c>
    </row>
    <row r="320" spans="2:35" s="84" customFormat="1" ht="38.25" customHeight="1">
      <c r="B320" s="83"/>
      <c r="C320" s="313"/>
      <c r="D320" s="132" t="s">
        <v>92</v>
      </c>
      <c r="E320" s="132" t="s">
        <v>83</v>
      </c>
      <c r="F320" s="132"/>
      <c r="G320" s="132"/>
      <c r="H320" s="132" t="s">
        <v>46</v>
      </c>
      <c r="I320" s="133">
        <v>256</v>
      </c>
      <c r="J320" s="134">
        <v>2150000</v>
      </c>
      <c r="K320" s="134">
        <v>2150000</v>
      </c>
      <c r="L320" s="189">
        <v>2409472</v>
      </c>
      <c r="M320" s="189">
        <v>2409472</v>
      </c>
      <c r="N320" s="66">
        <f t="shared" si="51"/>
        <v>4559472</v>
      </c>
      <c r="O320" s="66">
        <f t="shared" si="52"/>
        <v>4559472</v>
      </c>
      <c r="P320" s="170" t="s">
        <v>310</v>
      </c>
      <c r="Q320" s="171">
        <v>2150000</v>
      </c>
      <c r="R320" s="171">
        <v>2150000</v>
      </c>
      <c r="S320" s="171">
        <v>1876992</v>
      </c>
      <c r="T320" s="171">
        <v>1876992</v>
      </c>
      <c r="U320" s="157">
        <f t="shared" si="53"/>
        <v>0</v>
      </c>
      <c r="V320" s="157">
        <f t="shared" si="54"/>
        <v>0</v>
      </c>
      <c r="W320" s="157">
        <f t="shared" si="55"/>
        <v>532480</v>
      </c>
      <c r="X320" s="157">
        <f t="shared" si="56"/>
        <v>532480</v>
      </c>
      <c r="Z320" s="218"/>
      <c r="AA320" s="253"/>
      <c r="AB320" s="288"/>
      <c r="AC320" s="289"/>
      <c r="AD320" s="289"/>
      <c r="AE320" s="291"/>
      <c r="AF320" s="189"/>
      <c r="AI320" s="240">
        <f t="shared" si="50"/>
        <v>4559472</v>
      </c>
    </row>
    <row r="321" spans="2:35" s="84" customFormat="1" ht="38.25" customHeight="1">
      <c r="B321" s="83"/>
      <c r="C321" s="313"/>
      <c r="D321" s="132" t="s">
        <v>161</v>
      </c>
      <c r="E321" s="132" t="s">
        <v>163</v>
      </c>
      <c r="F321" s="132"/>
      <c r="G321" s="132"/>
      <c r="H321" s="132"/>
      <c r="I321" s="133">
        <v>65</v>
      </c>
      <c r="J321" s="134">
        <v>1050000</v>
      </c>
      <c r="K321" s="134">
        <v>1050000</v>
      </c>
      <c r="L321" s="189">
        <v>611780</v>
      </c>
      <c r="M321" s="189">
        <v>611780</v>
      </c>
      <c r="N321" s="66">
        <f t="shared" ref="N321:N356" si="57">+J321+L321</f>
        <v>1661780</v>
      </c>
      <c r="O321" s="66">
        <f t="shared" ref="O321:O356" si="58">+K321+M321</f>
        <v>1661780</v>
      </c>
      <c r="P321" s="170" t="s">
        <v>226</v>
      </c>
      <c r="Q321" s="171">
        <v>1050000</v>
      </c>
      <c r="R321" s="171">
        <v>1050000</v>
      </c>
      <c r="S321" s="171">
        <v>476580</v>
      </c>
      <c r="T321" s="171">
        <v>476580</v>
      </c>
      <c r="U321" s="157">
        <f t="shared" si="53"/>
        <v>0</v>
      </c>
      <c r="V321" s="157">
        <f t="shared" si="54"/>
        <v>0</v>
      </c>
      <c r="W321" s="157">
        <f t="shared" si="55"/>
        <v>135200</v>
      </c>
      <c r="X321" s="157">
        <f t="shared" si="56"/>
        <v>135200</v>
      </c>
      <c r="Z321" s="218"/>
      <c r="AA321" s="253"/>
      <c r="AB321" s="288"/>
      <c r="AC321" s="289"/>
      <c r="AD321" s="289"/>
      <c r="AE321" s="291"/>
      <c r="AF321" s="189"/>
      <c r="AI321" s="240">
        <f t="shared" si="50"/>
        <v>1661780</v>
      </c>
    </row>
    <row r="322" spans="2:35" s="84" customFormat="1" ht="38.25" customHeight="1">
      <c r="B322" s="83"/>
      <c r="C322" s="313"/>
      <c r="D322" s="132" t="s">
        <v>163</v>
      </c>
      <c r="E322" s="132" t="s">
        <v>82</v>
      </c>
      <c r="F322" s="132"/>
      <c r="G322" s="132"/>
      <c r="H322" s="132" t="s">
        <v>46</v>
      </c>
      <c r="I322" s="133">
        <v>278</v>
      </c>
      <c r="J322" s="134">
        <v>2050000</v>
      </c>
      <c r="K322" s="134">
        <v>2050000</v>
      </c>
      <c r="L322" s="189">
        <v>2616536</v>
      </c>
      <c r="M322" s="189">
        <v>2616536</v>
      </c>
      <c r="N322" s="66">
        <f t="shared" si="57"/>
        <v>4666536</v>
      </c>
      <c r="O322" s="66">
        <f t="shared" si="58"/>
        <v>4666536</v>
      </c>
      <c r="P322" s="170" t="s">
        <v>311</v>
      </c>
      <c r="Q322" s="171">
        <v>2050000</v>
      </c>
      <c r="R322" s="171">
        <v>2050000</v>
      </c>
      <c r="S322" s="171">
        <v>2038296</v>
      </c>
      <c r="T322" s="171">
        <v>2038296</v>
      </c>
      <c r="U322" s="157">
        <f t="shared" si="53"/>
        <v>0</v>
      </c>
      <c r="V322" s="157">
        <f t="shared" si="54"/>
        <v>0</v>
      </c>
      <c r="W322" s="157">
        <f t="shared" si="55"/>
        <v>578240</v>
      </c>
      <c r="X322" s="157">
        <f t="shared" si="56"/>
        <v>578240</v>
      </c>
      <c r="Z322" s="218"/>
      <c r="AA322" s="253"/>
      <c r="AB322" s="288"/>
      <c r="AC322" s="289"/>
      <c r="AD322" s="289"/>
      <c r="AE322" s="291"/>
      <c r="AF322" s="189"/>
      <c r="AI322" s="240">
        <f t="shared" si="50"/>
        <v>4666536</v>
      </c>
    </row>
    <row r="323" spans="2:35" s="84" customFormat="1" ht="38.25" customHeight="1">
      <c r="B323" s="83"/>
      <c r="C323" s="313"/>
      <c r="D323" s="132" t="s">
        <v>161</v>
      </c>
      <c r="E323" s="132" t="s">
        <v>163</v>
      </c>
      <c r="F323" s="132"/>
      <c r="G323" s="132"/>
      <c r="H323" s="132"/>
      <c r="I323" s="133">
        <v>65</v>
      </c>
      <c r="J323" s="134">
        <v>1050000</v>
      </c>
      <c r="K323" s="134">
        <v>1050000</v>
      </c>
      <c r="L323" s="189">
        <v>611780</v>
      </c>
      <c r="M323" s="189">
        <v>611780</v>
      </c>
      <c r="N323" s="66">
        <f t="shared" si="57"/>
        <v>1661780</v>
      </c>
      <c r="O323" s="66">
        <f t="shared" si="58"/>
        <v>1661780</v>
      </c>
      <c r="P323" s="170" t="s">
        <v>226</v>
      </c>
      <c r="Q323" s="171">
        <v>1050000</v>
      </c>
      <c r="R323" s="171">
        <v>1050000</v>
      </c>
      <c r="S323" s="171">
        <v>476580</v>
      </c>
      <c r="T323" s="171">
        <v>476580</v>
      </c>
      <c r="U323" s="157">
        <f t="shared" si="53"/>
        <v>0</v>
      </c>
      <c r="V323" s="157">
        <f t="shared" si="54"/>
        <v>0</v>
      </c>
      <c r="W323" s="157">
        <f t="shared" si="55"/>
        <v>135200</v>
      </c>
      <c r="X323" s="157">
        <f t="shared" si="56"/>
        <v>135200</v>
      </c>
      <c r="Z323" s="218"/>
      <c r="AA323" s="253"/>
      <c r="AB323" s="288"/>
      <c r="AC323" s="289"/>
      <c r="AD323" s="289"/>
      <c r="AE323" s="291"/>
      <c r="AF323" s="189"/>
      <c r="AI323" s="240">
        <f t="shared" si="50"/>
        <v>1661780</v>
      </c>
    </row>
    <row r="324" spans="2:35" s="84" customFormat="1" ht="38.25" customHeight="1">
      <c r="B324" s="83"/>
      <c r="C324" s="313"/>
      <c r="D324" s="132" t="s">
        <v>163</v>
      </c>
      <c r="E324" s="132" t="s">
        <v>81</v>
      </c>
      <c r="F324" s="132"/>
      <c r="G324" s="132"/>
      <c r="H324" s="132" t="s">
        <v>46</v>
      </c>
      <c r="I324" s="133">
        <v>302</v>
      </c>
      <c r="J324" s="134">
        <v>2150000</v>
      </c>
      <c r="K324" s="134">
        <v>2150000</v>
      </c>
      <c r="L324" s="189">
        <v>2842424</v>
      </c>
      <c r="M324" s="189">
        <v>2842424</v>
      </c>
      <c r="N324" s="66">
        <f t="shared" si="57"/>
        <v>4992424</v>
      </c>
      <c r="O324" s="66">
        <f t="shared" si="58"/>
        <v>4992424</v>
      </c>
      <c r="P324" s="170" t="s">
        <v>312</v>
      </c>
      <c r="Q324" s="171">
        <v>2150000</v>
      </c>
      <c r="R324" s="171">
        <v>2150000</v>
      </c>
      <c r="S324" s="171">
        <v>2214264</v>
      </c>
      <c r="T324" s="171">
        <v>2214264</v>
      </c>
      <c r="U324" s="157">
        <f t="shared" si="53"/>
        <v>0</v>
      </c>
      <c r="V324" s="157">
        <f t="shared" si="54"/>
        <v>0</v>
      </c>
      <c r="W324" s="157">
        <f t="shared" si="55"/>
        <v>628160</v>
      </c>
      <c r="X324" s="157">
        <f t="shared" si="56"/>
        <v>628160</v>
      </c>
      <c r="Z324" s="218"/>
      <c r="AA324" s="253"/>
      <c r="AB324" s="288"/>
      <c r="AC324" s="289"/>
      <c r="AD324" s="289"/>
      <c r="AE324" s="291"/>
      <c r="AF324" s="189"/>
      <c r="AI324" s="240">
        <f t="shared" si="50"/>
        <v>4992424</v>
      </c>
    </row>
    <row r="325" spans="2:35" s="84" customFormat="1" ht="38.25" customHeight="1">
      <c r="B325" s="83"/>
      <c r="C325" s="313"/>
      <c r="D325" s="132" t="s">
        <v>161</v>
      </c>
      <c r="E325" s="132" t="s">
        <v>163</v>
      </c>
      <c r="F325" s="132"/>
      <c r="G325" s="132"/>
      <c r="H325" s="132"/>
      <c r="I325" s="133">
        <v>65</v>
      </c>
      <c r="J325" s="134">
        <v>1050000</v>
      </c>
      <c r="K325" s="134">
        <v>1050000</v>
      </c>
      <c r="L325" s="189">
        <v>611780</v>
      </c>
      <c r="M325" s="189">
        <v>611780</v>
      </c>
      <c r="N325" s="66">
        <f t="shared" si="57"/>
        <v>1661780</v>
      </c>
      <c r="O325" s="66">
        <f t="shared" si="58"/>
        <v>1661780</v>
      </c>
      <c r="P325" s="170" t="s">
        <v>226</v>
      </c>
      <c r="Q325" s="171">
        <v>1050000</v>
      </c>
      <c r="R325" s="171">
        <v>1050000</v>
      </c>
      <c r="S325" s="171">
        <v>476580</v>
      </c>
      <c r="T325" s="171">
        <v>476580</v>
      </c>
      <c r="U325" s="157">
        <f t="shared" si="53"/>
        <v>0</v>
      </c>
      <c r="V325" s="157">
        <f t="shared" si="54"/>
        <v>0</v>
      </c>
      <c r="W325" s="157">
        <f t="shared" si="55"/>
        <v>135200</v>
      </c>
      <c r="X325" s="157">
        <f t="shared" si="56"/>
        <v>135200</v>
      </c>
      <c r="Z325" s="218"/>
      <c r="AA325" s="253"/>
      <c r="AB325" s="288"/>
      <c r="AC325" s="289"/>
      <c r="AD325" s="289"/>
      <c r="AE325" s="291"/>
      <c r="AF325" s="189"/>
      <c r="AI325" s="240">
        <f t="shared" si="50"/>
        <v>1661780</v>
      </c>
    </row>
    <row r="326" spans="2:35" s="84" customFormat="1" ht="38.25" customHeight="1">
      <c r="B326" s="83"/>
      <c r="C326" s="313"/>
      <c r="D326" s="132" t="s">
        <v>163</v>
      </c>
      <c r="E326" s="132" t="s">
        <v>83</v>
      </c>
      <c r="F326" s="132"/>
      <c r="G326" s="132"/>
      <c r="H326" s="132" t="s">
        <v>46</v>
      </c>
      <c r="I326" s="133">
        <v>311</v>
      </c>
      <c r="J326" s="134">
        <v>2150000</v>
      </c>
      <c r="K326" s="134">
        <v>2150000</v>
      </c>
      <c r="L326" s="189">
        <v>2927132</v>
      </c>
      <c r="M326" s="189">
        <v>2927132</v>
      </c>
      <c r="N326" s="66">
        <f t="shared" si="57"/>
        <v>5077132</v>
      </c>
      <c r="O326" s="66">
        <f t="shared" si="58"/>
        <v>5077132</v>
      </c>
      <c r="P326" s="170" t="s">
        <v>313</v>
      </c>
      <c r="Q326" s="171">
        <v>2150000</v>
      </c>
      <c r="R326" s="171">
        <v>2150000</v>
      </c>
      <c r="S326" s="171">
        <v>2280252</v>
      </c>
      <c r="T326" s="171">
        <v>2280252</v>
      </c>
      <c r="U326" s="157">
        <f t="shared" si="53"/>
        <v>0</v>
      </c>
      <c r="V326" s="157">
        <f t="shared" si="54"/>
        <v>0</v>
      </c>
      <c r="W326" s="157">
        <f t="shared" si="55"/>
        <v>646880</v>
      </c>
      <c r="X326" s="157">
        <f t="shared" si="56"/>
        <v>646880</v>
      </c>
      <c r="Z326" s="218"/>
      <c r="AA326" s="253"/>
      <c r="AB326" s="288"/>
      <c r="AC326" s="289"/>
      <c r="AD326" s="289"/>
      <c r="AE326" s="291"/>
      <c r="AF326" s="189"/>
      <c r="AI326" s="240">
        <f t="shared" si="50"/>
        <v>5077132</v>
      </c>
    </row>
    <row r="327" spans="2:35" s="84" customFormat="1" ht="38.25" customHeight="1">
      <c r="B327" s="83"/>
      <c r="C327" s="313"/>
      <c r="D327" s="132" t="s">
        <v>161</v>
      </c>
      <c r="E327" s="132" t="s">
        <v>164</v>
      </c>
      <c r="F327" s="132"/>
      <c r="G327" s="132"/>
      <c r="H327" s="132"/>
      <c r="I327" s="133">
        <v>20</v>
      </c>
      <c r="J327" s="134">
        <v>950000</v>
      </c>
      <c r="K327" s="134">
        <v>950000</v>
      </c>
      <c r="L327" s="189">
        <v>188240</v>
      </c>
      <c r="M327" s="189">
        <v>188240</v>
      </c>
      <c r="N327" s="66">
        <f t="shared" si="57"/>
        <v>1138240</v>
      </c>
      <c r="O327" s="66">
        <f t="shared" si="58"/>
        <v>1138240</v>
      </c>
      <c r="P327" s="170" t="s">
        <v>230</v>
      </c>
      <c r="Q327" s="171">
        <v>950000</v>
      </c>
      <c r="R327" s="171">
        <v>950000</v>
      </c>
      <c r="S327" s="171">
        <v>146640</v>
      </c>
      <c r="T327" s="171">
        <v>146640</v>
      </c>
      <c r="U327" s="157">
        <f t="shared" si="53"/>
        <v>0</v>
      </c>
      <c r="V327" s="157">
        <f t="shared" si="54"/>
        <v>0</v>
      </c>
      <c r="W327" s="157">
        <f t="shared" si="55"/>
        <v>41600</v>
      </c>
      <c r="X327" s="157">
        <f t="shared" si="56"/>
        <v>41600</v>
      </c>
      <c r="Z327" s="218"/>
      <c r="AA327" s="253"/>
      <c r="AB327" s="288"/>
      <c r="AC327" s="289"/>
      <c r="AD327" s="289"/>
      <c r="AE327" s="291"/>
      <c r="AF327" s="189"/>
      <c r="AI327" s="240">
        <f t="shared" si="50"/>
        <v>1138240</v>
      </c>
    </row>
    <row r="328" spans="2:35" s="84" customFormat="1" ht="38.25" customHeight="1">
      <c r="B328" s="83"/>
      <c r="C328" s="313"/>
      <c r="D328" s="132" t="s">
        <v>164</v>
      </c>
      <c r="E328" s="132" t="s">
        <v>82</v>
      </c>
      <c r="F328" s="132"/>
      <c r="G328" s="132"/>
      <c r="H328" s="132" t="s">
        <v>46</v>
      </c>
      <c r="I328" s="133">
        <v>313</v>
      </c>
      <c r="J328" s="134">
        <v>2150000</v>
      </c>
      <c r="K328" s="134">
        <v>2150000</v>
      </c>
      <c r="L328" s="189">
        <v>2945956</v>
      </c>
      <c r="M328" s="189">
        <v>2945956</v>
      </c>
      <c r="N328" s="66">
        <f t="shared" si="57"/>
        <v>5095956</v>
      </c>
      <c r="O328" s="66">
        <f t="shared" si="58"/>
        <v>5095956</v>
      </c>
      <c r="P328" s="170" t="s">
        <v>314</v>
      </c>
      <c r="Q328" s="171">
        <v>2150000</v>
      </c>
      <c r="R328" s="171">
        <v>2150000</v>
      </c>
      <c r="S328" s="171">
        <v>2294916</v>
      </c>
      <c r="T328" s="171">
        <v>2294916</v>
      </c>
      <c r="U328" s="157">
        <f t="shared" si="53"/>
        <v>0</v>
      </c>
      <c r="V328" s="157">
        <f t="shared" si="54"/>
        <v>0</v>
      </c>
      <c r="W328" s="157">
        <f t="shared" si="55"/>
        <v>651040</v>
      </c>
      <c r="X328" s="157">
        <f t="shared" si="56"/>
        <v>651040</v>
      </c>
      <c r="Z328" s="218"/>
      <c r="AA328" s="253"/>
      <c r="AB328" s="288"/>
      <c r="AC328" s="289"/>
      <c r="AD328" s="289"/>
      <c r="AE328" s="291"/>
      <c r="AF328" s="189"/>
      <c r="AI328" s="240">
        <f t="shared" si="50"/>
        <v>5095956</v>
      </c>
    </row>
    <row r="329" spans="2:35" s="84" customFormat="1" ht="38.25" customHeight="1">
      <c r="B329" s="83"/>
      <c r="C329" s="313"/>
      <c r="D329" s="132" t="s">
        <v>161</v>
      </c>
      <c r="E329" s="132" t="s">
        <v>164</v>
      </c>
      <c r="F329" s="132"/>
      <c r="G329" s="132"/>
      <c r="H329" s="132"/>
      <c r="I329" s="133">
        <v>20</v>
      </c>
      <c r="J329" s="134">
        <v>950000</v>
      </c>
      <c r="K329" s="134">
        <v>950000</v>
      </c>
      <c r="L329" s="189">
        <v>188240</v>
      </c>
      <c r="M329" s="189">
        <v>188240</v>
      </c>
      <c r="N329" s="66">
        <f t="shared" si="57"/>
        <v>1138240</v>
      </c>
      <c r="O329" s="66">
        <f t="shared" si="58"/>
        <v>1138240</v>
      </c>
      <c r="P329" s="170" t="s">
        <v>230</v>
      </c>
      <c r="Q329" s="171">
        <v>950000</v>
      </c>
      <c r="R329" s="171">
        <v>950000</v>
      </c>
      <c r="S329" s="171">
        <v>146640</v>
      </c>
      <c r="T329" s="171">
        <v>146640</v>
      </c>
      <c r="U329" s="157">
        <f t="shared" si="53"/>
        <v>0</v>
      </c>
      <c r="V329" s="157">
        <f t="shared" si="54"/>
        <v>0</v>
      </c>
      <c r="W329" s="157">
        <f t="shared" si="55"/>
        <v>41600</v>
      </c>
      <c r="X329" s="157">
        <f t="shared" si="56"/>
        <v>41600</v>
      </c>
      <c r="Z329" s="218"/>
      <c r="AA329" s="253"/>
      <c r="AB329" s="288"/>
      <c r="AC329" s="289"/>
      <c r="AD329" s="289"/>
      <c r="AE329" s="291"/>
      <c r="AF329" s="189"/>
      <c r="AI329" s="240">
        <f t="shared" si="50"/>
        <v>1138240</v>
      </c>
    </row>
    <row r="330" spans="2:35" s="84" customFormat="1" ht="38.25" customHeight="1">
      <c r="B330" s="83"/>
      <c r="C330" s="313"/>
      <c r="D330" s="132" t="s">
        <v>164</v>
      </c>
      <c r="E330" s="132" t="s">
        <v>81</v>
      </c>
      <c r="F330" s="132"/>
      <c r="G330" s="132"/>
      <c r="H330" s="132" t="s">
        <v>46</v>
      </c>
      <c r="I330" s="133">
        <v>267</v>
      </c>
      <c r="J330" s="134">
        <v>2050000</v>
      </c>
      <c r="K330" s="134">
        <v>2050000</v>
      </c>
      <c r="L330" s="189">
        <v>2513004</v>
      </c>
      <c r="M330" s="189">
        <v>2513004</v>
      </c>
      <c r="N330" s="66">
        <f t="shared" si="57"/>
        <v>4563004</v>
      </c>
      <c r="O330" s="66">
        <f t="shared" si="58"/>
        <v>4563004</v>
      </c>
      <c r="P330" s="170" t="s">
        <v>315</v>
      </c>
      <c r="Q330" s="171">
        <v>2050000</v>
      </c>
      <c r="R330" s="171">
        <v>2050000</v>
      </c>
      <c r="S330" s="171">
        <v>1957644</v>
      </c>
      <c r="T330" s="171">
        <v>1957644</v>
      </c>
      <c r="U330" s="157">
        <f t="shared" si="53"/>
        <v>0</v>
      </c>
      <c r="V330" s="157">
        <f t="shared" si="54"/>
        <v>0</v>
      </c>
      <c r="W330" s="157">
        <f t="shared" si="55"/>
        <v>555360</v>
      </c>
      <c r="X330" s="157">
        <f t="shared" si="56"/>
        <v>555360</v>
      </c>
      <c r="Z330" s="218"/>
      <c r="AA330" s="253"/>
      <c r="AB330" s="288"/>
      <c r="AC330" s="289"/>
      <c r="AD330" s="289"/>
      <c r="AE330" s="291"/>
      <c r="AF330" s="189"/>
      <c r="AI330" s="240">
        <f t="shared" si="50"/>
        <v>4563004</v>
      </c>
    </row>
    <row r="331" spans="2:35" s="84" customFormat="1" ht="38.25" customHeight="1">
      <c r="B331" s="83"/>
      <c r="C331" s="313"/>
      <c r="D331" s="132" t="s">
        <v>161</v>
      </c>
      <c r="E331" s="132" t="s">
        <v>164</v>
      </c>
      <c r="F331" s="132"/>
      <c r="G331" s="132"/>
      <c r="H331" s="132"/>
      <c r="I331" s="133">
        <v>20</v>
      </c>
      <c r="J331" s="134">
        <v>950000</v>
      </c>
      <c r="K331" s="134">
        <v>950000</v>
      </c>
      <c r="L331" s="189">
        <v>188240</v>
      </c>
      <c r="M331" s="189">
        <v>188240</v>
      </c>
      <c r="N331" s="66">
        <f t="shared" si="57"/>
        <v>1138240</v>
      </c>
      <c r="O331" s="66">
        <f t="shared" si="58"/>
        <v>1138240</v>
      </c>
      <c r="P331" s="170" t="s">
        <v>230</v>
      </c>
      <c r="Q331" s="171">
        <v>950000</v>
      </c>
      <c r="R331" s="171">
        <v>950000</v>
      </c>
      <c r="S331" s="171">
        <v>146640</v>
      </c>
      <c r="T331" s="171">
        <v>146640</v>
      </c>
      <c r="U331" s="157">
        <f t="shared" si="53"/>
        <v>0</v>
      </c>
      <c r="V331" s="157">
        <f t="shared" si="54"/>
        <v>0</v>
      </c>
      <c r="W331" s="157">
        <f t="shared" si="55"/>
        <v>41600</v>
      </c>
      <c r="X331" s="157">
        <f t="shared" si="56"/>
        <v>41600</v>
      </c>
      <c r="Z331" s="218"/>
      <c r="AA331" s="253"/>
      <c r="AB331" s="288"/>
      <c r="AC331" s="289"/>
      <c r="AD331" s="289"/>
      <c r="AE331" s="291"/>
      <c r="AF331" s="189"/>
      <c r="AI331" s="240">
        <f t="shared" si="50"/>
        <v>1138240</v>
      </c>
    </row>
    <row r="332" spans="2:35" s="84" customFormat="1" ht="38.25" customHeight="1">
      <c r="B332" s="83"/>
      <c r="C332" s="313"/>
      <c r="D332" s="132" t="s">
        <v>164</v>
      </c>
      <c r="E332" s="132" t="s">
        <v>83</v>
      </c>
      <c r="F332" s="132"/>
      <c r="G332" s="132"/>
      <c r="H332" s="132" t="s">
        <v>46</v>
      </c>
      <c r="I332" s="133">
        <v>276</v>
      </c>
      <c r="J332" s="134">
        <v>2050000</v>
      </c>
      <c r="K332" s="134">
        <v>2050000</v>
      </c>
      <c r="L332" s="189">
        <v>2597712</v>
      </c>
      <c r="M332" s="189">
        <v>2597712</v>
      </c>
      <c r="N332" s="66">
        <f t="shared" si="57"/>
        <v>4647712</v>
      </c>
      <c r="O332" s="66">
        <f t="shared" si="58"/>
        <v>4647712</v>
      </c>
      <c r="P332" s="170" t="s">
        <v>316</v>
      </c>
      <c r="Q332" s="171">
        <v>2050000</v>
      </c>
      <c r="R332" s="171">
        <v>2050000</v>
      </c>
      <c r="S332" s="171">
        <v>2023632</v>
      </c>
      <c r="T332" s="171">
        <v>2023632</v>
      </c>
      <c r="U332" s="157">
        <f t="shared" si="53"/>
        <v>0</v>
      </c>
      <c r="V332" s="157">
        <f t="shared" si="54"/>
        <v>0</v>
      </c>
      <c r="W332" s="157">
        <f t="shared" si="55"/>
        <v>574080</v>
      </c>
      <c r="X332" s="157">
        <f t="shared" si="56"/>
        <v>574080</v>
      </c>
      <c r="Z332" s="218"/>
      <c r="AA332" s="253"/>
      <c r="AB332" s="288"/>
      <c r="AC332" s="289"/>
      <c r="AD332" s="289"/>
      <c r="AE332" s="291"/>
      <c r="AF332" s="189"/>
      <c r="AI332" s="240">
        <f t="shared" si="50"/>
        <v>4647712</v>
      </c>
    </row>
    <row r="333" spans="2:35" s="84" customFormat="1" ht="38.25" customHeight="1">
      <c r="B333" s="83"/>
      <c r="C333" s="313"/>
      <c r="D333" s="132" t="s">
        <v>161</v>
      </c>
      <c r="E333" s="132" t="s">
        <v>165</v>
      </c>
      <c r="F333" s="132"/>
      <c r="G333" s="132"/>
      <c r="H333" s="132"/>
      <c r="I333" s="133">
        <v>30</v>
      </c>
      <c r="J333" s="134">
        <v>950000</v>
      </c>
      <c r="K333" s="134">
        <v>950000</v>
      </c>
      <c r="L333" s="189">
        <v>282360</v>
      </c>
      <c r="M333" s="189">
        <v>282360</v>
      </c>
      <c r="N333" s="66">
        <f t="shared" si="57"/>
        <v>1232360</v>
      </c>
      <c r="O333" s="66">
        <f t="shared" si="58"/>
        <v>1232360</v>
      </c>
      <c r="P333" s="170" t="s">
        <v>234</v>
      </c>
      <c r="Q333" s="171">
        <v>950000</v>
      </c>
      <c r="R333" s="171">
        <v>950000</v>
      </c>
      <c r="S333" s="171">
        <v>219960</v>
      </c>
      <c r="T333" s="171">
        <v>219960</v>
      </c>
      <c r="U333" s="157">
        <f t="shared" si="53"/>
        <v>0</v>
      </c>
      <c r="V333" s="157">
        <f t="shared" si="54"/>
        <v>0</v>
      </c>
      <c r="W333" s="157">
        <f t="shared" si="55"/>
        <v>62400</v>
      </c>
      <c r="X333" s="157">
        <f t="shared" si="56"/>
        <v>62400</v>
      </c>
      <c r="Z333" s="218"/>
      <c r="AA333" s="253"/>
      <c r="AB333" s="288"/>
      <c r="AC333" s="289"/>
      <c r="AD333" s="289"/>
      <c r="AE333" s="291"/>
      <c r="AF333" s="189"/>
      <c r="AI333" s="240">
        <f t="shared" si="50"/>
        <v>1232360</v>
      </c>
    </row>
    <row r="334" spans="2:35" s="84" customFormat="1" ht="38.25" customHeight="1">
      <c r="B334" s="83"/>
      <c r="C334" s="313"/>
      <c r="D334" s="132" t="s">
        <v>165</v>
      </c>
      <c r="E334" s="132" t="s">
        <v>82</v>
      </c>
      <c r="F334" s="132"/>
      <c r="G334" s="132"/>
      <c r="H334" s="132" t="s">
        <v>46</v>
      </c>
      <c r="I334" s="133">
        <v>333</v>
      </c>
      <c r="J334" s="134">
        <v>2250000</v>
      </c>
      <c r="K334" s="134">
        <v>2250000</v>
      </c>
      <c r="L334" s="189">
        <v>3134196</v>
      </c>
      <c r="M334" s="189">
        <v>3134196</v>
      </c>
      <c r="N334" s="66">
        <f t="shared" si="57"/>
        <v>5384196</v>
      </c>
      <c r="O334" s="66">
        <f t="shared" si="58"/>
        <v>5384196</v>
      </c>
      <c r="P334" s="170" t="s">
        <v>317</v>
      </c>
      <c r="Q334" s="171">
        <v>2250000</v>
      </c>
      <c r="R334" s="171">
        <v>2250000</v>
      </c>
      <c r="S334" s="171">
        <v>2441556</v>
      </c>
      <c r="T334" s="171">
        <v>2441556</v>
      </c>
      <c r="U334" s="157">
        <f t="shared" si="53"/>
        <v>0</v>
      </c>
      <c r="V334" s="157">
        <f t="shared" si="54"/>
        <v>0</v>
      </c>
      <c r="W334" s="157">
        <f t="shared" si="55"/>
        <v>692640</v>
      </c>
      <c r="X334" s="157">
        <f t="shared" si="56"/>
        <v>692640</v>
      </c>
      <c r="Z334" s="218"/>
      <c r="AA334" s="253"/>
      <c r="AB334" s="288"/>
      <c r="AC334" s="289"/>
      <c r="AD334" s="289"/>
      <c r="AE334" s="291"/>
      <c r="AF334" s="189"/>
      <c r="AI334" s="240">
        <f t="shared" si="50"/>
        <v>5384196</v>
      </c>
    </row>
    <row r="335" spans="2:35" s="84" customFormat="1" ht="38.25" customHeight="1">
      <c r="B335" s="83"/>
      <c r="C335" s="313"/>
      <c r="D335" s="132" t="s">
        <v>161</v>
      </c>
      <c r="E335" s="132" t="s">
        <v>165</v>
      </c>
      <c r="F335" s="132"/>
      <c r="G335" s="132"/>
      <c r="H335" s="132"/>
      <c r="I335" s="133">
        <v>30</v>
      </c>
      <c r="J335" s="134">
        <v>950000</v>
      </c>
      <c r="K335" s="134">
        <v>950000</v>
      </c>
      <c r="L335" s="189">
        <v>282360</v>
      </c>
      <c r="M335" s="189">
        <v>282360</v>
      </c>
      <c r="N335" s="66">
        <f t="shared" si="57"/>
        <v>1232360</v>
      </c>
      <c r="O335" s="66">
        <f t="shared" si="58"/>
        <v>1232360</v>
      </c>
      <c r="P335" s="170" t="s">
        <v>234</v>
      </c>
      <c r="Q335" s="171">
        <v>950000</v>
      </c>
      <c r="R335" s="171">
        <v>950000</v>
      </c>
      <c r="S335" s="171">
        <v>219960</v>
      </c>
      <c r="T335" s="171">
        <v>219960</v>
      </c>
      <c r="U335" s="157">
        <f t="shared" si="53"/>
        <v>0</v>
      </c>
      <c r="V335" s="157">
        <f t="shared" si="54"/>
        <v>0</v>
      </c>
      <c r="W335" s="157">
        <f t="shared" si="55"/>
        <v>62400</v>
      </c>
      <c r="X335" s="157">
        <f t="shared" si="56"/>
        <v>62400</v>
      </c>
      <c r="Z335" s="218"/>
      <c r="AA335" s="253"/>
      <c r="AB335" s="288"/>
      <c r="AC335" s="289"/>
      <c r="AD335" s="289"/>
      <c r="AE335" s="291"/>
      <c r="AF335" s="189"/>
      <c r="AI335" s="240">
        <f t="shared" si="50"/>
        <v>1232360</v>
      </c>
    </row>
    <row r="336" spans="2:35" s="84" customFormat="1" ht="38.25" customHeight="1">
      <c r="B336" s="83"/>
      <c r="C336" s="313"/>
      <c r="D336" s="132" t="s">
        <v>165</v>
      </c>
      <c r="E336" s="132" t="s">
        <v>81</v>
      </c>
      <c r="F336" s="132"/>
      <c r="G336" s="132"/>
      <c r="H336" s="132" t="s">
        <v>46</v>
      </c>
      <c r="I336" s="133">
        <v>287</v>
      </c>
      <c r="J336" s="134">
        <v>2150000</v>
      </c>
      <c r="K336" s="134">
        <v>2150000</v>
      </c>
      <c r="L336" s="189">
        <v>2701244</v>
      </c>
      <c r="M336" s="189">
        <v>2701244</v>
      </c>
      <c r="N336" s="66">
        <f t="shared" si="57"/>
        <v>4851244</v>
      </c>
      <c r="O336" s="66">
        <f t="shared" si="58"/>
        <v>4851244</v>
      </c>
      <c r="P336" s="170" t="s">
        <v>318</v>
      </c>
      <c r="Q336" s="171">
        <v>2150000</v>
      </c>
      <c r="R336" s="171">
        <v>2150000</v>
      </c>
      <c r="S336" s="171">
        <v>2104284</v>
      </c>
      <c r="T336" s="171">
        <v>2104284</v>
      </c>
      <c r="U336" s="157">
        <f t="shared" si="53"/>
        <v>0</v>
      </c>
      <c r="V336" s="157">
        <f t="shared" si="54"/>
        <v>0</v>
      </c>
      <c r="W336" s="157">
        <f t="shared" si="55"/>
        <v>596960</v>
      </c>
      <c r="X336" s="157">
        <f t="shared" si="56"/>
        <v>596960</v>
      </c>
      <c r="Z336" s="218"/>
      <c r="AA336" s="253"/>
      <c r="AB336" s="288"/>
      <c r="AC336" s="289"/>
      <c r="AD336" s="289"/>
      <c r="AE336" s="291"/>
      <c r="AF336" s="189"/>
      <c r="AI336" s="240">
        <f t="shared" si="50"/>
        <v>4851244</v>
      </c>
    </row>
    <row r="337" spans="2:35" s="84" customFormat="1" ht="38.25" customHeight="1">
      <c r="B337" s="83"/>
      <c r="C337" s="313"/>
      <c r="D337" s="132" t="s">
        <v>161</v>
      </c>
      <c r="E337" s="132" t="s">
        <v>165</v>
      </c>
      <c r="F337" s="132"/>
      <c r="G337" s="132"/>
      <c r="H337" s="132"/>
      <c r="I337" s="133">
        <v>30</v>
      </c>
      <c r="J337" s="134">
        <v>950000</v>
      </c>
      <c r="K337" s="134">
        <v>950000</v>
      </c>
      <c r="L337" s="189">
        <v>282360</v>
      </c>
      <c r="M337" s="189">
        <v>282360</v>
      </c>
      <c r="N337" s="66">
        <f t="shared" si="57"/>
        <v>1232360</v>
      </c>
      <c r="O337" s="66">
        <f t="shared" si="58"/>
        <v>1232360</v>
      </c>
      <c r="P337" s="170" t="s">
        <v>234</v>
      </c>
      <c r="Q337" s="171">
        <v>950000</v>
      </c>
      <c r="R337" s="171">
        <v>950000</v>
      </c>
      <c r="S337" s="171">
        <v>219960</v>
      </c>
      <c r="T337" s="171">
        <v>219960</v>
      </c>
      <c r="U337" s="157">
        <f t="shared" si="53"/>
        <v>0</v>
      </c>
      <c r="V337" s="157">
        <f t="shared" si="54"/>
        <v>0</v>
      </c>
      <c r="W337" s="157">
        <f t="shared" si="55"/>
        <v>62400</v>
      </c>
      <c r="X337" s="157">
        <f t="shared" si="56"/>
        <v>62400</v>
      </c>
      <c r="Z337" s="218"/>
      <c r="AA337" s="253"/>
      <c r="AB337" s="288"/>
      <c r="AC337" s="289"/>
      <c r="AD337" s="289"/>
      <c r="AE337" s="291"/>
      <c r="AF337" s="189"/>
      <c r="AI337" s="240">
        <f t="shared" ref="AI337:AI400" si="59">O337</f>
        <v>1232360</v>
      </c>
    </row>
    <row r="338" spans="2:35" s="84" customFormat="1" ht="38.25" customHeight="1">
      <c r="B338" s="83"/>
      <c r="C338" s="313"/>
      <c r="D338" s="132" t="s">
        <v>165</v>
      </c>
      <c r="E338" s="132" t="s">
        <v>83</v>
      </c>
      <c r="F338" s="132"/>
      <c r="G338" s="132"/>
      <c r="H338" s="132" t="s">
        <v>46</v>
      </c>
      <c r="I338" s="133">
        <v>256</v>
      </c>
      <c r="J338" s="134">
        <v>2150000</v>
      </c>
      <c r="K338" s="134">
        <v>2150000</v>
      </c>
      <c r="L338" s="189">
        <v>2409472</v>
      </c>
      <c r="M338" s="189">
        <v>2409472</v>
      </c>
      <c r="N338" s="66">
        <f t="shared" si="57"/>
        <v>4559472</v>
      </c>
      <c r="O338" s="66">
        <f t="shared" si="58"/>
        <v>4559472</v>
      </c>
      <c r="P338" s="170" t="s">
        <v>319</v>
      </c>
      <c r="Q338" s="171">
        <v>2150000</v>
      </c>
      <c r="R338" s="171">
        <v>2150000</v>
      </c>
      <c r="S338" s="171">
        <v>1876992</v>
      </c>
      <c r="T338" s="171">
        <v>1876992</v>
      </c>
      <c r="U338" s="157">
        <f t="shared" si="53"/>
        <v>0</v>
      </c>
      <c r="V338" s="157">
        <f t="shared" si="54"/>
        <v>0</v>
      </c>
      <c r="W338" s="157">
        <f t="shared" si="55"/>
        <v>532480</v>
      </c>
      <c r="X338" s="157">
        <f t="shared" si="56"/>
        <v>532480</v>
      </c>
      <c r="Z338" s="218"/>
      <c r="AA338" s="253"/>
      <c r="AB338" s="288"/>
      <c r="AC338" s="289"/>
      <c r="AD338" s="289"/>
      <c r="AE338" s="291"/>
      <c r="AF338" s="189"/>
      <c r="AI338" s="240">
        <f t="shared" si="59"/>
        <v>4559472</v>
      </c>
    </row>
    <row r="339" spans="2:35" s="84" customFormat="1" ht="38.25" customHeight="1">
      <c r="B339" s="83"/>
      <c r="C339" s="313"/>
      <c r="D339" s="132" t="s">
        <v>162</v>
      </c>
      <c r="E339" s="132" t="s">
        <v>166</v>
      </c>
      <c r="F339" s="132"/>
      <c r="G339" s="132"/>
      <c r="H339" s="132"/>
      <c r="I339" s="133">
        <v>55</v>
      </c>
      <c r="J339" s="134">
        <v>1400000</v>
      </c>
      <c r="K339" s="134">
        <v>1400000</v>
      </c>
      <c r="L339" s="189">
        <v>517660</v>
      </c>
      <c r="M339" s="189">
        <v>517660</v>
      </c>
      <c r="N339" s="66">
        <f t="shared" si="57"/>
        <v>1917660</v>
      </c>
      <c r="O339" s="66">
        <f t="shared" si="58"/>
        <v>1917660</v>
      </c>
      <c r="P339" s="170" t="s">
        <v>238</v>
      </c>
      <c r="Q339" s="171">
        <v>1400000</v>
      </c>
      <c r="R339" s="171">
        <v>1400000</v>
      </c>
      <c r="S339" s="171">
        <v>403260</v>
      </c>
      <c r="T339" s="171">
        <v>403260</v>
      </c>
      <c r="U339" s="157">
        <f t="shared" si="53"/>
        <v>0</v>
      </c>
      <c r="V339" s="157">
        <f t="shared" si="54"/>
        <v>0</v>
      </c>
      <c r="W339" s="157">
        <f t="shared" si="55"/>
        <v>114400</v>
      </c>
      <c r="X339" s="157">
        <f t="shared" si="56"/>
        <v>114400</v>
      </c>
      <c r="Z339" s="218"/>
      <c r="AA339" s="253"/>
      <c r="AB339" s="288"/>
      <c r="AC339" s="289"/>
      <c r="AD339" s="289"/>
      <c r="AE339" s="291"/>
      <c r="AF339" s="189"/>
      <c r="AI339" s="240">
        <f t="shared" si="59"/>
        <v>1917660</v>
      </c>
    </row>
    <row r="340" spans="2:35" s="84" customFormat="1" ht="38.25" customHeight="1">
      <c r="B340" s="83"/>
      <c r="C340" s="313"/>
      <c r="D340" s="132" t="s">
        <v>166</v>
      </c>
      <c r="E340" s="132" t="s">
        <v>82</v>
      </c>
      <c r="F340" s="132"/>
      <c r="G340" s="132"/>
      <c r="H340" s="132" t="s">
        <v>46</v>
      </c>
      <c r="I340" s="133">
        <v>278</v>
      </c>
      <c r="J340" s="134">
        <v>2050000</v>
      </c>
      <c r="K340" s="134">
        <v>2050000</v>
      </c>
      <c r="L340" s="189">
        <v>2616536</v>
      </c>
      <c r="M340" s="189">
        <v>2616536</v>
      </c>
      <c r="N340" s="66">
        <f t="shared" si="57"/>
        <v>4666536</v>
      </c>
      <c r="O340" s="66">
        <f t="shared" si="58"/>
        <v>4666536</v>
      </c>
      <c r="P340" s="170" t="s">
        <v>320</v>
      </c>
      <c r="Q340" s="171">
        <v>2050000</v>
      </c>
      <c r="R340" s="171">
        <v>2050000</v>
      </c>
      <c r="S340" s="171">
        <v>2038296</v>
      </c>
      <c r="T340" s="171">
        <v>2038296</v>
      </c>
      <c r="U340" s="157">
        <f t="shared" si="53"/>
        <v>0</v>
      </c>
      <c r="V340" s="157">
        <f t="shared" si="54"/>
        <v>0</v>
      </c>
      <c r="W340" s="157">
        <f t="shared" si="55"/>
        <v>578240</v>
      </c>
      <c r="X340" s="157">
        <f t="shared" si="56"/>
        <v>578240</v>
      </c>
      <c r="Z340" s="218"/>
      <c r="AA340" s="253"/>
      <c r="AB340" s="288"/>
      <c r="AC340" s="289"/>
      <c r="AD340" s="289"/>
      <c r="AE340" s="291"/>
      <c r="AF340" s="189"/>
      <c r="AI340" s="240">
        <f t="shared" si="59"/>
        <v>4666536</v>
      </c>
    </row>
    <row r="341" spans="2:35" s="84" customFormat="1" ht="38.25" customHeight="1">
      <c r="B341" s="83"/>
      <c r="C341" s="313"/>
      <c r="D341" s="132" t="s">
        <v>162</v>
      </c>
      <c r="E341" s="132" t="s">
        <v>166</v>
      </c>
      <c r="F341" s="132"/>
      <c r="G341" s="132"/>
      <c r="H341" s="132"/>
      <c r="I341" s="133">
        <v>55</v>
      </c>
      <c r="J341" s="134">
        <v>1400000</v>
      </c>
      <c r="K341" s="134">
        <v>1400000</v>
      </c>
      <c r="L341" s="189">
        <v>517660</v>
      </c>
      <c r="M341" s="189">
        <v>517660</v>
      </c>
      <c r="N341" s="66">
        <f t="shared" si="57"/>
        <v>1917660</v>
      </c>
      <c r="O341" s="66">
        <f t="shared" si="58"/>
        <v>1917660</v>
      </c>
      <c r="P341" s="170" t="s">
        <v>238</v>
      </c>
      <c r="Q341" s="171">
        <v>1400000</v>
      </c>
      <c r="R341" s="171">
        <v>1400000</v>
      </c>
      <c r="S341" s="171">
        <v>403260</v>
      </c>
      <c r="T341" s="171">
        <v>403260</v>
      </c>
      <c r="U341" s="157">
        <f t="shared" si="53"/>
        <v>0</v>
      </c>
      <c r="V341" s="157">
        <f t="shared" si="54"/>
        <v>0</v>
      </c>
      <c r="W341" s="157">
        <f t="shared" si="55"/>
        <v>114400</v>
      </c>
      <c r="X341" s="157">
        <f t="shared" si="56"/>
        <v>114400</v>
      </c>
      <c r="Z341" s="218"/>
      <c r="AA341" s="253"/>
      <c r="AB341" s="288"/>
      <c r="AC341" s="289"/>
      <c r="AD341" s="289"/>
      <c r="AE341" s="291"/>
      <c r="AF341" s="189"/>
      <c r="AI341" s="240">
        <f t="shared" si="59"/>
        <v>1917660</v>
      </c>
    </row>
    <row r="342" spans="2:35" s="84" customFormat="1" ht="38.25" customHeight="1">
      <c r="B342" s="83"/>
      <c r="C342" s="313"/>
      <c r="D342" s="132" t="s">
        <v>166</v>
      </c>
      <c r="E342" s="132" t="s">
        <v>81</v>
      </c>
      <c r="F342" s="132"/>
      <c r="G342" s="132"/>
      <c r="H342" s="132" t="s">
        <v>46</v>
      </c>
      <c r="I342" s="133">
        <v>302</v>
      </c>
      <c r="J342" s="134">
        <v>2150000</v>
      </c>
      <c r="K342" s="134">
        <v>2150000</v>
      </c>
      <c r="L342" s="189">
        <v>2842424</v>
      </c>
      <c r="M342" s="189">
        <v>2842424</v>
      </c>
      <c r="N342" s="66">
        <f t="shared" si="57"/>
        <v>4992424</v>
      </c>
      <c r="O342" s="66">
        <f t="shared" si="58"/>
        <v>4992424</v>
      </c>
      <c r="P342" s="170" t="s">
        <v>321</v>
      </c>
      <c r="Q342" s="171">
        <v>2150000</v>
      </c>
      <c r="R342" s="171">
        <v>2150000</v>
      </c>
      <c r="S342" s="171">
        <v>2214264</v>
      </c>
      <c r="T342" s="171">
        <v>2214264</v>
      </c>
      <c r="U342" s="157">
        <f t="shared" si="53"/>
        <v>0</v>
      </c>
      <c r="V342" s="157">
        <f t="shared" si="54"/>
        <v>0</v>
      </c>
      <c r="W342" s="157">
        <f t="shared" si="55"/>
        <v>628160</v>
      </c>
      <c r="X342" s="157">
        <f t="shared" si="56"/>
        <v>628160</v>
      </c>
      <c r="Z342" s="218"/>
      <c r="AA342" s="253"/>
      <c r="AB342" s="288"/>
      <c r="AC342" s="289"/>
      <c r="AD342" s="289"/>
      <c r="AE342" s="291"/>
      <c r="AF342" s="189"/>
      <c r="AI342" s="240">
        <f t="shared" si="59"/>
        <v>4992424</v>
      </c>
    </row>
    <row r="343" spans="2:35" s="84" customFormat="1" ht="38.25" customHeight="1">
      <c r="B343" s="83"/>
      <c r="C343" s="313"/>
      <c r="D343" s="132" t="s">
        <v>162</v>
      </c>
      <c r="E343" s="132" t="s">
        <v>166</v>
      </c>
      <c r="F343" s="132"/>
      <c r="G343" s="132"/>
      <c r="H343" s="132"/>
      <c r="I343" s="133">
        <v>55</v>
      </c>
      <c r="J343" s="134">
        <v>1400000</v>
      </c>
      <c r="K343" s="134">
        <v>1400000</v>
      </c>
      <c r="L343" s="189">
        <v>517660</v>
      </c>
      <c r="M343" s="189">
        <v>517660</v>
      </c>
      <c r="N343" s="66">
        <f t="shared" si="57"/>
        <v>1917660</v>
      </c>
      <c r="O343" s="66">
        <f t="shared" si="58"/>
        <v>1917660</v>
      </c>
      <c r="P343" s="170" t="s">
        <v>238</v>
      </c>
      <c r="Q343" s="171">
        <v>1400000</v>
      </c>
      <c r="R343" s="171">
        <v>1400000</v>
      </c>
      <c r="S343" s="171">
        <v>403260</v>
      </c>
      <c r="T343" s="171">
        <v>403260</v>
      </c>
      <c r="U343" s="157">
        <f t="shared" si="53"/>
        <v>0</v>
      </c>
      <c r="V343" s="157">
        <f t="shared" si="54"/>
        <v>0</v>
      </c>
      <c r="W343" s="157">
        <f t="shared" si="55"/>
        <v>114400</v>
      </c>
      <c r="X343" s="157">
        <f t="shared" si="56"/>
        <v>114400</v>
      </c>
      <c r="Z343" s="218"/>
      <c r="AA343" s="253"/>
      <c r="AB343" s="288"/>
      <c r="AC343" s="289"/>
      <c r="AD343" s="289"/>
      <c r="AE343" s="291"/>
      <c r="AF343" s="189"/>
      <c r="AI343" s="240">
        <f t="shared" si="59"/>
        <v>1917660</v>
      </c>
    </row>
    <row r="344" spans="2:35" s="84" customFormat="1" ht="38.25" customHeight="1">
      <c r="B344" s="83"/>
      <c r="C344" s="313"/>
      <c r="D344" s="132" t="s">
        <v>166</v>
      </c>
      <c r="E344" s="132" t="s">
        <v>83</v>
      </c>
      <c r="F344" s="132"/>
      <c r="G344" s="132"/>
      <c r="H344" s="132" t="s">
        <v>46</v>
      </c>
      <c r="I344" s="133">
        <v>311</v>
      </c>
      <c r="J344" s="134">
        <v>2150000</v>
      </c>
      <c r="K344" s="134">
        <v>2150000</v>
      </c>
      <c r="L344" s="189">
        <v>2927132</v>
      </c>
      <c r="M344" s="189">
        <v>2927132</v>
      </c>
      <c r="N344" s="66">
        <f t="shared" si="57"/>
        <v>5077132</v>
      </c>
      <c r="O344" s="66">
        <f t="shared" si="58"/>
        <v>5077132</v>
      </c>
      <c r="P344" s="170" t="s">
        <v>322</v>
      </c>
      <c r="Q344" s="171">
        <v>2150000</v>
      </c>
      <c r="R344" s="171">
        <v>2150000</v>
      </c>
      <c r="S344" s="171">
        <v>2280252</v>
      </c>
      <c r="T344" s="171">
        <v>2280252</v>
      </c>
      <c r="U344" s="157">
        <f t="shared" si="53"/>
        <v>0</v>
      </c>
      <c r="V344" s="157">
        <f t="shared" si="54"/>
        <v>0</v>
      </c>
      <c r="W344" s="157">
        <f t="shared" si="55"/>
        <v>646880</v>
      </c>
      <c r="X344" s="157">
        <f t="shared" si="56"/>
        <v>646880</v>
      </c>
      <c r="Z344" s="218"/>
      <c r="AA344" s="253"/>
      <c r="AB344" s="288"/>
      <c r="AC344" s="289"/>
      <c r="AD344" s="289"/>
      <c r="AE344" s="291"/>
      <c r="AF344" s="189"/>
      <c r="AI344" s="240">
        <f t="shared" si="59"/>
        <v>5077132</v>
      </c>
    </row>
    <row r="345" spans="2:35" s="84" customFormat="1" ht="38.25" customHeight="1">
      <c r="B345" s="83"/>
      <c r="C345" s="313"/>
      <c r="D345" s="132" t="s">
        <v>162</v>
      </c>
      <c r="E345" s="132" t="s">
        <v>167</v>
      </c>
      <c r="F345" s="132"/>
      <c r="G345" s="132"/>
      <c r="H345" s="132"/>
      <c r="I345" s="133">
        <v>15</v>
      </c>
      <c r="J345" s="134">
        <v>900000</v>
      </c>
      <c r="K345" s="134">
        <v>900000</v>
      </c>
      <c r="L345" s="189">
        <v>141180</v>
      </c>
      <c r="M345" s="189">
        <v>141180</v>
      </c>
      <c r="N345" s="66">
        <f t="shared" si="57"/>
        <v>1041180</v>
      </c>
      <c r="O345" s="66">
        <f t="shared" si="58"/>
        <v>1041180</v>
      </c>
      <c r="P345" s="170" t="s">
        <v>242</v>
      </c>
      <c r="Q345" s="171">
        <v>900000</v>
      </c>
      <c r="R345" s="171">
        <v>900000</v>
      </c>
      <c r="S345" s="171">
        <v>109980</v>
      </c>
      <c r="T345" s="171">
        <v>109980</v>
      </c>
      <c r="U345" s="157">
        <f t="shared" si="53"/>
        <v>0</v>
      </c>
      <c r="V345" s="157">
        <f t="shared" si="54"/>
        <v>0</v>
      </c>
      <c r="W345" s="157">
        <f t="shared" si="55"/>
        <v>31200</v>
      </c>
      <c r="X345" s="157">
        <f t="shared" si="56"/>
        <v>31200</v>
      </c>
      <c r="Z345" s="218"/>
      <c r="AA345" s="253"/>
      <c r="AB345" s="288"/>
      <c r="AC345" s="289"/>
      <c r="AD345" s="289"/>
      <c r="AE345" s="291"/>
      <c r="AF345" s="189"/>
      <c r="AI345" s="240">
        <f t="shared" si="59"/>
        <v>1041180</v>
      </c>
    </row>
    <row r="346" spans="2:35" s="84" customFormat="1" ht="38.25" customHeight="1">
      <c r="B346" s="83"/>
      <c r="C346" s="313"/>
      <c r="D346" s="132" t="s">
        <v>167</v>
      </c>
      <c r="E346" s="132" t="s">
        <v>82</v>
      </c>
      <c r="F346" s="132"/>
      <c r="G346" s="132"/>
      <c r="H346" s="132" t="s">
        <v>46</v>
      </c>
      <c r="I346" s="133">
        <v>313</v>
      </c>
      <c r="J346" s="134">
        <v>2150000</v>
      </c>
      <c r="K346" s="134">
        <v>2150000</v>
      </c>
      <c r="L346" s="189">
        <v>2945956</v>
      </c>
      <c r="M346" s="189">
        <v>2945956</v>
      </c>
      <c r="N346" s="66">
        <f t="shared" si="57"/>
        <v>5095956</v>
      </c>
      <c r="O346" s="66">
        <f t="shared" si="58"/>
        <v>5095956</v>
      </c>
      <c r="P346" s="170" t="s">
        <v>323</v>
      </c>
      <c r="Q346" s="171">
        <v>2150000</v>
      </c>
      <c r="R346" s="171">
        <v>2150000</v>
      </c>
      <c r="S346" s="171">
        <v>2294916</v>
      </c>
      <c r="T346" s="171">
        <v>2294916</v>
      </c>
      <c r="U346" s="157">
        <f t="shared" si="53"/>
        <v>0</v>
      </c>
      <c r="V346" s="157">
        <f t="shared" si="54"/>
        <v>0</v>
      </c>
      <c r="W346" s="157">
        <f t="shared" si="55"/>
        <v>651040</v>
      </c>
      <c r="X346" s="157">
        <f t="shared" si="56"/>
        <v>651040</v>
      </c>
      <c r="Z346" s="218"/>
      <c r="AA346" s="253"/>
      <c r="AB346" s="288"/>
      <c r="AC346" s="289"/>
      <c r="AD346" s="289"/>
      <c r="AE346" s="291"/>
      <c r="AF346" s="189"/>
      <c r="AI346" s="240">
        <f t="shared" si="59"/>
        <v>5095956</v>
      </c>
    </row>
    <row r="347" spans="2:35" s="84" customFormat="1" ht="38.25" customHeight="1">
      <c r="B347" s="83"/>
      <c r="C347" s="313"/>
      <c r="D347" s="132" t="s">
        <v>162</v>
      </c>
      <c r="E347" s="132" t="s">
        <v>167</v>
      </c>
      <c r="F347" s="132"/>
      <c r="G347" s="132"/>
      <c r="H347" s="132"/>
      <c r="I347" s="133">
        <v>15</v>
      </c>
      <c r="J347" s="134">
        <v>900000</v>
      </c>
      <c r="K347" s="134">
        <v>900000</v>
      </c>
      <c r="L347" s="189">
        <v>141180</v>
      </c>
      <c r="M347" s="189">
        <v>141180</v>
      </c>
      <c r="N347" s="66">
        <f t="shared" si="57"/>
        <v>1041180</v>
      </c>
      <c r="O347" s="66">
        <f t="shared" si="58"/>
        <v>1041180</v>
      </c>
      <c r="P347" s="170" t="s">
        <v>242</v>
      </c>
      <c r="Q347" s="171">
        <v>900000</v>
      </c>
      <c r="R347" s="171">
        <v>900000</v>
      </c>
      <c r="S347" s="171">
        <v>109980</v>
      </c>
      <c r="T347" s="171">
        <v>109980</v>
      </c>
      <c r="U347" s="157">
        <f t="shared" si="53"/>
        <v>0</v>
      </c>
      <c r="V347" s="157">
        <f t="shared" si="54"/>
        <v>0</v>
      </c>
      <c r="W347" s="157">
        <f t="shared" si="55"/>
        <v>31200</v>
      </c>
      <c r="X347" s="157">
        <f t="shared" si="56"/>
        <v>31200</v>
      </c>
      <c r="Z347" s="218"/>
      <c r="AA347" s="253"/>
      <c r="AB347" s="288"/>
      <c r="AC347" s="289"/>
      <c r="AD347" s="289"/>
      <c r="AE347" s="291"/>
      <c r="AF347" s="189"/>
      <c r="AI347" s="240">
        <f t="shared" si="59"/>
        <v>1041180</v>
      </c>
    </row>
    <row r="348" spans="2:35" s="84" customFormat="1" ht="38.25" customHeight="1">
      <c r="B348" s="83"/>
      <c r="C348" s="313"/>
      <c r="D348" s="132" t="s">
        <v>167</v>
      </c>
      <c r="E348" s="132" t="s">
        <v>81</v>
      </c>
      <c r="F348" s="132"/>
      <c r="G348" s="132"/>
      <c r="H348" s="132" t="s">
        <v>46</v>
      </c>
      <c r="I348" s="133">
        <v>267</v>
      </c>
      <c r="J348" s="134">
        <v>2050000</v>
      </c>
      <c r="K348" s="134">
        <v>2050000</v>
      </c>
      <c r="L348" s="189">
        <v>2513004</v>
      </c>
      <c r="M348" s="189">
        <v>2513004</v>
      </c>
      <c r="N348" s="66">
        <f t="shared" si="57"/>
        <v>4563004</v>
      </c>
      <c r="O348" s="66">
        <f t="shared" si="58"/>
        <v>4563004</v>
      </c>
      <c r="P348" s="170" t="s">
        <v>324</v>
      </c>
      <c r="Q348" s="171">
        <v>2050000</v>
      </c>
      <c r="R348" s="171">
        <v>2050000</v>
      </c>
      <c r="S348" s="171">
        <v>1957644</v>
      </c>
      <c r="T348" s="171">
        <v>1957644</v>
      </c>
      <c r="U348" s="157">
        <f t="shared" si="53"/>
        <v>0</v>
      </c>
      <c r="V348" s="157">
        <f t="shared" si="54"/>
        <v>0</v>
      </c>
      <c r="W348" s="157">
        <f t="shared" si="55"/>
        <v>555360</v>
      </c>
      <c r="X348" s="157">
        <f t="shared" si="56"/>
        <v>555360</v>
      </c>
      <c r="Z348" s="218"/>
      <c r="AA348" s="253"/>
      <c r="AB348" s="288"/>
      <c r="AC348" s="289"/>
      <c r="AD348" s="289"/>
      <c r="AE348" s="291"/>
      <c r="AF348" s="189"/>
      <c r="AI348" s="240">
        <f t="shared" si="59"/>
        <v>4563004</v>
      </c>
    </row>
    <row r="349" spans="2:35" s="84" customFormat="1" ht="38.25" customHeight="1">
      <c r="B349" s="83"/>
      <c r="C349" s="313"/>
      <c r="D349" s="132" t="s">
        <v>162</v>
      </c>
      <c r="E349" s="132" t="s">
        <v>167</v>
      </c>
      <c r="F349" s="132"/>
      <c r="G349" s="132"/>
      <c r="H349" s="132"/>
      <c r="I349" s="133">
        <v>15</v>
      </c>
      <c r="J349" s="134">
        <v>900000</v>
      </c>
      <c r="K349" s="134">
        <v>900000</v>
      </c>
      <c r="L349" s="189">
        <v>141180</v>
      </c>
      <c r="M349" s="189">
        <v>141180</v>
      </c>
      <c r="N349" s="66">
        <f t="shared" si="57"/>
        <v>1041180</v>
      </c>
      <c r="O349" s="66">
        <f t="shared" si="58"/>
        <v>1041180</v>
      </c>
      <c r="P349" s="170" t="s">
        <v>242</v>
      </c>
      <c r="Q349" s="171">
        <v>900000</v>
      </c>
      <c r="R349" s="171">
        <v>900000</v>
      </c>
      <c r="S349" s="171">
        <v>109980</v>
      </c>
      <c r="T349" s="171">
        <v>109980</v>
      </c>
      <c r="U349" s="157">
        <f t="shared" si="53"/>
        <v>0</v>
      </c>
      <c r="V349" s="157">
        <f t="shared" si="54"/>
        <v>0</v>
      </c>
      <c r="W349" s="157">
        <f t="shared" si="55"/>
        <v>31200</v>
      </c>
      <c r="X349" s="157">
        <f t="shared" si="56"/>
        <v>31200</v>
      </c>
      <c r="Z349" s="218"/>
      <c r="AA349" s="253"/>
      <c r="AB349" s="288"/>
      <c r="AC349" s="289"/>
      <c r="AD349" s="289"/>
      <c r="AE349" s="291"/>
      <c r="AF349" s="189"/>
      <c r="AI349" s="240">
        <f t="shared" si="59"/>
        <v>1041180</v>
      </c>
    </row>
    <row r="350" spans="2:35" s="84" customFormat="1" ht="38.25" customHeight="1">
      <c r="B350" s="83"/>
      <c r="C350" s="313"/>
      <c r="D350" s="132" t="s">
        <v>167</v>
      </c>
      <c r="E350" s="132" t="s">
        <v>83</v>
      </c>
      <c r="F350" s="132"/>
      <c r="G350" s="132"/>
      <c r="H350" s="132" t="s">
        <v>46</v>
      </c>
      <c r="I350" s="133">
        <v>276</v>
      </c>
      <c r="J350" s="134">
        <v>2050000</v>
      </c>
      <c r="K350" s="134">
        <v>2050000</v>
      </c>
      <c r="L350" s="189">
        <v>2597712</v>
      </c>
      <c r="M350" s="189">
        <v>2597712</v>
      </c>
      <c r="N350" s="66">
        <f t="shared" si="57"/>
        <v>4647712</v>
      </c>
      <c r="O350" s="66">
        <f t="shared" si="58"/>
        <v>4647712</v>
      </c>
      <c r="P350" s="170" t="s">
        <v>325</v>
      </c>
      <c r="Q350" s="171">
        <v>2050000</v>
      </c>
      <c r="R350" s="171">
        <v>2050000</v>
      </c>
      <c r="S350" s="171">
        <v>2023632</v>
      </c>
      <c r="T350" s="171">
        <v>2023632</v>
      </c>
      <c r="U350" s="157">
        <f t="shared" si="53"/>
        <v>0</v>
      </c>
      <c r="V350" s="157">
        <f t="shared" si="54"/>
        <v>0</v>
      </c>
      <c r="W350" s="157">
        <f t="shared" si="55"/>
        <v>574080</v>
      </c>
      <c r="X350" s="157">
        <f t="shared" si="56"/>
        <v>574080</v>
      </c>
      <c r="Z350" s="218"/>
      <c r="AA350" s="253"/>
      <c r="AB350" s="288"/>
      <c r="AC350" s="289"/>
      <c r="AD350" s="289"/>
      <c r="AE350" s="291"/>
      <c r="AF350" s="189"/>
      <c r="AI350" s="240">
        <f t="shared" si="59"/>
        <v>4647712</v>
      </c>
    </row>
    <row r="351" spans="2:35" s="84" customFormat="1" ht="38.25" customHeight="1">
      <c r="B351" s="83"/>
      <c r="C351" s="313"/>
      <c r="D351" s="132" t="s">
        <v>162</v>
      </c>
      <c r="E351" s="132" t="s">
        <v>168</v>
      </c>
      <c r="F351" s="132"/>
      <c r="G351" s="132"/>
      <c r="H351" s="132"/>
      <c r="I351" s="133">
        <v>14</v>
      </c>
      <c r="J351" s="134">
        <v>900000</v>
      </c>
      <c r="K351" s="134">
        <v>900000</v>
      </c>
      <c r="L351" s="189">
        <v>131768</v>
      </c>
      <c r="M351" s="189">
        <v>131768</v>
      </c>
      <c r="N351" s="66">
        <f t="shared" si="57"/>
        <v>1031768</v>
      </c>
      <c r="O351" s="66">
        <f t="shared" si="58"/>
        <v>1031768</v>
      </c>
      <c r="P351" s="170" t="s">
        <v>246</v>
      </c>
      <c r="Q351" s="171">
        <v>900000</v>
      </c>
      <c r="R351" s="171">
        <v>900000</v>
      </c>
      <c r="S351" s="171">
        <v>102648</v>
      </c>
      <c r="T351" s="171">
        <v>102648</v>
      </c>
      <c r="U351" s="157">
        <f t="shared" si="53"/>
        <v>0</v>
      </c>
      <c r="V351" s="157">
        <f t="shared" si="54"/>
        <v>0</v>
      </c>
      <c r="W351" s="157">
        <f t="shared" si="55"/>
        <v>29120</v>
      </c>
      <c r="X351" s="157">
        <f t="shared" si="56"/>
        <v>29120</v>
      </c>
      <c r="Z351" s="218"/>
      <c r="AA351" s="253"/>
      <c r="AB351" s="288"/>
      <c r="AC351" s="289"/>
      <c r="AD351" s="289"/>
      <c r="AE351" s="291"/>
      <c r="AF351" s="189"/>
      <c r="AI351" s="240">
        <f t="shared" si="59"/>
        <v>1031768</v>
      </c>
    </row>
    <row r="352" spans="2:35" s="84" customFormat="1" ht="38.25" customHeight="1">
      <c r="B352" s="83"/>
      <c r="C352" s="313"/>
      <c r="D352" s="132" t="s">
        <v>168</v>
      </c>
      <c r="E352" s="132" t="s">
        <v>82</v>
      </c>
      <c r="F352" s="132"/>
      <c r="G352" s="132"/>
      <c r="H352" s="132" t="s">
        <v>46</v>
      </c>
      <c r="I352" s="133">
        <v>333</v>
      </c>
      <c r="J352" s="134">
        <v>2250000</v>
      </c>
      <c r="K352" s="134">
        <v>2250000</v>
      </c>
      <c r="L352" s="189">
        <v>3134196</v>
      </c>
      <c r="M352" s="189">
        <v>3134196</v>
      </c>
      <c r="N352" s="66">
        <f t="shared" si="57"/>
        <v>5384196</v>
      </c>
      <c r="O352" s="66">
        <f t="shared" si="58"/>
        <v>5384196</v>
      </c>
      <c r="P352" s="170" t="s">
        <v>326</v>
      </c>
      <c r="Q352" s="171">
        <v>2250000</v>
      </c>
      <c r="R352" s="171">
        <v>2250000</v>
      </c>
      <c r="S352" s="171">
        <v>2441556</v>
      </c>
      <c r="T352" s="171">
        <v>2441556</v>
      </c>
      <c r="U352" s="157">
        <f t="shared" si="53"/>
        <v>0</v>
      </c>
      <c r="V352" s="157">
        <f t="shared" si="54"/>
        <v>0</v>
      </c>
      <c r="W352" s="157">
        <f t="shared" si="55"/>
        <v>692640</v>
      </c>
      <c r="X352" s="157">
        <f t="shared" si="56"/>
        <v>692640</v>
      </c>
      <c r="Z352" s="218"/>
      <c r="AA352" s="253"/>
      <c r="AB352" s="288"/>
      <c r="AC352" s="289"/>
      <c r="AD352" s="289"/>
      <c r="AE352" s="291"/>
      <c r="AF352" s="189"/>
      <c r="AI352" s="240">
        <f t="shared" si="59"/>
        <v>5384196</v>
      </c>
    </row>
    <row r="353" spans="2:35" s="84" customFormat="1" ht="38.25" customHeight="1">
      <c r="B353" s="83"/>
      <c r="C353" s="313"/>
      <c r="D353" s="132" t="s">
        <v>162</v>
      </c>
      <c r="E353" s="132" t="s">
        <v>168</v>
      </c>
      <c r="F353" s="132"/>
      <c r="G353" s="132"/>
      <c r="H353" s="132"/>
      <c r="I353" s="133">
        <v>14</v>
      </c>
      <c r="J353" s="134">
        <v>900000</v>
      </c>
      <c r="K353" s="134">
        <v>900000</v>
      </c>
      <c r="L353" s="189">
        <v>131768</v>
      </c>
      <c r="M353" s="189">
        <v>131768</v>
      </c>
      <c r="N353" s="66">
        <f t="shared" si="57"/>
        <v>1031768</v>
      </c>
      <c r="O353" s="66">
        <f t="shared" si="58"/>
        <v>1031768</v>
      </c>
      <c r="P353" s="170" t="s">
        <v>246</v>
      </c>
      <c r="Q353" s="171">
        <v>900000</v>
      </c>
      <c r="R353" s="171">
        <v>900000</v>
      </c>
      <c r="S353" s="171">
        <v>102648</v>
      </c>
      <c r="T353" s="171">
        <v>102648</v>
      </c>
      <c r="U353" s="157">
        <f t="shared" si="53"/>
        <v>0</v>
      </c>
      <c r="V353" s="157">
        <f t="shared" si="54"/>
        <v>0</v>
      </c>
      <c r="W353" s="157">
        <f t="shared" si="55"/>
        <v>29120</v>
      </c>
      <c r="X353" s="157">
        <f t="shared" si="56"/>
        <v>29120</v>
      </c>
      <c r="Z353" s="218"/>
      <c r="AA353" s="253"/>
      <c r="AB353" s="288"/>
      <c r="AC353" s="289"/>
      <c r="AD353" s="289"/>
      <c r="AE353" s="291"/>
      <c r="AF353" s="189"/>
      <c r="AI353" s="240">
        <f t="shared" si="59"/>
        <v>1031768</v>
      </c>
    </row>
    <row r="354" spans="2:35" s="84" customFormat="1" ht="38.25" customHeight="1">
      <c r="B354" s="83"/>
      <c r="C354" s="313"/>
      <c r="D354" s="132" t="s">
        <v>168</v>
      </c>
      <c r="E354" s="132" t="s">
        <v>81</v>
      </c>
      <c r="F354" s="132"/>
      <c r="G354" s="132"/>
      <c r="H354" s="132" t="s">
        <v>46</v>
      </c>
      <c r="I354" s="133">
        <v>287</v>
      </c>
      <c r="J354" s="134">
        <v>2150000</v>
      </c>
      <c r="K354" s="134">
        <v>2150000</v>
      </c>
      <c r="L354" s="189">
        <v>2701244</v>
      </c>
      <c r="M354" s="189">
        <v>2701244</v>
      </c>
      <c r="N354" s="66">
        <f t="shared" si="57"/>
        <v>4851244</v>
      </c>
      <c r="O354" s="66">
        <f t="shared" si="58"/>
        <v>4851244</v>
      </c>
      <c r="P354" s="170" t="s">
        <v>327</v>
      </c>
      <c r="Q354" s="171">
        <v>2150000</v>
      </c>
      <c r="R354" s="171">
        <v>2150000</v>
      </c>
      <c r="S354" s="171">
        <v>2104284</v>
      </c>
      <c r="T354" s="171">
        <v>2104284</v>
      </c>
      <c r="U354" s="157">
        <f t="shared" si="53"/>
        <v>0</v>
      </c>
      <c r="V354" s="157">
        <f t="shared" si="54"/>
        <v>0</v>
      </c>
      <c r="W354" s="157">
        <f t="shared" si="55"/>
        <v>596960</v>
      </c>
      <c r="X354" s="157">
        <f t="shared" si="56"/>
        <v>596960</v>
      </c>
      <c r="Z354" s="218"/>
      <c r="AA354" s="253"/>
      <c r="AB354" s="288"/>
      <c r="AC354" s="289"/>
      <c r="AD354" s="289"/>
      <c r="AE354" s="291"/>
      <c r="AF354" s="189"/>
      <c r="AI354" s="240">
        <f t="shared" si="59"/>
        <v>4851244</v>
      </c>
    </row>
    <row r="355" spans="2:35" s="84" customFormat="1" ht="38.25" customHeight="1">
      <c r="B355" s="83"/>
      <c r="C355" s="313"/>
      <c r="D355" s="132" t="s">
        <v>162</v>
      </c>
      <c r="E355" s="132" t="s">
        <v>168</v>
      </c>
      <c r="F355" s="132"/>
      <c r="G355" s="132"/>
      <c r="H355" s="132"/>
      <c r="I355" s="133">
        <v>14</v>
      </c>
      <c r="J355" s="134">
        <v>900000</v>
      </c>
      <c r="K355" s="134">
        <v>900000</v>
      </c>
      <c r="L355" s="189">
        <v>131768</v>
      </c>
      <c r="M355" s="189">
        <v>131768</v>
      </c>
      <c r="N355" s="66">
        <f t="shared" si="57"/>
        <v>1031768</v>
      </c>
      <c r="O355" s="66">
        <f t="shared" si="58"/>
        <v>1031768</v>
      </c>
      <c r="P355" s="170" t="s">
        <v>246</v>
      </c>
      <c r="Q355" s="171">
        <v>900000</v>
      </c>
      <c r="R355" s="171">
        <v>900000</v>
      </c>
      <c r="S355" s="171">
        <v>102648</v>
      </c>
      <c r="T355" s="171">
        <v>102648</v>
      </c>
      <c r="U355" s="157">
        <f t="shared" si="53"/>
        <v>0</v>
      </c>
      <c r="V355" s="157">
        <f t="shared" si="54"/>
        <v>0</v>
      </c>
      <c r="W355" s="157">
        <f t="shared" si="55"/>
        <v>29120</v>
      </c>
      <c r="X355" s="157">
        <f t="shared" si="56"/>
        <v>29120</v>
      </c>
      <c r="Z355" s="218"/>
      <c r="AA355" s="253"/>
      <c r="AB355" s="288"/>
      <c r="AC355" s="289"/>
      <c r="AD355" s="289"/>
      <c r="AE355" s="291"/>
      <c r="AF355" s="189"/>
      <c r="AI355" s="240">
        <f t="shared" si="59"/>
        <v>1031768</v>
      </c>
    </row>
    <row r="356" spans="2:35" s="84" customFormat="1" ht="38.25" customHeight="1">
      <c r="B356" s="83"/>
      <c r="C356" s="314"/>
      <c r="D356" s="132" t="s">
        <v>168</v>
      </c>
      <c r="E356" s="132" t="s">
        <v>83</v>
      </c>
      <c r="F356" s="132"/>
      <c r="G356" s="132"/>
      <c r="H356" s="132" t="s">
        <v>46</v>
      </c>
      <c r="I356" s="133">
        <v>256</v>
      </c>
      <c r="J356" s="134">
        <v>2150000</v>
      </c>
      <c r="K356" s="134">
        <v>2150000</v>
      </c>
      <c r="L356" s="189">
        <v>2409472</v>
      </c>
      <c r="M356" s="189">
        <v>2409472</v>
      </c>
      <c r="N356" s="66">
        <f t="shared" si="57"/>
        <v>4559472</v>
      </c>
      <c r="O356" s="66">
        <f t="shared" si="58"/>
        <v>4559472</v>
      </c>
      <c r="P356" s="170" t="s">
        <v>328</v>
      </c>
      <c r="Q356" s="171">
        <v>2150000</v>
      </c>
      <c r="R356" s="171">
        <v>2150000</v>
      </c>
      <c r="S356" s="171">
        <v>1876992</v>
      </c>
      <c r="T356" s="171">
        <v>1876992</v>
      </c>
      <c r="U356" s="157">
        <f t="shared" si="53"/>
        <v>0</v>
      </c>
      <c r="V356" s="157">
        <f t="shared" si="54"/>
        <v>0</v>
      </c>
      <c r="W356" s="157">
        <f t="shared" si="55"/>
        <v>532480</v>
      </c>
      <c r="X356" s="157">
        <f t="shared" si="56"/>
        <v>532480</v>
      </c>
      <c r="Z356" s="218"/>
      <c r="AA356" s="253"/>
      <c r="AB356" s="288"/>
      <c r="AC356" s="289"/>
      <c r="AD356" s="289"/>
      <c r="AE356" s="291"/>
      <c r="AF356" s="189"/>
      <c r="AI356" s="240">
        <f t="shared" si="59"/>
        <v>4559472</v>
      </c>
    </row>
    <row r="357" spans="2:35" s="39" customFormat="1" ht="21" customHeight="1">
      <c r="C357" s="68"/>
      <c r="D357" s="69"/>
      <c r="E357" s="69"/>
      <c r="F357" s="69"/>
      <c r="G357" s="69"/>
      <c r="H357" s="69"/>
      <c r="I357" s="69"/>
      <c r="J357" s="70"/>
      <c r="K357" s="70"/>
      <c r="L357" s="191"/>
      <c r="M357" s="191"/>
      <c r="N357" s="71"/>
      <c r="O357" s="71"/>
      <c r="P357" s="170" t="s">
        <v>260</v>
      </c>
      <c r="Q357" s="171"/>
      <c r="R357" s="158"/>
      <c r="S357" s="151"/>
      <c r="T357" s="151"/>
      <c r="U357" s="159"/>
      <c r="V357" s="159"/>
      <c r="W357" s="160"/>
      <c r="X357" s="160"/>
      <c r="Z357" s="218"/>
      <c r="AA357" s="253"/>
      <c r="AB357" s="288"/>
      <c r="AC357" s="289"/>
      <c r="AD357" s="289"/>
      <c r="AE357" s="70"/>
      <c r="AF357" s="191"/>
      <c r="AI357" s="240">
        <f t="shared" si="59"/>
        <v>0</v>
      </c>
    </row>
    <row r="358" spans="2:35" s="39" customFormat="1" ht="6" customHeight="1">
      <c r="L358" s="192"/>
      <c r="M358" s="192"/>
      <c r="P358" s="170" t="s">
        <v>260</v>
      </c>
      <c r="Q358" s="160"/>
      <c r="R358" s="158"/>
      <c r="S358" s="151"/>
      <c r="T358" s="151"/>
      <c r="U358" s="159"/>
      <c r="V358" s="159"/>
      <c r="W358" s="160"/>
      <c r="X358" s="160"/>
      <c r="Z358" s="218"/>
      <c r="AA358" s="253"/>
      <c r="AB358" s="288"/>
      <c r="AC358" s="289"/>
      <c r="AD358" s="289"/>
      <c r="AE358" s="259"/>
      <c r="AF358" s="192"/>
      <c r="AI358" s="240">
        <f t="shared" si="59"/>
        <v>0</v>
      </c>
    </row>
    <row r="359" spans="2:35" s="113" customFormat="1" ht="24.9" customHeight="1">
      <c r="B359" s="112" t="s">
        <v>55</v>
      </c>
      <c r="C359" s="112" t="s">
        <v>68</v>
      </c>
      <c r="D359" s="39"/>
      <c r="E359" s="39"/>
      <c r="L359" s="193"/>
      <c r="M359" s="193"/>
      <c r="P359" s="170" t="s">
        <v>260</v>
      </c>
      <c r="Q359" s="160"/>
      <c r="R359" s="158"/>
      <c r="S359" s="151"/>
      <c r="T359" s="151"/>
      <c r="U359" s="159"/>
      <c r="V359" s="159"/>
      <c r="W359" s="160"/>
      <c r="X359" s="160"/>
      <c r="Z359" s="218"/>
      <c r="AA359" s="253"/>
      <c r="AB359" s="288"/>
      <c r="AC359" s="289"/>
      <c r="AD359" s="289"/>
      <c r="AE359" s="294"/>
      <c r="AF359" s="193"/>
      <c r="AI359" s="240">
        <f t="shared" si="59"/>
        <v>0</v>
      </c>
    </row>
    <row r="360" spans="2:35" s="113" customFormat="1" ht="12.75" customHeight="1">
      <c r="B360" s="112"/>
      <c r="C360" s="112"/>
      <c r="D360" s="39"/>
      <c r="E360" s="39"/>
      <c r="L360" s="193"/>
      <c r="M360" s="193"/>
      <c r="P360" s="170" t="s">
        <v>260</v>
      </c>
      <c r="Q360" s="160"/>
      <c r="R360" s="158"/>
      <c r="S360" s="151"/>
      <c r="T360" s="151"/>
      <c r="U360" s="159"/>
      <c r="V360" s="159"/>
      <c r="W360" s="160"/>
      <c r="X360" s="160"/>
      <c r="Z360" s="218"/>
      <c r="AA360" s="253"/>
      <c r="AB360" s="288"/>
      <c r="AC360" s="289"/>
      <c r="AD360" s="289"/>
      <c r="AE360" s="294"/>
      <c r="AF360" s="193"/>
      <c r="AI360" s="240">
        <f t="shared" si="59"/>
        <v>0</v>
      </c>
    </row>
    <row r="361" spans="2:35" s="39" customFormat="1" ht="35.25" customHeight="1">
      <c r="C361" s="315" t="s">
        <v>40</v>
      </c>
      <c r="D361" s="316" t="s">
        <v>39</v>
      </c>
      <c r="E361" s="317"/>
      <c r="F361" s="317"/>
      <c r="G361" s="317"/>
      <c r="H361" s="318"/>
      <c r="I361" s="319" t="s">
        <v>41</v>
      </c>
      <c r="J361" s="320" t="s">
        <v>69</v>
      </c>
      <c r="K361" s="320"/>
      <c r="L361" s="307" t="s">
        <v>38</v>
      </c>
      <c r="M361" s="308"/>
      <c r="N361" s="311" t="s">
        <v>13</v>
      </c>
      <c r="O361" s="311"/>
      <c r="P361" s="170" t="s">
        <v>39</v>
      </c>
      <c r="Q361" s="166"/>
      <c r="R361" s="158"/>
      <c r="S361" s="151"/>
      <c r="T361" s="151"/>
      <c r="U361" s="159"/>
      <c r="V361" s="159"/>
      <c r="W361" s="160"/>
      <c r="X361" s="160"/>
      <c r="Z361" s="218"/>
      <c r="AA361" s="253"/>
      <c r="AB361" s="288"/>
      <c r="AC361" s="289"/>
      <c r="AD361" s="289"/>
      <c r="AE361" s="307"/>
      <c r="AF361" s="308"/>
      <c r="AI361" s="240">
        <f t="shared" si="59"/>
        <v>0</v>
      </c>
    </row>
    <row r="362" spans="2:35" s="39" customFormat="1" ht="35.25" customHeight="1">
      <c r="C362" s="301"/>
      <c r="D362" s="117" t="s">
        <v>15</v>
      </c>
      <c r="E362" s="117" t="s">
        <v>16</v>
      </c>
      <c r="F362" s="117" t="s">
        <v>16</v>
      </c>
      <c r="G362" s="117" t="s">
        <v>16</v>
      </c>
      <c r="H362" s="117" t="s">
        <v>16</v>
      </c>
      <c r="I362" s="301"/>
      <c r="J362" s="117" t="s">
        <v>35</v>
      </c>
      <c r="K362" s="117" t="s">
        <v>36</v>
      </c>
      <c r="L362" s="190" t="s">
        <v>35</v>
      </c>
      <c r="M362" s="190" t="s">
        <v>36</v>
      </c>
      <c r="N362" s="117" t="s">
        <v>35</v>
      </c>
      <c r="O362" s="117" t="s">
        <v>36</v>
      </c>
      <c r="P362" s="170" t="s">
        <v>250</v>
      </c>
      <c r="Q362" s="166"/>
      <c r="R362" s="158"/>
      <c r="S362" s="151"/>
      <c r="T362" s="151"/>
      <c r="U362" s="159"/>
      <c r="V362" s="159"/>
      <c r="W362" s="160"/>
      <c r="X362" s="160"/>
      <c r="Z362" s="218"/>
      <c r="AA362" s="253"/>
      <c r="AB362" s="288"/>
      <c r="AC362" s="289"/>
      <c r="AD362" s="289"/>
      <c r="AE362" s="293"/>
      <c r="AF362" s="190"/>
      <c r="AI362" s="240" t="str">
        <f t="shared" si="59"/>
        <v>20FT</v>
      </c>
    </row>
    <row r="363" spans="2:35" s="39" customFormat="1" ht="36.75" customHeight="1">
      <c r="C363" s="312" t="s">
        <v>53</v>
      </c>
      <c r="D363" s="64" t="s">
        <v>64</v>
      </c>
      <c r="E363" s="63" t="s">
        <v>82</v>
      </c>
      <c r="F363" s="63"/>
      <c r="G363" s="63"/>
      <c r="H363" s="63" t="s">
        <v>46</v>
      </c>
      <c r="I363" s="63">
        <v>331</v>
      </c>
      <c r="J363" s="65">
        <v>2450000</v>
      </c>
      <c r="K363" s="65">
        <v>2450000</v>
      </c>
      <c r="L363" s="189">
        <v>2725951</v>
      </c>
      <c r="M363" s="189">
        <v>2725951</v>
      </c>
      <c r="N363" s="66">
        <f t="shared" ref="N363" si="60">+J363+L363</f>
        <v>5175951</v>
      </c>
      <c r="O363" s="66">
        <f t="shared" ref="O363" si="61">+K363+M363</f>
        <v>5175951</v>
      </c>
      <c r="P363" s="170" t="s">
        <v>261</v>
      </c>
      <c r="Q363" s="171">
        <v>2450000</v>
      </c>
      <c r="R363" s="171">
        <v>2450000</v>
      </c>
      <c r="S363" s="171">
        <v>2123531</v>
      </c>
      <c r="T363" s="171">
        <v>2123531</v>
      </c>
      <c r="U363" s="157">
        <f t="shared" ref="U363" si="62">J363-Q363</f>
        <v>0</v>
      </c>
      <c r="V363" s="157">
        <f t="shared" ref="V363" si="63">K363-R363</f>
        <v>0</v>
      </c>
      <c r="W363" s="157">
        <f t="shared" ref="W363" si="64">L363-S363</f>
        <v>602420</v>
      </c>
      <c r="X363" s="157">
        <f t="shared" ref="X363" si="65">M363-T363</f>
        <v>602420</v>
      </c>
      <c r="Z363" s="218"/>
      <c r="AA363" s="253"/>
      <c r="AB363" s="288"/>
      <c r="AC363" s="289"/>
      <c r="AD363" s="289"/>
      <c r="AE363" s="291"/>
      <c r="AF363" s="189"/>
      <c r="AH363" s="39" t="s">
        <v>458</v>
      </c>
      <c r="AI363" s="240">
        <f t="shared" si="59"/>
        <v>5175951</v>
      </c>
    </row>
    <row r="364" spans="2:35" s="39" customFormat="1" ht="36.75" customHeight="1">
      <c r="C364" s="313"/>
      <c r="D364" s="64" t="s">
        <v>64</v>
      </c>
      <c r="E364" s="63" t="s">
        <v>81</v>
      </c>
      <c r="F364" s="63"/>
      <c r="G364" s="63"/>
      <c r="H364" s="63" t="s">
        <v>46</v>
      </c>
      <c r="I364" s="63">
        <v>310</v>
      </c>
      <c r="J364" s="65">
        <v>2350000</v>
      </c>
      <c r="K364" s="65">
        <v>2350000</v>
      </c>
      <c r="L364" s="189">
        <v>2553005</v>
      </c>
      <c r="M364" s="189">
        <v>2553005</v>
      </c>
      <c r="N364" s="66">
        <f t="shared" ref="N364:N429" si="66">+J364+L364</f>
        <v>4903005</v>
      </c>
      <c r="O364" s="66">
        <f t="shared" ref="O364:O429" si="67">+K364+M364</f>
        <v>4903005</v>
      </c>
      <c r="P364" s="170" t="s">
        <v>262</v>
      </c>
      <c r="Q364" s="171">
        <v>2350000</v>
      </c>
      <c r="R364" s="171">
        <v>2350000</v>
      </c>
      <c r="S364" s="171">
        <v>1988805</v>
      </c>
      <c r="T364" s="171">
        <v>1988805</v>
      </c>
      <c r="U364" s="157">
        <f t="shared" ref="U364:U429" si="68">J364-Q364</f>
        <v>0</v>
      </c>
      <c r="V364" s="157">
        <f t="shared" ref="V364:V429" si="69">K364-R364</f>
        <v>0</v>
      </c>
      <c r="W364" s="157">
        <f t="shared" ref="W364:W429" si="70">L364-S364</f>
        <v>564200</v>
      </c>
      <c r="X364" s="157">
        <f t="shared" ref="X364:X429" si="71">M364-T364</f>
        <v>564200</v>
      </c>
      <c r="Z364" s="218"/>
      <c r="AA364" s="253"/>
      <c r="AB364" s="288"/>
      <c r="AC364" s="289"/>
      <c r="AD364" s="289"/>
      <c r="AE364" s="291"/>
      <c r="AF364" s="189"/>
      <c r="AH364" s="39" t="s">
        <v>459</v>
      </c>
      <c r="AI364" s="240">
        <f t="shared" si="59"/>
        <v>4903005</v>
      </c>
    </row>
    <row r="365" spans="2:35" s="39" customFormat="1" ht="36.75" customHeight="1">
      <c r="C365" s="313"/>
      <c r="D365" s="81" t="s">
        <v>64</v>
      </c>
      <c r="E365" s="79" t="s">
        <v>83</v>
      </c>
      <c r="F365" s="79"/>
      <c r="G365" s="79"/>
      <c r="H365" s="79" t="s">
        <v>46</v>
      </c>
      <c r="I365" s="79">
        <v>299</v>
      </c>
      <c r="J365" s="80">
        <v>2350000</v>
      </c>
      <c r="K365" s="80">
        <v>2350000</v>
      </c>
      <c r="L365" s="189">
        <v>2462415</v>
      </c>
      <c r="M365" s="189">
        <v>2462415</v>
      </c>
      <c r="N365" s="66">
        <f t="shared" si="66"/>
        <v>4812415</v>
      </c>
      <c r="O365" s="66">
        <f t="shared" si="67"/>
        <v>4812415</v>
      </c>
      <c r="P365" s="170" t="s">
        <v>263</v>
      </c>
      <c r="Q365" s="171">
        <v>2350000</v>
      </c>
      <c r="R365" s="171">
        <v>2350000</v>
      </c>
      <c r="S365" s="171">
        <v>1918235</v>
      </c>
      <c r="T365" s="171">
        <v>1918235</v>
      </c>
      <c r="U365" s="157">
        <f t="shared" si="68"/>
        <v>0</v>
      </c>
      <c r="V365" s="157">
        <f t="shared" si="69"/>
        <v>0</v>
      </c>
      <c r="W365" s="157">
        <f t="shared" si="70"/>
        <v>544180</v>
      </c>
      <c r="X365" s="157">
        <f t="shared" si="71"/>
        <v>544180</v>
      </c>
      <c r="Z365" s="218"/>
      <c r="AA365" s="253"/>
      <c r="AB365" s="288"/>
      <c r="AC365" s="289"/>
      <c r="AD365" s="289"/>
      <c r="AE365" s="291"/>
      <c r="AF365" s="189"/>
      <c r="AH365" s="39" t="s">
        <v>460</v>
      </c>
      <c r="AI365" s="240">
        <f t="shared" si="59"/>
        <v>4812415</v>
      </c>
    </row>
    <row r="366" spans="2:35" s="39" customFormat="1" ht="36.75" customHeight="1">
      <c r="C366" s="313"/>
      <c r="D366" s="64" t="s">
        <v>64</v>
      </c>
      <c r="E366" s="63" t="s">
        <v>82</v>
      </c>
      <c r="F366" s="63" t="s">
        <v>81</v>
      </c>
      <c r="G366" s="63"/>
      <c r="H366" s="63" t="s">
        <v>46</v>
      </c>
      <c r="I366" s="63">
        <v>356</v>
      </c>
      <c r="J366" s="65">
        <v>2850000</v>
      </c>
      <c r="K366" s="65">
        <v>2850000</v>
      </c>
      <c r="L366" s="189">
        <v>2931838</v>
      </c>
      <c r="M366" s="189">
        <v>2931838</v>
      </c>
      <c r="N366" s="66">
        <f t="shared" si="66"/>
        <v>5781838</v>
      </c>
      <c r="O366" s="66">
        <f t="shared" si="67"/>
        <v>5781838</v>
      </c>
      <c r="P366" s="170" t="s">
        <v>264</v>
      </c>
      <c r="Q366" s="171">
        <v>2850000</v>
      </c>
      <c r="R366" s="171">
        <v>2850000</v>
      </c>
      <c r="S366" s="171">
        <v>2283918</v>
      </c>
      <c r="T366" s="171">
        <v>2283918</v>
      </c>
      <c r="U366" s="157">
        <f t="shared" si="68"/>
        <v>0</v>
      </c>
      <c r="V366" s="157">
        <f t="shared" si="69"/>
        <v>0</v>
      </c>
      <c r="W366" s="157">
        <f t="shared" si="70"/>
        <v>647920</v>
      </c>
      <c r="X366" s="157">
        <f t="shared" si="71"/>
        <v>647920</v>
      </c>
      <c r="Z366" s="218"/>
      <c r="AA366" s="253"/>
      <c r="AB366" s="288"/>
      <c r="AC366" s="289"/>
      <c r="AD366" s="289"/>
      <c r="AE366" s="291"/>
      <c r="AF366" s="189"/>
      <c r="AI366" s="240">
        <f t="shared" si="59"/>
        <v>5781838</v>
      </c>
    </row>
    <row r="367" spans="2:35" s="39" customFormat="1" ht="36.75" customHeight="1">
      <c r="C367" s="313"/>
      <c r="D367" s="81" t="s">
        <v>64</v>
      </c>
      <c r="E367" s="79" t="s">
        <v>82</v>
      </c>
      <c r="F367" s="79" t="s">
        <v>83</v>
      </c>
      <c r="G367" s="79"/>
      <c r="H367" s="79" t="s">
        <v>46</v>
      </c>
      <c r="I367" s="79">
        <v>364</v>
      </c>
      <c r="J367" s="80">
        <v>2850000</v>
      </c>
      <c r="K367" s="80">
        <v>2850000</v>
      </c>
      <c r="L367" s="189">
        <v>2997722</v>
      </c>
      <c r="M367" s="189">
        <v>2997722</v>
      </c>
      <c r="N367" s="66">
        <f t="shared" si="66"/>
        <v>5847722</v>
      </c>
      <c r="O367" s="66">
        <f t="shared" si="67"/>
        <v>5847722</v>
      </c>
      <c r="P367" s="170" t="s">
        <v>265</v>
      </c>
      <c r="Q367" s="171">
        <v>2850000</v>
      </c>
      <c r="R367" s="171">
        <v>2850000</v>
      </c>
      <c r="S367" s="171">
        <v>2335242</v>
      </c>
      <c r="T367" s="171">
        <v>2335242</v>
      </c>
      <c r="U367" s="157">
        <f t="shared" si="68"/>
        <v>0</v>
      </c>
      <c r="V367" s="157">
        <f t="shared" si="69"/>
        <v>0</v>
      </c>
      <c r="W367" s="157">
        <f t="shared" si="70"/>
        <v>662480</v>
      </c>
      <c r="X367" s="157">
        <f t="shared" si="71"/>
        <v>662480</v>
      </c>
      <c r="Z367" s="218"/>
      <c r="AA367" s="253"/>
      <c r="AB367" s="288"/>
      <c r="AC367" s="289"/>
      <c r="AD367" s="289"/>
      <c r="AE367" s="291"/>
      <c r="AF367" s="189"/>
      <c r="AI367" s="240">
        <f t="shared" si="59"/>
        <v>5847722</v>
      </c>
    </row>
    <row r="368" spans="2:35" s="39" customFormat="1" ht="36.75" customHeight="1">
      <c r="C368" s="313"/>
      <c r="D368" s="64" t="s">
        <v>64</v>
      </c>
      <c r="E368" s="63" t="s">
        <v>81</v>
      </c>
      <c r="F368" s="63" t="s">
        <v>83</v>
      </c>
      <c r="G368" s="63"/>
      <c r="H368" s="63" t="s">
        <v>46</v>
      </c>
      <c r="I368" s="63">
        <v>319</v>
      </c>
      <c r="J368" s="65">
        <v>2550000</v>
      </c>
      <c r="K368" s="65">
        <v>2550000</v>
      </c>
      <c r="L368" s="189">
        <v>2627125</v>
      </c>
      <c r="M368" s="189">
        <v>2627125</v>
      </c>
      <c r="N368" s="66">
        <f t="shared" si="66"/>
        <v>5177125</v>
      </c>
      <c r="O368" s="66">
        <f t="shared" si="67"/>
        <v>5177125</v>
      </c>
      <c r="P368" s="170" t="s">
        <v>266</v>
      </c>
      <c r="Q368" s="171">
        <v>2550000</v>
      </c>
      <c r="R368" s="171">
        <v>2550000</v>
      </c>
      <c r="S368" s="171">
        <v>2046545</v>
      </c>
      <c r="T368" s="171">
        <v>2046545</v>
      </c>
      <c r="U368" s="157">
        <f t="shared" si="68"/>
        <v>0</v>
      </c>
      <c r="V368" s="157">
        <f t="shared" si="69"/>
        <v>0</v>
      </c>
      <c r="W368" s="157">
        <f t="shared" si="70"/>
        <v>580580</v>
      </c>
      <c r="X368" s="157">
        <f t="shared" si="71"/>
        <v>580580</v>
      </c>
      <c r="Z368" s="218"/>
      <c r="AA368" s="253"/>
      <c r="AB368" s="288"/>
      <c r="AC368" s="289"/>
      <c r="AD368" s="289"/>
      <c r="AE368" s="291"/>
      <c r="AF368" s="189"/>
      <c r="AI368" s="240">
        <f t="shared" si="59"/>
        <v>5177125</v>
      </c>
    </row>
    <row r="369" spans="3:35" s="39" customFormat="1" ht="36.75" customHeight="1">
      <c r="C369" s="313"/>
      <c r="D369" s="64" t="s">
        <v>64</v>
      </c>
      <c r="E369" s="63" t="s">
        <v>82</v>
      </c>
      <c r="F369" s="63" t="s">
        <v>81</v>
      </c>
      <c r="G369" s="63" t="s">
        <v>83</v>
      </c>
      <c r="H369" s="63" t="s">
        <v>46</v>
      </c>
      <c r="I369" s="63">
        <v>410</v>
      </c>
      <c r="J369" s="65">
        <v>3000000</v>
      </c>
      <c r="K369" s="65">
        <v>3000000</v>
      </c>
      <c r="L369" s="189">
        <v>3376555</v>
      </c>
      <c r="M369" s="189">
        <v>3376555</v>
      </c>
      <c r="N369" s="66">
        <f t="shared" si="66"/>
        <v>6376555</v>
      </c>
      <c r="O369" s="66">
        <f t="shared" si="67"/>
        <v>6376555</v>
      </c>
      <c r="P369" s="170" t="s">
        <v>267</v>
      </c>
      <c r="Q369" s="171">
        <v>3000000</v>
      </c>
      <c r="R369" s="171">
        <v>3000000</v>
      </c>
      <c r="S369" s="171">
        <v>2630355</v>
      </c>
      <c r="T369" s="171">
        <v>2630355</v>
      </c>
      <c r="U369" s="157">
        <f t="shared" si="68"/>
        <v>0</v>
      </c>
      <c r="V369" s="157">
        <f t="shared" si="69"/>
        <v>0</v>
      </c>
      <c r="W369" s="157">
        <f t="shared" si="70"/>
        <v>746200</v>
      </c>
      <c r="X369" s="157">
        <f t="shared" si="71"/>
        <v>746200</v>
      </c>
      <c r="Z369" s="218"/>
      <c r="AA369" s="253"/>
      <c r="AB369" s="288"/>
      <c r="AC369" s="289"/>
      <c r="AD369" s="289"/>
      <c r="AE369" s="291"/>
      <c r="AF369" s="189"/>
      <c r="AI369" s="240">
        <f t="shared" si="59"/>
        <v>6376555</v>
      </c>
    </row>
    <row r="370" spans="3:35" s="39" customFormat="1" ht="36.75" customHeight="1">
      <c r="C370" s="313"/>
      <c r="D370" s="64" t="s">
        <v>64</v>
      </c>
      <c r="E370" s="79" t="s">
        <v>84</v>
      </c>
      <c r="F370" s="79" t="s">
        <v>81</v>
      </c>
      <c r="G370" s="79"/>
      <c r="H370" s="79" t="s">
        <v>46</v>
      </c>
      <c r="I370" s="79">
        <v>320</v>
      </c>
      <c r="J370" s="80">
        <v>2600000</v>
      </c>
      <c r="K370" s="80">
        <v>2600000</v>
      </c>
      <c r="L370" s="189">
        <v>2635360</v>
      </c>
      <c r="M370" s="189">
        <v>2635360</v>
      </c>
      <c r="N370" s="66">
        <f t="shared" si="66"/>
        <v>5235360</v>
      </c>
      <c r="O370" s="66">
        <f t="shared" si="67"/>
        <v>5235360</v>
      </c>
      <c r="P370" s="170" t="s">
        <v>268</v>
      </c>
      <c r="Q370" s="171">
        <v>2600000</v>
      </c>
      <c r="R370" s="171">
        <v>2600000</v>
      </c>
      <c r="S370" s="171">
        <v>2052960</v>
      </c>
      <c r="T370" s="171">
        <v>2052960</v>
      </c>
      <c r="U370" s="157">
        <f t="shared" si="68"/>
        <v>0</v>
      </c>
      <c r="V370" s="157">
        <f t="shared" si="69"/>
        <v>0</v>
      </c>
      <c r="W370" s="157">
        <f t="shared" si="70"/>
        <v>582400</v>
      </c>
      <c r="X370" s="157">
        <f t="shared" si="71"/>
        <v>582400</v>
      </c>
      <c r="Z370" s="218"/>
      <c r="AA370" s="253"/>
      <c r="AB370" s="288"/>
      <c r="AC370" s="289"/>
      <c r="AD370" s="289"/>
      <c r="AE370" s="291"/>
      <c r="AF370" s="189"/>
      <c r="AI370" s="240">
        <f t="shared" si="59"/>
        <v>5235360</v>
      </c>
    </row>
    <row r="371" spans="3:35" s="39" customFormat="1" ht="36.75" customHeight="1">
      <c r="C371" s="313"/>
      <c r="D371" s="64" t="s">
        <v>64</v>
      </c>
      <c r="E371" s="79" t="s">
        <v>85</v>
      </c>
      <c r="F371" s="79" t="s">
        <v>81</v>
      </c>
      <c r="G371" s="79"/>
      <c r="H371" s="79" t="s">
        <v>46</v>
      </c>
      <c r="I371" s="79">
        <v>310</v>
      </c>
      <c r="J371" s="80">
        <v>2600000</v>
      </c>
      <c r="K371" s="80">
        <v>2600000</v>
      </c>
      <c r="L371" s="189">
        <v>2553005</v>
      </c>
      <c r="M371" s="189">
        <v>2553005</v>
      </c>
      <c r="N371" s="66">
        <f t="shared" si="66"/>
        <v>5153005</v>
      </c>
      <c r="O371" s="66">
        <f t="shared" si="67"/>
        <v>5153005</v>
      </c>
      <c r="P371" s="170" t="s">
        <v>269</v>
      </c>
      <c r="Q371" s="171">
        <v>2600000</v>
      </c>
      <c r="R371" s="171">
        <v>2600000</v>
      </c>
      <c r="S371" s="171">
        <v>1988805</v>
      </c>
      <c r="T371" s="171">
        <v>1988805</v>
      </c>
      <c r="U371" s="157">
        <f t="shared" si="68"/>
        <v>0</v>
      </c>
      <c r="V371" s="157">
        <f t="shared" si="69"/>
        <v>0</v>
      </c>
      <c r="W371" s="157">
        <f t="shared" si="70"/>
        <v>564200</v>
      </c>
      <c r="X371" s="157">
        <f t="shared" si="71"/>
        <v>564200</v>
      </c>
      <c r="Z371" s="218"/>
      <c r="AA371" s="253"/>
      <c r="AB371" s="288"/>
      <c r="AC371" s="289"/>
      <c r="AD371" s="289"/>
      <c r="AE371" s="291"/>
      <c r="AF371" s="189"/>
      <c r="AI371" s="240">
        <f t="shared" si="59"/>
        <v>5153005</v>
      </c>
    </row>
    <row r="372" spans="3:35" s="39" customFormat="1" ht="36.75" customHeight="1">
      <c r="C372" s="313"/>
      <c r="D372" s="81" t="s">
        <v>64</v>
      </c>
      <c r="E372" s="79" t="s">
        <v>85</v>
      </c>
      <c r="F372" s="79" t="s">
        <v>83</v>
      </c>
      <c r="G372" s="79"/>
      <c r="H372" s="79" t="s">
        <v>46</v>
      </c>
      <c r="I372" s="79">
        <v>312</v>
      </c>
      <c r="J372" s="80">
        <v>2600000</v>
      </c>
      <c r="K372" s="80">
        <v>2600000</v>
      </c>
      <c r="L372" s="189">
        <v>2569476</v>
      </c>
      <c r="M372" s="189">
        <v>2569476</v>
      </c>
      <c r="N372" s="66">
        <f t="shared" si="66"/>
        <v>5169476</v>
      </c>
      <c r="O372" s="66">
        <f t="shared" si="67"/>
        <v>5169476</v>
      </c>
      <c r="P372" s="170" t="s">
        <v>270</v>
      </c>
      <c r="Q372" s="171">
        <v>2600000</v>
      </c>
      <c r="R372" s="171">
        <v>2600000</v>
      </c>
      <c r="S372" s="171">
        <v>2001636</v>
      </c>
      <c r="T372" s="171">
        <v>2001636</v>
      </c>
      <c r="U372" s="157">
        <f t="shared" si="68"/>
        <v>0</v>
      </c>
      <c r="V372" s="157">
        <f t="shared" si="69"/>
        <v>0</v>
      </c>
      <c r="W372" s="157">
        <f t="shared" si="70"/>
        <v>567840</v>
      </c>
      <c r="X372" s="157">
        <f t="shared" si="71"/>
        <v>567840</v>
      </c>
      <c r="Z372" s="218"/>
      <c r="AA372" s="253"/>
      <c r="AB372" s="288"/>
      <c r="AC372" s="289"/>
      <c r="AD372" s="289"/>
      <c r="AE372" s="291"/>
      <c r="AF372" s="189"/>
      <c r="AI372" s="240">
        <f t="shared" si="59"/>
        <v>5169476</v>
      </c>
    </row>
    <row r="373" spans="3:35" s="39" customFormat="1" ht="36.75" customHeight="1">
      <c r="C373" s="313"/>
      <c r="D373" s="64" t="s">
        <v>64</v>
      </c>
      <c r="E373" s="79" t="s">
        <v>85</v>
      </c>
      <c r="F373" s="79" t="s">
        <v>81</v>
      </c>
      <c r="G373" s="79" t="s">
        <v>83</v>
      </c>
      <c r="H373" s="79" t="s">
        <v>46</v>
      </c>
      <c r="I373" s="79">
        <v>332</v>
      </c>
      <c r="J373" s="80">
        <v>2750000</v>
      </c>
      <c r="K373" s="80">
        <v>2750000</v>
      </c>
      <c r="L373" s="189">
        <v>2734186</v>
      </c>
      <c r="M373" s="189">
        <v>2734186</v>
      </c>
      <c r="N373" s="66">
        <f t="shared" si="66"/>
        <v>5484186</v>
      </c>
      <c r="O373" s="66">
        <f t="shared" si="67"/>
        <v>5484186</v>
      </c>
      <c r="P373" s="170" t="s">
        <v>271</v>
      </c>
      <c r="Q373" s="171">
        <v>2750000</v>
      </c>
      <c r="R373" s="171">
        <v>2750000</v>
      </c>
      <c r="S373" s="171">
        <v>2129946</v>
      </c>
      <c r="T373" s="171">
        <v>2129946</v>
      </c>
      <c r="U373" s="157">
        <f t="shared" si="68"/>
        <v>0</v>
      </c>
      <c r="V373" s="157">
        <f t="shared" si="69"/>
        <v>0</v>
      </c>
      <c r="W373" s="157">
        <f t="shared" si="70"/>
        <v>604240</v>
      </c>
      <c r="X373" s="157">
        <f t="shared" si="71"/>
        <v>604240</v>
      </c>
      <c r="Z373" s="218"/>
      <c r="AA373" s="253"/>
      <c r="AB373" s="288"/>
      <c r="AC373" s="289"/>
      <c r="AD373" s="289"/>
      <c r="AE373" s="291"/>
      <c r="AF373" s="189"/>
      <c r="AI373" s="240">
        <f t="shared" si="59"/>
        <v>5484186</v>
      </c>
    </row>
    <row r="374" spans="3:35" s="39" customFormat="1" ht="36.75" customHeight="1">
      <c r="C374" s="313"/>
      <c r="D374" s="145" t="s">
        <v>86</v>
      </c>
      <c r="E374" s="115" t="s">
        <v>82</v>
      </c>
      <c r="F374" s="115"/>
      <c r="G374" s="115"/>
      <c r="H374" s="115" t="s">
        <v>46</v>
      </c>
      <c r="I374" s="115">
        <v>331</v>
      </c>
      <c r="J374" s="116">
        <v>2450000</v>
      </c>
      <c r="K374" s="116">
        <v>2450000</v>
      </c>
      <c r="L374" s="189">
        <v>2725951</v>
      </c>
      <c r="M374" s="189">
        <v>2725951</v>
      </c>
      <c r="N374" s="66">
        <f t="shared" si="66"/>
        <v>5175951</v>
      </c>
      <c r="O374" s="66">
        <f t="shared" si="67"/>
        <v>5175951</v>
      </c>
      <c r="P374" s="170" t="s">
        <v>272</v>
      </c>
      <c r="Q374" s="171">
        <v>2450000</v>
      </c>
      <c r="R374" s="171">
        <v>2450000</v>
      </c>
      <c r="S374" s="171">
        <v>2123531</v>
      </c>
      <c r="T374" s="171">
        <v>2123531</v>
      </c>
      <c r="U374" s="157">
        <f t="shared" si="68"/>
        <v>0</v>
      </c>
      <c r="V374" s="157">
        <f t="shared" si="69"/>
        <v>0</v>
      </c>
      <c r="W374" s="157">
        <f t="shared" si="70"/>
        <v>602420</v>
      </c>
      <c r="X374" s="157">
        <f t="shared" si="71"/>
        <v>602420</v>
      </c>
      <c r="Z374" s="218"/>
      <c r="AA374" s="253"/>
      <c r="AB374" s="288"/>
      <c r="AC374" s="289"/>
      <c r="AD374" s="289"/>
      <c r="AE374" s="291"/>
      <c r="AF374" s="189"/>
      <c r="AH374" s="39" t="s">
        <v>461</v>
      </c>
      <c r="AI374" s="240">
        <f t="shared" si="59"/>
        <v>5175951</v>
      </c>
    </row>
    <row r="375" spans="3:35" s="39" customFormat="1" ht="36.75" customHeight="1">
      <c r="C375" s="313"/>
      <c r="D375" s="81" t="s">
        <v>86</v>
      </c>
      <c r="E375" s="79" t="s">
        <v>81</v>
      </c>
      <c r="F375" s="79"/>
      <c r="G375" s="79"/>
      <c r="H375" s="79" t="s">
        <v>46</v>
      </c>
      <c r="I375" s="79">
        <v>310</v>
      </c>
      <c r="J375" s="80">
        <v>2350000</v>
      </c>
      <c r="K375" s="80">
        <v>2350000</v>
      </c>
      <c r="L375" s="189">
        <v>2553005</v>
      </c>
      <c r="M375" s="189">
        <v>2553005</v>
      </c>
      <c r="N375" s="66">
        <f t="shared" si="66"/>
        <v>4903005</v>
      </c>
      <c r="O375" s="66">
        <f t="shared" si="67"/>
        <v>4903005</v>
      </c>
      <c r="P375" s="170" t="s">
        <v>273</v>
      </c>
      <c r="Q375" s="171">
        <v>2350000</v>
      </c>
      <c r="R375" s="171">
        <v>2350000</v>
      </c>
      <c r="S375" s="171">
        <v>1988805</v>
      </c>
      <c r="T375" s="171">
        <v>1988805</v>
      </c>
      <c r="U375" s="157">
        <f t="shared" si="68"/>
        <v>0</v>
      </c>
      <c r="V375" s="157">
        <f t="shared" si="69"/>
        <v>0</v>
      </c>
      <c r="W375" s="157">
        <f t="shared" si="70"/>
        <v>564200</v>
      </c>
      <c r="X375" s="157">
        <f t="shared" si="71"/>
        <v>564200</v>
      </c>
      <c r="Z375" s="218"/>
      <c r="AA375" s="253"/>
      <c r="AB375" s="288"/>
      <c r="AC375" s="289"/>
      <c r="AD375" s="289"/>
      <c r="AE375" s="291"/>
      <c r="AF375" s="189"/>
      <c r="AH375" s="39" t="s">
        <v>462</v>
      </c>
      <c r="AI375" s="240">
        <f t="shared" si="59"/>
        <v>4903005</v>
      </c>
    </row>
    <row r="376" spans="3:35" s="39" customFormat="1" ht="36.75" customHeight="1">
      <c r="C376" s="313"/>
      <c r="D376" s="81" t="s">
        <v>86</v>
      </c>
      <c r="E376" s="79" t="s">
        <v>83</v>
      </c>
      <c r="F376" s="79"/>
      <c r="G376" s="79"/>
      <c r="H376" s="79" t="s">
        <v>46</v>
      </c>
      <c r="I376" s="79">
        <v>299</v>
      </c>
      <c r="J376" s="80">
        <v>2350000</v>
      </c>
      <c r="K376" s="80">
        <v>2350000</v>
      </c>
      <c r="L376" s="189">
        <v>2462415</v>
      </c>
      <c r="M376" s="189">
        <v>2462415</v>
      </c>
      <c r="N376" s="66">
        <f t="shared" si="66"/>
        <v>4812415</v>
      </c>
      <c r="O376" s="66">
        <f t="shared" si="67"/>
        <v>4812415</v>
      </c>
      <c r="P376" s="170" t="s">
        <v>274</v>
      </c>
      <c r="Q376" s="171">
        <v>2350000</v>
      </c>
      <c r="R376" s="171">
        <v>2350000</v>
      </c>
      <c r="S376" s="171">
        <v>1918235</v>
      </c>
      <c r="T376" s="171">
        <v>1918235</v>
      </c>
      <c r="U376" s="157">
        <f t="shared" si="68"/>
        <v>0</v>
      </c>
      <c r="V376" s="157">
        <f t="shared" si="69"/>
        <v>0</v>
      </c>
      <c r="W376" s="157">
        <f t="shared" si="70"/>
        <v>544180</v>
      </c>
      <c r="X376" s="157">
        <f t="shared" si="71"/>
        <v>544180</v>
      </c>
      <c r="Z376" s="218"/>
      <c r="AA376" s="253"/>
      <c r="AB376" s="288"/>
      <c r="AC376" s="289"/>
      <c r="AD376" s="289"/>
      <c r="AE376" s="291"/>
      <c r="AF376" s="189"/>
      <c r="AH376" s="39" t="s">
        <v>463</v>
      </c>
      <c r="AI376" s="240">
        <f t="shared" si="59"/>
        <v>4812415</v>
      </c>
    </row>
    <row r="377" spans="3:35" s="39" customFormat="1" ht="36.75" customHeight="1">
      <c r="C377" s="313"/>
      <c r="D377" s="81" t="s">
        <v>86</v>
      </c>
      <c r="E377" s="79" t="s">
        <v>82</v>
      </c>
      <c r="F377" s="79" t="s">
        <v>81</v>
      </c>
      <c r="G377" s="79"/>
      <c r="H377" s="79" t="s">
        <v>46</v>
      </c>
      <c r="I377" s="79">
        <v>356</v>
      </c>
      <c r="J377" s="80">
        <v>2850000</v>
      </c>
      <c r="K377" s="80">
        <v>2850000</v>
      </c>
      <c r="L377" s="189">
        <v>2931838</v>
      </c>
      <c r="M377" s="189">
        <v>2931838</v>
      </c>
      <c r="N377" s="66">
        <f t="shared" si="66"/>
        <v>5781838</v>
      </c>
      <c r="O377" s="66">
        <f t="shared" si="67"/>
        <v>5781838</v>
      </c>
      <c r="P377" s="170" t="s">
        <v>275</v>
      </c>
      <c r="Q377" s="171">
        <v>2850000</v>
      </c>
      <c r="R377" s="171">
        <v>2850000</v>
      </c>
      <c r="S377" s="171">
        <v>2283918</v>
      </c>
      <c r="T377" s="171">
        <v>2283918</v>
      </c>
      <c r="U377" s="157">
        <f t="shared" si="68"/>
        <v>0</v>
      </c>
      <c r="V377" s="157">
        <f t="shared" si="69"/>
        <v>0</v>
      </c>
      <c r="W377" s="157">
        <f t="shared" si="70"/>
        <v>647920</v>
      </c>
      <c r="X377" s="157">
        <f t="shared" si="71"/>
        <v>647920</v>
      </c>
      <c r="Z377" s="218"/>
      <c r="AA377" s="253"/>
      <c r="AB377" s="288"/>
      <c r="AC377" s="289"/>
      <c r="AD377" s="289"/>
      <c r="AE377" s="291"/>
      <c r="AF377" s="189"/>
      <c r="AI377" s="240">
        <f t="shared" si="59"/>
        <v>5781838</v>
      </c>
    </row>
    <row r="378" spans="3:35" s="39" customFormat="1" ht="36.75" customHeight="1">
      <c r="C378" s="313"/>
      <c r="D378" s="81" t="s">
        <v>86</v>
      </c>
      <c r="E378" s="79" t="s">
        <v>82</v>
      </c>
      <c r="F378" s="79" t="s">
        <v>83</v>
      </c>
      <c r="G378" s="79"/>
      <c r="H378" s="79" t="s">
        <v>46</v>
      </c>
      <c r="I378" s="79">
        <v>364</v>
      </c>
      <c r="J378" s="80">
        <v>2850000</v>
      </c>
      <c r="K378" s="80">
        <v>2850000</v>
      </c>
      <c r="L378" s="189">
        <v>2997722</v>
      </c>
      <c r="M378" s="189">
        <v>2997722</v>
      </c>
      <c r="N378" s="66">
        <f t="shared" si="66"/>
        <v>5847722</v>
      </c>
      <c r="O378" s="66">
        <f t="shared" si="67"/>
        <v>5847722</v>
      </c>
      <c r="P378" s="170" t="s">
        <v>276</v>
      </c>
      <c r="Q378" s="171">
        <v>2850000</v>
      </c>
      <c r="R378" s="171">
        <v>2850000</v>
      </c>
      <c r="S378" s="171">
        <v>2335242</v>
      </c>
      <c r="T378" s="171">
        <v>2335242</v>
      </c>
      <c r="U378" s="157">
        <f t="shared" si="68"/>
        <v>0</v>
      </c>
      <c r="V378" s="157">
        <f t="shared" si="69"/>
        <v>0</v>
      </c>
      <c r="W378" s="157">
        <f t="shared" si="70"/>
        <v>662480</v>
      </c>
      <c r="X378" s="157">
        <f t="shared" si="71"/>
        <v>662480</v>
      </c>
      <c r="Z378" s="218"/>
      <c r="AA378" s="253"/>
      <c r="AB378" s="288"/>
      <c r="AC378" s="289"/>
      <c r="AD378" s="289"/>
      <c r="AE378" s="291"/>
      <c r="AF378" s="189"/>
      <c r="AI378" s="240">
        <f t="shared" si="59"/>
        <v>5847722</v>
      </c>
    </row>
    <row r="379" spans="3:35" s="39" customFormat="1" ht="36.75" customHeight="1">
      <c r="C379" s="313"/>
      <c r="D379" s="81" t="s">
        <v>86</v>
      </c>
      <c r="E379" s="79" t="s">
        <v>81</v>
      </c>
      <c r="F379" s="79" t="s">
        <v>83</v>
      </c>
      <c r="G379" s="79"/>
      <c r="H379" s="79" t="s">
        <v>46</v>
      </c>
      <c r="I379" s="79">
        <v>319</v>
      </c>
      <c r="J379" s="80">
        <v>2550000</v>
      </c>
      <c r="K379" s="80">
        <v>2550000</v>
      </c>
      <c r="L379" s="189">
        <v>2627125</v>
      </c>
      <c r="M379" s="189">
        <v>2627125</v>
      </c>
      <c r="N379" s="66">
        <f t="shared" si="66"/>
        <v>5177125</v>
      </c>
      <c r="O379" s="66">
        <f t="shared" si="67"/>
        <v>5177125</v>
      </c>
      <c r="P379" s="170" t="s">
        <v>277</v>
      </c>
      <c r="Q379" s="171">
        <v>2550000</v>
      </c>
      <c r="R379" s="171">
        <v>2550000</v>
      </c>
      <c r="S379" s="171">
        <v>2046545</v>
      </c>
      <c r="T379" s="171">
        <v>2046545</v>
      </c>
      <c r="U379" s="157">
        <f t="shared" si="68"/>
        <v>0</v>
      </c>
      <c r="V379" s="157">
        <f t="shared" si="69"/>
        <v>0</v>
      </c>
      <c r="W379" s="157">
        <f t="shared" si="70"/>
        <v>580580</v>
      </c>
      <c r="X379" s="157">
        <f t="shared" si="71"/>
        <v>580580</v>
      </c>
      <c r="Z379" s="218"/>
      <c r="AA379" s="253"/>
      <c r="AB379" s="288"/>
      <c r="AC379" s="289"/>
      <c r="AD379" s="289"/>
      <c r="AE379" s="291"/>
      <c r="AF379" s="189"/>
      <c r="AI379" s="240">
        <f t="shared" si="59"/>
        <v>5177125</v>
      </c>
    </row>
    <row r="380" spans="3:35" s="39" customFormat="1" ht="36.75" customHeight="1">
      <c r="C380" s="313"/>
      <c r="D380" s="81" t="s">
        <v>86</v>
      </c>
      <c r="E380" s="79" t="s">
        <v>82</v>
      </c>
      <c r="F380" s="79" t="s">
        <v>81</v>
      </c>
      <c r="G380" s="79" t="s">
        <v>83</v>
      </c>
      <c r="H380" s="79" t="s">
        <v>46</v>
      </c>
      <c r="I380" s="79">
        <v>410</v>
      </c>
      <c r="J380" s="80">
        <v>3000000</v>
      </c>
      <c r="K380" s="80">
        <v>3000000</v>
      </c>
      <c r="L380" s="189">
        <v>3376555</v>
      </c>
      <c r="M380" s="189">
        <v>3376555</v>
      </c>
      <c r="N380" s="66">
        <f t="shared" si="66"/>
        <v>6376555</v>
      </c>
      <c r="O380" s="66">
        <f t="shared" si="67"/>
        <v>6376555</v>
      </c>
      <c r="P380" s="170" t="s">
        <v>278</v>
      </c>
      <c r="Q380" s="171">
        <v>3000000</v>
      </c>
      <c r="R380" s="171">
        <v>3000000</v>
      </c>
      <c r="S380" s="171">
        <v>2630355</v>
      </c>
      <c r="T380" s="171">
        <v>2630355</v>
      </c>
      <c r="U380" s="157">
        <f t="shared" si="68"/>
        <v>0</v>
      </c>
      <c r="V380" s="157">
        <f t="shared" si="69"/>
        <v>0</v>
      </c>
      <c r="W380" s="157">
        <f t="shared" si="70"/>
        <v>746200</v>
      </c>
      <c r="X380" s="157">
        <f t="shared" si="71"/>
        <v>746200</v>
      </c>
      <c r="Z380" s="218"/>
      <c r="AA380" s="253"/>
      <c r="AB380" s="288"/>
      <c r="AC380" s="289"/>
      <c r="AD380" s="289"/>
      <c r="AE380" s="291"/>
      <c r="AF380" s="189"/>
      <c r="AI380" s="240">
        <f t="shared" si="59"/>
        <v>6376555</v>
      </c>
    </row>
    <row r="381" spans="3:35" s="39" customFormat="1" ht="36.75" customHeight="1">
      <c r="C381" s="313"/>
      <c r="D381" s="145" t="s">
        <v>161</v>
      </c>
      <c r="E381" s="115" t="s">
        <v>82</v>
      </c>
      <c r="F381" s="115"/>
      <c r="G381" s="115"/>
      <c r="H381" s="115" t="s">
        <v>46</v>
      </c>
      <c r="I381" s="115">
        <v>331</v>
      </c>
      <c r="J381" s="116">
        <v>2450000</v>
      </c>
      <c r="K381" s="116">
        <v>2450000</v>
      </c>
      <c r="L381" s="189">
        <v>2725951</v>
      </c>
      <c r="M381" s="189">
        <v>2725951</v>
      </c>
      <c r="N381" s="66">
        <f t="shared" si="66"/>
        <v>5175951</v>
      </c>
      <c r="O381" s="66">
        <f t="shared" si="67"/>
        <v>5175951</v>
      </c>
      <c r="P381" s="170" t="s">
        <v>279</v>
      </c>
      <c r="Q381" s="171">
        <v>2450000</v>
      </c>
      <c r="R381" s="171">
        <v>2450000</v>
      </c>
      <c r="S381" s="171">
        <v>2123531</v>
      </c>
      <c r="T381" s="171">
        <v>2123531</v>
      </c>
      <c r="U381" s="157">
        <f t="shared" si="68"/>
        <v>0</v>
      </c>
      <c r="V381" s="157">
        <f t="shared" si="69"/>
        <v>0</v>
      </c>
      <c r="W381" s="157">
        <f t="shared" si="70"/>
        <v>602420</v>
      </c>
      <c r="X381" s="157">
        <f t="shared" si="71"/>
        <v>602420</v>
      </c>
      <c r="Z381" s="218"/>
      <c r="AA381" s="253"/>
      <c r="AB381" s="288"/>
      <c r="AC381" s="289"/>
      <c r="AD381" s="289"/>
      <c r="AE381" s="291"/>
      <c r="AF381" s="189"/>
      <c r="AH381" s="39" t="s">
        <v>464</v>
      </c>
      <c r="AI381" s="240">
        <f t="shared" si="59"/>
        <v>5175951</v>
      </c>
    </row>
    <row r="382" spans="3:35" s="39" customFormat="1" ht="36.75" customHeight="1">
      <c r="C382" s="313"/>
      <c r="D382" s="81" t="s">
        <v>161</v>
      </c>
      <c r="E382" s="79" t="s">
        <v>81</v>
      </c>
      <c r="F382" s="79"/>
      <c r="G382" s="79"/>
      <c r="H382" s="79" t="s">
        <v>46</v>
      </c>
      <c r="I382" s="79">
        <v>310</v>
      </c>
      <c r="J382" s="80">
        <v>2350000</v>
      </c>
      <c r="K382" s="80">
        <v>2350000</v>
      </c>
      <c r="L382" s="189">
        <v>2553005</v>
      </c>
      <c r="M382" s="189">
        <v>2553005</v>
      </c>
      <c r="N382" s="66">
        <f t="shared" si="66"/>
        <v>4903005</v>
      </c>
      <c r="O382" s="66">
        <f t="shared" si="67"/>
        <v>4903005</v>
      </c>
      <c r="P382" s="170" t="s">
        <v>280</v>
      </c>
      <c r="Q382" s="171">
        <v>2350000</v>
      </c>
      <c r="R382" s="171">
        <v>2350000</v>
      </c>
      <c r="S382" s="171">
        <v>1988805</v>
      </c>
      <c r="T382" s="171">
        <v>1988805</v>
      </c>
      <c r="U382" s="157">
        <f t="shared" si="68"/>
        <v>0</v>
      </c>
      <c r="V382" s="157">
        <f t="shared" si="69"/>
        <v>0</v>
      </c>
      <c r="W382" s="157">
        <f t="shared" si="70"/>
        <v>564200</v>
      </c>
      <c r="X382" s="157">
        <f t="shared" si="71"/>
        <v>564200</v>
      </c>
      <c r="Z382" s="218"/>
      <c r="AA382" s="253"/>
      <c r="AB382" s="288"/>
      <c r="AC382" s="289"/>
      <c r="AD382" s="289"/>
      <c r="AE382" s="291"/>
      <c r="AF382" s="189"/>
      <c r="AH382" s="39" t="s">
        <v>465</v>
      </c>
      <c r="AI382" s="240">
        <f t="shared" si="59"/>
        <v>4903005</v>
      </c>
    </row>
    <row r="383" spans="3:35" s="39" customFormat="1" ht="36.75" customHeight="1">
      <c r="C383" s="313"/>
      <c r="D383" s="81" t="s">
        <v>161</v>
      </c>
      <c r="E383" s="79" t="s">
        <v>83</v>
      </c>
      <c r="F383" s="79"/>
      <c r="G383" s="79"/>
      <c r="H383" s="79" t="s">
        <v>46</v>
      </c>
      <c r="I383" s="79">
        <v>299</v>
      </c>
      <c r="J383" s="80">
        <v>2350000</v>
      </c>
      <c r="K383" s="80">
        <v>2350000</v>
      </c>
      <c r="L383" s="189">
        <v>2462415</v>
      </c>
      <c r="M383" s="189">
        <v>2462415</v>
      </c>
      <c r="N383" s="66">
        <f t="shared" si="66"/>
        <v>4812415</v>
      </c>
      <c r="O383" s="66">
        <f t="shared" si="67"/>
        <v>4812415</v>
      </c>
      <c r="P383" s="170" t="s">
        <v>281</v>
      </c>
      <c r="Q383" s="171">
        <v>2350000</v>
      </c>
      <c r="R383" s="171">
        <v>2350000</v>
      </c>
      <c r="S383" s="171">
        <v>1918235</v>
      </c>
      <c r="T383" s="171">
        <v>1918235</v>
      </c>
      <c r="U383" s="157">
        <f t="shared" si="68"/>
        <v>0</v>
      </c>
      <c r="V383" s="157">
        <f t="shared" si="69"/>
        <v>0</v>
      </c>
      <c r="W383" s="157">
        <f t="shared" si="70"/>
        <v>544180</v>
      </c>
      <c r="X383" s="157">
        <f t="shared" si="71"/>
        <v>544180</v>
      </c>
      <c r="Z383" s="218"/>
      <c r="AA383" s="253"/>
      <c r="AB383" s="288"/>
      <c r="AC383" s="289"/>
      <c r="AD383" s="289"/>
      <c r="AE383" s="291"/>
      <c r="AF383" s="189"/>
      <c r="AH383" s="39" t="s">
        <v>466</v>
      </c>
      <c r="AI383" s="240">
        <f t="shared" si="59"/>
        <v>4812415</v>
      </c>
    </row>
    <row r="384" spans="3:35" s="39" customFormat="1" ht="36.75" customHeight="1">
      <c r="C384" s="313"/>
      <c r="D384" s="81" t="s">
        <v>161</v>
      </c>
      <c r="E384" s="79" t="s">
        <v>82</v>
      </c>
      <c r="F384" s="79" t="s">
        <v>81</v>
      </c>
      <c r="G384" s="79"/>
      <c r="H384" s="79" t="s">
        <v>46</v>
      </c>
      <c r="I384" s="79">
        <v>356</v>
      </c>
      <c r="J384" s="80">
        <v>2850000</v>
      </c>
      <c r="K384" s="80">
        <v>2850000</v>
      </c>
      <c r="L384" s="189">
        <v>2931838</v>
      </c>
      <c r="M384" s="189">
        <v>2931838</v>
      </c>
      <c r="N384" s="66">
        <f t="shared" si="66"/>
        <v>5781838</v>
      </c>
      <c r="O384" s="66">
        <f t="shared" si="67"/>
        <v>5781838</v>
      </c>
      <c r="P384" s="170" t="s">
        <v>282</v>
      </c>
      <c r="Q384" s="171">
        <v>2850000</v>
      </c>
      <c r="R384" s="171">
        <v>2850000</v>
      </c>
      <c r="S384" s="171">
        <v>2283918</v>
      </c>
      <c r="T384" s="171">
        <v>2283918</v>
      </c>
      <c r="U384" s="157">
        <f t="shared" si="68"/>
        <v>0</v>
      </c>
      <c r="V384" s="157">
        <f t="shared" si="69"/>
        <v>0</v>
      </c>
      <c r="W384" s="157">
        <f t="shared" si="70"/>
        <v>647920</v>
      </c>
      <c r="X384" s="157">
        <f t="shared" si="71"/>
        <v>647920</v>
      </c>
      <c r="Z384" s="218"/>
      <c r="AA384" s="253"/>
      <c r="AB384" s="288"/>
      <c r="AC384" s="289"/>
      <c r="AD384" s="289"/>
      <c r="AE384" s="291"/>
      <c r="AF384" s="189"/>
      <c r="AI384" s="240">
        <f t="shared" si="59"/>
        <v>5781838</v>
      </c>
    </row>
    <row r="385" spans="3:36" s="39" customFormat="1" ht="36.75" customHeight="1">
      <c r="C385" s="313"/>
      <c r="D385" s="81" t="s">
        <v>161</v>
      </c>
      <c r="E385" s="79" t="s">
        <v>82</v>
      </c>
      <c r="F385" s="79" t="s">
        <v>83</v>
      </c>
      <c r="G385" s="79"/>
      <c r="H385" s="79" t="s">
        <v>46</v>
      </c>
      <c r="I385" s="79">
        <v>364</v>
      </c>
      <c r="J385" s="80">
        <v>2850000</v>
      </c>
      <c r="K385" s="80">
        <v>2850000</v>
      </c>
      <c r="L385" s="189">
        <v>2997722</v>
      </c>
      <c r="M385" s="189">
        <v>2997722</v>
      </c>
      <c r="N385" s="66">
        <f t="shared" si="66"/>
        <v>5847722</v>
      </c>
      <c r="O385" s="66">
        <f t="shared" si="67"/>
        <v>5847722</v>
      </c>
      <c r="P385" s="170" t="s">
        <v>283</v>
      </c>
      <c r="Q385" s="171">
        <v>2850000</v>
      </c>
      <c r="R385" s="171">
        <v>2850000</v>
      </c>
      <c r="S385" s="171">
        <v>2335242</v>
      </c>
      <c r="T385" s="171">
        <v>2335242</v>
      </c>
      <c r="U385" s="157">
        <f t="shared" si="68"/>
        <v>0</v>
      </c>
      <c r="V385" s="157">
        <f t="shared" si="69"/>
        <v>0</v>
      </c>
      <c r="W385" s="157">
        <f t="shared" si="70"/>
        <v>662480</v>
      </c>
      <c r="X385" s="157">
        <f t="shared" si="71"/>
        <v>662480</v>
      </c>
      <c r="Z385" s="218"/>
      <c r="AA385" s="253"/>
      <c r="AB385" s="288"/>
      <c r="AC385" s="289"/>
      <c r="AD385" s="289"/>
      <c r="AE385" s="291"/>
      <c r="AF385" s="189"/>
      <c r="AI385" s="240">
        <f t="shared" si="59"/>
        <v>5847722</v>
      </c>
    </row>
    <row r="386" spans="3:36" s="39" customFormat="1" ht="36.75" customHeight="1">
      <c r="C386" s="313"/>
      <c r="D386" s="81" t="s">
        <v>161</v>
      </c>
      <c r="E386" s="79" t="s">
        <v>81</v>
      </c>
      <c r="F386" s="79" t="s">
        <v>83</v>
      </c>
      <c r="G386" s="79"/>
      <c r="H386" s="79" t="s">
        <v>46</v>
      </c>
      <c r="I386" s="79">
        <v>319</v>
      </c>
      <c r="J386" s="80">
        <v>2550000</v>
      </c>
      <c r="K386" s="80">
        <v>2550000</v>
      </c>
      <c r="L386" s="189">
        <v>2627125</v>
      </c>
      <c r="M386" s="189">
        <v>2627125</v>
      </c>
      <c r="N386" s="66">
        <f t="shared" si="66"/>
        <v>5177125</v>
      </c>
      <c r="O386" s="66">
        <f t="shared" si="67"/>
        <v>5177125</v>
      </c>
      <c r="P386" s="170" t="s">
        <v>284</v>
      </c>
      <c r="Q386" s="171">
        <v>2550000</v>
      </c>
      <c r="R386" s="171">
        <v>2550000</v>
      </c>
      <c r="S386" s="171">
        <v>2046545</v>
      </c>
      <c r="T386" s="171">
        <v>2046545</v>
      </c>
      <c r="U386" s="157">
        <f t="shared" si="68"/>
        <v>0</v>
      </c>
      <c r="V386" s="157">
        <f t="shared" si="69"/>
        <v>0</v>
      </c>
      <c r="W386" s="157">
        <f t="shared" si="70"/>
        <v>580580</v>
      </c>
      <c r="X386" s="157">
        <f t="shared" si="71"/>
        <v>580580</v>
      </c>
      <c r="Z386" s="218"/>
      <c r="AA386" s="253"/>
      <c r="AB386" s="288"/>
      <c r="AC386" s="289"/>
      <c r="AD386" s="289"/>
      <c r="AE386" s="291"/>
      <c r="AF386" s="189"/>
      <c r="AI386" s="240">
        <f t="shared" si="59"/>
        <v>5177125</v>
      </c>
    </row>
    <row r="387" spans="3:36" s="39" customFormat="1" ht="36.75" customHeight="1">
      <c r="C387" s="313"/>
      <c r="D387" s="81" t="s">
        <v>161</v>
      </c>
      <c r="E387" s="79" t="s">
        <v>82</v>
      </c>
      <c r="F387" s="79" t="s">
        <v>81</v>
      </c>
      <c r="G387" s="79" t="s">
        <v>83</v>
      </c>
      <c r="H387" s="79" t="s">
        <v>46</v>
      </c>
      <c r="I387" s="79">
        <v>410</v>
      </c>
      <c r="J387" s="80">
        <v>3000000</v>
      </c>
      <c r="K387" s="80">
        <v>3000000</v>
      </c>
      <c r="L387" s="189">
        <v>3376555</v>
      </c>
      <c r="M387" s="189">
        <v>3376555</v>
      </c>
      <c r="N387" s="66">
        <f t="shared" si="66"/>
        <v>6376555</v>
      </c>
      <c r="O387" s="66">
        <f t="shared" si="67"/>
        <v>6376555</v>
      </c>
      <c r="P387" s="170" t="s">
        <v>285</v>
      </c>
      <c r="Q387" s="171">
        <v>3000000</v>
      </c>
      <c r="R387" s="171">
        <v>3000000</v>
      </c>
      <c r="S387" s="171">
        <v>2630355</v>
      </c>
      <c r="T387" s="171">
        <v>2630355</v>
      </c>
      <c r="U387" s="157">
        <f t="shared" si="68"/>
        <v>0</v>
      </c>
      <c r="V387" s="157">
        <f t="shared" si="69"/>
        <v>0</v>
      </c>
      <c r="W387" s="157">
        <f t="shared" si="70"/>
        <v>746200</v>
      </c>
      <c r="X387" s="157">
        <f t="shared" si="71"/>
        <v>746200</v>
      </c>
      <c r="Z387" s="218"/>
      <c r="AA387" s="253"/>
      <c r="AB387" s="288"/>
      <c r="AC387" s="289"/>
      <c r="AD387" s="289"/>
      <c r="AE387" s="291"/>
      <c r="AF387" s="189"/>
      <c r="AI387" s="240">
        <f t="shared" si="59"/>
        <v>6376555</v>
      </c>
    </row>
    <row r="388" spans="3:36" s="39" customFormat="1" ht="36.75" customHeight="1">
      <c r="C388" s="313"/>
      <c r="D388" s="81" t="s">
        <v>162</v>
      </c>
      <c r="E388" s="79" t="s">
        <v>82</v>
      </c>
      <c r="F388" s="79"/>
      <c r="G388" s="79"/>
      <c r="H388" s="79" t="s">
        <v>46</v>
      </c>
      <c r="I388" s="79">
        <v>331</v>
      </c>
      <c r="J388" s="80">
        <v>2450000</v>
      </c>
      <c r="K388" s="80">
        <v>2450000</v>
      </c>
      <c r="L388" s="189">
        <v>2725951</v>
      </c>
      <c r="M388" s="189">
        <v>2725951</v>
      </c>
      <c r="N388" s="66">
        <f t="shared" si="66"/>
        <v>5175951</v>
      </c>
      <c r="O388" s="66">
        <f t="shared" si="67"/>
        <v>5175951</v>
      </c>
      <c r="P388" s="170" t="s">
        <v>286</v>
      </c>
      <c r="Q388" s="171">
        <v>2450000</v>
      </c>
      <c r="R388" s="171">
        <v>2450000</v>
      </c>
      <c r="S388" s="171">
        <v>2123531</v>
      </c>
      <c r="T388" s="171">
        <v>2123531</v>
      </c>
      <c r="U388" s="157">
        <f t="shared" si="68"/>
        <v>0</v>
      </c>
      <c r="V388" s="157">
        <f t="shared" si="69"/>
        <v>0</v>
      </c>
      <c r="W388" s="157">
        <f t="shared" si="70"/>
        <v>602420</v>
      </c>
      <c r="X388" s="157">
        <f t="shared" si="71"/>
        <v>602420</v>
      </c>
      <c r="Z388" s="218"/>
      <c r="AA388" s="253"/>
      <c r="AB388" s="288"/>
      <c r="AC388" s="289"/>
      <c r="AD388" s="289"/>
      <c r="AE388" s="291"/>
      <c r="AF388" s="189"/>
      <c r="AI388" s="240">
        <f t="shared" si="59"/>
        <v>5175951</v>
      </c>
    </row>
    <row r="389" spans="3:36" s="39" customFormat="1" ht="36.75" customHeight="1">
      <c r="C389" s="313"/>
      <c r="D389" s="81" t="s">
        <v>162</v>
      </c>
      <c r="E389" s="79" t="s">
        <v>81</v>
      </c>
      <c r="F389" s="79"/>
      <c r="G389" s="79"/>
      <c r="H389" s="79" t="s">
        <v>46</v>
      </c>
      <c r="I389" s="79">
        <v>310</v>
      </c>
      <c r="J389" s="80">
        <v>2350000</v>
      </c>
      <c r="K389" s="80">
        <v>2350000</v>
      </c>
      <c r="L389" s="189">
        <v>2553005</v>
      </c>
      <c r="M389" s="189">
        <v>2553005</v>
      </c>
      <c r="N389" s="66">
        <f t="shared" si="66"/>
        <v>4903005</v>
      </c>
      <c r="O389" s="66">
        <f t="shared" si="67"/>
        <v>4903005</v>
      </c>
      <c r="P389" s="170" t="s">
        <v>287</v>
      </c>
      <c r="Q389" s="171">
        <v>2350000</v>
      </c>
      <c r="R389" s="171">
        <v>2350000</v>
      </c>
      <c r="S389" s="171">
        <v>1988805</v>
      </c>
      <c r="T389" s="171">
        <v>1988805</v>
      </c>
      <c r="U389" s="157">
        <f t="shared" si="68"/>
        <v>0</v>
      </c>
      <c r="V389" s="157">
        <f t="shared" si="69"/>
        <v>0</v>
      </c>
      <c r="W389" s="157">
        <f t="shared" si="70"/>
        <v>564200</v>
      </c>
      <c r="X389" s="157">
        <f t="shared" si="71"/>
        <v>564200</v>
      </c>
      <c r="Z389" s="218"/>
      <c r="AA389" s="253"/>
      <c r="AB389" s="288"/>
      <c r="AC389" s="289"/>
      <c r="AD389" s="289"/>
      <c r="AE389" s="291"/>
      <c r="AF389" s="189"/>
      <c r="AI389" s="240">
        <f t="shared" si="59"/>
        <v>4903005</v>
      </c>
    </row>
    <row r="390" spans="3:36" s="39" customFormat="1" ht="36.75" customHeight="1">
      <c r="C390" s="313"/>
      <c r="D390" s="81" t="s">
        <v>162</v>
      </c>
      <c r="E390" s="79" t="s">
        <v>83</v>
      </c>
      <c r="F390" s="79"/>
      <c r="G390" s="79"/>
      <c r="H390" s="79" t="s">
        <v>46</v>
      </c>
      <c r="I390" s="79">
        <v>299</v>
      </c>
      <c r="J390" s="80">
        <v>2350000</v>
      </c>
      <c r="K390" s="80">
        <v>2350000</v>
      </c>
      <c r="L390" s="189">
        <v>2462415</v>
      </c>
      <c r="M390" s="189">
        <v>2462415</v>
      </c>
      <c r="N390" s="66">
        <f t="shared" si="66"/>
        <v>4812415</v>
      </c>
      <c r="O390" s="66">
        <f t="shared" si="67"/>
        <v>4812415</v>
      </c>
      <c r="P390" s="170" t="s">
        <v>288</v>
      </c>
      <c r="Q390" s="171">
        <v>2350000</v>
      </c>
      <c r="R390" s="171">
        <v>2350000</v>
      </c>
      <c r="S390" s="171">
        <v>1918235</v>
      </c>
      <c r="T390" s="171">
        <v>1918235</v>
      </c>
      <c r="U390" s="157">
        <f t="shared" si="68"/>
        <v>0</v>
      </c>
      <c r="V390" s="157">
        <f t="shared" si="69"/>
        <v>0</v>
      </c>
      <c r="W390" s="157">
        <f t="shared" si="70"/>
        <v>544180</v>
      </c>
      <c r="X390" s="157">
        <f t="shared" si="71"/>
        <v>544180</v>
      </c>
      <c r="Z390" s="218"/>
      <c r="AA390" s="253"/>
      <c r="AB390" s="288"/>
      <c r="AC390" s="289"/>
      <c r="AD390" s="289"/>
      <c r="AE390" s="291"/>
      <c r="AF390" s="189"/>
      <c r="AI390" s="240">
        <f t="shared" si="59"/>
        <v>4812415</v>
      </c>
    </row>
    <row r="391" spans="3:36" s="39" customFormat="1" ht="36.75" customHeight="1">
      <c r="C391" s="313"/>
      <c r="D391" s="81" t="s">
        <v>162</v>
      </c>
      <c r="E391" s="79" t="s">
        <v>82</v>
      </c>
      <c r="F391" s="79" t="s">
        <v>81</v>
      </c>
      <c r="G391" s="79"/>
      <c r="H391" s="79" t="s">
        <v>46</v>
      </c>
      <c r="I391" s="79">
        <v>356</v>
      </c>
      <c r="J391" s="80">
        <v>2850000</v>
      </c>
      <c r="K391" s="80">
        <v>2850000</v>
      </c>
      <c r="L391" s="189">
        <v>2931838</v>
      </c>
      <c r="M391" s="189">
        <v>2931838</v>
      </c>
      <c r="N391" s="66">
        <f t="shared" si="66"/>
        <v>5781838</v>
      </c>
      <c r="O391" s="66">
        <f t="shared" si="67"/>
        <v>5781838</v>
      </c>
      <c r="P391" s="170" t="s">
        <v>289</v>
      </c>
      <c r="Q391" s="171">
        <v>2850000</v>
      </c>
      <c r="R391" s="171">
        <v>2850000</v>
      </c>
      <c r="S391" s="171">
        <v>2283918</v>
      </c>
      <c r="T391" s="171">
        <v>2283918</v>
      </c>
      <c r="U391" s="157">
        <f t="shared" si="68"/>
        <v>0</v>
      </c>
      <c r="V391" s="157">
        <f t="shared" si="69"/>
        <v>0</v>
      </c>
      <c r="W391" s="157">
        <f t="shared" si="70"/>
        <v>647920</v>
      </c>
      <c r="X391" s="157">
        <f t="shared" si="71"/>
        <v>647920</v>
      </c>
      <c r="Z391" s="218"/>
      <c r="AA391" s="253"/>
      <c r="AB391" s="288"/>
      <c r="AC391" s="289"/>
      <c r="AD391" s="289"/>
      <c r="AE391" s="291"/>
      <c r="AF391" s="189"/>
      <c r="AI391" s="240">
        <f t="shared" si="59"/>
        <v>5781838</v>
      </c>
    </row>
    <row r="392" spans="3:36" s="39" customFormat="1" ht="36.75" customHeight="1">
      <c r="C392" s="313"/>
      <c r="D392" s="81" t="s">
        <v>162</v>
      </c>
      <c r="E392" s="79" t="s">
        <v>82</v>
      </c>
      <c r="F392" s="79" t="s">
        <v>83</v>
      </c>
      <c r="G392" s="79"/>
      <c r="H392" s="79" t="s">
        <v>46</v>
      </c>
      <c r="I392" s="79">
        <v>364</v>
      </c>
      <c r="J392" s="80">
        <v>2850000</v>
      </c>
      <c r="K392" s="80">
        <v>2850000</v>
      </c>
      <c r="L392" s="189">
        <v>2997722</v>
      </c>
      <c r="M392" s="189">
        <v>2997722</v>
      </c>
      <c r="N392" s="66">
        <f t="shared" si="66"/>
        <v>5847722</v>
      </c>
      <c r="O392" s="66">
        <f t="shared" si="67"/>
        <v>5847722</v>
      </c>
      <c r="P392" s="170" t="s">
        <v>290</v>
      </c>
      <c r="Q392" s="171">
        <v>2850000</v>
      </c>
      <c r="R392" s="171">
        <v>2850000</v>
      </c>
      <c r="S392" s="171">
        <v>2335242</v>
      </c>
      <c r="T392" s="171">
        <v>2335242</v>
      </c>
      <c r="U392" s="157">
        <f t="shared" si="68"/>
        <v>0</v>
      </c>
      <c r="V392" s="157">
        <f t="shared" si="69"/>
        <v>0</v>
      </c>
      <c r="W392" s="157">
        <f t="shared" si="70"/>
        <v>662480</v>
      </c>
      <c r="X392" s="157">
        <f t="shared" si="71"/>
        <v>662480</v>
      </c>
      <c r="Z392" s="218"/>
      <c r="AA392" s="253"/>
      <c r="AB392" s="288"/>
      <c r="AC392" s="289"/>
      <c r="AD392" s="289"/>
      <c r="AE392" s="291"/>
      <c r="AF392" s="189"/>
      <c r="AI392" s="240">
        <f t="shared" si="59"/>
        <v>5847722</v>
      </c>
    </row>
    <row r="393" spans="3:36" s="39" customFormat="1" ht="36.75" customHeight="1">
      <c r="C393" s="313"/>
      <c r="D393" s="81" t="s">
        <v>162</v>
      </c>
      <c r="E393" s="79" t="s">
        <v>81</v>
      </c>
      <c r="F393" s="79" t="s">
        <v>83</v>
      </c>
      <c r="G393" s="79"/>
      <c r="H393" s="79" t="s">
        <v>46</v>
      </c>
      <c r="I393" s="79">
        <v>319</v>
      </c>
      <c r="J393" s="80">
        <v>2550000</v>
      </c>
      <c r="K393" s="80">
        <v>2550000</v>
      </c>
      <c r="L393" s="189">
        <v>2627125</v>
      </c>
      <c r="M393" s="189">
        <v>2627125</v>
      </c>
      <c r="N393" s="66">
        <f t="shared" si="66"/>
        <v>5177125</v>
      </c>
      <c r="O393" s="66">
        <f t="shared" si="67"/>
        <v>5177125</v>
      </c>
      <c r="P393" s="170" t="s">
        <v>291</v>
      </c>
      <c r="Q393" s="171">
        <v>2550000</v>
      </c>
      <c r="R393" s="171">
        <v>2550000</v>
      </c>
      <c r="S393" s="171">
        <v>2046545</v>
      </c>
      <c r="T393" s="171">
        <v>2046545</v>
      </c>
      <c r="U393" s="157">
        <f t="shared" si="68"/>
        <v>0</v>
      </c>
      <c r="V393" s="157">
        <f t="shared" si="69"/>
        <v>0</v>
      </c>
      <c r="W393" s="157">
        <f t="shared" si="70"/>
        <v>580580</v>
      </c>
      <c r="X393" s="157">
        <f t="shared" si="71"/>
        <v>580580</v>
      </c>
      <c r="Z393" s="218"/>
      <c r="AA393" s="253"/>
      <c r="AB393" s="288"/>
      <c r="AC393" s="289"/>
      <c r="AD393" s="289"/>
      <c r="AE393" s="291"/>
      <c r="AF393" s="189"/>
      <c r="AI393" s="240">
        <f t="shared" si="59"/>
        <v>5177125</v>
      </c>
    </row>
    <row r="394" spans="3:36" s="39" customFormat="1" ht="36.75" customHeight="1">
      <c r="C394" s="314"/>
      <c r="D394" s="81" t="s">
        <v>162</v>
      </c>
      <c r="E394" s="79" t="s">
        <v>82</v>
      </c>
      <c r="F394" s="79" t="s">
        <v>81</v>
      </c>
      <c r="G394" s="79" t="s">
        <v>83</v>
      </c>
      <c r="H394" s="79" t="s">
        <v>46</v>
      </c>
      <c r="I394" s="79">
        <v>410</v>
      </c>
      <c r="J394" s="80">
        <v>3000000</v>
      </c>
      <c r="K394" s="80">
        <v>3000000</v>
      </c>
      <c r="L394" s="189">
        <v>3376555</v>
      </c>
      <c r="M394" s="189">
        <v>3376555</v>
      </c>
      <c r="N394" s="66">
        <f t="shared" si="66"/>
        <v>6376555</v>
      </c>
      <c r="O394" s="66">
        <f t="shared" si="67"/>
        <v>6376555</v>
      </c>
      <c r="P394" s="170" t="s">
        <v>292</v>
      </c>
      <c r="Q394" s="171">
        <v>3000000</v>
      </c>
      <c r="R394" s="171">
        <v>3000000</v>
      </c>
      <c r="S394" s="171">
        <v>2630355</v>
      </c>
      <c r="T394" s="171">
        <v>2630355</v>
      </c>
      <c r="U394" s="157">
        <f t="shared" si="68"/>
        <v>0</v>
      </c>
      <c r="V394" s="157">
        <f t="shared" si="69"/>
        <v>0</v>
      </c>
      <c r="W394" s="157">
        <f t="shared" si="70"/>
        <v>746200</v>
      </c>
      <c r="X394" s="157">
        <f t="shared" si="71"/>
        <v>746200</v>
      </c>
      <c r="Z394" s="218"/>
      <c r="AA394" s="253"/>
      <c r="AB394" s="288"/>
      <c r="AC394" s="289"/>
      <c r="AD394" s="289"/>
      <c r="AE394" s="291"/>
      <c r="AF394" s="189"/>
      <c r="AI394" s="240">
        <f t="shared" si="59"/>
        <v>6376555</v>
      </c>
    </row>
    <row r="395" spans="3:36" s="39" customFormat="1" ht="36.75" customHeight="1">
      <c r="C395" s="312" t="s">
        <v>56</v>
      </c>
      <c r="D395" s="145" t="s">
        <v>64</v>
      </c>
      <c r="E395" s="115" t="s">
        <v>87</v>
      </c>
      <c r="F395" s="115"/>
      <c r="G395" s="115"/>
      <c r="H395" s="115"/>
      <c r="I395" s="115">
        <v>144</v>
      </c>
      <c r="J395" s="116">
        <v>1785000</v>
      </c>
      <c r="K395" s="116">
        <v>1785000</v>
      </c>
      <c r="L395" s="189">
        <v>1355328</v>
      </c>
      <c r="M395" s="189">
        <v>1355328</v>
      </c>
      <c r="N395" s="66">
        <f t="shared" si="66"/>
        <v>3140328</v>
      </c>
      <c r="O395" s="66">
        <f t="shared" si="67"/>
        <v>3140328</v>
      </c>
      <c r="P395" s="170" t="s">
        <v>202</v>
      </c>
      <c r="Q395" s="171">
        <v>1785000</v>
      </c>
      <c r="R395" s="171">
        <v>1785000</v>
      </c>
      <c r="S395" s="171">
        <v>1055808</v>
      </c>
      <c r="T395" s="171">
        <v>1055808</v>
      </c>
      <c r="U395" s="157">
        <f t="shared" si="68"/>
        <v>0</v>
      </c>
      <c r="V395" s="157">
        <f t="shared" si="69"/>
        <v>0</v>
      </c>
      <c r="W395" s="157">
        <f t="shared" si="70"/>
        <v>299520</v>
      </c>
      <c r="X395" s="157">
        <f t="shared" si="71"/>
        <v>299520</v>
      </c>
      <c r="Z395" s="218">
        <f>O395+O396</f>
        <v>6744784</v>
      </c>
      <c r="AA395" s="253"/>
      <c r="AB395" s="288"/>
      <c r="AC395" s="289"/>
      <c r="AD395" s="289"/>
      <c r="AE395" s="291"/>
      <c r="AF395" s="189"/>
      <c r="AI395" s="240">
        <f t="shared" si="59"/>
        <v>3140328</v>
      </c>
      <c r="AJ395" s="259"/>
    </row>
    <row r="396" spans="3:36" s="39" customFormat="1" ht="36.75" customHeight="1">
      <c r="C396" s="313"/>
      <c r="D396" s="145" t="s">
        <v>87</v>
      </c>
      <c r="E396" s="115" t="s">
        <v>82</v>
      </c>
      <c r="F396" s="115"/>
      <c r="G396" s="115"/>
      <c r="H396" s="115" t="s">
        <v>46</v>
      </c>
      <c r="I396" s="115">
        <v>188</v>
      </c>
      <c r="J396" s="116">
        <v>1835000</v>
      </c>
      <c r="K396" s="116">
        <v>1835000</v>
      </c>
      <c r="L396" s="189">
        <v>1769456</v>
      </c>
      <c r="M396" s="189">
        <v>1769456</v>
      </c>
      <c r="N396" s="66">
        <f t="shared" si="66"/>
        <v>3604456</v>
      </c>
      <c r="O396" s="66">
        <f t="shared" si="67"/>
        <v>3604456</v>
      </c>
      <c r="P396" s="170" t="s">
        <v>293</v>
      </c>
      <c r="Q396" s="171">
        <v>1835000</v>
      </c>
      <c r="R396" s="171">
        <v>1835000</v>
      </c>
      <c r="S396" s="171">
        <v>1378416</v>
      </c>
      <c r="T396" s="171">
        <v>1378416</v>
      </c>
      <c r="U396" s="157">
        <f t="shared" si="68"/>
        <v>0</v>
      </c>
      <c r="V396" s="157">
        <f t="shared" si="69"/>
        <v>0</v>
      </c>
      <c r="W396" s="157">
        <f t="shared" si="70"/>
        <v>391040</v>
      </c>
      <c r="X396" s="157">
        <f t="shared" si="71"/>
        <v>391040</v>
      </c>
      <c r="Z396" s="218"/>
      <c r="AA396" s="253"/>
      <c r="AB396" s="288"/>
      <c r="AC396" s="289"/>
      <c r="AD396" s="289"/>
      <c r="AE396" s="291"/>
      <c r="AF396" s="189"/>
      <c r="AI396" s="240">
        <f t="shared" si="59"/>
        <v>3604456</v>
      </c>
      <c r="AJ396" s="259"/>
    </row>
    <row r="397" spans="3:36" s="39" customFormat="1" ht="36.75" customHeight="1">
      <c r="C397" s="313"/>
      <c r="D397" s="64" t="s">
        <v>64</v>
      </c>
      <c r="E397" s="64" t="s">
        <v>87</v>
      </c>
      <c r="F397" s="64"/>
      <c r="G397" s="64"/>
      <c r="H397" s="63"/>
      <c r="I397" s="63">
        <v>144</v>
      </c>
      <c r="J397" s="67">
        <v>1785000</v>
      </c>
      <c r="K397" s="67">
        <v>1785000</v>
      </c>
      <c r="L397" s="189">
        <v>1355328</v>
      </c>
      <c r="M397" s="189">
        <v>1355328</v>
      </c>
      <c r="N397" s="66">
        <f t="shared" si="66"/>
        <v>3140328</v>
      </c>
      <c r="O397" s="66">
        <f t="shared" si="67"/>
        <v>3140328</v>
      </c>
      <c r="P397" s="170" t="s">
        <v>202</v>
      </c>
      <c r="Q397" s="171">
        <v>1785000</v>
      </c>
      <c r="R397" s="171">
        <v>1785000</v>
      </c>
      <c r="S397" s="171">
        <v>1055808</v>
      </c>
      <c r="T397" s="171">
        <v>1055808</v>
      </c>
      <c r="U397" s="157">
        <f t="shared" si="68"/>
        <v>0</v>
      </c>
      <c r="V397" s="157">
        <f t="shared" si="69"/>
        <v>0</v>
      </c>
      <c r="W397" s="157">
        <f t="shared" si="70"/>
        <v>299520</v>
      </c>
      <c r="X397" s="157">
        <f t="shared" si="71"/>
        <v>299520</v>
      </c>
      <c r="Z397" s="218"/>
      <c r="AA397" s="253"/>
      <c r="AB397" s="288"/>
      <c r="AC397" s="289"/>
      <c r="AD397" s="289"/>
      <c r="AE397" s="291"/>
      <c r="AF397" s="189"/>
      <c r="AI397" s="240">
        <f t="shared" si="59"/>
        <v>3140328</v>
      </c>
    </row>
    <row r="398" spans="3:36" s="39" customFormat="1" ht="36.75" customHeight="1">
      <c r="C398" s="313"/>
      <c r="D398" s="64" t="s">
        <v>87</v>
      </c>
      <c r="E398" s="64" t="s">
        <v>81</v>
      </c>
      <c r="F398" s="64"/>
      <c r="G398" s="64"/>
      <c r="H398" s="63" t="s">
        <v>46</v>
      </c>
      <c r="I398" s="63">
        <v>212</v>
      </c>
      <c r="J398" s="67">
        <v>2000000</v>
      </c>
      <c r="K398" s="67">
        <v>2000000</v>
      </c>
      <c r="L398" s="189">
        <v>1995344</v>
      </c>
      <c r="M398" s="189">
        <v>1995344</v>
      </c>
      <c r="N398" s="66">
        <f t="shared" si="66"/>
        <v>3995344</v>
      </c>
      <c r="O398" s="66">
        <f t="shared" si="67"/>
        <v>3995344</v>
      </c>
      <c r="P398" s="170" t="s">
        <v>294</v>
      </c>
      <c r="Q398" s="171">
        <v>2000000</v>
      </c>
      <c r="R398" s="171">
        <v>2000000</v>
      </c>
      <c r="S398" s="171">
        <v>1554384</v>
      </c>
      <c r="T398" s="171">
        <v>1554384</v>
      </c>
      <c r="U398" s="157">
        <f t="shared" si="68"/>
        <v>0</v>
      </c>
      <c r="V398" s="157">
        <f t="shared" si="69"/>
        <v>0</v>
      </c>
      <c r="W398" s="157">
        <f t="shared" si="70"/>
        <v>440960</v>
      </c>
      <c r="X398" s="157">
        <f t="shared" si="71"/>
        <v>440960</v>
      </c>
      <c r="Z398" s="218"/>
      <c r="AA398" s="253"/>
      <c r="AB398" s="288"/>
      <c r="AC398" s="289"/>
      <c r="AD398" s="289"/>
      <c r="AE398" s="291"/>
      <c r="AF398" s="189"/>
      <c r="AI398" s="240">
        <f t="shared" si="59"/>
        <v>3995344</v>
      </c>
    </row>
    <row r="399" spans="3:36" s="39" customFormat="1" ht="36.75" customHeight="1">
      <c r="C399" s="313"/>
      <c r="D399" s="64" t="s">
        <v>64</v>
      </c>
      <c r="E399" s="64" t="s">
        <v>87</v>
      </c>
      <c r="F399" s="64"/>
      <c r="G399" s="64"/>
      <c r="H399" s="63"/>
      <c r="I399" s="63">
        <v>144</v>
      </c>
      <c r="J399" s="67">
        <v>1785000</v>
      </c>
      <c r="K399" s="67">
        <v>1785000</v>
      </c>
      <c r="L399" s="189">
        <v>1355328</v>
      </c>
      <c r="M399" s="189">
        <v>1355328</v>
      </c>
      <c r="N399" s="66">
        <f t="shared" si="66"/>
        <v>3140328</v>
      </c>
      <c r="O399" s="66">
        <f t="shared" si="67"/>
        <v>3140328</v>
      </c>
      <c r="P399" s="170" t="s">
        <v>202</v>
      </c>
      <c r="Q399" s="171">
        <v>1785000</v>
      </c>
      <c r="R399" s="171">
        <v>1785000</v>
      </c>
      <c r="S399" s="171">
        <v>1055808</v>
      </c>
      <c r="T399" s="171">
        <v>1055808</v>
      </c>
      <c r="U399" s="157">
        <f t="shared" si="68"/>
        <v>0</v>
      </c>
      <c r="V399" s="157">
        <f t="shared" si="69"/>
        <v>0</v>
      </c>
      <c r="W399" s="157">
        <f t="shared" si="70"/>
        <v>299520</v>
      </c>
      <c r="X399" s="157">
        <f t="shared" si="71"/>
        <v>299520</v>
      </c>
      <c r="Z399" s="218"/>
      <c r="AA399" s="253"/>
      <c r="AB399" s="288"/>
      <c r="AC399" s="289"/>
      <c r="AD399" s="289"/>
      <c r="AE399" s="291"/>
      <c r="AF399" s="189"/>
      <c r="AI399" s="240">
        <f t="shared" si="59"/>
        <v>3140328</v>
      </c>
    </row>
    <row r="400" spans="3:36" s="39" customFormat="1" ht="36.75" customHeight="1">
      <c r="C400" s="313"/>
      <c r="D400" s="145" t="s">
        <v>87</v>
      </c>
      <c r="E400" s="145" t="s">
        <v>83</v>
      </c>
      <c r="F400" s="145"/>
      <c r="G400" s="145"/>
      <c r="H400" s="115" t="s">
        <v>46</v>
      </c>
      <c r="I400" s="115">
        <v>221</v>
      </c>
      <c r="J400" s="146">
        <v>2000000</v>
      </c>
      <c r="K400" s="146">
        <v>2000000</v>
      </c>
      <c r="L400" s="189">
        <v>2080052</v>
      </c>
      <c r="M400" s="189">
        <v>2080052</v>
      </c>
      <c r="N400" s="66">
        <f t="shared" si="66"/>
        <v>4080052</v>
      </c>
      <c r="O400" s="66">
        <f t="shared" si="67"/>
        <v>4080052</v>
      </c>
      <c r="P400" s="170" t="s">
        <v>295</v>
      </c>
      <c r="Q400" s="171">
        <v>2000000</v>
      </c>
      <c r="R400" s="171">
        <v>2000000</v>
      </c>
      <c r="S400" s="171">
        <v>1620372</v>
      </c>
      <c r="T400" s="171">
        <v>1620372</v>
      </c>
      <c r="U400" s="157">
        <f t="shared" si="68"/>
        <v>0</v>
      </c>
      <c r="V400" s="157">
        <f t="shared" si="69"/>
        <v>0</v>
      </c>
      <c r="W400" s="157">
        <f t="shared" si="70"/>
        <v>459680</v>
      </c>
      <c r="X400" s="157">
        <f t="shared" si="71"/>
        <v>459680</v>
      </c>
      <c r="Z400" s="218"/>
      <c r="AA400" s="253"/>
      <c r="AB400" s="288"/>
      <c r="AC400" s="289"/>
      <c r="AD400" s="289"/>
      <c r="AE400" s="291"/>
      <c r="AF400" s="189"/>
      <c r="AI400" s="240">
        <f t="shared" si="59"/>
        <v>4080052</v>
      </c>
    </row>
    <row r="401" spans="2:35" s="84" customFormat="1" ht="36.75" customHeight="1">
      <c r="B401" s="83"/>
      <c r="C401" s="313"/>
      <c r="D401" s="64" t="s">
        <v>64</v>
      </c>
      <c r="E401" s="64" t="s">
        <v>88</v>
      </c>
      <c r="F401" s="64"/>
      <c r="G401" s="64"/>
      <c r="H401" s="63"/>
      <c r="I401" s="63">
        <v>133</v>
      </c>
      <c r="J401" s="65">
        <v>1790000</v>
      </c>
      <c r="K401" s="65">
        <v>1790000</v>
      </c>
      <c r="L401" s="189">
        <v>1251796</v>
      </c>
      <c r="M401" s="189">
        <v>1251796</v>
      </c>
      <c r="N401" s="66">
        <f t="shared" si="66"/>
        <v>3041796</v>
      </c>
      <c r="O401" s="66">
        <f t="shared" si="67"/>
        <v>3041796</v>
      </c>
      <c r="P401" s="170" t="s">
        <v>206</v>
      </c>
      <c r="Q401" s="171">
        <v>1790000</v>
      </c>
      <c r="R401" s="171">
        <v>1790000</v>
      </c>
      <c r="S401" s="171">
        <v>975156</v>
      </c>
      <c r="T401" s="171">
        <v>975156</v>
      </c>
      <c r="U401" s="157">
        <f t="shared" si="68"/>
        <v>0</v>
      </c>
      <c r="V401" s="157">
        <f t="shared" si="69"/>
        <v>0</v>
      </c>
      <c r="W401" s="157">
        <f t="shared" si="70"/>
        <v>276640</v>
      </c>
      <c r="X401" s="157">
        <f t="shared" si="71"/>
        <v>276640</v>
      </c>
      <c r="Z401" s="218"/>
      <c r="AA401" s="253"/>
      <c r="AB401" s="288"/>
      <c r="AC401" s="289"/>
      <c r="AD401" s="289"/>
      <c r="AE401" s="291"/>
      <c r="AF401" s="189"/>
      <c r="AI401" s="240">
        <f t="shared" ref="AI401:AI464" si="72">O401</f>
        <v>3041796</v>
      </c>
    </row>
    <row r="402" spans="2:35" s="84" customFormat="1" ht="36.75" customHeight="1">
      <c r="B402" s="83"/>
      <c r="C402" s="313"/>
      <c r="D402" s="64" t="s">
        <v>88</v>
      </c>
      <c r="E402" s="64" t="s">
        <v>82</v>
      </c>
      <c r="F402" s="64"/>
      <c r="G402" s="64"/>
      <c r="H402" s="63" t="s">
        <v>46</v>
      </c>
      <c r="I402" s="63">
        <v>223</v>
      </c>
      <c r="J402" s="65">
        <v>2000000</v>
      </c>
      <c r="K402" s="65">
        <v>2000000</v>
      </c>
      <c r="L402" s="189">
        <v>2098876</v>
      </c>
      <c r="M402" s="189">
        <v>2098876</v>
      </c>
      <c r="N402" s="66">
        <f t="shared" si="66"/>
        <v>4098876</v>
      </c>
      <c r="O402" s="66">
        <f t="shared" si="67"/>
        <v>4098876</v>
      </c>
      <c r="P402" s="170" t="s">
        <v>296</v>
      </c>
      <c r="Q402" s="171">
        <v>2000000</v>
      </c>
      <c r="R402" s="171">
        <v>2000000</v>
      </c>
      <c r="S402" s="171">
        <v>1635036</v>
      </c>
      <c r="T402" s="171">
        <v>1635036</v>
      </c>
      <c r="U402" s="157">
        <f t="shared" si="68"/>
        <v>0</v>
      </c>
      <c r="V402" s="157">
        <f t="shared" si="69"/>
        <v>0</v>
      </c>
      <c r="W402" s="157">
        <f t="shared" si="70"/>
        <v>463840</v>
      </c>
      <c r="X402" s="157">
        <f t="shared" si="71"/>
        <v>463840</v>
      </c>
      <c r="Z402" s="218"/>
      <c r="AA402" s="253"/>
      <c r="AB402" s="288"/>
      <c r="AC402" s="289"/>
      <c r="AD402" s="289"/>
      <c r="AE402" s="291"/>
      <c r="AF402" s="189"/>
      <c r="AH402" s="265" t="s">
        <v>467</v>
      </c>
      <c r="AI402" s="240">
        <f t="shared" si="72"/>
        <v>4098876</v>
      </c>
    </row>
    <row r="403" spans="2:35" s="84" customFormat="1" ht="36.75" customHeight="1">
      <c r="B403" s="83"/>
      <c r="C403" s="313"/>
      <c r="D403" s="64" t="s">
        <v>64</v>
      </c>
      <c r="E403" s="81" t="s">
        <v>88</v>
      </c>
      <c r="F403" s="81"/>
      <c r="G403" s="81"/>
      <c r="H403" s="79"/>
      <c r="I403" s="79">
        <v>133</v>
      </c>
      <c r="J403" s="80">
        <v>1790000</v>
      </c>
      <c r="K403" s="80">
        <v>1790000</v>
      </c>
      <c r="L403" s="189">
        <v>1251796</v>
      </c>
      <c r="M403" s="189">
        <v>1251796</v>
      </c>
      <c r="N403" s="66">
        <f t="shared" si="66"/>
        <v>3041796</v>
      </c>
      <c r="O403" s="66">
        <f t="shared" si="67"/>
        <v>3041796</v>
      </c>
      <c r="P403" s="170" t="s">
        <v>206</v>
      </c>
      <c r="Q403" s="171">
        <v>1790000</v>
      </c>
      <c r="R403" s="171">
        <v>1790000</v>
      </c>
      <c r="S403" s="171">
        <v>975156</v>
      </c>
      <c r="T403" s="171">
        <v>975156</v>
      </c>
      <c r="U403" s="157">
        <f t="shared" si="68"/>
        <v>0</v>
      </c>
      <c r="V403" s="157">
        <f t="shared" si="69"/>
        <v>0</v>
      </c>
      <c r="W403" s="157">
        <f t="shared" si="70"/>
        <v>276640</v>
      </c>
      <c r="X403" s="157">
        <f t="shared" si="71"/>
        <v>276640</v>
      </c>
      <c r="Z403" s="218"/>
      <c r="AA403" s="253"/>
      <c r="AB403" s="288"/>
      <c r="AC403" s="289"/>
      <c r="AD403" s="289"/>
      <c r="AE403" s="291"/>
      <c r="AF403" s="189"/>
      <c r="AI403" s="240">
        <f t="shared" si="72"/>
        <v>3041796</v>
      </c>
    </row>
    <row r="404" spans="2:35" s="84" customFormat="1" ht="36.75" customHeight="1">
      <c r="B404" s="83"/>
      <c r="C404" s="313"/>
      <c r="D404" s="81" t="s">
        <v>88</v>
      </c>
      <c r="E404" s="81" t="s">
        <v>81</v>
      </c>
      <c r="F404" s="81"/>
      <c r="G404" s="81"/>
      <c r="H404" s="79" t="s">
        <v>46</v>
      </c>
      <c r="I404" s="79">
        <v>177</v>
      </c>
      <c r="J404" s="80">
        <v>1840000</v>
      </c>
      <c r="K404" s="80">
        <v>1840000</v>
      </c>
      <c r="L404" s="189">
        <v>1665924</v>
      </c>
      <c r="M404" s="189">
        <v>1665924</v>
      </c>
      <c r="N404" s="66">
        <f t="shared" si="66"/>
        <v>3505924</v>
      </c>
      <c r="O404" s="66">
        <f t="shared" si="67"/>
        <v>3505924</v>
      </c>
      <c r="P404" s="170" t="s">
        <v>297</v>
      </c>
      <c r="Q404" s="171">
        <v>1840000</v>
      </c>
      <c r="R404" s="171">
        <v>1840000</v>
      </c>
      <c r="S404" s="171">
        <v>1297764</v>
      </c>
      <c r="T404" s="171">
        <v>1297764</v>
      </c>
      <c r="U404" s="157">
        <f t="shared" si="68"/>
        <v>0</v>
      </c>
      <c r="V404" s="157">
        <f t="shared" si="69"/>
        <v>0</v>
      </c>
      <c r="W404" s="157">
        <f t="shared" si="70"/>
        <v>368160</v>
      </c>
      <c r="X404" s="157">
        <f t="shared" si="71"/>
        <v>368160</v>
      </c>
      <c r="Z404" s="218"/>
      <c r="AA404" s="253"/>
      <c r="AB404" s="288"/>
      <c r="AC404" s="289"/>
      <c r="AD404" s="289"/>
      <c r="AE404" s="291"/>
      <c r="AF404" s="189"/>
      <c r="AH404" s="265" t="s">
        <v>468</v>
      </c>
      <c r="AI404" s="240">
        <f t="shared" si="72"/>
        <v>3505924</v>
      </c>
    </row>
    <row r="405" spans="2:35" s="84" customFormat="1" ht="36.75" customHeight="1">
      <c r="B405" s="83"/>
      <c r="C405" s="313"/>
      <c r="D405" s="64" t="s">
        <v>64</v>
      </c>
      <c r="E405" s="81" t="s">
        <v>88</v>
      </c>
      <c r="F405" s="81"/>
      <c r="G405" s="81"/>
      <c r="H405" s="79"/>
      <c r="I405" s="79">
        <v>133</v>
      </c>
      <c r="J405" s="80">
        <v>1790000</v>
      </c>
      <c r="K405" s="80">
        <v>1790000</v>
      </c>
      <c r="L405" s="189">
        <v>1251796</v>
      </c>
      <c r="M405" s="189">
        <v>1251796</v>
      </c>
      <c r="N405" s="66">
        <f t="shared" si="66"/>
        <v>3041796</v>
      </c>
      <c r="O405" s="66">
        <f t="shared" si="67"/>
        <v>3041796</v>
      </c>
      <c r="P405" s="170" t="s">
        <v>206</v>
      </c>
      <c r="Q405" s="171">
        <v>1790000</v>
      </c>
      <c r="R405" s="171">
        <v>1790000</v>
      </c>
      <c r="S405" s="171">
        <v>975156</v>
      </c>
      <c r="T405" s="171">
        <v>975156</v>
      </c>
      <c r="U405" s="157">
        <f t="shared" si="68"/>
        <v>0</v>
      </c>
      <c r="V405" s="157">
        <f t="shared" si="69"/>
        <v>0</v>
      </c>
      <c r="W405" s="157">
        <f t="shared" si="70"/>
        <v>276640</v>
      </c>
      <c r="X405" s="157">
        <f t="shared" si="71"/>
        <v>276640</v>
      </c>
      <c r="Z405" s="218"/>
      <c r="AA405" s="253"/>
      <c r="AB405" s="288"/>
      <c r="AC405" s="289"/>
      <c r="AD405" s="289"/>
      <c r="AE405" s="291"/>
      <c r="AF405" s="189"/>
      <c r="AI405" s="240">
        <f t="shared" si="72"/>
        <v>3041796</v>
      </c>
    </row>
    <row r="406" spans="2:35" s="84" customFormat="1" ht="36.75" customHeight="1">
      <c r="B406" s="83"/>
      <c r="C406" s="313"/>
      <c r="D406" s="81" t="s">
        <v>88</v>
      </c>
      <c r="E406" s="81" t="s">
        <v>83</v>
      </c>
      <c r="F406" s="81"/>
      <c r="G406" s="81"/>
      <c r="H406" s="79" t="s">
        <v>46</v>
      </c>
      <c r="I406" s="79">
        <v>186</v>
      </c>
      <c r="J406" s="80">
        <v>2000000</v>
      </c>
      <c r="K406" s="80">
        <v>2000000</v>
      </c>
      <c r="L406" s="189">
        <v>1750632</v>
      </c>
      <c r="M406" s="189">
        <v>1750632</v>
      </c>
      <c r="N406" s="66">
        <f t="shared" si="66"/>
        <v>3750632</v>
      </c>
      <c r="O406" s="66">
        <f t="shared" si="67"/>
        <v>3750632</v>
      </c>
      <c r="P406" s="170" t="s">
        <v>298</v>
      </c>
      <c r="Q406" s="171">
        <v>2000000</v>
      </c>
      <c r="R406" s="171">
        <v>2000000</v>
      </c>
      <c r="S406" s="171">
        <v>1363752</v>
      </c>
      <c r="T406" s="171">
        <v>1363752</v>
      </c>
      <c r="U406" s="157">
        <f t="shared" si="68"/>
        <v>0</v>
      </c>
      <c r="V406" s="157">
        <f t="shared" si="69"/>
        <v>0</v>
      </c>
      <c r="W406" s="157">
        <f t="shared" si="70"/>
        <v>386880</v>
      </c>
      <c r="X406" s="157">
        <f t="shared" si="71"/>
        <v>386880</v>
      </c>
      <c r="Z406" s="218"/>
      <c r="AA406" s="253"/>
      <c r="AB406" s="288"/>
      <c r="AC406" s="289"/>
      <c r="AD406" s="289"/>
      <c r="AE406" s="291"/>
      <c r="AF406" s="189"/>
      <c r="AH406" s="265" t="s">
        <v>469</v>
      </c>
      <c r="AI406" s="240">
        <f t="shared" si="72"/>
        <v>3750632</v>
      </c>
    </row>
    <row r="407" spans="2:35" s="84" customFormat="1" ht="36.75" customHeight="1">
      <c r="B407" s="83"/>
      <c r="C407" s="313"/>
      <c r="D407" s="145" t="s">
        <v>64</v>
      </c>
      <c r="E407" s="145" t="s">
        <v>89</v>
      </c>
      <c r="F407" s="145"/>
      <c r="G407" s="145"/>
      <c r="H407" s="115"/>
      <c r="I407" s="115">
        <v>122</v>
      </c>
      <c r="J407" s="116">
        <v>1790000</v>
      </c>
      <c r="K407" s="116">
        <v>1790000</v>
      </c>
      <c r="L407" s="189">
        <v>1148264</v>
      </c>
      <c r="M407" s="189">
        <v>1148264</v>
      </c>
      <c r="N407" s="66">
        <f t="shared" si="66"/>
        <v>2938264</v>
      </c>
      <c r="O407" s="66">
        <f t="shared" si="67"/>
        <v>2938264</v>
      </c>
      <c r="P407" s="170" t="s">
        <v>210</v>
      </c>
      <c r="Q407" s="171">
        <v>1790000</v>
      </c>
      <c r="R407" s="171">
        <v>1790000</v>
      </c>
      <c r="S407" s="171">
        <v>894504</v>
      </c>
      <c r="T407" s="171">
        <v>894504</v>
      </c>
      <c r="U407" s="157">
        <f t="shared" si="68"/>
        <v>0</v>
      </c>
      <c r="V407" s="157">
        <f t="shared" si="69"/>
        <v>0</v>
      </c>
      <c r="W407" s="157">
        <f t="shared" si="70"/>
        <v>253760</v>
      </c>
      <c r="X407" s="157">
        <f t="shared" si="71"/>
        <v>253760</v>
      </c>
      <c r="Z407" s="218"/>
      <c r="AA407" s="253"/>
      <c r="AB407" s="288"/>
      <c r="AC407" s="289"/>
      <c r="AD407" s="289"/>
      <c r="AE407" s="291"/>
      <c r="AF407" s="189"/>
      <c r="AI407" s="240">
        <f t="shared" si="72"/>
        <v>2938264</v>
      </c>
    </row>
    <row r="408" spans="2:35" s="84" customFormat="1" ht="36.75" customHeight="1">
      <c r="B408" s="83"/>
      <c r="C408" s="313"/>
      <c r="D408" s="145" t="s">
        <v>89</v>
      </c>
      <c r="E408" s="145" t="s">
        <v>82</v>
      </c>
      <c r="F408" s="145"/>
      <c r="G408" s="145"/>
      <c r="H408" s="115" t="s">
        <v>46</v>
      </c>
      <c r="I408" s="115">
        <v>243</v>
      </c>
      <c r="J408" s="116">
        <v>2000000</v>
      </c>
      <c r="K408" s="116">
        <v>2000000</v>
      </c>
      <c r="L408" s="189">
        <v>2287116</v>
      </c>
      <c r="M408" s="189">
        <v>2287116</v>
      </c>
      <c r="N408" s="66">
        <f t="shared" si="66"/>
        <v>4287116</v>
      </c>
      <c r="O408" s="66">
        <f t="shared" si="67"/>
        <v>4287116</v>
      </c>
      <c r="P408" s="170" t="s">
        <v>299</v>
      </c>
      <c r="Q408" s="171">
        <v>2000000</v>
      </c>
      <c r="R408" s="171">
        <v>2000000</v>
      </c>
      <c r="S408" s="171">
        <v>1781676</v>
      </c>
      <c r="T408" s="171">
        <v>1781676</v>
      </c>
      <c r="U408" s="157">
        <f t="shared" si="68"/>
        <v>0</v>
      </c>
      <c r="V408" s="157">
        <f t="shared" si="69"/>
        <v>0</v>
      </c>
      <c r="W408" s="157">
        <f t="shared" si="70"/>
        <v>505440</v>
      </c>
      <c r="X408" s="157">
        <f t="shared" si="71"/>
        <v>505440</v>
      </c>
      <c r="Z408" s="218"/>
      <c r="AA408" s="253"/>
      <c r="AB408" s="288"/>
      <c r="AC408" s="289"/>
      <c r="AD408" s="289"/>
      <c r="AE408" s="291"/>
      <c r="AF408" s="189"/>
      <c r="AH408" s="265" t="s">
        <v>470</v>
      </c>
      <c r="AI408" s="240">
        <f t="shared" si="72"/>
        <v>4287116</v>
      </c>
    </row>
    <row r="409" spans="2:35" s="84" customFormat="1" ht="36.75" customHeight="1">
      <c r="B409" s="83"/>
      <c r="C409" s="313"/>
      <c r="D409" s="64" t="s">
        <v>64</v>
      </c>
      <c r="E409" s="81" t="s">
        <v>89</v>
      </c>
      <c r="F409" s="81"/>
      <c r="G409" s="81"/>
      <c r="H409" s="79"/>
      <c r="I409" s="79">
        <v>122</v>
      </c>
      <c r="J409" s="80">
        <v>1790000</v>
      </c>
      <c r="K409" s="80">
        <v>1790000</v>
      </c>
      <c r="L409" s="189">
        <v>1148264</v>
      </c>
      <c r="M409" s="189">
        <v>1148264</v>
      </c>
      <c r="N409" s="66">
        <f t="shared" si="66"/>
        <v>2938264</v>
      </c>
      <c r="O409" s="66">
        <f t="shared" si="67"/>
        <v>2938264</v>
      </c>
      <c r="P409" s="170" t="s">
        <v>210</v>
      </c>
      <c r="Q409" s="171">
        <v>1790000</v>
      </c>
      <c r="R409" s="171">
        <v>1790000</v>
      </c>
      <c r="S409" s="171">
        <v>894504</v>
      </c>
      <c r="T409" s="171">
        <v>894504</v>
      </c>
      <c r="U409" s="157">
        <f t="shared" si="68"/>
        <v>0</v>
      </c>
      <c r="V409" s="157">
        <f t="shared" si="69"/>
        <v>0</v>
      </c>
      <c r="W409" s="157">
        <f t="shared" si="70"/>
        <v>253760</v>
      </c>
      <c r="X409" s="157">
        <f t="shared" si="71"/>
        <v>253760</v>
      </c>
      <c r="Z409" s="218"/>
      <c r="AA409" s="253"/>
      <c r="AB409" s="288"/>
      <c r="AC409" s="289"/>
      <c r="AD409" s="289"/>
      <c r="AE409" s="291"/>
      <c r="AF409" s="189"/>
      <c r="AI409" s="240">
        <f t="shared" si="72"/>
        <v>2938264</v>
      </c>
    </row>
    <row r="410" spans="2:35" s="84" customFormat="1" ht="36.75" customHeight="1">
      <c r="B410" s="83"/>
      <c r="C410" s="313"/>
      <c r="D410" s="81" t="s">
        <v>89</v>
      </c>
      <c r="E410" s="81" t="s">
        <v>81</v>
      </c>
      <c r="F410" s="81"/>
      <c r="G410" s="81"/>
      <c r="H410" s="79" t="s">
        <v>46</v>
      </c>
      <c r="I410" s="79">
        <v>197</v>
      </c>
      <c r="J410" s="80">
        <v>2000000</v>
      </c>
      <c r="K410" s="80">
        <v>2000000</v>
      </c>
      <c r="L410" s="189">
        <v>1854164</v>
      </c>
      <c r="M410" s="189">
        <v>1854164</v>
      </c>
      <c r="N410" s="66">
        <f t="shared" si="66"/>
        <v>3854164</v>
      </c>
      <c r="O410" s="66">
        <f t="shared" si="67"/>
        <v>3854164</v>
      </c>
      <c r="P410" s="170" t="s">
        <v>300</v>
      </c>
      <c r="Q410" s="171">
        <v>2000000</v>
      </c>
      <c r="R410" s="171">
        <v>2000000</v>
      </c>
      <c r="S410" s="171">
        <v>1444404</v>
      </c>
      <c r="T410" s="171">
        <v>1444404</v>
      </c>
      <c r="U410" s="157">
        <f t="shared" si="68"/>
        <v>0</v>
      </c>
      <c r="V410" s="157">
        <f t="shared" si="69"/>
        <v>0</v>
      </c>
      <c r="W410" s="157">
        <f t="shared" si="70"/>
        <v>409760</v>
      </c>
      <c r="X410" s="157">
        <f t="shared" si="71"/>
        <v>409760</v>
      </c>
      <c r="Z410" s="218"/>
      <c r="AA410" s="253"/>
      <c r="AB410" s="288"/>
      <c r="AC410" s="289"/>
      <c r="AD410" s="289"/>
      <c r="AE410" s="291"/>
      <c r="AF410" s="189"/>
      <c r="AI410" s="240">
        <f t="shared" si="72"/>
        <v>3854164</v>
      </c>
    </row>
    <row r="411" spans="2:35" s="84" customFormat="1" ht="36.75" customHeight="1">
      <c r="B411" s="83"/>
      <c r="C411" s="313"/>
      <c r="D411" s="130" t="s">
        <v>64</v>
      </c>
      <c r="E411" s="132" t="s">
        <v>89</v>
      </c>
      <c r="F411" s="132"/>
      <c r="G411" s="132"/>
      <c r="H411" s="133"/>
      <c r="I411" s="133">
        <v>122</v>
      </c>
      <c r="J411" s="134">
        <v>1790000</v>
      </c>
      <c r="K411" s="134">
        <v>1790000</v>
      </c>
      <c r="L411" s="189">
        <v>1148264</v>
      </c>
      <c r="M411" s="189">
        <v>1148264</v>
      </c>
      <c r="N411" s="66">
        <f t="shared" si="66"/>
        <v>2938264</v>
      </c>
      <c r="O411" s="66">
        <f t="shared" si="67"/>
        <v>2938264</v>
      </c>
      <c r="P411" s="170" t="s">
        <v>210</v>
      </c>
      <c r="Q411" s="171">
        <v>1790000</v>
      </c>
      <c r="R411" s="171">
        <v>1790000</v>
      </c>
      <c r="S411" s="171">
        <v>894504</v>
      </c>
      <c r="T411" s="171">
        <v>894504</v>
      </c>
      <c r="U411" s="157">
        <f t="shared" si="68"/>
        <v>0</v>
      </c>
      <c r="V411" s="157">
        <f t="shared" si="69"/>
        <v>0</v>
      </c>
      <c r="W411" s="157">
        <f t="shared" si="70"/>
        <v>253760</v>
      </c>
      <c r="X411" s="157">
        <f t="shared" si="71"/>
        <v>253760</v>
      </c>
      <c r="Z411" s="218"/>
      <c r="AA411" s="253"/>
      <c r="AB411" s="288"/>
      <c r="AC411" s="289"/>
      <c r="AD411" s="289"/>
      <c r="AE411" s="291"/>
      <c r="AF411" s="189"/>
      <c r="AI411" s="240">
        <f t="shared" si="72"/>
        <v>2938264</v>
      </c>
    </row>
    <row r="412" spans="2:35" s="84" customFormat="1" ht="36.75" customHeight="1">
      <c r="B412" s="83"/>
      <c r="C412" s="313"/>
      <c r="D412" s="132" t="s">
        <v>89</v>
      </c>
      <c r="E412" s="132" t="s">
        <v>83</v>
      </c>
      <c r="F412" s="132"/>
      <c r="G412" s="132"/>
      <c r="H412" s="133" t="s">
        <v>46</v>
      </c>
      <c r="I412" s="133">
        <v>166</v>
      </c>
      <c r="J412" s="134">
        <v>1840000</v>
      </c>
      <c r="K412" s="134">
        <v>1840000</v>
      </c>
      <c r="L412" s="189">
        <v>1562392</v>
      </c>
      <c r="M412" s="189">
        <v>1562392</v>
      </c>
      <c r="N412" s="66">
        <f t="shared" si="66"/>
        <v>3402392</v>
      </c>
      <c r="O412" s="66">
        <f t="shared" si="67"/>
        <v>3402392</v>
      </c>
      <c r="P412" s="170" t="s">
        <v>301</v>
      </c>
      <c r="Q412" s="171">
        <v>1840000</v>
      </c>
      <c r="R412" s="171">
        <v>1840000</v>
      </c>
      <c r="S412" s="171">
        <v>1217112</v>
      </c>
      <c r="T412" s="171">
        <v>1217112</v>
      </c>
      <c r="U412" s="157">
        <f t="shared" si="68"/>
        <v>0</v>
      </c>
      <c r="V412" s="157">
        <f t="shared" si="69"/>
        <v>0</v>
      </c>
      <c r="W412" s="157">
        <f t="shared" si="70"/>
        <v>345280</v>
      </c>
      <c r="X412" s="157">
        <f t="shared" si="71"/>
        <v>345280</v>
      </c>
      <c r="Z412" s="218"/>
      <c r="AA412" s="253"/>
      <c r="AB412" s="288"/>
      <c r="AC412" s="289"/>
      <c r="AD412" s="289"/>
      <c r="AE412" s="291"/>
      <c r="AF412" s="189"/>
      <c r="AI412" s="240">
        <f t="shared" si="72"/>
        <v>3402392</v>
      </c>
    </row>
    <row r="413" spans="2:35" s="84" customFormat="1" ht="36.75" customHeight="1">
      <c r="B413" s="83"/>
      <c r="C413" s="315" t="s">
        <v>40</v>
      </c>
      <c r="D413" s="316" t="s">
        <v>39</v>
      </c>
      <c r="E413" s="317"/>
      <c r="F413" s="317"/>
      <c r="G413" s="317"/>
      <c r="H413" s="318"/>
      <c r="I413" s="319" t="s">
        <v>41</v>
      </c>
      <c r="J413" s="320" t="s">
        <v>69</v>
      </c>
      <c r="K413" s="320"/>
      <c r="L413" s="307" t="s">
        <v>38</v>
      </c>
      <c r="M413" s="308"/>
      <c r="N413" s="311" t="s">
        <v>13</v>
      </c>
      <c r="O413" s="311"/>
      <c r="P413" s="170"/>
      <c r="Q413" s="171"/>
      <c r="R413" s="171"/>
      <c r="S413" s="171"/>
      <c r="T413" s="171"/>
      <c r="U413" s="157"/>
      <c r="V413" s="157"/>
      <c r="W413" s="157"/>
      <c r="X413" s="157"/>
      <c r="Z413" s="218"/>
      <c r="AA413" s="253"/>
      <c r="AB413" s="288"/>
      <c r="AC413" s="289"/>
      <c r="AD413" s="289"/>
      <c r="AE413" s="307"/>
      <c r="AF413" s="308"/>
      <c r="AI413" s="240">
        <f t="shared" si="72"/>
        <v>0</v>
      </c>
    </row>
    <row r="414" spans="2:35" s="84" customFormat="1" ht="36.75" customHeight="1">
      <c r="B414" s="83"/>
      <c r="C414" s="301"/>
      <c r="D414" s="117" t="s">
        <v>15</v>
      </c>
      <c r="E414" s="117" t="s">
        <v>16</v>
      </c>
      <c r="F414" s="117" t="s">
        <v>16</v>
      </c>
      <c r="G414" s="117" t="s">
        <v>16</v>
      </c>
      <c r="H414" s="117" t="s">
        <v>16</v>
      </c>
      <c r="I414" s="301"/>
      <c r="J414" s="117" t="s">
        <v>35</v>
      </c>
      <c r="K414" s="117" t="s">
        <v>36</v>
      </c>
      <c r="L414" s="190" t="s">
        <v>35</v>
      </c>
      <c r="M414" s="190" t="s">
        <v>36</v>
      </c>
      <c r="N414" s="117" t="s">
        <v>35</v>
      </c>
      <c r="O414" s="117" t="s">
        <v>36</v>
      </c>
      <c r="P414" s="170"/>
      <c r="Q414" s="171"/>
      <c r="R414" s="171"/>
      <c r="S414" s="171"/>
      <c r="T414" s="171"/>
      <c r="U414" s="157"/>
      <c r="V414" s="157"/>
      <c r="W414" s="157"/>
      <c r="X414" s="157"/>
      <c r="Z414" s="218"/>
      <c r="AA414" s="253"/>
      <c r="AB414" s="288"/>
      <c r="AC414" s="289"/>
      <c r="AD414" s="289"/>
      <c r="AE414" s="293"/>
      <c r="AF414" s="190"/>
      <c r="AI414" s="240" t="str">
        <f t="shared" si="72"/>
        <v>20FT</v>
      </c>
    </row>
    <row r="415" spans="2:35" s="84" customFormat="1" ht="35.25" customHeight="1">
      <c r="B415" s="83"/>
      <c r="C415" s="312" t="s">
        <v>56</v>
      </c>
      <c r="D415" s="132" t="s">
        <v>86</v>
      </c>
      <c r="E415" s="132" t="s">
        <v>90</v>
      </c>
      <c r="F415" s="132"/>
      <c r="G415" s="132"/>
      <c r="H415" s="132"/>
      <c r="I415" s="133">
        <v>85</v>
      </c>
      <c r="J415" s="134">
        <v>1350000</v>
      </c>
      <c r="K415" s="134">
        <v>1350000</v>
      </c>
      <c r="L415" s="189">
        <v>800020</v>
      </c>
      <c r="M415" s="189">
        <v>800020</v>
      </c>
      <c r="N415" s="66">
        <f t="shared" si="66"/>
        <v>2150020</v>
      </c>
      <c r="O415" s="66">
        <f t="shared" si="67"/>
        <v>2150020</v>
      </c>
      <c r="P415" s="170" t="s">
        <v>214</v>
      </c>
      <c r="Q415" s="171">
        <v>1350000</v>
      </c>
      <c r="R415" s="171">
        <v>1350000</v>
      </c>
      <c r="S415" s="171">
        <v>623220</v>
      </c>
      <c r="T415" s="171">
        <v>623220</v>
      </c>
      <c r="U415" s="157">
        <f t="shared" si="68"/>
        <v>0</v>
      </c>
      <c r="V415" s="157">
        <f t="shared" si="69"/>
        <v>0</v>
      </c>
      <c r="W415" s="157">
        <f t="shared" si="70"/>
        <v>176800</v>
      </c>
      <c r="X415" s="157">
        <f t="shared" si="71"/>
        <v>176800</v>
      </c>
      <c r="Z415" s="218"/>
      <c r="AA415" s="253"/>
      <c r="AB415" s="288"/>
      <c r="AC415" s="289"/>
      <c r="AD415" s="289"/>
      <c r="AE415" s="291"/>
      <c r="AF415" s="189"/>
      <c r="AI415" s="240">
        <f t="shared" si="72"/>
        <v>2150020</v>
      </c>
    </row>
    <row r="416" spans="2:35" s="84" customFormat="1" ht="35.25" customHeight="1">
      <c r="B416" s="83"/>
      <c r="C416" s="313"/>
      <c r="D416" s="132" t="s">
        <v>90</v>
      </c>
      <c r="E416" s="132" t="s">
        <v>82</v>
      </c>
      <c r="F416" s="132"/>
      <c r="G416" s="132"/>
      <c r="H416" s="132" t="s">
        <v>46</v>
      </c>
      <c r="I416" s="133">
        <v>278</v>
      </c>
      <c r="J416" s="134">
        <v>2200000</v>
      </c>
      <c r="K416" s="134">
        <v>2200000</v>
      </c>
      <c r="L416" s="189">
        <v>2616536</v>
      </c>
      <c r="M416" s="189">
        <v>2616536</v>
      </c>
      <c r="N416" s="66">
        <f t="shared" si="66"/>
        <v>4816536</v>
      </c>
      <c r="O416" s="66">
        <f t="shared" si="67"/>
        <v>4816536</v>
      </c>
      <c r="P416" s="170" t="s">
        <v>302</v>
      </c>
      <c r="Q416" s="171">
        <v>2200000</v>
      </c>
      <c r="R416" s="171">
        <v>2200000</v>
      </c>
      <c r="S416" s="171">
        <v>2038296</v>
      </c>
      <c r="T416" s="171">
        <v>2038296</v>
      </c>
      <c r="U416" s="157">
        <f t="shared" si="68"/>
        <v>0</v>
      </c>
      <c r="V416" s="157">
        <f t="shared" si="69"/>
        <v>0</v>
      </c>
      <c r="W416" s="157">
        <f t="shared" si="70"/>
        <v>578240</v>
      </c>
      <c r="X416" s="157">
        <f t="shared" si="71"/>
        <v>578240</v>
      </c>
      <c r="Z416" s="218"/>
      <c r="AA416" s="253"/>
      <c r="AB416" s="288"/>
      <c r="AC416" s="289"/>
      <c r="AD416" s="289"/>
      <c r="AE416" s="291"/>
      <c r="AF416" s="189"/>
      <c r="AI416" s="240">
        <f t="shared" si="72"/>
        <v>4816536</v>
      </c>
    </row>
    <row r="417" spans="2:35" s="84" customFormat="1" ht="35.25" customHeight="1">
      <c r="B417" s="83"/>
      <c r="C417" s="313"/>
      <c r="D417" s="132" t="s">
        <v>86</v>
      </c>
      <c r="E417" s="132" t="s">
        <v>90</v>
      </c>
      <c r="F417" s="132"/>
      <c r="G417" s="132"/>
      <c r="H417" s="132"/>
      <c r="I417" s="133">
        <v>85</v>
      </c>
      <c r="J417" s="134">
        <v>1350000</v>
      </c>
      <c r="K417" s="134">
        <v>1350000</v>
      </c>
      <c r="L417" s="189">
        <v>800020</v>
      </c>
      <c r="M417" s="189">
        <v>800020</v>
      </c>
      <c r="N417" s="66">
        <f t="shared" si="66"/>
        <v>2150020</v>
      </c>
      <c r="O417" s="66">
        <f t="shared" si="67"/>
        <v>2150020</v>
      </c>
      <c r="P417" s="170" t="s">
        <v>214</v>
      </c>
      <c r="Q417" s="171">
        <v>1350000</v>
      </c>
      <c r="R417" s="171">
        <v>1350000</v>
      </c>
      <c r="S417" s="171">
        <v>623220</v>
      </c>
      <c r="T417" s="171">
        <v>623220</v>
      </c>
      <c r="U417" s="157">
        <f t="shared" si="68"/>
        <v>0</v>
      </c>
      <c r="V417" s="157">
        <f t="shared" si="69"/>
        <v>0</v>
      </c>
      <c r="W417" s="157">
        <f t="shared" si="70"/>
        <v>176800</v>
      </c>
      <c r="X417" s="157">
        <f t="shared" si="71"/>
        <v>176800</v>
      </c>
      <c r="Z417" s="218"/>
      <c r="AA417" s="253"/>
      <c r="AB417" s="288"/>
      <c r="AC417" s="289"/>
      <c r="AD417" s="289"/>
      <c r="AE417" s="291"/>
      <c r="AF417" s="189"/>
      <c r="AI417" s="240">
        <f t="shared" si="72"/>
        <v>2150020</v>
      </c>
    </row>
    <row r="418" spans="2:35" s="84" customFormat="1" ht="35.25" customHeight="1">
      <c r="B418" s="83"/>
      <c r="C418" s="313"/>
      <c r="D418" s="132" t="s">
        <v>90</v>
      </c>
      <c r="E418" s="132" t="s">
        <v>81</v>
      </c>
      <c r="F418" s="132"/>
      <c r="G418" s="132"/>
      <c r="H418" s="132" t="s">
        <v>46</v>
      </c>
      <c r="I418" s="133">
        <v>302</v>
      </c>
      <c r="J418" s="134">
        <v>2300000</v>
      </c>
      <c r="K418" s="134">
        <v>2300000</v>
      </c>
      <c r="L418" s="189">
        <v>2842424</v>
      </c>
      <c r="M418" s="189">
        <v>2842424</v>
      </c>
      <c r="N418" s="66">
        <f t="shared" si="66"/>
        <v>5142424</v>
      </c>
      <c r="O418" s="66">
        <f t="shared" si="67"/>
        <v>5142424</v>
      </c>
      <c r="P418" s="170" t="s">
        <v>303</v>
      </c>
      <c r="Q418" s="171">
        <v>2300000</v>
      </c>
      <c r="R418" s="171">
        <v>2300000</v>
      </c>
      <c r="S418" s="171">
        <v>2214264</v>
      </c>
      <c r="T418" s="171">
        <v>2214264</v>
      </c>
      <c r="U418" s="157">
        <f t="shared" si="68"/>
        <v>0</v>
      </c>
      <c r="V418" s="157">
        <f t="shared" si="69"/>
        <v>0</v>
      </c>
      <c r="W418" s="157">
        <f t="shared" si="70"/>
        <v>628160</v>
      </c>
      <c r="X418" s="157">
        <f t="shared" si="71"/>
        <v>628160</v>
      </c>
      <c r="Z418" s="218"/>
      <c r="AA418" s="253"/>
      <c r="AB418" s="288"/>
      <c r="AC418" s="289"/>
      <c r="AD418" s="289"/>
      <c r="AE418" s="291"/>
      <c r="AF418" s="189"/>
      <c r="AI418" s="240">
        <f t="shared" si="72"/>
        <v>5142424</v>
      </c>
    </row>
    <row r="419" spans="2:35" s="84" customFormat="1" ht="35.25" customHeight="1">
      <c r="B419" s="83"/>
      <c r="C419" s="313"/>
      <c r="D419" s="132" t="s">
        <v>86</v>
      </c>
      <c r="E419" s="132" t="s">
        <v>90</v>
      </c>
      <c r="F419" s="132"/>
      <c r="G419" s="132"/>
      <c r="H419" s="132"/>
      <c r="I419" s="133">
        <v>85</v>
      </c>
      <c r="J419" s="134">
        <v>1350000</v>
      </c>
      <c r="K419" s="134">
        <v>1350000</v>
      </c>
      <c r="L419" s="189">
        <v>800020</v>
      </c>
      <c r="M419" s="189">
        <v>800020</v>
      </c>
      <c r="N419" s="66">
        <f t="shared" si="66"/>
        <v>2150020</v>
      </c>
      <c r="O419" s="66">
        <f t="shared" si="67"/>
        <v>2150020</v>
      </c>
      <c r="P419" s="170" t="s">
        <v>214</v>
      </c>
      <c r="Q419" s="171">
        <v>1350000</v>
      </c>
      <c r="R419" s="171">
        <v>1350000</v>
      </c>
      <c r="S419" s="171">
        <v>623220</v>
      </c>
      <c r="T419" s="171">
        <v>623220</v>
      </c>
      <c r="U419" s="157">
        <f t="shared" si="68"/>
        <v>0</v>
      </c>
      <c r="V419" s="157">
        <f t="shared" si="69"/>
        <v>0</v>
      </c>
      <c r="W419" s="157">
        <f t="shared" si="70"/>
        <v>176800</v>
      </c>
      <c r="X419" s="157">
        <f t="shared" si="71"/>
        <v>176800</v>
      </c>
      <c r="Z419" s="218"/>
      <c r="AA419" s="253"/>
      <c r="AB419" s="288"/>
      <c r="AC419" s="289"/>
      <c r="AD419" s="289"/>
      <c r="AE419" s="291"/>
      <c r="AF419" s="189"/>
      <c r="AI419" s="240">
        <f t="shared" si="72"/>
        <v>2150020</v>
      </c>
    </row>
    <row r="420" spans="2:35" s="84" customFormat="1" ht="35.25" customHeight="1">
      <c r="B420" s="83"/>
      <c r="C420" s="313"/>
      <c r="D420" s="132" t="s">
        <v>90</v>
      </c>
      <c r="E420" s="132" t="s">
        <v>83</v>
      </c>
      <c r="F420" s="132"/>
      <c r="G420" s="132"/>
      <c r="H420" s="132" t="s">
        <v>46</v>
      </c>
      <c r="I420" s="133">
        <v>311</v>
      </c>
      <c r="J420" s="134">
        <v>2300000</v>
      </c>
      <c r="K420" s="134">
        <v>2300000</v>
      </c>
      <c r="L420" s="189">
        <v>2927132</v>
      </c>
      <c r="M420" s="189">
        <v>2927132</v>
      </c>
      <c r="N420" s="66">
        <f t="shared" si="66"/>
        <v>5227132</v>
      </c>
      <c r="O420" s="66">
        <f t="shared" si="67"/>
        <v>5227132</v>
      </c>
      <c r="P420" s="170" t="s">
        <v>304</v>
      </c>
      <c r="Q420" s="171">
        <v>2300000</v>
      </c>
      <c r="R420" s="171">
        <v>2300000</v>
      </c>
      <c r="S420" s="171">
        <v>2280252</v>
      </c>
      <c r="T420" s="171">
        <v>2280252</v>
      </c>
      <c r="U420" s="157">
        <f t="shared" si="68"/>
        <v>0</v>
      </c>
      <c r="V420" s="157">
        <f t="shared" si="69"/>
        <v>0</v>
      </c>
      <c r="W420" s="157">
        <f t="shared" si="70"/>
        <v>646880</v>
      </c>
      <c r="X420" s="157">
        <f t="shared" si="71"/>
        <v>646880</v>
      </c>
      <c r="Z420" s="218"/>
      <c r="AA420" s="253"/>
      <c r="AB420" s="288"/>
      <c r="AC420" s="289"/>
      <c r="AD420" s="289"/>
      <c r="AE420" s="291"/>
      <c r="AF420" s="189"/>
      <c r="AI420" s="240">
        <f t="shared" si="72"/>
        <v>5227132</v>
      </c>
    </row>
    <row r="421" spans="2:35" s="84" customFormat="1" ht="35.25" customHeight="1">
      <c r="B421" s="83"/>
      <c r="C421" s="313"/>
      <c r="D421" s="132" t="s">
        <v>86</v>
      </c>
      <c r="E421" s="132" t="s">
        <v>91</v>
      </c>
      <c r="F421" s="132"/>
      <c r="G421" s="132"/>
      <c r="H421" s="132"/>
      <c r="I421" s="133">
        <v>35</v>
      </c>
      <c r="J421" s="134">
        <v>1020000</v>
      </c>
      <c r="K421" s="134">
        <v>1020000</v>
      </c>
      <c r="L421" s="189">
        <v>329420</v>
      </c>
      <c r="M421" s="189">
        <v>329420</v>
      </c>
      <c r="N421" s="66">
        <f t="shared" si="66"/>
        <v>1349420</v>
      </c>
      <c r="O421" s="66">
        <f t="shared" si="67"/>
        <v>1349420</v>
      </c>
      <c r="P421" s="170" t="s">
        <v>218</v>
      </c>
      <c r="Q421" s="171">
        <v>1020000</v>
      </c>
      <c r="R421" s="171">
        <v>1020000</v>
      </c>
      <c r="S421" s="171">
        <v>256620</v>
      </c>
      <c r="T421" s="171">
        <v>256620</v>
      </c>
      <c r="U421" s="157">
        <f t="shared" si="68"/>
        <v>0</v>
      </c>
      <c r="V421" s="157">
        <f t="shared" si="69"/>
        <v>0</v>
      </c>
      <c r="W421" s="157">
        <f t="shared" si="70"/>
        <v>72800</v>
      </c>
      <c r="X421" s="157">
        <f t="shared" si="71"/>
        <v>72800</v>
      </c>
      <c r="Z421" s="218"/>
      <c r="AA421" s="253"/>
      <c r="AB421" s="288"/>
      <c r="AC421" s="289"/>
      <c r="AD421" s="289"/>
      <c r="AE421" s="291"/>
      <c r="AF421" s="189"/>
      <c r="AI421" s="240">
        <f t="shared" si="72"/>
        <v>1349420</v>
      </c>
    </row>
    <row r="422" spans="2:35" s="84" customFormat="1" ht="35.25" customHeight="1">
      <c r="B422" s="83"/>
      <c r="C422" s="313"/>
      <c r="D422" s="132" t="s">
        <v>91</v>
      </c>
      <c r="E422" s="132" t="s">
        <v>82</v>
      </c>
      <c r="F422" s="132"/>
      <c r="G422" s="132"/>
      <c r="H422" s="132" t="s">
        <v>46</v>
      </c>
      <c r="I422" s="133">
        <v>313</v>
      </c>
      <c r="J422" s="134">
        <v>2300000</v>
      </c>
      <c r="K422" s="134">
        <v>2300000</v>
      </c>
      <c r="L422" s="189">
        <v>2945956</v>
      </c>
      <c r="M422" s="189">
        <v>2945956</v>
      </c>
      <c r="N422" s="66">
        <f t="shared" si="66"/>
        <v>5245956</v>
      </c>
      <c r="O422" s="66">
        <f t="shared" si="67"/>
        <v>5245956</v>
      </c>
      <c r="P422" s="170" t="s">
        <v>305</v>
      </c>
      <c r="Q422" s="171">
        <v>2300000</v>
      </c>
      <c r="R422" s="171">
        <v>2300000</v>
      </c>
      <c r="S422" s="171">
        <v>2294916</v>
      </c>
      <c r="T422" s="171">
        <v>2294916</v>
      </c>
      <c r="U422" s="157">
        <f t="shared" si="68"/>
        <v>0</v>
      </c>
      <c r="V422" s="157">
        <f t="shared" si="69"/>
        <v>0</v>
      </c>
      <c r="W422" s="157">
        <f t="shared" si="70"/>
        <v>651040</v>
      </c>
      <c r="X422" s="157">
        <f t="shared" si="71"/>
        <v>651040</v>
      </c>
      <c r="Z422" s="218"/>
      <c r="AA422" s="253"/>
      <c r="AB422" s="288"/>
      <c r="AC422" s="289"/>
      <c r="AD422" s="289"/>
      <c r="AE422" s="291"/>
      <c r="AF422" s="189"/>
      <c r="AI422" s="240">
        <f t="shared" si="72"/>
        <v>5245956</v>
      </c>
    </row>
    <row r="423" spans="2:35" s="84" customFormat="1" ht="35.25" customHeight="1">
      <c r="B423" s="83"/>
      <c r="C423" s="313"/>
      <c r="D423" s="132" t="s">
        <v>86</v>
      </c>
      <c r="E423" s="132" t="s">
        <v>91</v>
      </c>
      <c r="F423" s="132"/>
      <c r="G423" s="132"/>
      <c r="H423" s="132"/>
      <c r="I423" s="133">
        <v>35</v>
      </c>
      <c r="J423" s="134">
        <v>1020000</v>
      </c>
      <c r="K423" s="134">
        <v>1020000</v>
      </c>
      <c r="L423" s="189">
        <v>329420</v>
      </c>
      <c r="M423" s="189">
        <v>329420</v>
      </c>
      <c r="N423" s="66">
        <f t="shared" si="66"/>
        <v>1349420</v>
      </c>
      <c r="O423" s="66">
        <f t="shared" si="67"/>
        <v>1349420</v>
      </c>
      <c r="P423" s="170" t="s">
        <v>218</v>
      </c>
      <c r="Q423" s="171">
        <v>1020000</v>
      </c>
      <c r="R423" s="171">
        <v>1020000</v>
      </c>
      <c r="S423" s="171">
        <v>256620</v>
      </c>
      <c r="T423" s="171">
        <v>256620</v>
      </c>
      <c r="U423" s="157">
        <f t="shared" si="68"/>
        <v>0</v>
      </c>
      <c r="V423" s="157">
        <f t="shared" si="69"/>
        <v>0</v>
      </c>
      <c r="W423" s="157">
        <f t="shared" si="70"/>
        <v>72800</v>
      </c>
      <c r="X423" s="157">
        <f t="shared" si="71"/>
        <v>72800</v>
      </c>
      <c r="Z423" s="218"/>
      <c r="AA423" s="253"/>
      <c r="AB423" s="288"/>
      <c r="AC423" s="289"/>
      <c r="AD423" s="289"/>
      <c r="AE423" s="291"/>
      <c r="AF423" s="189"/>
      <c r="AI423" s="240">
        <f t="shared" si="72"/>
        <v>1349420</v>
      </c>
    </row>
    <row r="424" spans="2:35" s="84" customFormat="1" ht="35.25" customHeight="1">
      <c r="B424" s="83"/>
      <c r="C424" s="313"/>
      <c r="D424" s="132" t="s">
        <v>91</v>
      </c>
      <c r="E424" s="132" t="s">
        <v>81</v>
      </c>
      <c r="F424" s="132"/>
      <c r="G424" s="132"/>
      <c r="H424" s="132" t="s">
        <v>46</v>
      </c>
      <c r="I424" s="133">
        <v>267</v>
      </c>
      <c r="J424" s="134">
        <v>2200000</v>
      </c>
      <c r="K424" s="134">
        <v>2200000</v>
      </c>
      <c r="L424" s="189">
        <v>2513004</v>
      </c>
      <c r="M424" s="189">
        <v>2513004</v>
      </c>
      <c r="N424" s="66">
        <f t="shared" si="66"/>
        <v>4713004</v>
      </c>
      <c r="O424" s="66">
        <f t="shared" si="67"/>
        <v>4713004</v>
      </c>
      <c r="P424" s="170" t="s">
        <v>306</v>
      </c>
      <c r="Q424" s="171">
        <v>2200000</v>
      </c>
      <c r="R424" s="171">
        <v>2200000</v>
      </c>
      <c r="S424" s="171">
        <v>1957644</v>
      </c>
      <c r="T424" s="171">
        <v>1957644</v>
      </c>
      <c r="U424" s="157">
        <f t="shared" si="68"/>
        <v>0</v>
      </c>
      <c r="V424" s="157">
        <f t="shared" si="69"/>
        <v>0</v>
      </c>
      <c r="W424" s="157">
        <f t="shared" si="70"/>
        <v>555360</v>
      </c>
      <c r="X424" s="157">
        <f t="shared" si="71"/>
        <v>555360</v>
      </c>
      <c r="Z424" s="218"/>
      <c r="AA424" s="253"/>
      <c r="AB424" s="288"/>
      <c r="AC424" s="289"/>
      <c r="AD424" s="289"/>
      <c r="AE424" s="291"/>
      <c r="AF424" s="189"/>
      <c r="AI424" s="240">
        <f t="shared" si="72"/>
        <v>4713004</v>
      </c>
    </row>
    <row r="425" spans="2:35" s="84" customFormat="1" ht="35.25" customHeight="1">
      <c r="B425" s="83"/>
      <c r="C425" s="313"/>
      <c r="D425" s="132" t="s">
        <v>86</v>
      </c>
      <c r="E425" s="132" t="s">
        <v>91</v>
      </c>
      <c r="F425" s="132"/>
      <c r="G425" s="132"/>
      <c r="H425" s="132"/>
      <c r="I425" s="133">
        <v>35</v>
      </c>
      <c r="J425" s="134">
        <v>1020000</v>
      </c>
      <c r="K425" s="134">
        <v>1020000</v>
      </c>
      <c r="L425" s="189">
        <v>329420</v>
      </c>
      <c r="M425" s="189">
        <v>329420</v>
      </c>
      <c r="N425" s="66">
        <f t="shared" si="66"/>
        <v>1349420</v>
      </c>
      <c r="O425" s="66">
        <f t="shared" si="67"/>
        <v>1349420</v>
      </c>
      <c r="P425" s="170" t="s">
        <v>218</v>
      </c>
      <c r="Q425" s="171">
        <v>1020000</v>
      </c>
      <c r="R425" s="171">
        <v>1020000</v>
      </c>
      <c r="S425" s="171">
        <v>256620</v>
      </c>
      <c r="T425" s="171">
        <v>256620</v>
      </c>
      <c r="U425" s="157">
        <f t="shared" si="68"/>
        <v>0</v>
      </c>
      <c r="V425" s="157">
        <f t="shared" si="69"/>
        <v>0</v>
      </c>
      <c r="W425" s="157">
        <f t="shared" si="70"/>
        <v>72800</v>
      </c>
      <c r="X425" s="157">
        <f t="shared" si="71"/>
        <v>72800</v>
      </c>
      <c r="Z425" s="218"/>
      <c r="AA425" s="253"/>
      <c r="AB425" s="288"/>
      <c r="AC425" s="289"/>
      <c r="AD425" s="289"/>
      <c r="AE425" s="291"/>
      <c r="AF425" s="189"/>
      <c r="AI425" s="240">
        <f t="shared" si="72"/>
        <v>1349420</v>
      </c>
    </row>
    <row r="426" spans="2:35" s="84" customFormat="1" ht="35.25" customHeight="1">
      <c r="B426" s="83"/>
      <c r="C426" s="313"/>
      <c r="D426" s="132" t="s">
        <v>91</v>
      </c>
      <c r="E426" s="132" t="s">
        <v>83</v>
      </c>
      <c r="F426" s="132"/>
      <c r="G426" s="132"/>
      <c r="H426" s="132" t="s">
        <v>46</v>
      </c>
      <c r="I426" s="133">
        <v>276</v>
      </c>
      <c r="J426" s="134">
        <v>2200000</v>
      </c>
      <c r="K426" s="134">
        <v>2200000</v>
      </c>
      <c r="L426" s="189">
        <v>2597712</v>
      </c>
      <c r="M426" s="189">
        <v>2597712</v>
      </c>
      <c r="N426" s="66">
        <f t="shared" si="66"/>
        <v>4797712</v>
      </c>
      <c r="O426" s="66">
        <f t="shared" si="67"/>
        <v>4797712</v>
      </c>
      <c r="P426" s="170" t="s">
        <v>307</v>
      </c>
      <c r="Q426" s="171">
        <v>2200000</v>
      </c>
      <c r="R426" s="171">
        <v>2200000</v>
      </c>
      <c r="S426" s="171">
        <v>2023632</v>
      </c>
      <c r="T426" s="171">
        <v>2023632</v>
      </c>
      <c r="U426" s="157">
        <f t="shared" si="68"/>
        <v>0</v>
      </c>
      <c r="V426" s="157">
        <f t="shared" si="69"/>
        <v>0</v>
      </c>
      <c r="W426" s="157">
        <f t="shared" si="70"/>
        <v>574080</v>
      </c>
      <c r="X426" s="157">
        <f t="shared" si="71"/>
        <v>574080</v>
      </c>
      <c r="Z426" s="218"/>
      <c r="AA426" s="253"/>
      <c r="AB426" s="288"/>
      <c r="AC426" s="289"/>
      <c r="AD426" s="289"/>
      <c r="AE426" s="291"/>
      <c r="AF426" s="189"/>
      <c r="AI426" s="240">
        <f t="shared" si="72"/>
        <v>4797712</v>
      </c>
    </row>
    <row r="427" spans="2:35" s="84" customFormat="1" ht="35.25" customHeight="1">
      <c r="B427" s="83"/>
      <c r="C427" s="313"/>
      <c r="D427" s="132" t="s">
        <v>86</v>
      </c>
      <c r="E427" s="132" t="s">
        <v>92</v>
      </c>
      <c r="F427" s="132"/>
      <c r="G427" s="132"/>
      <c r="H427" s="132"/>
      <c r="I427" s="133">
        <v>20</v>
      </c>
      <c r="J427" s="134">
        <v>1020000</v>
      </c>
      <c r="K427" s="134">
        <v>1020000</v>
      </c>
      <c r="L427" s="189">
        <v>188240</v>
      </c>
      <c r="M427" s="189">
        <v>188240</v>
      </c>
      <c r="N427" s="66">
        <f t="shared" si="66"/>
        <v>1208240</v>
      </c>
      <c r="O427" s="66">
        <f t="shared" si="67"/>
        <v>1208240</v>
      </c>
      <c r="P427" s="170" t="s">
        <v>222</v>
      </c>
      <c r="Q427" s="171">
        <v>1020000</v>
      </c>
      <c r="R427" s="171">
        <v>1020000</v>
      </c>
      <c r="S427" s="171">
        <v>146640</v>
      </c>
      <c r="T427" s="171">
        <v>146640</v>
      </c>
      <c r="U427" s="157">
        <f t="shared" si="68"/>
        <v>0</v>
      </c>
      <c r="V427" s="157">
        <f t="shared" si="69"/>
        <v>0</v>
      </c>
      <c r="W427" s="157">
        <f t="shared" si="70"/>
        <v>41600</v>
      </c>
      <c r="X427" s="157">
        <f t="shared" si="71"/>
        <v>41600</v>
      </c>
      <c r="Z427" s="218"/>
      <c r="AA427" s="253"/>
      <c r="AB427" s="288"/>
      <c r="AC427" s="289"/>
      <c r="AD427" s="289"/>
      <c r="AE427" s="291"/>
      <c r="AF427" s="189"/>
      <c r="AI427" s="240">
        <f t="shared" si="72"/>
        <v>1208240</v>
      </c>
    </row>
    <row r="428" spans="2:35" s="84" customFormat="1" ht="35.25" customHeight="1">
      <c r="B428" s="83"/>
      <c r="C428" s="313"/>
      <c r="D428" s="132" t="s">
        <v>92</v>
      </c>
      <c r="E428" s="132" t="s">
        <v>82</v>
      </c>
      <c r="F428" s="132"/>
      <c r="G428" s="132"/>
      <c r="H428" s="132" t="s">
        <v>46</v>
      </c>
      <c r="I428" s="133">
        <v>333</v>
      </c>
      <c r="J428" s="134">
        <v>2400000</v>
      </c>
      <c r="K428" s="134">
        <v>2400000</v>
      </c>
      <c r="L428" s="189">
        <v>3134196</v>
      </c>
      <c r="M428" s="189">
        <v>3134196</v>
      </c>
      <c r="N428" s="66">
        <f t="shared" si="66"/>
        <v>5534196</v>
      </c>
      <c r="O428" s="66">
        <f t="shared" si="67"/>
        <v>5534196</v>
      </c>
      <c r="P428" s="170" t="s">
        <v>308</v>
      </c>
      <c r="Q428" s="171">
        <v>2400000</v>
      </c>
      <c r="R428" s="171">
        <v>2400000</v>
      </c>
      <c r="S428" s="171">
        <v>2441556</v>
      </c>
      <c r="T428" s="171">
        <v>2441556</v>
      </c>
      <c r="U428" s="157">
        <f t="shared" si="68"/>
        <v>0</v>
      </c>
      <c r="V428" s="157">
        <f t="shared" si="69"/>
        <v>0</v>
      </c>
      <c r="W428" s="157">
        <f t="shared" si="70"/>
        <v>692640</v>
      </c>
      <c r="X428" s="157">
        <f t="shared" si="71"/>
        <v>692640</v>
      </c>
      <c r="Z428" s="218"/>
      <c r="AA428" s="253"/>
      <c r="AB428" s="288"/>
      <c r="AC428" s="289"/>
      <c r="AD428" s="289"/>
      <c r="AE428" s="291"/>
      <c r="AF428" s="189"/>
      <c r="AI428" s="240">
        <f t="shared" si="72"/>
        <v>5534196</v>
      </c>
    </row>
    <row r="429" spans="2:35" s="84" customFormat="1" ht="35.25" customHeight="1">
      <c r="B429" s="83"/>
      <c r="C429" s="313"/>
      <c r="D429" s="132" t="s">
        <v>86</v>
      </c>
      <c r="E429" s="132" t="s">
        <v>92</v>
      </c>
      <c r="F429" s="132"/>
      <c r="G429" s="132"/>
      <c r="H429" s="132"/>
      <c r="I429" s="133">
        <v>20</v>
      </c>
      <c r="J429" s="134">
        <v>1020000</v>
      </c>
      <c r="K429" s="134">
        <v>1020000</v>
      </c>
      <c r="L429" s="189">
        <v>188240</v>
      </c>
      <c r="M429" s="189">
        <v>188240</v>
      </c>
      <c r="N429" s="66">
        <f t="shared" si="66"/>
        <v>1208240</v>
      </c>
      <c r="O429" s="66">
        <f t="shared" si="67"/>
        <v>1208240</v>
      </c>
      <c r="P429" s="170" t="s">
        <v>222</v>
      </c>
      <c r="Q429" s="171">
        <v>1020000</v>
      </c>
      <c r="R429" s="171">
        <v>1020000</v>
      </c>
      <c r="S429" s="171">
        <v>146640</v>
      </c>
      <c r="T429" s="171">
        <v>146640</v>
      </c>
      <c r="U429" s="157">
        <f t="shared" si="68"/>
        <v>0</v>
      </c>
      <c r="V429" s="157">
        <f t="shared" si="69"/>
        <v>0</v>
      </c>
      <c r="W429" s="157">
        <f t="shared" si="70"/>
        <v>41600</v>
      </c>
      <c r="X429" s="157">
        <f t="shared" si="71"/>
        <v>41600</v>
      </c>
      <c r="Z429" s="218"/>
      <c r="AA429" s="253"/>
      <c r="AB429" s="288"/>
      <c r="AC429" s="289"/>
      <c r="AD429" s="289"/>
      <c r="AE429" s="291"/>
      <c r="AF429" s="189"/>
      <c r="AI429" s="240">
        <f t="shared" si="72"/>
        <v>1208240</v>
      </c>
    </row>
    <row r="430" spans="2:35" s="84" customFormat="1" ht="35.25" customHeight="1">
      <c r="B430" s="83"/>
      <c r="C430" s="313"/>
      <c r="D430" s="132" t="s">
        <v>92</v>
      </c>
      <c r="E430" s="132" t="s">
        <v>81</v>
      </c>
      <c r="F430" s="132"/>
      <c r="G430" s="132"/>
      <c r="H430" s="132" t="s">
        <v>46</v>
      </c>
      <c r="I430" s="133">
        <v>287</v>
      </c>
      <c r="J430" s="134">
        <v>2300000</v>
      </c>
      <c r="K430" s="134">
        <v>2300000</v>
      </c>
      <c r="L430" s="189">
        <v>2701244</v>
      </c>
      <c r="M430" s="189">
        <v>2701244</v>
      </c>
      <c r="N430" s="66">
        <f t="shared" ref="N430:N468" si="73">+J430+L430</f>
        <v>5001244</v>
      </c>
      <c r="O430" s="66">
        <f t="shared" ref="O430:O468" si="74">+K430+M430</f>
        <v>5001244</v>
      </c>
      <c r="P430" s="170" t="s">
        <v>309</v>
      </c>
      <c r="Q430" s="171">
        <v>2300000</v>
      </c>
      <c r="R430" s="171">
        <v>2300000</v>
      </c>
      <c r="S430" s="171">
        <v>2104284</v>
      </c>
      <c r="T430" s="171">
        <v>2104284</v>
      </c>
      <c r="U430" s="157">
        <f t="shared" ref="U430:U479" si="75">J430-Q430</f>
        <v>0</v>
      </c>
      <c r="V430" s="157">
        <f t="shared" ref="V430:V479" si="76">K430-R430</f>
        <v>0</v>
      </c>
      <c r="W430" s="157">
        <f t="shared" ref="W430:W479" si="77">L430-S430</f>
        <v>596960</v>
      </c>
      <c r="X430" s="157">
        <f t="shared" ref="X430:X479" si="78">M430-T430</f>
        <v>596960</v>
      </c>
      <c r="Z430" s="218"/>
      <c r="AA430" s="253"/>
      <c r="AB430" s="288"/>
      <c r="AC430" s="289"/>
      <c r="AD430" s="289"/>
      <c r="AE430" s="291"/>
      <c r="AF430" s="189"/>
      <c r="AI430" s="240">
        <f t="shared" si="72"/>
        <v>5001244</v>
      </c>
    </row>
    <row r="431" spans="2:35" s="84" customFormat="1" ht="35.25" customHeight="1">
      <c r="B431" s="83"/>
      <c r="C431" s="313"/>
      <c r="D431" s="132" t="s">
        <v>86</v>
      </c>
      <c r="E431" s="132" t="s">
        <v>92</v>
      </c>
      <c r="F431" s="132"/>
      <c r="G431" s="132"/>
      <c r="H431" s="132"/>
      <c r="I431" s="133">
        <v>20</v>
      </c>
      <c r="J431" s="134">
        <v>1020000</v>
      </c>
      <c r="K431" s="134">
        <v>1020000</v>
      </c>
      <c r="L431" s="189">
        <v>188240</v>
      </c>
      <c r="M431" s="189">
        <v>188240</v>
      </c>
      <c r="N431" s="66">
        <f t="shared" si="73"/>
        <v>1208240</v>
      </c>
      <c r="O431" s="66">
        <f t="shared" si="74"/>
        <v>1208240</v>
      </c>
      <c r="P431" s="170" t="s">
        <v>222</v>
      </c>
      <c r="Q431" s="171">
        <v>1020000</v>
      </c>
      <c r="R431" s="171">
        <v>1020000</v>
      </c>
      <c r="S431" s="171">
        <v>146640</v>
      </c>
      <c r="T431" s="171">
        <v>146640</v>
      </c>
      <c r="U431" s="157">
        <f t="shared" si="75"/>
        <v>0</v>
      </c>
      <c r="V431" s="157">
        <f t="shared" si="76"/>
        <v>0</v>
      </c>
      <c r="W431" s="157">
        <f t="shared" si="77"/>
        <v>41600</v>
      </c>
      <c r="X431" s="157">
        <f t="shared" si="78"/>
        <v>41600</v>
      </c>
      <c r="Z431" s="218"/>
      <c r="AA431" s="253"/>
      <c r="AB431" s="288"/>
      <c r="AC431" s="289"/>
      <c r="AD431" s="289"/>
      <c r="AE431" s="291"/>
      <c r="AF431" s="189"/>
      <c r="AI431" s="240">
        <f t="shared" si="72"/>
        <v>1208240</v>
      </c>
    </row>
    <row r="432" spans="2:35" s="84" customFormat="1" ht="35.25" customHeight="1">
      <c r="B432" s="83"/>
      <c r="C432" s="313"/>
      <c r="D432" s="132" t="s">
        <v>92</v>
      </c>
      <c r="E432" s="132" t="s">
        <v>83</v>
      </c>
      <c r="F432" s="132"/>
      <c r="G432" s="132"/>
      <c r="H432" s="132" t="s">
        <v>46</v>
      </c>
      <c r="I432" s="133">
        <v>256</v>
      </c>
      <c r="J432" s="134">
        <v>2300000</v>
      </c>
      <c r="K432" s="134">
        <v>2300000</v>
      </c>
      <c r="L432" s="189">
        <v>2409472</v>
      </c>
      <c r="M432" s="189">
        <v>2409472</v>
      </c>
      <c r="N432" s="66">
        <f t="shared" si="73"/>
        <v>4709472</v>
      </c>
      <c r="O432" s="66">
        <f t="shared" si="74"/>
        <v>4709472</v>
      </c>
      <c r="P432" s="170" t="s">
        <v>310</v>
      </c>
      <c r="Q432" s="171">
        <v>2300000</v>
      </c>
      <c r="R432" s="171">
        <v>2300000</v>
      </c>
      <c r="S432" s="171">
        <v>1876992</v>
      </c>
      <c r="T432" s="171">
        <v>1876992</v>
      </c>
      <c r="U432" s="157">
        <f t="shared" si="75"/>
        <v>0</v>
      </c>
      <c r="V432" s="157">
        <f t="shared" si="76"/>
        <v>0</v>
      </c>
      <c r="W432" s="157">
        <f t="shared" si="77"/>
        <v>532480</v>
      </c>
      <c r="X432" s="157">
        <f t="shared" si="78"/>
        <v>532480</v>
      </c>
      <c r="Z432" s="218"/>
      <c r="AA432" s="253"/>
      <c r="AB432" s="288"/>
      <c r="AC432" s="289"/>
      <c r="AD432" s="289"/>
      <c r="AE432" s="291"/>
      <c r="AF432" s="189"/>
      <c r="AI432" s="240">
        <f t="shared" si="72"/>
        <v>4709472</v>
      </c>
    </row>
    <row r="433" spans="2:35" s="84" customFormat="1" ht="35.25" customHeight="1">
      <c r="B433" s="83"/>
      <c r="C433" s="313"/>
      <c r="D433" s="132" t="s">
        <v>161</v>
      </c>
      <c r="E433" s="132" t="s">
        <v>163</v>
      </c>
      <c r="F433" s="132"/>
      <c r="G433" s="132"/>
      <c r="H433" s="132"/>
      <c r="I433" s="133">
        <v>65</v>
      </c>
      <c r="J433" s="134">
        <v>1200000</v>
      </c>
      <c r="K433" s="134">
        <v>1200000</v>
      </c>
      <c r="L433" s="189">
        <v>611780</v>
      </c>
      <c r="M433" s="189">
        <v>611780</v>
      </c>
      <c r="N433" s="66">
        <f t="shared" si="73"/>
        <v>1811780</v>
      </c>
      <c r="O433" s="66">
        <f t="shared" si="74"/>
        <v>1811780</v>
      </c>
      <c r="P433" s="170" t="s">
        <v>226</v>
      </c>
      <c r="Q433" s="171">
        <v>1200000</v>
      </c>
      <c r="R433" s="171">
        <v>1200000</v>
      </c>
      <c r="S433" s="171">
        <v>476580</v>
      </c>
      <c r="T433" s="171">
        <v>476580</v>
      </c>
      <c r="U433" s="157">
        <f t="shared" si="75"/>
        <v>0</v>
      </c>
      <c r="V433" s="157">
        <f t="shared" si="76"/>
        <v>0</v>
      </c>
      <c r="W433" s="157">
        <f t="shared" si="77"/>
        <v>135200</v>
      </c>
      <c r="X433" s="157">
        <f t="shared" si="78"/>
        <v>135200</v>
      </c>
      <c r="Z433" s="218"/>
      <c r="AA433" s="253"/>
      <c r="AB433" s="288"/>
      <c r="AC433" s="289"/>
      <c r="AD433" s="289"/>
      <c r="AE433" s="291"/>
      <c r="AF433" s="189"/>
      <c r="AI433" s="240">
        <f t="shared" si="72"/>
        <v>1811780</v>
      </c>
    </row>
    <row r="434" spans="2:35" s="84" customFormat="1" ht="35.25" customHeight="1">
      <c r="B434" s="83"/>
      <c r="C434" s="313"/>
      <c r="D434" s="132" t="s">
        <v>163</v>
      </c>
      <c r="E434" s="132" t="s">
        <v>82</v>
      </c>
      <c r="F434" s="132"/>
      <c r="G434" s="132"/>
      <c r="H434" s="132" t="s">
        <v>46</v>
      </c>
      <c r="I434" s="133">
        <v>278</v>
      </c>
      <c r="J434" s="134">
        <v>2200000</v>
      </c>
      <c r="K434" s="134">
        <v>2200000</v>
      </c>
      <c r="L434" s="189">
        <v>2616536</v>
      </c>
      <c r="M434" s="189">
        <v>2616536</v>
      </c>
      <c r="N434" s="66">
        <f t="shared" si="73"/>
        <v>4816536</v>
      </c>
      <c r="O434" s="66">
        <f t="shared" si="74"/>
        <v>4816536</v>
      </c>
      <c r="P434" s="170" t="s">
        <v>311</v>
      </c>
      <c r="Q434" s="171">
        <v>2200000</v>
      </c>
      <c r="R434" s="171">
        <v>2200000</v>
      </c>
      <c r="S434" s="171">
        <v>2038296</v>
      </c>
      <c r="T434" s="171">
        <v>2038296</v>
      </c>
      <c r="U434" s="157">
        <f t="shared" si="75"/>
        <v>0</v>
      </c>
      <c r="V434" s="157">
        <f t="shared" si="76"/>
        <v>0</v>
      </c>
      <c r="W434" s="157">
        <f t="shared" si="77"/>
        <v>578240</v>
      </c>
      <c r="X434" s="157">
        <f t="shared" si="78"/>
        <v>578240</v>
      </c>
      <c r="Z434" s="218"/>
      <c r="AA434" s="253"/>
      <c r="AB434" s="288"/>
      <c r="AC434" s="289"/>
      <c r="AD434" s="289"/>
      <c r="AE434" s="291"/>
      <c r="AF434" s="189"/>
      <c r="AI434" s="240">
        <f t="shared" si="72"/>
        <v>4816536</v>
      </c>
    </row>
    <row r="435" spans="2:35" s="84" customFormat="1" ht="35.25" customHeight="1">
      <c r="B435" s="83"/>
      <c r="C435" s="313"/>
      <c r="D435" s="132" t="s">
        <v>161</v>
      </c>
      <c r="E435" s="132" t="s">
        <v>163</v>
      </c>
      <c r="F435" s="132"/>
      <c r="G435" s="132"/>
      <c r="H435" s="132"/>
      <c r="I435" s="133">
        <v>65</v>
      </c>
      <c r="J435" s="134">
        <v>1200000</v>
      </c>
      <c r="K435" s="134">
        <v>1200000</v>
      </c>
      <c r="L435" s="189">
        <v>611780</v>
      </c>
      <c r="M435" s="189">
        <v>611780</v>
      </c>
      <c r="N435" s="66">
        <f t="shared" si="73"/>
        <v>1811780</v>
      </c>
      <c r="O435" s="66">
        <f t="shared" si="74"/>
        <v>1811780</v>
      </c>
      <c r="P435" s="170" t="s">
        <v>226</v>
      </c>
      <c r="Q435" s="171">
        <v>1200000</v>
      </c>
      <c r="R435" s="171">
        <v>1200000</v>
      </c>
      <c r="S435" s="171">
        <v>476580</v>
      </c>
      <c r="T435" s="171">
        <v>476580</v>
      </c>
      <c r="U435" s="157">
        <f t="shared" si="75"/>
        <v>0</v>
      </c>
      <c r="V435" s="157">
        <f t="shared" si="76"/>
        <v>0</v>
      </c>
      <c r="W435" s="157">
        <f t="shared" si="77"/>
        <v>135200</v>
      </c>
      <c r="X435" s="157">
        <f t="shared" si="78"/>
        <v>135200</v>
      </c>
      <c r="Z435" s="218"/>
      <c r="AA435" s="253"/>
      <c r="AB435" s="288"/>
      <c r="AC435" s="289"/>
      <c r="AD435" s="289"/>
      <c r="AE435" s="291"/>
      <c r="AF435" s="189"/>
      <c r="AI435" s="240">
        <f t="shared" si="72"/>
        <v>1811780</v>
      </c>
    </row>
    <row r="436" spans="2:35" s="84" customFormat="1" ht="35.25" customHeight="1">
      <c r="B436" s="83"/>
      <c r="C436" s="313"/>
      <c r="D436" s="132" t="s">
        <v>163</v>
      </c>
      <c r="E436" s="132" t="s">
        <v>81</v>
      </c>
      <c r="F436" s="132"/>
      <c r="G436" s="132"/>
      <c r="H436" s="132" t="s">
        <v>46</v>
      </c>
      <c r="I436" s="133">
        <v>302</v>
      </c>
      <c r="J436" s="134">
        <v>2300000</v>
      </c>
      <c r="K436" s="134">
        <v>2300000</v>
      </c>
      <c r="L436" s="189">
        <v>2842424</v>
      </c>
      <c r="M436" s="189">
        <v>2842424</v>
      </c>
      <c r="N436" s="66">
        <f t="shared" si="73"/>
        <v>5142424</v>
      </c>
      <c r="O436" s="66">
        <f t="shared" si="74"/>
        <v>5142424</v>
      </c>
      <c r="P436" s="170" t="s">
        <v>312</v>
      </c>
      <c r="Q436" s="171">
        <v>2300000</v>
      </c>
      <c r="R436" s="171">
        <v>2300000</v>
      </c>
      <c r="S436" s="171">
        <v>2214264</v>
      </c>
      <c r="T436" s="171">
        <v>2214264</v>
      </c>
      <c r="U436" s="157">
        <f t="shared" si="75"/>
        <v>0</v>
      </c>
      <c r="V436" s="157">
        <f t="shared" si="76"/>
        <v>0</v>
      </c>
      <c r="W436" s="157">
        <f t="shared" si="77"/>
        <v>628160</v>
      </c>
      <c r="X436" s="157">
        <f t="shared" si="78"/>
        <v>628160</v>
      </c>
      <c r="Z436" s="218"/>
      <c r="AA436" s="253"/>
      <c r="AB436" s="288"/>
      <c r="AC436" s="289"/>
      <c r="AD436" s="289"/>
      <c r="AE436" s="291"/>
      <c r="AF436" s="189"/>
      <c r="AI436" s="240">
        <f t="shared" si="72"/>
        <v>5142424</v>
      </c>
    </row>
    <row r="437" spans="2:35" s="84" customFormat="1" ht="35.25" customHeight="1">
      <c r="B437" s="83"/>
      <c r="C437" s="313"/>
      <c r="D437" s="132" t="s">
        <v>161</v>
      </c>
      <c r="E437" s="132" t="s">
        <v>163</v>
      </c>
      <c r="F437" s="132"/>
      <c r="G437" s="132"/>
      <c r="H437" s="132"/>
      <c r="I437" s="133">
        <v>65</v>
      </c>
      <c r="J437" s="134">
        <v>1200000</v>
      </c>
      <c r="K437" s="134">
        <v>1200000</v>
      </c>
      <c r="L437" s="189">
        <v>611780</v>
      </c>
      <c r="M437" s="189">
        <v>611780</v>
      </c>
      <c r="N437" s="66">
        <f t="shared" si="73"/>
        <v>1811780</v>
      </c>
      <c r="O437" s="66">
        <f t="shared" si="74"/>
        <v>1811780</v>
      </c>
      <c r="P437" s="170" t="s">
        <v>226</v>
      </c>
      <c r="Q437" s="171">
        <v>1200000</v>
      </c>
      <c r="R437" s="171">
        <v>1200000</v>
      </c>
      <c r="S437" s="171">
        <v>476580</v>
      </c>
      <c r="T437" s="171">
        <v>476580</v>
      </c>
      <c r="U437" s="157">
        <f t="shared" si="75"/>
        <v>0</v>
      </c>
      <c r="V437" s="157">
        <f t="shared" si="76"/>
        <v>0</v>
      </c>
      <c r="W437" s="157">
        <f t="shared" si="77"/>
        <v>135200</v>
      </c>
      <c r="X437" s="157">
        <f t="shared" si="78"/>
        <v>135200</v>
      </c>
      <c r="Z437" s="218"/>
      <c r="AA437" s="253"/>
      <c r="AB437" s="288"/>
      <c r="AC437" s="289"/>
      <c r="AD437" s="289"/>
      <c r="AE437" s="291"/>
      <c r="AF437" s="189"/>
      <c r="AI437" s="240">
        <f t="shared" si="72"/>
        <v>1811780</v>
      </c>
    </row>
    <row r="438" spans="2:35" s="84" customFormat="1" ht="35.25" customHeight="1">
      <c r="B438" s="83"/>
      <c r="C438" s="313"/>
      <c r="D438" s="132" t="s">
        <v>163</v>
      </c>
      <c r="E438" s="132" t="s">
        <v>83</v>
      </c>
      <c r="F438" s="132"/>
      <c r="G438" s="132"/>
      <c r="H438" s="132" t="s">
        <v>46</v>
      </c>
      <c r="I438" s="133">
        <v>311</v>
      </c>
      <c r="J438" s="134">
        <v>2300000</v>
      </c>
      <c r="K438" s="134">
        <v>2300000</v>
      </c>
      <c r="L438" s="189">
        <v>2927132</v>
      </c>
      <c r="M438" s="189">
        <v>2927132</v>
      </c>
      <c r="N438" s="66">
        <f t="shared" si="73"/>
        <v>5227132</v>
      </c>
      <c r="O438" s="66">
        <f t="shared" si="74"/>
        <v>5227132</v>
      </c>
      <c r="P438" s="170" t="s">
        <v>313</v>
      </c>
      <c r="Q438" s="171">
        <v>2300000</v>
      </c>
      <c r="R438" s="171">
        <v>2300000</v>
      </c>
      <c r="S438" s="171">
        <v>2280252</v>
      </c>
      <c r="T438" s="171">
        <v>2280252</v>
      </c>
      <c r="U438" s="157">
        <f t="shared" si="75"/>
        <v>0</v>
      </c>
      <c r="V438" s="157">
        <f t="shared" si="76"/>
        <v>0</v>
      </c>
      <c r="W438" s="157">
        <f t="shared" si="77"/>
        <v>646880</v>
      </c>
      <c r="X438" s="157">
        <f t="shared" si="78"/>
        <v>646880</v>
      </c>
      <c r="Z438" s="218"/>
      <c r="AA438" s="253"/>
      <c r="AB438" s="288"/>
      <c r="AC438" s="289"/>
      <c r="AD438" s="289"/>
      <c r="AE438" s="291"/>
      <c r="AF438" s="189"/>
      <c r="AI438" s="240">
        <f t="shared" si="72"/>
        <v>5227132</v>
      </c>
    </row>
    <row r="439" spans="2:35" s="84" customFormat="1" ht="35.25" customHeight="1">
      <c r="B439" s="83"/>
      <c r="C439" s="313"/>
      <c r="D439" s="132" t="s">
        <v>161</v>
      </c>
      <c r="E439" s="132" t="s">
        <v>164</v>
      </c>
      <c r="F439" s="132"/>
      <c r="G439" s="132"/>
      <c r="H439" s="132"/>
      <c r="I439" s="133">
        <v>20</v>
      </c>
      <c r="J439" s="134">
        <v>1100000</v>
      </c>
      <c r="K439" s="134">
        <v>1100000</v>
      </c>
      <c r="L439" s="189">
        <v>188240</v>
      </c>
      <c r="M439" s="189">
        <v>188240</v>
      </c>
      <c r="N439" s="66">
        <f t="shared" si="73"/>
        <v>1288240</v>
      </c>
      <c r="O439" s="66">
        <f t="shared" si="74"/>
        <v>1288240</v>
      </c>
      <c r="P439" s="170" t="s">
        <v>230</v>
      </c>
      <c r="Q439" s="171">
        <v>1100000</v>
      </c>
      <c r="R439" s="171">
        <v>1100000</v>
      </c>
      <c r="S439" s="171">
        <v>146640</v>
      </c>
      <c r="T439" s="171">
        <v>146640</v>
      </c>
      <c r="U439" s="157">
        <f t="shared" si="75"/>
        <v>0</v>
      </c>
      <c r="V439" s="157">
        <f t="shared" si="76"/>
        <v>0</v>
      </c>
      <c r="W439" s="157">
        <f t="shared" si="77"/>
        <v>41600</v>
      </c>
      <c r="X439" s="157">
        <f t="shared" si="78"/>
        <v>41600</v>
      </c>
      <c r="Z439" s="218"/>
      <c r="AA439" s="253"/>
      <c r="AB439" s="288"/>
      <c r="AC439" s="289"/>
      <c r="AD439" s="289"/>
      <c r="AE439" s="291"/>
      <c r="AF439" s="189"/>
      <c r="AI439" s="240">
        <f t="shared" si="72"/>
        <v>1288240</v>
      </c>
    </row>
    <row r="440" spans="2:35" s="84" customFormat="1" ht="35.25" customHeight="1">
      <c r="B440" s="83"/>
      <c r="C440" s="313"/>
      <c r="D440" s="132" t="s">
        <v>164</v>
      </c>
      <c r="E440" s="132" t="s">
        <v>82</v>
      </c>
      <c r="F440" s="132"/>
      <c r="G440" s="132"/>
      <c r="H440" s="132" t="s">
        <v>46</v>
      </c>
      <c r="I440" s="133">
        <v>313</v>
      </c>
      <c r="J440" s="134">
        <v>2300000</v>
      </c>
      <c r="K440" s="134">
        <v>2300000</v>
      </c>
      <c r="L440" s="189">
        <v>2945956</v>
      </c>
      <c r="M440" s="189">
        <v>2945956</v>
      </c>
      <c r="N440" s="66">
        <f t="shared" si="73"/>
        <v>5245956</v>
      </c>
      <c r="O440" s="66">
        <f t="shared" si="74"/>
        <v>5245956</v>
      </c>
      <c r="P440" s="170" t="s">
        <v>314</v>
      </c>
      <c r="Q440" s="171">
        <v>2300000</v>
      </c>
      <c r="R440" s="171">
        <v>2300000</v>
      </c>
      <c r="S440" s="171">
        <v>2294916</v>
      </c>
      <c r="T440" s="171">
        <v>2294916</v>
      </c>
      <c r="U440" s="157">
        <f t="shared" si="75"/>
        <v>0</v>
      </c>
      <c r="V440" s="157">
        <f t="shared" si="76"/>
        <v>0</v>
      </c>
      <c r="W440" s="157">
        <f t="shared" si="77"/>
        <v>651040</v>
      </c>
      <c r="X440" s="157">
        <f t="shared" si="78"/>
        <v>651040</v>
      </c>
      <c r="Z440" s="218"/>
      <c r="AA440" s="253"/>
      <c r="AB440" s="288"/>
      <c r="AC440" s="289"/>
      <c r="AD440" s="289"/>
      <c r="AE440" s="291"/>
      <c r="AF440" s="189"/>
      <c r="AI440" s="240">
        <f t="shared" si="72"/>
        <v>5245956</v>
      </c>
    </row>
    <row r="441" spans="2:35" s="84" customFormat="1" ht="35.25" customHeight="1">
      <c r="B441" s="83"/>
      <c r="C441" s="313"/>
      <c r="D441" s="132" t="s">
        <v>161</v>
      </c>
      <c r="E441" s="132" t="s">
        <v>164</v>
      </c>
      <c r="F441" s="132"/>
      <c r="G441" s="132"/>
      <c r="H441" s="132"/>
      <c r="I441" s="133">
        <v>20</v>
      </c>
      <c r="J441" s="134">
        <v>1100000</v>
      </c>
      <c r="K441" s="134">
        <v>1100000</v>
      </c>
      <c r="L441" s="189">
        <v>188240</v>
      </c>
      <c r="M441" s="189">
        <v>188240</v>
      </c>
      <c r="N441" s="66">
        <f t="shared" si="73"/>
        <v>1288240</v>
      </c>
      <c r="O441" s="66">
        <f t="shared" si="74"/>
        <v>1288240</v>
      </c>
      <c r="P441" s="170" t="s">
        <v>230</v>
      </c>
      <c r="Q441" s="171">
        <v>1100000</v>
      </c>
      <c r="R441" s="171">
        <v>1100000</v>
      </c>
      <c r="S441" s="171">
        <v>146640</v>
      </c>
      <c r="T441" s="171">
        <v>146640</v>
      </c>
      <c r="U441" s="157">
        <f t="shared" si="75"/>
        <v>0</v>
      </c>
      <c r="V441" s="157">
        <f t="shared" si="76"/>
        <v>0</v>
      </c>
      <c r="W441" s="157">
        <f t="shared" si="77"/>
        <v>41600</v>
      </c>
      <c r="X441" s="157">
        <f t="shared" si="78"/>
        <v>41600</v>
      </c>
      <c r="Z441" s="218"/>
      <c r="AA441" s="253"/>
      <c r="AB441" s="288"/>
      <c r="AC441" s="289"/>
      <c r="AD441" s="289"/>
      <c r="AE441" s="291"/>
      <c r="AF441" s="189"/>
      <c r="AI441" s="240">
        <f t="shared" si="72"/>
        <v>1288240</v>
      </c>
    </row>
    <row r="442" spans="2:35" s="84" customFormat="1" ht="35.25" customHeight="1">
      <c r="B442" s="83"/>
      <c r="C442" s="313"/>
      <c r="D442" s="132" t="s">
        <v>164</v>
      </c>
      <c r="E442" s="132" t="s">
        <v>81</v>
      </c>
      <c r="F442" s="132"/>
      <c r="G442" s="132"/>
      <c r="H442" s="132" t="s">
        <v>46</v>
      </c>
      <c r="I442" s="133">
        <v>267</v>
      </c>
      <c r="J442" s="134">
        <v>2200000</v>
      </c>
      <c r="K442" s="134">
        <v>2200000</v>
      </c>
      <c r="L442" s="189">
        <v>2513004</v>
      </c>
      <c r="M442" s="189">
        <v>2513004</v>
      </c>
      <c r="N442" s="66">
        <f t="shared" si="73"/>
        <v>4713004</v>
      </c>
      <c r="O442" s="66">
        <f t="shared" si="74"/>
        <v>4713004</v>
      </c>
      <c r="P442" s="170" t="s">
        <v>315</v>
      </c>
      <c r="Q442" s="171">
        <v>2200000</v>
      </c>
      <c r="R442" s="171">
        <v>2200000</v>
      </c>
      <c r="S442" s="171">
        <v>1957644</v>
      </c>
      <c r="T442" s="171">
        <v>1957644</v>
      </c>
      <c r="U442" s="157">
        <f t="shared" si="75"/>
        <v>0</v>
      </c>
      <c r="V442" s="157">
        <f t="shared" si="76"/>
        <v>0</v>
      </c>
      <c r="W442" s="157">
        <f t="shared" si="77"/>
        <v>555360</v>
      </c>
      <c r="X442" s="157">
        <f t="shared" si="78"/>
        <v>555360</v>
      </c>
      <c r="Z442" s="218"/>
      <c r="AA442" s="253"/>
      <c r="AB442" s="288"/>
      <c r="AC442" s="289"/>
      <c r="AD442" s="289"/>
      <c r="AE442" s="291"/>
      <c r="AF442" s="189"/>
      <c r="AI442" s="240">
        <f t="shared" si="72"/>
        <v>4713004</v>
      </c>
    </row>
    <row r="443" spans="2:35" s="84" customFormat="1" ht="35.25" customHeight="1">
      <c r="B443" s="83"/>
      <c r="C443" s="313"/>
      <c r="D443" s="132" t="s">
        <v>161</v>
      </c>
      <c r="E443" s="132" t="s">
        <v>164</v>
      </c>
      <c r="F443" s="132"/>
      <c r="G443" s="132"/>
      <c r="H443" s="132"/>
      <c r="I443" s="133">
        <v>20</v>
      </c>
      <c r="J443" s="134">
        <v>1100000</v>
      </c>
      <c r="K443" s="134">
        <v>1100000</v>
      </c>
      <c r="L443" s="189">
        <v>188240</v>
      </c>
      <c r="M443" s="189">
        <v>188240</v>
      </c>
      <c r="N443" s="66">
        <f t="shared" si="73"/>
        <v>1288240</v>
      </c>
      <c r="O443" s="66">
        <f t="shared" si="74"/>
        <v>1288240</v>
      </c>
      <c r="P443" s="170" t="s">
        <v>230</v>
      </c>
      <c r="Q443" s="171">
        <v>1100000</v>
      </c>
      <c r="R443" s="171">
        <v>1100000</v>
      </c>
      <c r="S443" s="171">
        <v>146640</v>
      </c>
      <c r="T443" s="171">
        <v>146640</v>
      </c>
      <c r="U443" s="157">
        <f t="shared" si="75"/>
        <v>0</v>
      </c>
      <c r="V443" s="157">
        <f t="shared" si="76"/>
        <v>0</v>
      </c>
      <c r="W443" s="157">
        <f t="shared" si="77"/>
        <v>41600</v>
      </c>
      <c r="X443" s="157">
        <f t="shared" si="78"/>
        <v>41600</v>
      </c>
      <c r="Z443" s="218"/>
      <c r="AA443" s="253"/>
      <c r="AB443" s="288"/>
      <c r="AC443" s="289"/>
      <c r="AD443" s="289"/>
      <c r="AE443" s="291"/>
      <c r="AF443" s="189"/>
      <c r="AI443" s="240">
        <f t="shared" si="72"/>
        <v>1288240</v>
      </c>
    </row>
    <row r="444" spans="2:35" s="84" customFormat="1" ht="35.25" customHeight="1">
      <c r="B444" s="83"/>
      <c r="C444" s="313"/>
      <c r="D444" s="132" t="s">
        <v>164</v>
      </c>
      <c r="E444" s="132" t="s">
        <v>83</v>
      </c>
      <c r="F444" s="132"/>
      <c r="G444" s="132"/>
      <c r="H444" s="132" t="s">
        <v>46</v>
      </c>
      <c r="I444" s="133">
        <v>276</v>
      </c>
      <c r="J444" s="134">
        <v>2200000</v>
      </c>
      <c r="K444" s="134">
        <v>2200000</v>
      </c>
      <c r="L444" s="189">
        <v>2597712</v>
      </c>
      <c r="M444" s="189">
        <v>2597712</v>
      </c>
      <c r="N444" s="66">
        <f t="shared" si="73"/>
        <v>4797712</v>
      </c>
      <c r="O444" s="66">
        <f t="shared" si="74"/>
        <v>4797712</v>
      </c>
      <c r="P444" s="170" t="s">
        <v>316</v>
      </c>
      <c r="Q444" s="171">
        <v>2200000</v>
      </c>
      <c r="R444" s="171">
        <v>2200000</v>
      </c>
      <c r="S444" s="171">
        <v>2023632</v>
      </c>
      <c r="T444" s="171">
        <v>2023632</v>
      </c>
      <c r="U444" s="157">
        <f t="shared" si="75"/>
        <v>0</v>
      </c>
      <c r="V444" s="157">
        <f t="shared" si="76"/>
        <v>0</v>
      </c>
      <c r="W444" s="157">
        <f t="shared" si="77"/>
        <v>574080</v>
      </c>
      <c r="X444" s="157">
        <f t="shared" si="78"/>
        <v>574080</v>
      </c>
      <c r="Z444" s="218"/>
      <c r="AA444" s="253"/>
      <c r="AB444" s="288"/>
      <c r="AC444" s="289"/>
      <c r="AD444" s="289"/>
      <c r="AE444" s="291"/>
      <c r="AF444" s="189"/>
      <c r="AI444" s="240">
        <f t="shared" si="72"/>
        <v>4797712</v>
      </c>
    </row>
    <row r="445" spans="2:35" s="84" customFormat="1" ht="35.25" customHeight="1">
      <c r="B445" s="83"/>
      <c r="C445" s="313"/>
      <c r="D445" s="132" t="s">
        <v>161</v>
      </c>
      <c r="E445" s="132" t="s">
        <v>165</v>
      </c>
      <c r="F445" s="132"/>
      <c r="G445" s="132"/>
      <c r="H445" s="132"/>
      <c r="I445" s="133">
        <v>30</v>
      </c>
      <c r="J445" s="134">
        <v>1100000</v>
      </c>
      <c r="K445" s="134">
        <v>1100000</v>
      </c>
      <c r="L445" s="189">
        <v>282360</v>
      </c>
      <c r="M445" s="189">
        <v>282360</v>
      </c>
      <c r="N445" s="66">
        <f t="shared" si="73"/>
        <v>1382360</v>
      </c>
      <c r="O445" s="66">
        <f t="shared" si="74"/>
        <v>1382360</v>
      </c>
      <c r="P445" s="170" t="s">
        <v>234</v>
      </c>
      <c r="Q445" s="171">
        <v>1100000</v>
      </c>
      <c r="R445" s="171">
        <v>1100000</v>
      </c>
      <c r="S445" s="171">
        <v>219960</v>
      </c>
      <c r="T445" s="171">
        <v>219960</v>
      </c>
      <c r="U445" s="157">
        <f t="shared" si="75"/>
        <v>0</v>
      </c>
      <c r="V445" s="157">
        <f t="shared" si="76"/>
        <v>0</v>
      </c>
      <c r="W445" s="157">
        <f t="shared" si="77"/>
        <v>62400</v>
      </c>
      <c r="X445" s="157">
        <f t="shared" si="78"/>
        <v>62400</v>
      </c>
      <c r="Z445" s="218"/>
      <c r="AA445" s="253"/>
      <c r="AB445" s="288"/>
      <c r="AC445" s="289"/>
      <c r="AD445" s="289"/>
      <c r="AE445" s="291"/>
      <c r="AF445" s="189"/>
      <c r="AI445" s="240">
        <f t="shared" si="72"/>
        <v>1382360</v>
      </c>
    </row>
    <row r="446" spans="2:35" s="84" customFormat="1" ht="35.25" customHeight="1">
      <c r="B446" s="83"/>
      <c r="C446" s="313"/>
      <c r="D446" s="132" t="s">
        <v>165</v>
      </c>
      <c r="E446" s="132" t="s">
        <v>82</v>
      </c>
      <c r="F446" s="132"/>
      <c r="G446" s="132"/>
      <c r="H446" s="132" t="s">
        <v>46</v>
      </c>
      <c r="I446" s="133">
        <v>333</v>
      </c>
      <c r="J446" s="134">
        <v>2400000</v>
      </c>
      <c r="K446" s="134">
        <v>2400000</v>
      </c>
      <c r="L446" s="189">
        <v>3134196</v>
      </c>
      <c r="M446" s="189">
        <v>3134196</v>
      </c>
      <c r="N446" s="66">
        <f t="shared" si="73"/>
        <v>5534196</v>
      </c>
      <c r="O446" s="66">
        <f t="shared" si="74"/>
        <v>5534196</v>
      </c>
      <c r="P446" s="170" t="s">
        <v>317</v>
      </c>
      <c r="Q446" s="171">
        <v>2400000</v>
      </c>
      <c r="R446" s="171">
        <v>2400000</v>
      </c>
      <c r="S446" s="171">
        <v>2441556</v>
      </c>
      <c r="T446" s="171">
        <v>2441556</v>
      </c>
      <c r="U446" s="157">
        <f t="shared" si="75"/>
        <v>0</v>
      </c>
      <c r="V446" s="157">
        <f t="shared" si="76"/>
        <v>0</v>
      </c>
      <c r="W446" s="157">
        <f t="shared" si="77"/>
        <v>692640</v>
      </c>
      <c r="X446" s="157">
        <f t="shared" si="78"/>
        <v>692640</v>
      </c>
      <c r="Z446" s="218"/>
      <c r="AA446" s="253"/>
      <c r="AB446" s="288"/>
      <c r="AC446" s="289"/>
      <c r="AD446" s="289"/>
      <c r="AE446" s="291"/>
      <c r="AF446" s="189"/>
      <c r="AI446" s="240">
        <f t="shared" si="72"/>
        <v>5534196</v>
      </c>
    </row>
    <row r="447" spans="2:35" s="84" customFormat="1" ht="35.25" customHeight="1">
      <c r="B447" s="83"/>
      <c r="C447" s="313"/>
      <c r="D447" s="132" t="s">
        <v>161</v>
      </c>
      <c r="E447" s="132" t="s">
        <v>165</v>
      </c>
      <c r="F447" s="132"/>
      <c r="G447" s="132"/>
      <c r="H447" s="132"/>
      <c r="I447" s="133">
        <v>30</v>
      </c>
      <c r="J447" s="134">
        <v>1100000</v>
      </c>
      <c r="K447" s="134">
        <v>1100000</v>
      </c>
      <c r="L447" s="189">
        <v>282360</v>
      </c>
      <c r="M447" s="189">
        <v>282360</v>
      </c>
      <c r="N447" s="66">
        <f t="shared" si="73"/>
        <v>1382360</v>
      </c>
      <c r="O447" s="66">
        <f t="shared" si="74"/>
        <v>1382360</v>
      </c>
      <c r="P447" s="170" t="s">
        <v>234</v>
      </c>
      <c r="Q447" s="171">
        <v>1100000</v>
      </c>
      <c r="R447" s="171">
        <v>1100000</v>
      </c>
      <c r="S447" s="171">
        <v>219960</v>
      </c>
      <c r="T447" s="171">
        <v>219960</v>
      </c>
      <c r="U447" s="157">
        <f t="shared" si="75"/>
        <v>0</v>
      </c>
      <c r="V447" s="157">
        <f t="shared" si="76"/>
        <v>0</v>
      </c>
      <c r="W447" s="157">
        <f t="shared" si="77"/>
        <v>62400</v>
      </c>
      <c r="X447" s="157">
        <f t="shared" si="78"/>
        <v>62400</v>
      </c>
      <c r="Z447" s="218"/>
      <c r="AA447" s="253"/>
      <c r="AB447" s="288"/>
      <c r="AC447" s="289"/>
      <c r="AD447" s="289"/>
      <c r="AE447" s="291"/>
      <c r="AF447" s="189"/>
      <c r="AI447" s="240">
        <f t="shared" si="72"/>
        <v>1382360</v>
      </c>
    </row>
    <row r="448" spans="2:35" s="84" customFormat="1" ht="35.25" customHeight="1">
      <c r="B448" s="83"/>
      <c r="C448" s="313"/>
      <c r="D448" s="132" t="s">
        <v>165</v>
      </c>
      <c r="E448" s="132" t="s">
        <v>81</v>
      </c>
      <c r="F448" s="132"/>
      <c r="G448" s="132"/>
      <c r="H448" s="132" t="s">
        <v>46</v>
      </c>
      <c r="I448" s="133">
        <v>287</v>
      </c>
      <c r="J448" s="134">
        <v>2300000</v>
      </c>
      <c r="K448" s="134">
        <v>2300000</v>
      </c>
      <c r="L448" s="189">
        <v>2701244</v>
      </c>
      <c r="M448" s="189">
        <v>2701244</v>
      </c>
      <c r="N448" s="66">
        <f t="shared" si="73"/>
        <v>5001244</v>
      </c>
      <c r="O448" s="66">
        <f t="shared" si="74"/>
        <v>5001244</v>
      </c>
      <c r="P448" s="170" t="s">
        <v>318</v>
      </c>
      <c r="Q448" s="171">
        <v>2300000</v>
      </c>
      <c r="R448" s="171">
        <v>2300000</v>
      </c>
      <c r="S448" s="171">
        <v>2104284</v>
      </c>
      <c r="T448" s="171">
        <v>2104284</v>
      </c>
      <c r="U448" s="157">
        <f t="shared" si="75"/>
        <v>0</v>
      </c>
      <c r="V448" s="157">
        <f t="shared" si="76"/>
        <v>0</v>
      </c>
      <c r="W448" s="157">
        <f t="shared" si="77"/>
        <v>596960</v>
      </c>
      <c r="X448" s="157">
        <f t="shared" si="78"/>
        <v>596960</v>
      </c>
      <c r="Z448" s="218"/>
      <c r="AA448" s="253"/>
      <c r="AB448" s="288"/>
      <c r="AC448" s="289"/>
      <c r="AD448" s="289"/>
      <c r="AE448" s="291"/>
      <c r="AF448" s="189"/>
      <c r="AI448" s="240">
        <f t="shared" si="72"/>
        <v>5001244</v>
      </c>
    </row>
    <row r="449" spans="2:35" s="84" customFormat="1" ht="35.25" customHeight="1">
      <c r="B449" s="83"/>
      <c r="C449" s="313"/>
      <c r="D449" s="132" t="s">
        <v>161</v>
      </c>
      <c r="E449" s="132" t="s">
        <v>165</v>
      </c>
      <c r="F449" s="132"/>
      <c r="G449" s="132"/>
      <c r="H449" s="132"/>
      <c r="I449" s="133">
        <v>30</v>
      </c>
      <c r="J449" s="134">
        <v>1100000</v>
      </c>
      <c r="K449" s="134">
        <v>1100000</v>
      </c>
      <c r="L449" s="189">
        <v>282360</v>
      </c>
      <c r="M449" s="189">
        <v>282360</v>
      </c>
      <c r="N449" s="66">
        <f t="shared" si="73"/>
        <v>1382360</v>
      </c>
      <c r="O449" s="66">
        <f t="shared" si="74"/>
        <v>1382360</v>
      </c>
      <c r="P449" s="170" t="s">
        <v>234</v>
      </c>
      <c r="Q449" s="171">
        <v>1100000</v>
      </c>
      <c r="R449" s="171">
        <v>1100000</v>
      </c>
      <c r="S449" s="171">
        <v>219960</v>
      </c>
      <c r="T449" s="171">
        <v>219960</v>
      </c>
      <c r="U449" s="157">
        <f t="shared" si="75"/>
        <v>0</v>
      </c>
      <c r="V449" s="157">
        <f t="shared" si="76"/>
        <v>0</v>
      </c>
      <c r="W449" s="157">
        <f t="shared" si="77"/>
        <v>62400</v>
      </c>
      <c r="X449" s="157">
        <f t="shared" si="78"/>
        <v>62400</v>
      </c>
      <c r="Z449" s="218"/>
      <c r="AA449" s="253"/>
      <c r="AB449" s="288"/>
      <c r="AC449" s="289"/>
      <c r="AD449" s="289"/>
      <c r="AE449" s="291"/>
      <c r="AF449" s="189"/>
      <c r="AI449" s="240">
        <f t="shared" si="72"/>
        <v>1382360</v>
      </c>
    </row>
    <row r="450" spans="2:35" s="84" customFormat="1" ht="35.25" customHeight="1">
      <c r="B450" s="83"/>
      <c r="C450" s="313"/>
      <c r="D450" s="132" t="s">
        <v>165</v>
      </c>
      <c r="E450" s="132" t="s">
        <v>83</v>
      </c>
      <c r="F450" s="132"/>
      <c r="G450" s="132"/>
      <c r="H450" s="132" t="s">
        <v>46</v>
      </c>
      <c r="I450" s="133">
        <v>256</v>
      </c>
      <c r="J450" s="134">
        <v>2300000</v>
      </c>
      <c r="K450" s="134">
        <v>2300000</v>
      </c>
      <c r="L450" s="189">
        <v>2409472</v>
      </c>
      <c r="M450" s="189">
        <v>2409472</v>
      </c>
      <c r="N450" s="66">
        <f t="shared" si="73"/>
        <v>4709472</v>
      </c>
      <c r="O450" s="66">
        <f t="shared" si="74"/>
        <v>4709472</v>
      </c>
      <c r="P450" s="170" t="s">
        <v>319</v>
      </c>
      <c r="Q450" s="171">
        <v>2300000</v>
      </c>
      <c r="R450" s="171">
        <v>2300000</v>
      </c>
      <c r="S450" s="171">
        <v>1876992</v>
      </c>
      <c r="T450" s="171">
        <v>1876992</v>
      </c>
      <c r="U450" s="157">
        <f t="shared" si="75"/>
        <v>0</v>
      </c>
      <c r="V450" s="157">
        <f t="shared" si="76"/>
        <v>0</v>
      </c>
      <c r="W450" s="157">
        <f t="shared" si="77"/>
        <v>532480</v>
      </c>
      <c r="X450" s="157">
        <f t="shared" si="78"/>
        <v>532480</v>
      </c>
      <c r="Z450" s="218"/>
      <c r="AA450" s="253"/>
      <c r="AB450" s="288"/>
      <c r="AC450" s="289"/>
      <c r="AD450" s="289"/>
      <c r="AE450" s="291"/>
      <c r="AF450" s="189"/>
      <c r="AI450" s="240">
        <f t="shared" si="72"/>
        <v>4709472</v>
      </c>
    </row>
    <row r="451" spans="2:35" s="84" customFormat="1" ht="35.25" customHeight="1">
      <c r="B451" s="83"/>
      <c r="C451" s="313"/>
      <c r="D451" s="132" t="s">
        <v>162</v>
      </c>
      <c r="E451" s="132" t="s">
        <v>166</v>
      </c>
      <c r="F451" s="132"/>
      <c r="G451" s="132"/>
      <c r="H451" s="132"/>
      <c r="I451" s="133">
        <v>55</v>
      </c>
      <c r="J451" s="134">
        <v>1550000</v>
      </c>
      <c r="K451" s="134">
        <v>1550000</v>
      </c>
      <c r="L451" s="189">
        <v>517660</v>
      </c>
      <c r="M451" s="189">
        <v>517660</v>
      </c>
      <c r="N451" s="66">
        <f t="shared" si="73"/>
        <v>2067660</v>
      </c>
      <c r="O451" s="66">
        <f t="shared" si="74"/>
        <v>2067660</v>
      </c>
      <c r="P451" s="170" t="s">
        <v>238</v>
      </c>
      <c r="Q451" s="171">
        <v>1550000</v>
      </c>
      <c r="R451" s="171">
        <v>1550000</v>
      </c>
      <c r="S451" s="171">
        <v>403260</v>
      </c>
      <c r="T451" s="171">
        <v>403260</v>
      </c>
      <c r="U451" s="157">
        <f t="shared" si="75"/>
        <v>0</v>
      </c>
      <c r="V451" s="157">
        <f t="shared" si="76"/>
        <v>0</v>
      </c>
      <c r="W451" s="157">
        <f t="shared" si="77"/>
        <v>114400</v>
      </c>
      <c r="X451" s="157">
        <f t="shared" si="78"/>
        <v>114400</v>
      </c>
      <c r="Z451" s="218"/>
      <c r="AA451" s="253"/>
      <c r="AB451" s="288"/>
      <c r="AC451" s="289"/>
      <c r="AD451" s="289"/>
      <c r="AE451" s="291"/>
      <c r="AF451" s="189"/>
      <c r="AI451" s="240">
        <f t="shared" si="72"/>
        <v>2067660</v>
      </c>
    </row>
    <row r="452" spans="2:35" s="84" customFormat="1" ht="35.25" customHeight="1">
      <c r="B452" s="83"/>
      <c r="C452" s="313"/>
      <c r="D452" s="132" t="s">
        <v>166</v>
      </c>
      <c r="E452" s="132" t="s">
        <v>82</v>
      </c>
      <c r="F452" s="132"/>
      <c r="G452" s="132"/>
      <c r="H452" s="132" t="s">
        <v>46</v>
      </c>
      <c r="I452" s="133">
        <v>278</v>
      </c>
      <c r="J452" s="134">
        <v>2200000</v>
      </c>
      <c r="K452" s="134">
        <v>2200000</v>
      </c>
      <c r="L452" s="189">
        <v>2616536</v>
      </c>
      <c r="M452" s="189">
        <v>2616536</v>
      </c>
      <c r="N452" s="66">
        <f t="shared" si="73"/>
        <v>4816536</v>
      </c>
      <c r="O452" s="66">
        <f t="shared" si="74"/>
        <v>4816536</v>
      </c>
      <c r="P452" s="170" t="s">
        <v>320</v>
      </c>
      <c r="Q452" s="171">
        <v>2200000</v>
      </c>
      <c r="R452" s="171">
        <v>2200000</v>
      </c>
      <c r="S452" s="171">
        <v>2038296</v>
      </c>
      <c r="T452" s="171">
        <v>2038296</v>
      </c>
      <c r="U452" s="157">
        <f t="shared" si="75"/>
        <v>0</v>
      </c>
      <c r="V452" s="157">
        <f t="shared" si="76"/>
        <v>0</v>
      </c>
      <c r="W452" s="157">
        <f t="shared" si="77"/>
        <v>578240</v>
      </c>
      <c r="X452" s="157">
        <f t="shared" si="78"/>
        <v>578240</v>
      </c>
      <c r="Z452" s="218"/>
      <c r="AA452" s="253"/>
      <c r="AB452" s="288"/>
      <c r="AC452" s="289"/>
      <c r="AD452" s="289"/>
      <c r="AE452" s="291"/>
      <c r="AF452" s="189"/>
      <c r="AI452" s="240">
        <f t="shared" si="72"/>
        <v>4816536</v>
      </c>
    </row>
    <row r="453" spans="2:35" s="84" customFormat="1" ht="35.25" customHeight="1">
      <c r="B453" s="83"/>
      <c r="C453" s="313"/>
      <c r="D453" s="132" t="s">
        <v>162</v>
      </c>
      <c r="E453" s="132" t="s">
        <v>166</v>
      </c>
      <c r="F453" s="132"/>
      <c r="G453" s="132"/>
      <c r="H453" s="132"/>
      <c r="I453" s="133">
        <v>55</v>
      </c>
      <c r="J453" s="134">
        <v>1550000</v>
      </c>
      <c r="K453" s="134">
        <v>1550000</v>
      </c>
      <c r="L453" s="189">
        <v>517660</v>
      </c>
      <c r="M453" s="189">
        <v>517660</v>
      </c>
      <c r="N453" s="66">
        <f t="shared" si="73"/>
        <v>2067660</v>
      </c>
      <c r="O453" s="66">
        <f t="shared" si="74"/>
        <v>2067660</v>
      </c>
      <c r="P453" s="170" t="s">
        <v>238</v>
      </c>
      <c r="Q453" s="171">
        <v>1550000</v>
      </c>
      <c r="R453" s="171">
        <v>1550000</v>
      </c>
      <c r="S453" s="171">
        <v>403260</v>
      </c>
      <c r="T453" s="171">
        <v>403260</v>
      </c>
      <c r="U453" s="157">
        <f t="shared" si="75"/>
        <v>0</v>
      </c>
      <c r="V453" s="157">
        <f t="shared" si="76"/>
        <v>0</v>
      </c>
      <c r="W453" s="157">
        <f t="shared" si="77"/>
        <v>114400</v>
      </c>
      <c r="X453" s="157">
        <f t="shared" si="78"/>
        <v>114400</v>
      </c>
      <c r="Z453" s="218"/>
      <c r="AA453" s="253"/>
      <c r="AB453" s="288"/>
      <c r="AC453" s="289"/>
      <c r="AD453" s="289"/>
      <c r="AE453" s="291"/>
      <c r="AF453" s="189"/>
      <c r="AI453" s="240">
        <f t="shared" si="72"/>
        <v>2067660</v>
      </c>
    </row>
    <row r="454" spans="2:35" s="84" customFormat="1" ht="35.25" customHeight="1">
      <c r="B454" s="83"/>
      <c r="C454" s="313"/>
      <c r="D454" s="132" t="s">
        <v>166</v>
      </c>
      <c r="E454" s="132" t="s">
        <v>81</v>
      </c>
      <c r="F454" s="132"/>
      <c r="G454" s="132"/>
      <c r="H454" s="132" t="s">
        <v>46</v>
      </c>
      <c r="I454" s="133">
        <v>302</v>
      </c>
      <c r="J454" s="134">
        <v>2300000</v>
      </c>
      <c r="K454" s="134">
        <v>2300000</v>
      </c>
      <c r="L454" s="189">
        <v>2842424</v>
      </c>
      <c r="M454" s="189">
        <v>2842424</v>
      </c>
      <c r="N454" s="66">
        <f t="shared" si="73"/>
        <v>5142424</v>
      </c>
      <c r="O454" s="66">
        <f t="shared" si="74"/>
        <v>5142424</v>
      </c>
      <c r="P454" s="170" t="s">
        <v>321</v>
      </c>
      <c r="Q454" s="171">
        <v>2300000</v>
      </c>
      <c r="R454" s="171">
        <v>2300000</v>
      </c>
      <c r="S454" s="171">
        <v>2214264</v>
      </c>
      <c r="T454" s="171">
        <v>2214264</v>
      </c>
      <c r="U454" s="157">
        <f t="shared" si="75"/>
        <v>0</v>
      </c>
      <c r="V454" s="157">
        <f t="shared" si="76"/>
        <v>0</v>
      </c>
      <c r="W454" s="157">
        <f t="shared" si="77"/>
        <v>628160</v>
      </c>
      <c r="X454" s="157">
        <f t="shared" si="78"/>
        <v>628160</v>
      </c>
      <c r="Z454" s="218"/>
      <c r="AA454" s="253"/>
      <c r="AB454" s="288"/>
      <c r="AC454" s="289"/>
      <c r="AD454" s="289"/>
      <c r="AE454" s="291"/>
      <c r="AF454" s="189"/>
      <c r="AI454" s="240">
        <f t="shared" si="72"/>
        <v>5142424</v>
      </c>
    </row>
    <row r="455" spans="2:35" s="84" customFormat="1" ht="35.25" customHeight="1">
      <c r="B455" s="83"/>
      <c r="C455" s="313"/>
      <c r="D455" s="132" t="s">
        <v>162</v>
      </c>
      <c r="E455" s="132" t="s">
        <v>166</v>
      </c>
      <c r="F455" s="132"/>
      <c r="G455" s="132"/>
      <c r="H455" s="132"/>
      <c r="I455" s="133">
        <v>55</v>
      </c>
      <c r="J455" s="134">
        <v>1550000</v>
      </c>
      <c r="K455" s="134">
        <v>1550000</v>
      </c>
      <c r="L455" s="189">
        <v>517660</v>
      </c>
      <c r="M455" s="189">
        <v>517660</v>
      </c>
      <c r="N455" s="66">
        <f t="shared" si="73"/>
        <v>2067660</v>
      </c>
      <c r="O455" s="66">
        <f t="shared" si="74"/>
        <v>2067660</v>
      </c>
      <c r="P455" s="170" t="s">
        <v>238</v>
      </c>
      <c r="Q455" s="171">
        <v>1550000</v>
      </c>
      <c r="R455" s="171">
        <v>1550000</v>
      </c>
      <c r="S455" s="171">
        <v>403260</v>
      </c>
      <c r="T455" s="171">
        <v>403260</v>
      </c>
      <c r="U455" s="157">
        <f t="shared" si="75"/>
        <v>0</v>
      </c>
      <c r="V455" s="157">
        <f t="shared" si="76"/>
        <v>0</v>
      </c>
      <c r="W455" s="157">
        <f t="shared" si="77"/>
        <v>114400</v>
      </c>
      <c r="X455" s="157">
        <f t="shared" si="78"/>
        <v>114400</v>
      </c>
      <c r="Z455" s="218"/>
      <c r="AA455" s="253"/>
      <c r="AB455" s="288"/>
      <c r="AC455" s="289"/>
      <c r="AD455" s="289"/>
      <c r="AE455" s="291"/>
      <c r="AF455" s="189"/>
      <c r="AI455" s="240">
        <f t="shared" si="72"/>
        <v>2067660</v>
      </c>
    </row>
    <row r="456" spans="2:35" s="84" customFormat="1" ht="35.25" customHeight="1">
      <c r="B456" s="83"/>
      <c r="C456" s="313"/>
      <c r="D456" s="132" t="s">
        <v>166</v>
      </c>
      <c r="E456" s="132" t="s">
        <v>83</v>
      </c>
      <c r="F456" s="132"/>
      <c r="G456" s="132"/>
      <c r="H456" s="132" t="s">
        <v>46</v>
      </c>
      <c r="I456" s="133">
        <v>311</v>
      </c>
      <c r="J456" s="134">
        <v>2300000</v>
      </c>
      <c r="K456" s="134">
        <v>2300000</v>
      </c>
      <c r="L456" s="189">
        <v>2927132</v>
      </c>
      <c r="M456" s="189">
        <v>2927132</v>
      </c>
      <c r="N456" s="66">
        <f t="shared" si="73"/>
        <v>5227132</v>
      </c>
      <c r="O456" s="66">
        <f t="shared" si="74"/>
        <v>5227132</v>
      </c>
      <c r="P456" s="170" t="s">
        <v>322</v>
      </c>
      <c r="Q456" s="171">
        <v>2300000</v>
      </c>
      <c r="R456" s="171">
        <v>2300000</v>
      </c>
      <c r="S456" s="171">
        <v>2280252</v>
      </c>
      <c r="T456" s="171">
        <v>2280252</v>
      </c>
      <c r="U456" s="157">
        <f t="shared" si="75"/>
        <v>0</v>
      </c>
      <c r="V456" s="157">
        <f t="shared" si="76"/>
        <v>0</v>
      </c>
      <c r="W456" s="157">
        <f t="shared" si="77"/>
        <v>646880</v>
      </c>
      <c r="X456" s="157">
        <f t="shared" si="78"/>
        <v>646880</v>
      </c>
      <c r="Z456" s="218"/>
      <c r="AA456" s="253"/>
      <c r="AB456" s="288"/>
      <c r="AC456" s="289"/>
      <c r="AD456" s="289"/>
      <c r="AE456" s="291"/>
      <c r="AF456" s="189"/>
      <c r="AI456" s="240">
        <f t="shared" si="72"/>
        <v>5227132</v>
      </c>
    </row>
    <row r="457" spans="2:35" s="84" customFormat="1" ht="35.25" customHeight="1">
      <c r="B457" s="83"/>
      <c r="C457" s="313"/>
      <c r="D457" s="132" t="s">
        <v>162</v>
      </c>
      <c r="E457" s="132" t="s">
        <v>167</v>
      </c>
      <c r="F457" s="132"/>
      <c r="G457" s="132"/>
      <c r="H457" s="132"/>
      <c r="I457" s="133">
        <v>15</v>
      </c>
      <c r="J457" s="134">
        <v>1050000</v>
      </c>
      <c r="K457" s="134">
        <v>1050000</v>
      </c>
      <c r="L457" s="189">
        <v>141180</v>
      </c>
      <c r="M457" s="189">
        <v>141180</v>
      </c>
      <c r="N457" s="66">
        <f t="shared" si="73"/>
        <v>1191180</v>
      </c>
      <c r="O457" s="66">
        <f t="shared" si="74"/>
        <v>1191180</v>
      </c>
      <c r="P457" s="170" t="s">
        <v>242</v>
      </c>
      <c r="Q457" s="171">
        <v>1050000</v>
      </c>
      <c r="R457" s="171">
        <v>1050000</v>
      </c>
      <c r="S457" s="171">
        <v>109980</v>
      </c>
      <c r="T457" s="171">
        <v>109980</v>
      </c>
      <c r="U457" s="157">
        <f t="shared" si="75"/>
        <v>0</v>
      </c>
      <c r="V457" s="157">
        <f t="shared" si="76"/>
        <v>0</v>
      </c>
      <c r="W457" s="157">
        <f t="shared" si="77"/>
        <v>31200</v>
      </c>
      <c r="X457" s="157">
        <f t="shared" si="78"/>
        <v>31200</v>
      </c>
      <c r="Z457" s="218"/>
      <c r="AA457" s="253"/>
      <c r="AB457" s="288"/>
      <c r="AC457" s="289"/>
      <c r="AD457" s="289"/>
      <c r="AE457" s="291"/>
      <c r="AF457" s="189"/>
      <c r="AI457" s="240">
        <f t="shared" si="72"/>
        <v>1191180</v>
      </c>
    </row>
    <row r="458" spans="2:35" s="84" customFormat="1" ht="35.25" customHeight="1">
      <c r="B458" s="83"/>
      <c r="C458" s="313"/>
      <c r="D458" s="132" t="s">
        <v>167</v>
      </c>
      <c r="E458" s="132" t="s">
        <v>82</v>
      </c>
      <c r="F458" s="132"/>
      <c r="G458" s="132"/>
      <c r="H458" s="132" t="s">
        <v>46</v>
      </c>
      <c r="I458" s="133">
        <v>313</v>
      </c>
      <c r="J458" s="134">
        <v>2300000</v>
      </c>
      <c r="K458" s="134">
        <v>2300000</v>
      </c>
      <c r="L458" s="189">
        <v>2945956</v>
      </c>
      <c r="M458" s="189">
        <v>2945956</v>
      </c>
      <c r="N458" s="66">
        <f t="shared" si="73"/>
        <v>5245956</v>
      </c>
      <c r="O458" s="66">
        <f t="shared" si="74"/>
        <v>5245956</v>
      </c>
      <c r="P458" s="170" t="s">
        <v>323</v>
      </c>
      <c r="Q458" s="171">
        <v>2300000</v>
      </c>
      <c r="R458" s="171">
        <v>2300000</v>
      </c>
      <c r="S458" s="171">
        <v>2294916</v>
      </c>
      <c r="T458" s="171">
        <v>2294916</v>
      </c>
      <c r="U458" s="157">
        <f t="shared" si="75"/>
        <v>0</v>
      </c>
      <c r="V458" s="157">
        <f t="shared" si="76"/>
        <v>0</v>
      </c>
      <c r="W458" s="157">
        <f t="shared" si="77"/>
        <v>651040</v>
      </c>
      <c r="X458" s="157">
        <f t="shared" si="78"/>
        <v>651040</v>
      </c>
      <c r="Z458" s="218"/>
      <c r="AA458" s="253"/>
      <c r="AB458" s="288"/>
      <c r="AC458" s="289"/>
      <c r="AD458" s="289"/>
      <c r="AE458" s="291"/>
      <c r="AF458" s="189"/>
      <c r="AI458" s="240">
        <f t="shared" si="72"/>
        <v>5245956</v>
      </c>
    </row>
    <row r="459" spans="2:35" s="84" customFormat="1" ht="35.25" customHeight="1">
      <c r="B459" s="83"/>
      <c r="C459" s="313"/>
      <c r="D459" s="132" t="s">
        <v>162</v>
      </c>
      <c r="E459" s="132" t="s">
        <v>167</v>
      </c>
      <c r="F459" s="132"/>
      <c r="G459" s="132"/>
      <c r="H459" s="132"/>
      <c r="I459" s="133">
        <v>15</v>
      </c>
      <c r="J459" s="134">
        <v>1050000</v>
      </c>
      <c r="K459" s="134">
        <v>1050000</v>
      </c>
      <c r="L459" s="189">
        <v>141180</v>
      </c>
      <c r="M459" s="189">
        <v>141180</v>
      </c>
      <c r="N459" s="66">
        <f t="shared" si="73"/>
        <v>1191180</v>
      </c>
      <c r="O459" s="66">
        <f t="shared" si="74"/>
        <v>1191180</v>
      </c>
      <c r="P459" s="170" t="s">
        <v>242</v>
      </c>
      <c r="Q459" s="171">
        <v>1050000</v>
      </c>
      <c r="R459" s="171">
        <v>1050000</v>
      </c>
      <c r="S459" s="171">
        <v>109980</v>
      </c>
      <c r="T459" s="171">
        <v>109980</v>
      </c>
      <c r="U459" s="157">
        <f t="shared" si="75"/>
        <v>0</v>
      </c>
      <c r="V459" s="157">
        <f t="shared" si="76"/>
        <v>0</v>
      </c>
      <c r="W459" s="157">
        <f t="shared" si="77"/>
        <v>31200</v>
      </c>
      <c r="X459" s="157">
        <f t="shared" si="78"/>
        <v>31200</v>
      </c>
      <c r="Z459" s="218"/>
      <c r="AA459" s="253"/>
      <c r="AB459" s="288"/>
      <c r="AC459" s="289"/>
      <c r="AD459" s="289"/>
      <c r="AE459" s="291"/>
      <c r="AF459" s="189"/>
      <c r="AI459" s="240">
        <f t="shared" si="72"/>
        <v>1191180</v>
      </c>
    </row>
    <row r="460" spans="2:35" s="84" customFormat="1" ht="35.25" customHeight="1">
      <c r="B460" s="83"/>
      <c r="C460" s="313"/>
      <c r="D460" s="132" t="s">
        <v>167</v>
      </c>
      <c r="E460" s="132" t="s">
        <v>81</v>
      </c>
      <c r="F460" s="132"/>
      <c r="G460" s="132"/>
      <c r="H460" s="132" t="s">
        <v>46</v>
      </c>
      <c r="I460" s="133">
        <v>267</v>
      </c>
      <c r="J460" s="134">
        <v>2200000</v>
      </c>
      <c r="K460" s="134">
        <v>2200000</v>
      </c>
      <c r="L460" s="189">
        <v>2513004</v>
      </c>
      <c r="M460" s="189">
        <v>2513004</v>
      </c>
      <c r="N460" s="66">
        <f t="shared" si="73"/>
        <v>4713004</v>
      </c>
      <c r="O460" s="66">
        <f t="shared" si="74"/>
        <v>4713004</v>
      </c>
      <c r="P460" s="170" t="s">
        <v>324</v>
      </c>
      <c r="Q460" s="171">
        <v>2200000</v>
      </c>
      <c r="R460" s="171">
        <v>2200000</v>
      </c>
      <c r="S460" s="171">
        <v>1957644</v>
      </c>
      <c r="T460" s="171">
        <v>1957644</v>
      </c>
      <c r="U460" s="157">
        <f t="shared" si="75"/>
        <v>0</v>
      </c>
      <c r="V460" s="157">
        <f t="shared" si="76"/>
        <v>0</v>
      </c>
      <c r="W460" s="157">
        <f t="shared" si="77"/>
        <v>555360</v>
      </c>
      <c r="X460" s="157">
        <f t="shared" si="78"/>
        <v>555360</v>
      </c>
      <c r="Z460" s="218"/>
      <c r="AA460" s="253"/>
      <c r="AB460" s="288"/>
      <c r="AC460" s="289"/>
      <c r="AD460" s="289"/>
      <c r="AE460" s="291"/>
      <c r="AF460" s="189"/>
      <c r="AI460" s="240">
        <f t="shared" si="72"/>
        <v>4713004</v>
      </c>
    </row>
    <row r="461" spans="2:35" s="84" customFormat="1" ht="35.25" customHeight="1">
      <c r="B461" s="83"/>
      <c r="C461" s="313"/>
      <c r="D461" s="132" t="s">
        <v>162</v>
      </c>
      <c r="E461" s="132" t="s">
        <v>167</v>
      </c>
      <c r="F461" s="132"/>
      <c r="G461" s="132"/>
      <c r="H461" s="132"/>
      <c r="I461" s="133">
        <v>15</v>
      </c>
      <c r="J461" s="134">
        <v>1050000</v>
      </c>
      <c r="K461" s="134">
        <v>1050000</v>
      </c>
      <c r="L461" s="189">
        <v>141180</v>
      </c>
      <c r="M461" s="189">
        <v>141180</v>
      </c>
      <c r="N461" s="66">
        <f t="shared" si="73"/>
        <v>1191180</v>
      </c>
      <c r="O461" s="66">
        <f t="shared" si="74"/>
        <v>1191180</v>
      </c>
      <c r="P461" s="170" t="s">
        <v>242</v>
      </c>
      <c r="Q461" s="171">
        <v>1050000</v>
      </c>
      <c r="R461" s="171">
        <v>1050000</v>
      </c>
      <c r="S461" s="171">
        <v>109980</v>
      </c>
      <c r="T461" s="171">
        <v>109980</v>
      </c>
      <c r="U461" s="157">
        <f t="shared" si="75"/>
        <v>0</v>
      </c>
      <c r="V461" s="157">
        <f t="shared" si="76"/>
        <v>0</v>
      </c>
      <c r="W461" s="157">
        <f t="shared" si="77"/>
        <v>31200</v>
      </c>
      <c r="X461" s="157">
        <f t="shared" si="78"/>
        <v>31200</v>
      </c>
      <c r="Z461" s="218"/>
      <c r="AA461" s="253"/>
      <c r="AB461" s="288"/>
      <c r="AC461" s="289"/>
      <c r="AD461" s="289"/>
      <c r="AE461" s="291"/>
      <c r="AF461" s="189"/>
      <c r="AI461" s="240">
        <f t="shared" si="72"/>
        <v>1191180</v>
      </c>
    </row>
    <row r="462" spans="2:35" s="84" customFormat="1" ht="35.25" customHeight="1">
      <c r="B462" s="83"/>
      <c r="C462" s="313"/>
      <c r="D462" s="132" t="s">
        <v>167</v>
      </c>
      <c r="E462" s="132" t="s">
        <v>83</v>
      </c>
      <c r="F462" s="132"/>
      <c r="G462" s="132"/>
      <c r="H462" s="132" t="s">
        <v>46</v>
      </c>
      <c r="I462" s="133">
        <v>276</v>
      </c>
      <c r="J462" s="134">
        <v>2200000</v>
      </c>
      <c r="K462" s="134">
        <v>2200000</v>
      </c>
      <c r="L462" s="189">
        <v>2597712</v>
      </c>
      <c r="M462" s="189">
        <v>2597712</v>
      </c>
      <c r="N462" s="66">
        <f t="shared" si="73"/>
        <v>4797712</v>
      </c>
      <c r="O462" s="66">
        <f t="shared" si="74"/>
        <v>4797712</v>
      </c>
      <c r="P462" s="170" t="s">
        <v>325</v>
      </c>
      <c r="Q462" s="171">
        <v>2200000</v>
      </c>
      <c r="R462" s="171">
        <v>2200000</v>
      </c>
      <c r="S462" s="171">
        <v>2023632</v>
      </c>
      <c r="T462" s="171">
        <v>2023632</v>
      </c>
      <c r="U462" s="157">
        <f t="shared" si="75"/>
        <v>0</v>
      </c>
      <c r="V462" s="157">
        <f t="shared" si="76"/>
        <v>0</v>
      </c>
      <c r="W462" s="157">
        <f t="shared" si="77"/>
        <v>574080</v>
      </c>
      <c r="X462" s="157">
        <f t="shared" si="78"/>
        <v>574080</v>
      </c>
      <c r="Z462" s="218"/>
      <c r="AA462" s="253"/>
      <c r="AB462" s="288"/>
      <c r="AC462" s="289"/>
      <c r="AD462" s="289"/>
      <c r="AE462" s="291"/>
      <c r="AF462" s="189"/>
      <c r="AI462" s="240">
        <f t="shared" si="72"/>
        <v>4797712</v>
      </c>
    </row>
    <row r="463" spans="2:35" s="84" customFormat="1" ht="35.25" customHeight="1">
      <c r="B463" s="83"/>
      <c r="C463" s="313"/>
      <c r="D463" s="132" t="s">
        <v>162</v>
      </c>
      <c r="E463" s="132" t="s">
        <v>168</v>
      </c>
      <c r="F463" s="132"/>
      <c r="G463" s="132"/>
      <c r="H463" s="132"/>
      <c r="I463" s="133">
        <v>14</v>
      </c>
      <c r="J463" s="134">
        <v>1050000</v>
      </c>
      <c r="K463" s="134">
        <v>1050000</v>
      </c>
      <c r="L463" s="189">
        <v>131768</v>
      </c>
      <c r="M463" s="189">
        <v>131768</v>
      </c>
      <c r="N463" s="66">
        <f t="shared" si="73"/>
        <v>1181768</v>
      </c>
      <c r="O463" s="66">
        <f t="shared" si="74"/>
        <v>1181768</v>
      </c>
      <c r="P463" s="170" t="s">
        <v>246</v>
      </c>
      <c r="Q463" s="171">
        <v>1050000</v>
      </c>
      <c r="R463" s="171">
        <v>1050000</v>
      </c>
      <c r="S463" s="171">
        <v>102648</v>
      </c>
      <c r="T463" s="171">
        <v>102648</v>
      </c>
      <c r="U463" s="157">
        <f t="shared" si="75"/>
        <v>0</v>
      </c>
      <c r="V463" s="157">
        <f t="shared" si="76"/>
        <v>0</v>
      </c>
      <c r="W463" s="157">
        <f t="shared" si="77"/>
        <v>29120</v>
      </c>
      <c r="X463" s="157">
        <f t="shared" si="78"/>
        <v>29120</v>
      </c>
      <c r="Z463" s="218"/>
      <c r="AA463" s="253"/>
      <c r="AB463" s="288"/>
      <c r="AC463" s="289"/>
      <c r="AD463" s="289"/>
      <c r="AE463" s="291"/>
      <c r="AF463" s="189"/>
      <c r="AI463" s="240">
        <f t="shared" si="72"/>
        <v>1181768</v>
      </c>
    </row>
    <row r="464" spans="2:35" s="84" customFormat="1" ht="35.25" customHeight="1">
      <c r="B464" s="83"/>
      <c r="C464" s="313"/>
      <c r="D464" s="132" t="s">
        <v>168</v>
      </c>
      <c r="E464" s="132" t="s">
        <v>82</v>
      </c>
      <c r="F464" s="132"/>
      <c r="G464" s="132"/>
      <c r="H464" s="132" t="s">
        <v>46</v>
      </c>
      <c r="I464" s="133">
        <v>333</v>
      </c>
      <c r="J464" s="134">
        <v>2400000</v>
      </c>
      <c r="K464" s="134">
        <v>2400000</v>
      </c>
      <c r="L464" s="189">
        <v>3134196</v>
      </c>
      <c r="M464" s="189">
        <v>3134196</v>
      </c>
      <c r="N464" s="66">
        <f t="shared" si="73"/>
        <v>5534196</v>
      </c>
      <c r="O464" s="66">
        <f t="shared" si="74"/>
        <v>5534196</v>
      </c>
      <c r="P464" s="170" t="s">
        <v>326</v>
      </c>
      <c r="Q464" s="171">
        <v>2400000</v>
      </c>
      <c r="R464" s="171">
        <v>2400000</v>
      </c>
      <c r="S464" s="171">
        <v>2441556</v>
      </c>
      <c r="T464" s="171">
        <v>2441556</v>
      </c>
      <c r="U464" s="157">
        <f t="shared" si="75"/>
        <v>0</v>
      </c>
      <c r="V464" s="157">
        <f t="shared" si="76"/>
        <v>0</v>
      </c>
      <c r="W464" s="157">
        <f t="shared" si="77"/>
        <v>692640</v>
      </c>
      <c r="X464" s="157">
        <f t="shared" si="78"/>
        <v>692640</v>
      </c>
      <c r="Z464" s="218"/>
      <c r="AA464" s="253"/>
      <c r="AB464" s="288"/>
      <c r="AC464" s="289"/>
      <c r="AD464" s="289"/>
      <c r="AE464" s="291"/>
      <c r="AF464" s="189"/>
      <c r="AI464" s="240">
        <f t="shared" si="72"/>
        <v>5534196</v>
      </c>
    </row>
    <row r="465" spans="2:35" s="84" customFormat="1" ht="35.25" customHeight="1">
      <c r="B465" s="83"/>
      <c r="C465" s="313"/>
      <c r="D465" s="132" t="s">
        <v>162</v>
      </c>
      <c r="E465" s="132" t="s">
        <v>168</v>
      </c>
      <c r="F465" s="132"/>
      <c r="G465" s="132"/>
      <c r="H465" s="132"/>
      <c r="I465" s="133">
        <v>14</v>
      </c>
      <c r="J465" s="134">
        <v>1050000</v>
      </c>
      <c r="K465" s="134">
        <v>1050000</v>
      </c>
      <c r="L465" s="189">
        <v>131768</v>
      </c>
      <c r="M465" s="189">
        <v>131768</v>
      </c>
      <c r="N465" s="66">
        <f t="shared" si="73"/>
        <v>1181768</v>
      </c>
      <c r="O465" s="66">
        <f t="shared" si="74"/>
        <v>1181768</v>
      </c>
      <c r="P465" s="170" t="s">
        <v>246</v>
      </c>
      <c r="Q465" s="171">
        <v>1050000</v>
      </c>
      <c r="R465" s="171">
        <v>1050000</v>
      </c>
      <c r="S465" s="171">
        <v>102648</v>
      </c>
      <c r="T465" s="171">
        <v>102648</v>
      </c>
      <c r="U465" s="157">
        <f t="shared" si="75"/>
        <v>0</v>
      </c>
      <c r="V465" s="157">
        <f t="shared" si="76"/>
        <v>0</v>
      </c>
      <c r="W465" s="157">
        <f t="shared" si="77"/>
        <v>29120</v>
      </c>
      <c r="X465" s="157">
        <f t="shared" si="78"/>
        <v>29120</v>
      </c>
      <c r="Z465" s="218"/>
      <c r="AA465" s="253"/>
      <c r="AB465" s="288"/>
      <c r="AC465" s="289"/>
      <c r="AD465" s="289"/>
      <c r="AE465" s="291"/>
      <c r="AF465" s="189"/>
      <c r="AI465" s="240">
        <f t="shared" ref="AI465:AI528" si="79">O465</f>
        <v>1181768</v>
      </c>
    </row>
    <row r="466" spans="2:35" s="84" customFormat="1" ht="35.25" customHeight="1">
      <c r="B466" s="83"/>
      <c r="C466" s="313"/>
      <c r="D466" s="132" t="s">
        <v>168</v>
      </c>
      <c r="E466" s="132" t="s">
        <v>81</v>
      </c>
      <c r="F466" s="132"/>
      <c r="G466" s="132"/>
      <c r="H466" s="132" t="s">
        <v>46</v>
      </c>
      <c r="I466" s="133">
        <v>287</v>
      </c>
      <c r="J466" s="134">
        <v>2300000</v>
      </c>
      <c r="K466" s="134">
        <v>2300000</v>
      </c>
      <c r="L466" s="189">
        <v>2701244</v>
      </c>
      <c r="M466" s="189">
        <v>2701244</v>
      </c>
      <c r="N466" s="66">
        <f t="shared" si="73"/>
        <v>5001244</v>
      </c>
      <c r="O466" s="66">
        <f t="shared" si="74"/>
        <v>5001244</v>
      </c>
      <c r="P466" s="170" t="s">
        <v>327</v>
      </c>
      <c r="Q466" s="171">
        <v>2300000</v>
      </c>
      <c r="R466" s="171">
        <v>2300000</v>
      </c>
      <c r="S466" s="171">
        <v>2104284</v>
      </c>
      <c r="T466" s="171">
        <v>2104284</v>
      </c>
      <c r="U466" s="157">
        <f t="shared" si="75"/>
        <v>0</v>
      </c>
      <c r="V466" s="157">
        <f t="shared" si="76"/>
        <v>0</v>
      </c>
      <c r="W466" s="157">
        <f t="shared" si="77"/>
        <v>596960</v>
      </c>
      <c r="X466" s="157">
        <f t="shared" si="78"/>
        <v>596960</v>
      </c>
      <c r="Z466" s="218"/>
      <c r="AA466" s="253"/>
      <c r="AB466" s="288"/>
      <c r="AC466" s="289"/>
      <c r="AD466" s="289"/>
      <c r="AE466" s="291"/>
      <c r="AF466" s="189"/>
      <c r="AI466" s="240">
        <f t="shared" si="79"/>
        <v>5001244</v>
      </c>
    </row>
    <row r="467" spans="2:35" s="84" customFormat="1" ht="35.25" customHeight="1">
      <c r="B467" s="83"/>
      <c r="C467" s="313"/>
      <c r="D467" s="132" t="s">
        <v>162</v>
      </c>
      <c r="E467" s="132" t="s">
        <v>168</v>
      </c>
      <c r="F467" s="132"/>
      <c r="G467" s="132"/>
      <c r="H467" s="132"/>
      <c r="I467" s="133">
        <v>14</v>
      </c>
      <c r="J467" s="134">
        <v>1050000</v>
      </c>
      <c r="K467" s="134">
        <v>1050000</v>
      </c>
      <c r="L467" s="189">
        <v>131768</v>
      </c>
      <c r="M467" s="189">
        <v>131768</v>
      </c>
      <c r="N467" s="66">
        <f t="shared" si="73"/>
        <v>1181768</v>
      </c>
      <c r="O467" s="66">
        <f t="shared" si="74"/>
        <v>1181768</v>
      </c>
      <c r="P467" s="170" t="s">
        <v>246</v>
      </c>
      <c r="Q467" s="171">
        <v>1050000</v>
      </c>
      <c r="R467" s="171">
        <v>1050000</v>
      </c>
      <c r="S467" s="171">
        <v>102648</v>
      </c>
      <c r="T467" s="171">
        <v>102648</v>
      </c>
      <c r="U467" s="157">
        <f t="shared" si="75"/>
        <v>0</v>
      </c>
      <c r="V467" s="157">
        <f t="shared" si="76"/>
        <v>0</v>
      </c>
      <c r="W467" s="157">
        <f t="shared" si="77"/>
        <v>29120</v>
      </c>
      <c r="X467" s="157">
        <f t="shared" si="78"/>
        <v>29120</v>
      </c>
      <c r="Z467" s="218"/>
      <c r="AA467" s="253"/>
      <c r="AB467" s="288"/>
      <c r="AC467" s="289"/>
      <c r="AD467" s="289"/>
      <c r="AE467" s="291"/>
      <c r="AF467" s="189"/>
      <c r="AI467" s="240">
        <f t="shared" si="79"/>
        <v>1181768</v>
      </c>
    </row>
    <row r="468" spans="2:35" s="84" customFormat="1" ht="35.25" customHeight="1">
      <c r="B468" s="83"/>
      <c r="C468" s="314"/>
      <c r="D468" s="132" t="s">
        <v>168</v>
      </c>
      <c r="E468" s="132" t="s">
        <v>83</v>
      </c>
      <c r="F468" s="132"/>
      <c r="G468" s="132"/>
      <c r="H468" s="132" t="s">
        <v>46</v>
      </c>
      <c r="I468" s="133">
        <v>256</v>
      </c>
      <c r="J468" s="134">
        <v>2300000</v>
      </c>
      <c r="K468" s="134">
        <v>2300000</v>
      </c>
      <c r="L468" s="189">
        <v>2409472</v>
      </c>
      <c r="M468" s="189">
        <v>2409472</v>
      </c>
      <c r="N468" s="66">
        <f t="shared" si="73"/>
        <v>4709472</v>
      </c>
      <c r="O468" s="66">
        <f t="shared" si="74"/>
        <v>4709472</v>
      </c>
      <c r="P468" s="170" t="s">
        <v>328</v>
      </c>
      <c r="Q468" s="171">
        <v>2300000</v>
      </c>
      <c r="R468" s="171">
        <v>2300000</v>
      </c>
      <c r="S468" s="171">
        <v>1876992</v>
      </c>
      <c r="T468" s="171">
        <v>1876992</v>
      </c>
      <c r="U468" s="157">
        <f t="shared" si="75"/>
        <v>0</v>
      </c>
      <c r="V468" s="157">
        <f t="shared" si="76"/>
        <v>0</v>
      </c>
      <c r="W468" s="157">
        <f t="shared" si="77"/>
        <v>532480</v>
      </c>
      <c r="X468" s="157">
        <f t="shared" si="78"/>
        <v>532480</v>
      </c>
      <c r="Z468" s="218"/>
      <c r="AA468" s="253"/>
      <c r="AB468" s="288"/>
      <c r="AC468" s="289"/>
      <c r="AD468" s="289"/>
      <c r="AE468" s="291"/>
      <c r="AF468" s="189"/>
      <c r="AI468" s="240">
        <f t="shared" si="79"/>
        <v>4709472</v>
      </c>
    </row>
    <row r="469" spans="2:35" s="84" customFormat="1" ht="36.75" customHeight="1">
      <c r="B469" s="83"/>
      <c r="C469" s="315" t="s">
        <v>40</v>
      </c>
      <c r="D469" s="316" t="s">
        <v>39</v>
      </c>
      <c r="E469" s="317"/>
      <c r="F469" s="317"/>
      <c r="G469" s="317"/>
      <c r="H469" s="318"/>
      <c r="I469" s="319" t="s">
        <v>41</v>
      </c>
      <c r="J469" s="320" t="s">
        <v>69</v>
      </c>
      <c r="K469" s="320"/>
      <c r="L469" s="307" t="s">
        <v>38</v>
      </c>
      <c r="M469" s="308"/>
      <c r="N469" s="311" t="s">
        <v>13</v>
      </c>
      <c r="O469" s="311"/>
      <c r="P469" s="170" t="s">
        <v>39</v>
      </c>
      <c r="Q469" s="171" t="e">
        <v>#N/A</v>
      </c>
      <c r="R469" s="171" t="e">
        <v>#N/A</v>
      </c>
      <c r="S469" s="171" t="e">
        <v>#N/A</v>
      </c>
      <c r="T469" s="171" t="e">
        <v>#N/A</v>
      </c>
      <c r="U469" s="157" t="e">
        <f t="shared" si="75"/>
        <v>#VALUE!</v>
      </c>
      <c r="V469" s="157" t="e">
        <f t="shared" si="76"/>
        <v>#N/A</v>
      </c>
      <c r="W469" s="157" t="e">
        <f t="shared" si="77"/>
        <v>#VALUE!</v>
      </c>
      <c r="X469" s="157" t="e">
        <f t="shared" si="78"/>
        <v>#N/A</v>
      </c>
      <c r="Z469" s="218"/>
      <c r="AA469" s="253"/>
      <c r="AB469" s="288"/>
      <c r="AC469" s="289"/>
      <c r="AD469" s="289"/>
      <c r="AE469" s="307"/>
      <c r="AF469" s="308"/>
      <c r="AI469" s="240">
        <f t="shared" si="79"/>
        <v>0</v>
      </c>
    </row>
    <row r="470" spans="2:35" s="84" customFormat="1" ht="36.75" customHeight="1">
      <c r="B470" s="83"/>
      <c r="C470" s="301"/>
      <c r="D470" s="117" t="s">
        <v>15</v>
      </c>
      <c r="E470" s="117" t="s">
        <v>16</v>
      </c>
      <c r="F470" s="117" t="s">
        <v>16</v>
      </c>
      <c r="G470" s="117" t="s">
        <v>16</v>
      </c>
      <c r="H470" s="117" t="s">
        <v>16</v>
      </c>
      <c r="I470" s="301"/>
      <c r="J470" s="117" t="s">
        <v>35</v>
      </c>
      <c r="K470" s="117" t="s">
        <v>36</v>
      </c>
      <c r="L470" s="190" t="s">
        <v>35</v>
      </c>
      <c r="M470" s="190" t="s">
        <v>36</v>
      </c>
      <c r="N470" s="117" t="s">
        <v>35</v>
      </c>
      <c r="O470" s="117" t="s">
        <v>36</v>
      </c>
      <c r="P470" s="170" t="s">
        <v>250</v>
      </c>
      <c r="Q470" s="171" t="e">
        <v>#N/A</v>
      </c>
      <c r="R470" s="171" t="e">
        <v>#N/A</v>
      </c>
      <c r="S470" s="171" t="e">
        <v>#N/A</v>
      </c>
      <c r="T470" s="171" t="e">
        <v>#N/A</v>
      </c>
      <c r="U470" s="157" t="e">
        <f t="shared" si="75"/>
        <v>#VALUE!</v>
      </c>
      <c r="V470" s="157" t="e">
        <f t="shared" si="76"/>
        <v>#VALUE!</v>
      </c>
      <c r="W470" s="157" t="e">
        <f t="shared" si="77"/>
        <v>#VALUE!</v>
      </c>
      <c r="X470" s="157" t="e">
        <f t="shared" si="78"/>
        <v>#VALUE!</v>
      </c>
      <c r="Z470" s="218"/>
      <c r="AA470" s="253"/>
      <c r="AB470" s="288"/>
      <c r="AC470" s="289"/>
      <c r="AD470" s="289"/>
      <c r="AE470" s="293"/>
      <c r="AF470" s="190"/>
      <c r="AI470" s="240" t="str">
        <f t="shared" si="79"/>
        <v>20FT</v>
      </c>
    </row>
    <row r="471" spans="2:35" s="39" customFormat="1" ht="48" customHeight="1">
      <c r="C471" s="312" t="s">
        <v>57</v>
      </c>
      <c r="D471" s="130" t="s">
        <v>132</v>
      </c>
      <c r="E471" s="130" t="s">
        <v>82</v>
      </c>
      <c r="F471" s="130"/>
      <c r="G471" s="130"/>
      <c r="H471" s="130" t="s">
        <v>46</v>
      </c>
      <c r="I471" s="130">
        <v>239</v>
      </c>
      <c r="J471" s="136">
        <v>1913000</v>
      </c>
      <c r="K471" s="136">
        <v>1913000</v>
      </c>
      <c r="L471" s="287">
        <v>2249468</v>
      </c>
      <c r="M471" s="287">
        <v>2249468</v>
      </c>
      <c r="N471" s="122">
        <f>+J471+L471</f>
        <v>4162468</v>
      </c>
      <c r="O471" s="122">
        <f>+K471+M471</f>
        <v>4162468</v>
      </c>
      <c r="P471" s="170" t="s">
        <v>329</v>
      </c>
      <c r="Q471" s="171">
        <v>1913000</v>
      </c>
      <c r="R471" s="171">
        <v>1913000</v>
      </c>
      <c r="S471" s="171">
        <v>1752348</v>
      </c>
      <c r="T471" s="171">
        <v>1752348</v>
      </c>
      <c r="U471" s="157">
        <f t="shared" si="75"/>
        <v>0</v>
      </c>
      <c r="V471" s="157">
        <f t="shared" si="76"/>
        <v>0</v>
      </c>
      <c r="W471" s="157">
        <f t="shared" si="77"/>
        <v>497120</v>
      </c>
      <c r="X471" s="157">
        <f t="shared" si="78"/>
        <v>497120</v>
      </c>
      <c r="Z471" s="218"/>
      <c r="AA471" s="253"/>
      <c r="AB471" s="288"/>
      <c r="AC471" s="289"/>
      <c r="AD471" s="289"/>
      <c r="AE471" s="291"/>
      <c r="AF471" s="189"/>
      <c r="AH471" s="39" t="s">
        <v>471</v>
      </c>
      <c r="AI471" s="240">
        <f t="shared" si="79"/>
        <v>4162468</v>
      </c>
    </row>
    <row r="472" spans="2:35" s="39" customFormat="1" ht="48" customHeight="1">
      <c r="C472" s="313"/>
      <c r="D472" s="130" t="s">
        <v>132</v>
      </c>
      <c r="E472" s="130" t="s">
        <v>81</v>
      </c>
      <c r="F472" s="130"/>
      <c r="G472" s="130"/>
      <c r="H472" s="130" t="s">
        <v>46</v>
      </c>
      <c r="I472" s="130">
        <v>227</v>
      </c>
      <c r="J472" s="136">
        <v>1950000</v>
      </c>
      <c r="K472" s="136">
        <v>1950000</v>
      </c>
      <c r="L472" s="287">
        <v>2136524</v>
      </c>
      <c r="M472" s="287">
        <v>2136524</v>
      </c>
      <c r="N472" s="122">
        <f t="shared" ref="N472:N479" si="80">+J472+L472</f>
        <v>4086524</v>
      </c>
      <c r="O472" s="122">
        <f t="shared" ref="O472:O479" si="81">+K472+M472</f>
        <v>4086524</v>
      </c>
      <c r="P472" s="170" t="s">
        <v>330</v>
      </c>
      <c r="Q472" s="171">
        <v>1950000</v>
      </c>
      <c r="R472" s="171">
        <v>1950000</v>
      </c>
      <c r="S472" s="171">
        <v>1664364</v>
      </c>
      <c r="T472" s="171">
        <v>1664364</v>
      </c>
      <c r="U472" s="157">
        <f t="shared" si="75"/>
        <v>0</v>
      </c>
      <c r="V472" s="157">
        <f t="shared" si="76"/>
        <v>0</v>
      </c>
      <c r="W472" s="157">
        <f t="shared" si="77"/>
        <v>472160</v>
      </c>
      <c r="X472" s="157">
        <f t="shared" si="78"/>
        <v>472160</v>
      </c>
      <c r="Z472" s="218"/>
      <c r="AA472" s="253"/>
      <c r="AB472" s="288"/>
      <c r="AC472" s="289"/>
      <c r="AD472" s="289"/>
      <c r="AE472" s="291"/>
      <c r="AF472" s="189"/>
      <c r="AH472" s="39" t="s">
        <v>472</v>
      </c>
      <c r="AI472" s="240">
        <f t="shared" si="79"/>
        <v>4086524</v>
      </c>
    </row>
    <row r="473" spans="2:35" s="84" customFormat="1" ht="48" customHeight="1">
      <c r="B473" s="83"/>
      <c r="C473" s="313"/>
      <c r="D473" s="130" t="s">
        <v>132</v>
      </c>
      <c r="E473" s="130" t="s">
        <v>83</v>
      </c>
      <c r="F473" s="130"/>
      <c r="G473" s="130"/>
      <c r="H473" s="130" t="s">
        <v>46</v>
      </c>
      <c r="I473" s="130">
        <v>234</v>
      </c>
      <c r="J473" s="136">
        <v>1950000</v>
      </c>
      <c r="K473" s="136">
        <v>1950000</v>
      </c>
      <c r="L473" s="287">
        <v>2202408</v>
      </c>
      <c r="M473" s="287">
        <v>2202408</v>
      </c>
      <c r="N473" s="122">
        <f t="shared" si="80"/>
        <v>4152408</v>
      </c>
      <c r="O473" s="122">
        <f t="shared" si="81"/>
        <v>4152408</v>
      </c>
      <c r="P473" s="170" t="s">
        <v>331</v>
      </c>
      <c r="Q473" s="171">
        <v>1950000</v>
      </c>
      <c r="R473" s="171">
        <v>1950000</v>
      </c>
      <c r="S473" s="171">
        <v>1715688</v>
      </c>
      <c r="T473" s="171">
        <v>1715688</v>
      </c>
      <c r="U473" s="157">
        <f t="shared" si="75"/>
        <v>0</v>
      </c>
      <c r="V473" s="157">
        <f t="shared" si="76"/>
        <v>0</v>
      </c>
      <c r="W473" s="157">
        <f t="shared" si="77"/>
        <v>486720</v>
      </c>
      <c r="X473" s="157">
        <f t="shared" si="78"/>
        <v>486720</v>
      </c>
      <c r="Z473" s="218"/>
      <c r="AA473" s="253"/>
      <c r="AB473" s="288"/>
      <c r="AC473" s="289"/>
      <c r="AD473" s="289"/>
      <c r="AE473" s="291"/>
      <c r="AF473" s="189"/>
      <c r="AH473" s="39" t="s">
        <v>473</v>
      </c>
      <c r="AI473" s="240">
        <f t="shared" si="79"/>
        <v>4152408</v>
      </c>
    </row>
    <row r="474" spans="2:35" s="84" customFormat="1" ht="48" customHeight="1">
      <c r="B474" s="83"/>
      <c r="C474" s="313"/>
      <c r="D474" s="132" t="s">
        <v>93</v>
      </c>
      <c r="E474" s="132" t="s">
        <v>82</v>
      </c>
      <c r="F474" s="132"/>
      <c r="G474" s="132"/>
      <c r="H474" s="132" t="s">
        <v>46</v>
      </c>
      <c r="I474" s="132">
        <v>258</v>
      </c>
      <c r="J474" s="137">
        <v>2707000</v>
      </c>
      <c r="K474" s="136">
        <v>2707000</v>
      </c>
      <c r="L474" s="287">
        <v>2428296</v>
      </c>
      <c r="M474" s="287">
        <v>2428296</v>
      </c>
      <c r="N474" s="122">
        <f t="shared" si="80"/>
        <v>5135296</v>
      </c>
      <c r="O474" s="122">
        <f t="shared" si="81"/>
        <v>5135296</v>
      </c>
      <c r="P474" s="170" t="s">
        <v>332</v>
      </c>
      <c r="Q474" s="171">
        <v>2707000</v>
      </c>
      <c r="R474" s="171">
        <v>2707000</v>
      </c>
      <c r="S474" s="171">
        <v>1891656</v>
      </c>
      <c r="T474" s="171">
        <v>1891656</v>
      </c>
      <c r="U474" s="157">
        <f t="shared" si="75"/>
        <v>0</v>
      </c>
      <c r="V474" s="157">
        <f t="shared" si="76"/>
        <v>0</v>
      </c>
      <c r="W474" s="157">
        <f t="shared" si="77"/>
        <v>536640</v>
      </c>
      <c r="X474" s="157">
        <f t="shared" si="78"/>
        <v>536640</v>
      </c>
      <c r="Z474" s="218"/>
      <c r="AA474" s="253"/>
      <c r="AB474" s="288"/>
      <c r="AC474" s="289"/>
      <c r="AD474" s="289"/>
      <c r="AE474" s="291"/>
      <c r="AF474" s="189"/>
      <c r="AH474" s="39" t="s">
        <v>474</v>
      </c>
      <c r="AI474" s="240">
        <f t="shared" si="79"/>
        <v>5135296</v>
      </c>
    </row>
    <row r="475" spans="2:35" s="84" customFormat="1" ht="48" customHeight="1">
      <c r="B475" s="83"/>
      <c r="C475" s="313"/>
      <c r="D475" s="132" t="s">
        <v>93</v>
      </c>
      <c r="E475" s="132" t="s">
        <v>81</v>
      </c>
      <c r="F475" s="132"/>
      <c r="G475" s="132"/>
      <c r="H475" s="132" t="s">
        <v>46</v>
      </c>
      <c r="I475" s="132">
        <v>212</v>
      </c>
      <c r="J475" s="137">
        <v>2546000</v>
      </c>
      <c r="K475" s="136">
        <v>2546000</v>
      </c>
      <c r="L475" s="287">
        <v>1995344</v>
      </c>
      <c r="M475" s="287">
        <v>1995344</v>
      </c>
      <c r="N475" s="122">
        <f t="shared" si="80"/>
        <v>4541344</v>
      </c>
      <c r="O475" s="122">
        <f t="shared" si="81"/>
        <v>4541344</v>
      </c>
      <c r="P475" s="170" t="s">
        <v>333</v>
      </c>
      <c r="Q475" s="171">
        <v>2546000</v>
      </c>
      <c r="R475" s="171">
        <v>2546000</v>
      </c>
      <c r="S475" s="171">
        <v>1554384</v>
      </c>
      <c r="T475" s="171">
        <v>1554384</v>
      </c>
      <c r="U475" s="157">
        <f t="shared" si="75"/>
        <v>0</v>
      </c>
      <c r="V475" s="157">
        <f t="shared" si="76"/>
        <v>0</v>
      </c>
      <c r="W475" s="157">
        <f t="shared" si="77"/>
        <v>440960</v>
      </c>
      <c r="X475" s="157">
        <f t="shared" si="78"/>
        <v>440960</v>
      </c>
      <c r="Z475" s="218"/>
      <c r="AA475" s="253"/>
      <c r="AB475" s="288"/>
      <c r="AC475" s="289"/>
      <c r="AD475" s="289"/>
      <c r="AE475" s="291"/>
      <c r="AF475" s="189"/>
      <c r="AH475" s="39" t="s">
        <v>475</v>
      </c>
      <c r="AI475" s="240">
        <f t="shared" si="79"/>
        <v>4541344</v>
      </c>
    </row>
    <row r="476" spans="2:35" s="84" customFormat="1" ht="48" customHeight="1">
      <c r="B476" s="83"/>
      <c r="C476" s="313"/>
      <c r="D476" s="132" t="s">
        <v>93</v>
      </c>
      <c r="E476" s="132" t="s">
        <v>83</v>
      </c>
      <c r="F476" s="132"/>
      <c r="G476" s="132"/>
      <c r="H476" s="132" t="s">
        <v>46</v>
      </c>
      <c r="I476" s="132">
        <v>191</v>
      </c>
      <c r="J476" s="137">
        <v>2558000</v>
      </c>
      <c r="K476" s="136">
        <v>2558000</v>
      </c>
      <c r="L476" s="287">
        <v>1797692</v>
      </c>
      <c r="M476" s="287">
        <v>1797692</v>
      </c>
      <c r="N476" s="122">
        <f t="shared" si="80"/>
        <v>4355692</v>
      </c>
      <c r="O476" s="122">
        <f t="shared" si="81"/>
        <v>4355692</v>
      </c>
      <c r="P476" s="170" t="s">
        <v>334</v>
      </c>
      <c r="Q476" s="171">
        <v>2558000</v>
      </c>
      <c r="R476" s="171">
        <v>2558000</v>
      </c>
      <c r="S476" s="171">
        <v>1400412</v>
      </c>
      <c r="T476" s="171">
        <v>1400412</v>
      </c>
      <c r="U476" s="157">
        <f t="shared" si="75"/>
        <v>0</v>
      </c>
      <c r="V476" s="157">
        <f t="shared" si="76"/>
        <v>0</v>
      </c>
      <c r="W476" s="157">
        <f t="shared" si="77"/>
        <v>397280</v>
      </c>
      <c r="X476" s="157">
        <f t="shared" si="78"/>
        <v>397280</v>
      </c>
      <c r="Z476" s="218"/>
      <c r="AA476" s="253"/>
      <c r="AB476" s="288"/>
      <c r="AC476" s="289"/>
      <c r="AD476" s="289"/>
      <c r="AE476" s="291"/>
      <c r="AF476" s="189"/>
      <c r="AH476" s="39" t="s">
        <v>476</v>
      </c>
      <c r="AI476" s="240">
        <f t="shared" si="79"/>
        <v>4355692</v>
      </c>
    </row>
    <row r="477" spans="2:35" s="84" customFormat="1" ht="48" customHeight="1">
      <c r="B477" s="83"/>
      <c r="C477" s="313"/>
      <c r="D477" s="132" t="s">
        <v>94</v>
      </c>
      <c r="E477" s="132" t="s">
        <v>82</v>
      </c>
      <c r="F477" s="132"/>
      <c r="G477" s="132"/>
      <c r="H477" s="132" t="s">
        <v>46</v>
      </c>
      <c r="I477" s="132">
        <v>228</v>
      </c>
      <c r="J477" s="137">
        <v>1900000</v>
      </c>
      <c r="K477" s="136">
        <v>1900000</v>
      </c>
      <c r="L477" s="287">
        <v>2145936</v>
      </c>
      <c r="M477" s="287">
        <v>2145936</v>
      </c>
      <c r="N477" s="122">
        <f t="shared" si="80"/>
        <v>4045936</v>
      </c>
      <c r="O477" s="122">
        <f t="shared" si="81"/>
        <v>4045936</v>
      </c>
      <c r="P477" s="170" t="s">
        <v>335</v>
      </c>
      <c r="Q477" s="171">
        <v>1900000</v>
      </c>
      <c r="R477" s="171">
        <v>1900000</v>
      </c>
      <c r="S477" s="171">
        <v>1671696</v>
      </c>
      <c r="T477" s="171">
        <v>1671696</v>
      </c>
      <c r="U477" s="157">
        <f t="shared" si="75"/>
        <v>0</v>
      </c>
      <c r="V477" s="157">
        <f t="shared" si="76"/>
        <v>0</v>
      </c>
      <c r="W477" s="157">
        <f t="shared" si="77"/>
        <v>474240</v>
      </c>
      <c r="X477" s="157">
        <f t="shared" si="78"/>
        <v>474240</v>
      </c>
      <c r="Z477" s="218"/>
      <c r="AA477" s="253"/>
      <c r="AB477" s="288"/>
      <c r="AC477" s="289"/>
      <c r="AD477" s="289"/>
      <c r="AE477" s="291"/>
      <c r="AF477" s="189"/>
      <c r="AH477" s="39" t="s">
        <v>477</v>
      </c>
      <c r="AI477" s="240">
        <f t="shared" si="79"/>
        <v>4045936</v>
      </c>
    </row>
    <row r="478" spans="2:35" s="84" customFormat="1" ht="48" customHeight="1">
      <c r="B478" s="83"/>
      <c r="C478" s="313"/>
      <c r="D478" s="132" t="s">
        <v>94</v>
      </c>
      <c r="E478" s="132" t="s">
        <v>81</v>
      </c>
      <c r="F478" s="132"/>
      <c r="G478" s="132"/>
      <c r="H478" s="132" t="s">
        <v>46</v>
      </c>
      <c r="I478" s="132">
        <v>207</v>
      </c>
      <c r="J478" s="137">
        <v>1923000</v>
      </c>
      <c r="K478" s="136">
        <v>1923000</v>
      </c>
      <c r="L478" s="287">
        <v>1948284</v>
      </c>
      <c r="M478" s="287">
        <v>1948284</v>
      </c>
      <c r="N478" s="122">
        <f t="shared" si="80"/>
        <v>3871284</v>
      </c>
      <c r="O478" s="122">
        <f t="shared" si="81"/>
        <v>3871284</v>
      </c>
      <c r="P478" s="170" t="s">
        <v>336</v>
      </c>
      <c r="Q478" s="171">
        <v>1923000</v>
      </c>
      <c r="R478" s="171">
        <v>1923000</v>
      </c>
      <c r="S478" s="171">
        <v>1517724</v>
      </c>
      <c r="T478" s="171">
        <v>1517724</v>
      </c>
      <c r="U478" s="157">
        <f t="shared" si="75"/>
        <v>0</v>
      </c>
      <c r="V478" s="157">
        <f t="shared" si="76"/>
        <v>0</v>
      </c>
      <c r="W478" s="157">
        <f t="shared" si="77"/>
        <v>430560</v>
      </c>
      <c r="X478" s="157">
        <f t="shared" si="78"/>
        <v>430560</v>
      </c>
      <c r="Z478" s="218"/>
      <c r="AA478" s="253"/>
      <c r="AB478" s="288"/>
      <c r="AC478" s="289"/>
      <c r="AD478" s="289"/>
      <c r="AE478" s="291"/>
      <c r="AF478" s="189"/>
      <c r="AH478" s="39" t="s">
        <v>478</v>
      </c>
      <c r="AI478" s="240">
        <f t="shared" si="79"/>
        <v>3871284</v>
      </c>
    </row>
    <row r="479" spans="2:35" s="84" customFormat="1" ht="48" customHeight="1">
      <c r="B479" s="83"/>
      <c r="C479" s="314"/>
      <c r="D479" s="132" t="s">
        <v>94</v>
      </c>
      <c r="E479" s="132" t="s">
        <v>83</v>
      </c>
      <c r="F479" s="132"/>
      <c r="G479" s="132"/>
      <c r="H479" s="132" t="s">
        <v>46</v>
      </c>
      <c r="I479" s="132">
        <v>221</v>
      </c>
      <c r="J479" s="137">
        <v>1923000</v>
      </c>
      <c r="K479" s="136">
        <v>1923000</v>
      </c>
      <c r="L479" s="287">
        <v>2080052</v>
      </c>
      <c r="M479" s="287">
        <v>2080052</v>
      </c>
      <c r="N479" s="122">
        <f t="shared" si="80"/>
        <v>4003052</v>
      </c>
      <c r="O479" s="122">
        <f t="shared" si="81"/>
        <v>4003052</v>
      </c>
      <c r="P479" s="170" t="s">
        <v>337</v>
      </c>
      <c r="Q479" s="171">
        <v>1923000</v>
      </c>
      <c r="R479" s="171">
        <v>1923000</v>
      </c>
      <c r="S479" s="171">
        <v>1620372</v>
      </c>
      <c r="T479" s="171">
        <v>1620372</v>
      </c>
      <c r="U479" s="157">
        <f t="shared" si="75"/>
        <v>0</v>
      </c>
      <c r="V479" s="157">
        <f t="shared" si="76"/>
        <v>0</v>
      </c>
      <c r="W479" s="157">
        <f t="shared" si="77"/>
        <v>459680</v>
      </c>
      <c r="X479" s="157">
        <f t="shared" si="78"/>
        <v>459680</v>
      </c>
      <c r="Z479" s="218"/>
      <c r="AA479" s="253"/>
      <c r="AB479" s="288"/>
      <c r="AC479" s="289"/>
      <c r="AD479" s="289"/>
      <c r="AE479" s="291"/>
      <c r="AF479" s="189"/>
      <c r="AH479" s="39" t="s">
        <v>479</v>
      </c>
      <c r="AI479" s="240">
        <f t="shared" si="79"/>
        <v>4003052</v>
      </c>
    </row>
    <row r="480" spans="2:35" s="28" customFormat="1" ht="24.9" customHeight="1">
      <c r="B480" s="30"/>
      <c r="C480" s="68"/>
      <c r="D480" s="69"/>
      <c r="E480" s="69"/>
      <c r="F480" s="69"/>
      <c r="G480" s="69"/>
      <c r="H480" s="109"/>
      <c r="I480" s="109"/>
      <c r="J480" s="70"/>
      <c r="K480" s="70"/>
      <c r="L480" s="191"/>
      <c r="M480" s="191"/>
      <c r="N480" s="71"/>
      <c r="O480" s="71"/>
      <c r="P480" s="170" t="s">
        <v>260</v>
      </c>
      <c r="Q480" s="171"/>
      <c r="R480" s="158"/>
      <c r="S480" s="151"/>
      <c r="T480" s="151"/>
      <c r="U480" s="159"/>
      <c r="V480" s="159"/>
      <c r="W480" s="151"/>
      <c r="X480" s="151"/>
      <c r="Z480" s="218"/>
      <c r="AA480" s="253"/>
      <c r="AB480" s="288"/>
      <c r="AC480" s="289"/>
      <c r="AD480" s="289"/>
      <c r="AE480" s="70"/>
      <c r="AF480" s="191"/>
      <c r="AI480" s="240">
        <f t="shared" si="79"/>
        <v>0</v>
      </c>
    </row>
    <row r="481" spans="2:35" s="28" customFormat="1" ht="24.9" customHeight="1">
      <c r="B481" s="112" t="s">
        <v>133</v>
      </c>
      <c r="C481" s="112" t="s">
        <v>134</v>
      </c>
      <c r="D481" s="69"/>
      <c r="E481" s="69"/>
      <c r="F481" s="69"/>
      <c r="G481" s="69"/>
      <c r="H481" s="109"/>
      <c r="I481" s="109"/>
      <c r="J481" s="70"/>
      <c r="K481" s="70"/>
      <c r="L481" s="191"/>
      <c r="M481" s="191"/>
      <c r="N481" s="71"/>
      <c r="O481" s="71"/>
      <c r="P481" s="170" t="s">
        <v>260</v>
      </c>
      <c r="Q481" s="171"/>
      <c r="R481" s="158"/>
      <c r="S481" s="151"/>
      <c r="T481" s="151"/>
      <c r="U481" s="159"/>
      <c r="V481" s="159"/>
      <c r="W481" s="151"/>
      <c r="X481" s="151"/>
      <c r="Z481" s="218"/>
      <c r="AA481" s="253"/>
      <c r="AB481" s="288"/>
      <c r="AC481" s="289"/>
      <c r="AD481" s="289"/>
      <c r="AE481" s="70"/>
      <c r="AF481" s="191"/>
      <c r="AI481" s="240">
        <f t="shared" si="79"/>
        <v>0</v>
      </c>
    </row>
    <row r="482" spans="2:35" s="28" customFormat="1" ht="24.9" customHeight="1">
      <c r="B482" s="112" t="s">
        <v>135</v>
      </c>
      <c r="C482" s="112" t="s">
        <v>136</v>
      </c>
      <c r="D482" s="69"/>
      <c r="E482" s="69"/>
      <c r="F482" s="69"/>
      <c r="G482" s="69"/>
      <c r="H482" s="109"/>
      <c r="I482" s="109"/>
      <c r="J482" s="70"/>
      <c r="K482" s="70"/>
      <c r="L482" s="191"/>
      <c r="M482" s="191"/>
      <c r="N482" s="71"/>
      <c r="O482" s="71"/>
      <c r="P482" s="170" t="s">
        <v>260</v>
      </c>
      <c r="Q482" s="171"/>
      <c r="R482" s="158"/>
      <c r="S482" s="151"/>
      <c r="T482" s="151"/>
      <c r="U482" s="159"/>
      <c r="V482" s="159"/>
      <c r="W482" s="151"/>
      <c r="X482" s="151"/>
      <c r="Z482" s="218"/>
      <c r="AA482" s="253"/>
      <c r="AB482" s="288"/>
      <c r="AC482" s="289"/>
      <c r="AD482" s="289"/>
      <c r="AE482" s="70"/>
      <c r="AF482" s="191"/>
      <c r="AI482" s="240">
        <f t="shared" si="79"/>
        <v>0</v>
      </c>
    </row>
    <row r="483" spans="2:35" s="28" customFormat="1" ht="24.9" customHeight="1">
      <c r="B483" s="30"/>
      <c r="C483" s="68"/>
      <c r="D483" s="69"/>
      <c r="E483" s="69"/>
      <c r="F483" s="69"/>
      <c r="G483" s="69"/>
      <c r="H483" s="109"/>
      <c r="I483" s="109"/>
      <c r="J483" s="70"/>
      <c r="K483" s="70"/>
      <c r="L483" s="191"/>
      <c r="M483" s="191"/>
      <c r="N483" s="71"/>
      <c r="O483" s="71"/>
      <c r="P483" s="170" t="s">
        <v>260</v>
      </c>
      <c r="Q483" s="171"/>
      <c r="R483" s="158"/>
      <c r="S483" s="151"/>
      <c r="T483" s="151"/>
      <c r="U483" s="159"/>
      <c r="V483" s="159"/>
      <c r="W483" s="151"/>
      <c r="X483" s="151"/>
      <c r="Z483" s="218"/>
      <c r="AA483" s="253"/>
      <c r="AB483" s="288"/>
      <c r="AC483" s="289"/>
      <c r="AD483" s="289"/>
      <c r="AE483" s="70"/>
      <c r="AF483" s="191"/>
      <c r="AI483" s="240">
        <f t="shared" si="79"/>
        <v>0</v>
      </c>
    </row>
    <row r="484" spans="2:35" s="28" customFormat="1" ht="35.25" customHeight="1">
      <c r="B484" s="30"/>
      <c r="C484" s="315" t="s">
        <v>40</v>
      </c>
      <c r="D484" s="316" t="s">
        <v>39</v>
      </c>
      <c r="E484" s="317"/>
      <c r="F484" s="317"/>
      <c r="G484" s="317"/>
      <c r="H484" s="318"/>
      <c r="I484" s="319" t="s">
        <v>41</v>
      </c>
      <c r="J484" s="320" t="s">
        <v>69</v>
      </c>
      <c r="K484" s="320"/>
      <c r="L484" s="307" t="s">
        <v>38</v>
      </c>
      <c r="M484" s="308"/>
      <c r="N484" s="311" t="s">
        <v>13</v>
      </c>
      <c r="O484" s="311"/>
      <c r="P484" s="170" t="s">
        <v>39</v>
      </c>
      <c r="Q484" s="166"/>
      <c r="R484" s="158"/>
      <c r="S484" s="151"/>
      <c r="T484" s="151"/>
      <c r="U484" s="159"/>
      <c r="V484" s="159"/>
      <c r="W484" s="151"/>
      <c r="X484" s="151"/>
      <c r="Z484" s="218"/>
      <c r="AA484" s="253"/>
      <c r="AB484" s="288"/>
      <c r="AC484" s="289"/>
      <c r="AD484" s="289"/>
      <c r="AE484" s="307"/>
      <c r="AF484" s="308"/>
      <c r="AI484" s="240">
        <f t="shared" si="79"/>
        <v>0</v>
      </c>
    </row>
    <row r="485" spans="2:35" s="28" customFormat="1" ht="35.25" customHeight="1">
      <c r="B485" s="30"/>
      <c r="C485" s="301"/>
      <c r="D485" s="117" t="s">
        <v>15</v>
      </c>
      <c r="E485" s="117" t="s">
        <v>16</v>
      </c>
      <c r="F485" s="117" t="s">
        <v>16</v>
      </c>
      <c r="G485" s="117" t="s">
        <v>16</v>
      </c>
      <c r="H485" s="117" t="s">
        <v>16</v>
      </c>
      <c r="I485" s="301"/>
      <c r="J485" s="117" t="s">
        <v>35</v>
      </c>
      <c r="K485" s="117" t="s">
        <v>36</v>
      </c>
      <c r="L485" s="190" t="s">
        <v>35</v>
      </c>
      <c r="M485" s="190" t="s">
        <v>36</v>
      </c>
      <c r="N485" s="117" t="s">
        <v>35</v>
      </c>
      <c r="O485" s="117" t="s">
        <v>36</v>
      </c>
      <c r="P485" s="170" t="s">
        <v>250</v>
      </c>
      <c r="Q485" s="166"/>
      <c r="R485" s="158"/>
      <c r="S485" s="151"/>
      <c r="T485" s="151"/>
      <c r="U485" s="159"/>
      <c r="V485" s="159"/>
      <c r="W485" s="151"/>
      <c r="X485" s="151"/>
      <c r="Z485" s="218"/>
      <c r="AA485" s="253"/>
      <c r="AB485" s="288"/>
      <c r="AC485" s="289"/>
      <c r="AD485" s="289"/>
      <c r="AE485" s="293"/>
      <c r="AF485" s="190"/>
      <c r="AI485" s="240" t="str">
        <f t="shared" si="79"/>
        <v>20FT</v>
      </c>
    </row>
    <row r="486" spans="2:35" s="28" customFormat="1" ht="63" customHeight="1">
      <c r="B486" s="30"/>
      <c r="C486" s="321" t="s">
        <v>145</v>
      </c>
      <c r="D486" s="79" t="s">
        <v>86</v>
      </c>
      <c r="E486" s="79" t="s">
        <v>82</v>
      </c>
      <c r="F486" s="79"/>
      <c r="G486" s="79"/>
      <c r="H486" s="79" t="s">
        <v>86</v>
      </c>
      <c r="I486" s="79">
        <v>170</v>
      </c>
      <c r="J486" s="80">
        <v>1570000</v>
      </c>
      <c r="K486" s="80">
        <v>1570000</v>
      </c>
      <c r="L486" s="189">
        <v>1400035</v>
      </c>
      <c r="M486" s="189">
        <v>1400035</v>
      </c>
      <c r="N486" s="66">
        <f>+J486+L486</f>
        <v>2970035</v>
      </c>
      <c r="O486" s="66">
        <f>+K486+M486</f>
        <v>2970035</v>
      </c>
      <c r="P486" s="170" t="s">
        <v>338</v>
      </c>
      <c r="Q486" s="171">
        <v>1570000</v>
      </c>
      <c r="R486" s="171">
        <v>1570000</v>
      </c>
      <c r="S486" s="171">
        <v>1090635</v>
      </c>
      <c r="T486" s="171">
        <v>1090635</v>
      </c>
      <c r="U486" s="157">
        <f>J486-Q486</f>
        <v>0</v>
      </c>
      <c r="V486" s="157">
        <f t="shared" ref="V486" si="82">K486-R486</f>
        <v>0</v>
      </c>
      <c r="W486" s="157">
        <f t="shared" ref="W486" si="83">L486-S486</f>
        <v>309400</v>
      </c>
      <c r="X486" s="157">
        <f t="shared" ref="X486" si="84">M486-T486</f>
        <v>309400</v>
      </c>
      <c r="Z486" s="218"/>
      <c r="AA486" s="253"/>
      <c r="AB486" s="288"/>
      <c r="AC486" s="289"/>
      <c r="AD486" s="289"/>
      <c r="AE486" s="291"/>
      <c r="AF486" s="189"/>
      <c r="AI486" s="240">
        <f t="shared" si="79"/>
        <v>2970035</v>
      </c>
    </row>
    <row r="487" spans="2:35" s="28" customFormat="1" ht="63" customHeight="1">
      <c r="B487" s="30"/>
      <c r="C487" s="322"/>
      <c r="D487" s="79" t="s">
        <v>86</v>
      </c>
      <c r="E487" s="79" t="s">
        <v>81</v>
      </c>
      <c r="F487" s="79"/>
      <c r="G487" s="79"/>
      <c r="H487" s="79" t="s">
        <v>86</v>
      </c>
      <c r="I487" s="79">
        <v>70</v>
      </c>
      <c r="J487" s="80">
        <v>920000</v>
      </c>
      <c r="K487" s="80">
        <v>920000</v>
      </c>
      <c r="L487" s="189">
        <v>576485</v>
      </c>
      <c r="M487" s="189">
        <v>576485</v>
      </c>
      <c r="N487" s="66">
        <f t="shared" ref="N487:N514" si="85">+J487+L487</f>
        <v>1496485</v>
      </c>
      <c r="O487" s="66">
        <f t="shared" ref="O487:O514" si="86">+K487+M487</f>
        <v>1496485</v>
      </c>
      <c r="P487" s="170" t="s">
        <v>339</v>
      </c>
      <c r="Q487" s="171">
        <v>920000</v>
      </c>
      <c r="R487" s="171">
        <v>920000</v>
      </c>
      <c r="S487" s="171">
        <v>449085</v>
      </c>
      <c r="T487" s="171">
        <v>449085</v>
      </c>
      <c r="U487" s="157">
        <f t="shared" ref="U487:U520" si="87">J487-Q487</f>
        <v>0</v>
      </c>
      <c r="V487" s="157">
        <f t="shared" ref="V487:V520" si="88">K487-R487</f>
        <v>0</v>
      </c>
      <c r="W487" s="157">
        <f t="shared" ref="W487:W520" si="89">L487-S487</f>
        <v>127400</v>
      </c>
      <c r="X487" s="157">
        <f t="shared" ref="X487:X520" si="90">M487-T487</f>
        <v>127400</v>
      </c>
      <c r="Z487" s="218"/>
      <c r="AA487" s="253"/>
      <c r="AB487" s="288"/>
      <c r="AC487" s="289"/>
      <c r="AD487" s="289"/>
      <c r="AE487" s="291"/>
      <c r="AF487" s="189"/>
      <c r="AI487" s="240">
        <f t="shared" si="79"/>
        <v>1496485</v>
      </c>
    </row>
    <row r="488" spans="2:35" s="28" customFormat="1" ht="63" customHeight="1">
      <c r="B488" s="30"/>
      <c r="C488" s="322"/>
      <c r="D488" s="79" t="s">
        <v>86</v>
      </c>
      <c r="E488" s="79" t="s">
        <v>83</v>
      </c>
      <c r="F488" s="79"/>
      <c r="G488" s="79"/>
      <c r="H488" s="79" t="s">
        <v>86</v>
      </c>
      <c r="I488" s="79">
        <v>40</v>
      </c>
      <c r="J488" s="80">
        <v>995000</v>
      </c>
      <c r="K488" s="80">
        <v>995000</v>
      </c>
      <c r="L488" s="189">
        <v>329420</v>
      </c>
      <c r="M488" s="189">
        <v>329420</v>
      </c>
      <c r="N488" s="66">
        <f t="shared" si="85"/>
        <v>1324420</v>
      </c>
      <c r="O488" s="66">
        <f t="shared" si="86"/>
        <v>1324420</v>
      </c>
      <c r="P488" s="170" t="s">
        <v>340</v>
      </c>
      <c r="Q488" s="171">
        <v>995000</v>
      </c>
      <c r="R488" s="171">
        <v>995000</v>
      </c>
      <c r="S488" s="171">
        <v>256620</v>
      </c>
      <c r="T488" s="171">
        <v>256620</v>
      </c>
      <c r="U488" s="157">
        <f t="shared" si="87"/>
        <v>0</v>
      </c>
      <c r="V488" s="157">
        <f t="shared" si="88"/>
        <v>0</v>
      </c>
      <c r="W488" s="157">
        <f t="shared" si="89"/>
        <v>72800</v>
      </c>
      <c r="X488" s="157">
        <f t="shared" si="90"/>
        <v>72800</v>
      </c>
      <c r="Z488" s="218"/>
      <c r="AA488" s="253"/>
      <c r="AB488" s="288"/>
      <c r="AC488" s="289"/>
      <c r="AD488" s="289"/>
      <c r="AE488" s="291"/>
      <c r="AF488" s="189"/>
      <c r="AI488" s="240">
        <f t="shared" si="79"/>
        <v>1324420</v>
      </c>
    </row>
    <row r="489" spans="2:35" s="28" customFormat="1" ht="63" customHeight="1">
      <c r="B489" s="30"/>
      <c r="C489" s="322"/>
      <c r="D489" s="79" t="s">
        <v>86</v>
      </c>
      <c r="E489" s="79" t="s">
        <v>82</v>
      </c>
      <c r="F489" s="79" t="s">
        <v>81</v>
      </c>
      <c r="G489" s="79"/>
      <c r="H489" s="79" t="s">
        <v>86</v>
      </c>
      <c r="I489" s="79">
        <v>175</v>
      </c>
      <c r="J489" s="80">
        <v>1800000</v>
      </c>
      <c r="K489" s="80">
        <v>1800000</v>
      </c>
      <c r="L489" s="189">
        <v>1441213</v>
      </c>
      <c r="M489" s="189">
        <v>1441213</v>
      </c>
      <c r="N489" s="66">
        <f t="shared" si="85"/>
        <v>3241213</v>
      </c>
      <c r="O489" s="66">
        <f t="shared" si="86"/>
        <v>3241213</v>
      </c>
      <c r="P489" s="170" t="s">
        <v>341</v>
      </c>
      <c r="Q489" s="171">
        <v>1800000</v>
      </c>
      <c r="R489" s="171">
        <v>1800000</v>
      </c>
      <c r="S489" s="171">
        <v>1122713</v>
      </c>
      <c r="T489" s="171">
        <v>1122713</v>
      </c>
      <c r="U489" s="157">
        <f t="shared" si="87"/>
        <v>0</v>
      </c>
      <c r="V489" s="157">
        <f t="shared" si="88"/>
        <v>0</v>
      </c>
      <c r="W489" s="157">
        <f t="shared" si="89"/>
        <v>318500</v>
      </c>
      <c r="X489" s="157">
        <f t="shared" si="90"/>
        <v>318500</v>
      </c>
      <c r="Z489" s="218"/>
      <c r="AA489" s="253"/>
      <c r="AB489" s="288"/>
      <c r="AC489" s="289"/>
      <c r="AD489" s="289"/>
      <c r="AE489" s="291"/>
      <c r="AF489" s="189"/>
      <c r="AI489" s="240">
        <f t="shared" si="79"/>
        <v>3241213</v>
      </c>
    </row>
    <row r="490" spans="2:35" s="28" customFormat="1" ht="63" customHeight="1">
      <c r="B490" s="30"/>
      <c r="C490" s="322"/>
      <c r="D490" s="79" t="s">
        <v>86</v>
      </c>
      <c r="E490" s="79" t="s">
        <v>82</v>
      </c>
      <c r="F490" s="79" t="s">
        <v>83</v>
      </c>
      <c r="G490" s="79"/>
      <c r="H490" s="79" t="s">
        <v>86</v>
      </c>
      <c r="I490" s="79">
        <v>160</v>
      </c>
      <c r="J490" s="80">
        <v>1700000</v>
      </c>
      <c r="K490" s="80">
        <v>1700000</v>
      </c>
      <c r="L490" s="189">
        <v>1317680</v>
      </c>
      <c r="M490" s="189">
        <v>1317680</v>
      </c>
      <c r="N490" s="66">
        <f t="shared" si="85"/>
        <v>3017680</v>
      </c>
      <c r="O490" s="66">
        <f t="shared" si="86"/>
        <v>3017680</v>
      </c>
      <c r="P490" s="170" t="s">
        <v>342</v>
      </c>
      <c r="Q490" s="171">
        <v>1700000</v>
      </c>
      <c r="R490" s="171">
        <v>1700000</v>
      </c>
      <c r="S490" s="171">
        <v>1026480</v>
      </c>
      <c r="T490" s="171">
        <v>1026480</v>
      </c>
      <c r="U490" s="157">
        <f t="shared" si="87"/>
        <v>0</v>
      </c>
      <c r="V490" s="157">
        <f t="shared" si="88"/>
        <v>0</v>
      </c>
      <c r="W490" s="157">
        <f t="shared" si="89"/>
        <v>291200</v>
      </c>
      <c r="X490" s="157">
        <f t="shared" si="90"/>
        <v>291200</v>
      </c>
      <c r="Z490" s="218"/>
      <c r="AA490" s="253"/>
      <c r="AB490" s="288"/>
      <c r="AC490" s="289"/>
      <c r="AD490" s="289"/>
      <c r="AE490" s="291"/>
      <c r="AF490" s="189"/>
      <c r="AI490" s="240">
        <f t="shared" si="79"/>
        <v>3017680</v>
      </c>
    </row>
    <row r="491" spans="2:35" s="28" customFormat="1" ht="63" customHeight="1">
      <c r="B491" s="30"/>
      <c r="C491" s="322"/>
      <c r="D491" s="79" t="s">
        <v>86</v>
      </c>
      <c r="E491" s="79" t="s">
        <v>81</v>
      </c>
      <c r="F491" s="79" t="s">
        <v>83</v>
      </c>
      <c r="G491" s="79"/>
      <c r="H491" s="79" t="s">
        <v>86</v>
      </c>
      <c r="I491" s="79">
        <v>75</v>
      </c>
      <c r="J491" s="80">
        <v>1200000</v>
      </c>
      <c r="K491" s="80">
        <v>1200000</v>
      </c>
      <c r="L491" s="189">
        <v>617663</v>
      </c>
      <c r="M491" s="189">
        <v>617663</v>
      </c>
      <c r="N491" s="66">
        <f t="shared" si="85"/>
        <v>1817663</v>
      </c>
      <c r="O491" s="66">
        <f t="shared" si="86"/>
        <v>1817663</v>
      </c>
      <c r="P491" s="170" t="s">
        <v>343</v>
      </c>
      <c r="Q491" s="171">
        <v>1200000</v>
      </c>
      <c r="R491" s="171">
        <v>1200000</v>
      </c>
      <c r="S491" s="171">
        <v>481163</v>
      </c>
      <c r="T491" s="171">
        <v>481163</v>
      </c>
      <c r="U491" s="157">
        <f t="shared" si="87"/>
        <v>0</v>
      </c>
      <c r="V491" s="157">
        <f t="shared" si="88"/>
        <v>0</v>
      </c>
      <c r="W491" s="157">
        <f t="shared" si="89"/>
        <v>136500</v>
      </c>
      <c r="X491" s="157">
        <f t="shared" si="90"/>
        <v>136500</v>
      </c>
      <c r="Z491" s="218"/>
      <c r="AA491" s="253"/>
      <c r="AB491" s="288"/>
      <c r="AC491" s="289"/>
      <c r="AD491" s="289"/>
      <c r="AE491" s="291"/>
      <c r="AF491" s="189"/>
      <c r="AI491" s="240">
        <f t="shared" si="79"/>
        <v>1817663</v>
      </c>
    </row>
    <row r="492" spans="2:35" s="28" customFormat="1" ht="63" customHeight="1">
      <c r="B492" s="30"/>
      <c r="C492" s="322"/>
      <c r="D492" s="79" t="s">
        <v>86</v>
      </c>
      <c r="E492" s="79" t="s">
        <v>82</v>
      </c>
      <c r="F492" s="79" t="s">
        <v>81</v>
      </c>
      <c r="G492" s="79" t="s">
        <v>83</v>
      </c>
      <c r="H492" s="79" t="s">
        <v>86</v>
      </c>
      <c r="I492" s="79">
        <v>180</v>
      </c>
      <c r="J492" s="80">
        <v>2100000</v>
      </c>
      <c r="K492" s="80">
        <v>2100000</v>
      </c>
      <c r="L492" s="189">
        <v>1482390</v>
      </c>
      <c r="M492" s="189">
        <v>1482390</v>
      </c>
      <c r="N492" s="66">
        <f t="shared" si="85"/>
        <v>3582390</v>
      </c>
      <c r="O492" s="66">
        <f t="shared" si="86"/>
        <v>3582390</v>
      </c>
      <c r="P492" s="170" t="s">
        <v>344</v>
      </c>
      <c r="Q492" s="171">
        <v>2100000</v>
      </c>
      <c r="R492" s="171">
        <v>2100000</v>
      </c>
      <c r="S492" s="171">
        <v>1154790</v>
      </c>
      <c r="T492" s="171">
        <v>1154790</v>
      </c>
      <c r="U492" s="157">
        <f t="shared" si="87"/>
        <v>0</v>
      </c>
      <c r="V492" s="157">
        <f t="shared" si="88"/>
        <v>0</v>
      </c>
      <c r="W492" s="157">
        <f t="shared" si="89"/>
        <v>327600</v>
      </c>
      <c r="X492" s="157">
        <f t="shared" si="90"/>
        <v>327600</v>
      </c>
      <c r="Z492" s="218"/>
      <c r="AA492" s="253"/>
      <c r="AB492" s="288"/>
      <c r="AC492" s="289"/>
      <c r="AD492" s="289"/>
      <c r="AE492" s="291"/>
      <c r="AF492" s="189"/>
      <c r="AI492" s="240">
        <f t="shared" si="79"/>
        <v>3582390</v>
      </c>
    </row>
    <row r="493" spans="2:35" s="28" customFormat="1" ht="63" customHeight="1">
      <c r="B493" s="30"/>
      <c r="C493" s="322"/>
      <c r="D493" s="79" t="s">
        <v>86</v>
      </c>
      <c r="E493" s="79" t="s">
        <v>84</v>
      </c>
      <c r="F493" s="79" t="s">
        <v>81</v>
      </c>
      <c r="G493" s="79"/>
      <c r="H493" s="79" t="s">
        <v>86</v>
      </c>
      <c r="I493" s="79">
        <v>130</v>
      </c>
      <c r="J493" s="80">
        <v>2200000</v>
      </c>
      <c r="K493" s="80">
        <v>2200000</v>
      </c>
      <c r="L493" s="189">
        <v>1070615</v>
      </c>
      <c r="M493" s="189">
        <v>1070615</v>
      </c>
      <c r="N493" s="66">
        <f t="shared" si="85"/>
        <v>3270615</v>
      </c>
      <c r="O493" s="66">
        <f t="shared" si="86"/>
        <v>3270615</v>
      </c>
      <c r="P493" s="170" t="s">
        <v>345</v>
      </c>
      <c r="Q493" s="171">
        <v>2200000</v>
      </c>
      <c r="R493" s="171">
        <v>2200000</v>
      </c>
      <c r="S493" s="171">
        <v>834015</v>
      </c>
      <c r="T493" s="171">
        <v>834015</v>
      </c>
      <c r="U493" s="157">
        <f t="shared" si="87"/>
        <v>0</v>
      </c>
      <c r="V493" s="157">
        <f t="shared" si="88"/>
        <v>0</v>
      </c>
      <c r="W493" s="157">
        <f t="shared" si="89"/>
        <v>236600</v>
      </c>
      <c r="X493" s="157">
        <f t="shared" si="90"/>
        <v>236600</v>
      </c>
      <c r="Z493" s="218"/>
      <c r="AA493" s="253"/>
      <c r="AB493" s="288"/>
      <c r="AC493" s="289"/>
      <c r="AD493" s="289"/>
      <c r="AE493" s="291"/>
      <c r="AF493" s="189"/>
      <c r="AI493" s="240">
        <f t="shared" si="79"/>
        <v>3270615</v>
      </c>
    </row>
    <row r="494" spans="2:35" s="28" customFormat="1" ht="63" customHeight="1">
      <c r="B494" s="30"/>
      <c r="C494" s="322"/>
      <c r="D494" s="79" t="s">
        <v>86</v>
      </c>
      <c r="E494" s="79" t="s">
        <v>85</v>
      </c>
      <c r="F494" s="79" t="s">
        <v>81</v>
      </c>
      <c r="G494" s="79"/>
      <c r="H494" s="79" t="s">
        <v>86</v>
      </c>
      <c r="I494" s="79">
        <v>90</v>
      </c>
      <c r="J494" s="80">
        <v>1050000</v>
      </c>
      <c r="K494" s="80">
        <v>1050000</v>
      </c>
      <c r="L494" s="189">
        <v>741195</v>
      </c>
      <c r="M494" s="189">
        <v>741195</v>
      </c>
      <c r="N494" s="66">
        <f t="shared" si="85"/>
        <v>1791195</v>
      </c>
      <c r="O494" s="66">
        <f t="shared" si="86"/>
        <v>1791195</v>
      </c>
      <c r="P494" s="170" t="s">
        <v>346</v>
      </c>
      <c r="Q494" s="171">
        <v>1050000</v>
      </c>
      <c r="R494" s="171">
        <v>1050000</v>
      </c>
      <c r="S494" s="171">
        <v>577395</v>
      </c>
      <c r="T494" s="171">
        <v>577395</v>
      </c>
      <c r="U494" s="157">
        <f t="shared" si="87"/>
        <v>0</v>
      </c>
      <c r="V494" s="157">
        <f t="shared" si="88"/>
        <v>0</v>
      </c>
      <c r="W494" s="157">
        <f t="shared" si="89"/>
        <v>163800</v>
      </c>
      <c r="X494" s="157">
        <f t="shared" si="90"/>
        <v>163800</v>
      </c>
      <c r="Z494" s="218"/>
      <c r="AA494" s="253"/>
      <c r="AB494" s="288"/>
      <c r="AC494" s="289"/>
      <c r="AD494" s="289"/>
      <c r="AE494" s="291"/>
      <c r="AF494" s="189"/>
      <c r="AI494" s="240">
        <f t="shared" si="79"/>
        <v>1791195</v>
      </c>
    </row>
    <row r="495" spans="2:35" s="28" customFormat="1" ht="63" customHeight="1">
      <c r="B495" s="30"/>
      <c r="C495" s="322"/>
      <c r="D495" s="79" t="s">
        <v>86</v>
      </c>
      <c r="E495" s="79" t="s">
        <v>85</v>
      </c>
      <c r="F495" s="79" t="s">
        <v>83</v>
      </c>
      <c r="G495" s="79"/>
      <c r="H495" s="79" t="s">
        <v>86</v>
      </c>
      <c r="I495" s="79">
        <v>100</v>
      </c>
      <c r="J495" s="80">
        <v>1100000</v>
      </c>
      <c r="K495" s="80">
        <v>1100000</v>
      </c>
      <c r="L495" s="189">
        <v>823550</v>
      </c>
      <c r="M495" s="189">
        <v>823550</v>
      </c>
      <c r="N495" s="66">
        <f t="shared" si="85"/>
        <v>1923550</v>
      </c>
      <c r="O495" s="66">
        <f t="shared" si="86"/>
        <v>1923550</v>
      </c>
      <c r="P495" s="170" t="s">
        <v>347</v>
      </c>
      <c r="Q495" s="171">
        <v>1100000</v>
      </c>
      <c r="R495" s="171">
        <v>1100000</v>
      </c>
      <c r="S495" s="171">
        <v>641550</v>
      </c>
      <c r="T495" s="171">
        <v>641550</v>
      </c>
      <c r="U495" s="157">
        <f t="shared" si="87"/>
        <v>0</v>
      </c>
      <c r="V495" s="157">
        <f t="shared" si="88"/>
        <v>0</v>
      </c>
      <c r="W495" s="157">
        <f t="shared" si="89"/>
        <v>182000</v>
      </c>
      <c r="X495" s="157">
        <f t="shared" si="90"/>
        <v>182000</v>
      </c>
      <c r="Z495" s="218"/>
      <c r="AA495" s="253"/>
      <c r="AB495" s="288"/>
      <c r="AC495" s="289"/>
      <c r="AD495" s="289"/>
      <c r="AE495" s="291"/>
      <c r="AF495" s="189"/>
      <c r="AI495" s="240">
        <f t="shared" si="79"/>
        <v>1923550</v>
      </c>
    </row>
    <row r="496" spans="2:35" s="28" customFormat="1" ht="63" customHeight="1">
      <c r="B496" s="30"/>
      <c r="C496" s="323"/>
      <c r="D496" s="79" t="s">
        <v>86</v>
      </c>
      <c r="E496" s="79" t="s">
        <v>85</v>
      </c>
      <c r="F496" s="79" t="s">
        <v>81</v>
      </c>
      <c r="G496" s="79" t="s">
        <v>83</v>
      </c>
      <c r="H496" s="79" t="s">
        <v>86</v>
      </c>
      <c r="I496" s="79">
        <v>110</v>
      </c>
      <c r="J496" s="80">
        <v>1640000</v>
      </c>
      <c r="K496" s="80">
        <v>1640000</v>
      </c>
      <c r="L496" s="189">
        <v>905905</v>
      </c>
      <c r="M496" s="189">
        <v>905905</v>
      </c>
      <c r="N496" s="66">
        <f t="shared" si="85"/>
        <v>2545905</v>
      </c>
      <c r="O496" s="66">
        <f t="shared" si="86"/>
        <v>2545905</v>
      </c>
      <c r="P496" s="170" t="s">
        <v>348</v>
      </c>
      <c r="Q496" s="171">
        <v>1640000</v>
      </c>
      <c r="R496" s="171">
        <v>1640000</v>
      </c>
      <c r="S496" s="171">
        <v>705705</v>
      </c>
      <c r="T496" s="171">
        <v>705705</v>
      </c>
      <c r="U496" s="157">
        <f t="shared" si="87"/>
        <v>0</v>
      </c>
      <c r="V496" s="157">
        <f t="shared" si="88"/>
        <v>0</v>
      </c>
      <c r="W496" s="157">
        <f t="shared" si="89"/>
        <v>200200</v>
      </c>
      <c r="X496" s="157">
        <f t="shared" si="90"/>
        <v>200200</v>
      </c>
      <c r="Z496" s="218"/>
      <c r="AA496" s="253"/>
      <c r="AB496" s="288"/>
      <c r="AC496" s="289"/>
      <c r="AD496" s="289"/>
      <c r="AE496" s="291"/>
      <c r="AF496" s="189"/>
      <c r="AI496" s="240">
        <f t="shared" si="79"/>
        <v>2545905</v>
      </c>
    </row>
    <row r="497" spans="2:35" s="28" customFormat="1" ht="63" customHeight="1">
      <c r="B497" s="30"/>
      <c r="C497" s="312" t="s">
        <v>56</v>
      </c>
      <c r="D497" s="115" t="s">
        <v>86</v>
      </c>
      <c r="E497" s="115" t="s">
        <v>90</v>
      </c>
      <c r="F497" s="115"/>
      <c r="G497" s="115"/>
      <c r="H497" s="115"/>
      <c r="I497" s="115">
        <v>85</v>
      </c>
      <c r="J497" s="116">
        <v>1200000</v>
      </c>
      <c r="K497" s="116">
        <v>1200000</v>
      </c>
      <c r="L497" s="189">
        <v>800020</v>
      </c>
      <c r="M497" s="189">
        <v>800020</v>
      </c>
      <c r="N497" s="66">
        <f t="shared" si="85"/>
        <v>2000020</v>
      </c>
      <c r="O497" s="66">
        <f t="shared" si="86"/>
        <v>2000020</v>
      </c>
      <c r="P497" s="170" t="s">
        <v>214</v>
      </c>
      <c r="Q497" s="171">
        <v>1200000</v>
      </c>
      <c r="R497" s="171">
        <v>1200000</v>
      </c>
      <c r="S497" s="171">
        <v>623220</v>
      </c>
      <c r="T497" s="171">
        <v>623220</v>
      </c>
      <c r="U497" s="157">
        <f t="shared" si="87"/>
        <v>0</v>
      </c>
      <c r="V497" s="157">
        <f t="shared" si="88"/>
        <v>0</v>
      </c>
      <c r="W497" s="157">
        <f t="shared" si="89"/>
        <v>176800</v>
      </c>
      <c r="X497" s="157">
        <f t="shared" si="90"/>
        <v>176800</v>
      </c>
      <c r="Z497" s="218"/>
      <c r="AA497" s="253"/>
      <c r="AB497" s="288"/>
      <c r="AC497" s="289"/>
      <c r="AD497" s="289"/>
      <c r="AE497" s="291"/>
      <c r="AF497" s="189"/>
      <c r="AI497" s="240">
        <f t="shared" si="79"/>
        <v>2000020</v>
      </c>
    </row>
    <row r="498" spans="2:35" s="28" customFormat="1" ht="63" customHeight="1">
      <c r="B498" s="30"/>
      <c r="C498" s="313"/>
      <c r="D498" s="115" t="s">
        <v>90</v>
      </c>
      <c r="E498" s="115" t="s">
        <v>82</v>
      </c>
      <c r="F498" s="115"/>
      <c r="G498" s="115"/>
      <c r="H498" s="115" t="s">
        <v>86</v>
      </c>
      <c r="I498" s="115">
        <v>85</v>
      </c>
      <c r="J498" s="116">
        <v>1200000</v>
      </c>
      <c r="K498" s="116">
        <v>1200000</v>
      </c>
      <c r="L498" s="189">
        <v>800020</v>
      </c>
      <c r="M498" s="189">
        <v>800020</v>
      </c>
      <c r="N498" s="66">
        <f t="shared" si="85"/>
        <v>2000020</v>
      </c>
      <c r="O498" s="66">
        <f t="shared" si="86"/>
        <v>2000020</v>
      </c>
      <c r="P498" s="170" t="s">
        <v>349</v>
      </c>
      <c r="Q498" s="171">
        <v>1200000</v>
      </c>
      <c r="R498" s="171">
        <v>1200000</v>
      </c>
      <c r="S498" s="171">
        <v>623220</v>
      </c>
      <c r="T498" s="171">
        <v>623220</v>
      </c>
      <c r="U498" s="157">
        <f t="shared" si="87"/>
        <v>0</v>
      </c>
      <c r="V498" s="157">
        <f t="shared" si="88"/>
        <v>0</v>
      </c>
      <c r="W498" s="157">
        <f t="shared" si="89"/>
        <v>176800</v>
      </c>
      <c r="X498" s="157">
        <f t="shared" si="90"/>
        <v>176800</v>
      </c>
      <c r="Z498" s="218"/>
      <c r="AA498" s="253"/>
      <c r="AB498" s="288"/>
      <c r="AC498" s="289"/>
      <c r="AD498" s="289"/>
      <c r="AE498" s="291"/>
      <c r="AF498" s="189"/>
      <c r="AI498" s="240">
        <f t="shared" si="79"/>
        <v>2000020</v>
      </c>
    </row>
    <row r="499" spans="2:35" s="28" customFormat="1" ht="63" customHeight="1">
      <c r="B499" s="30"/>
      <c r="C499" s="313"/>
      <c r="D499" s="81" t="s">
        <v>86</v>
      </c>
      <c r="E499" s="81" t="s">
        <v>90</v>
      </c>
      <c r="F499" s="81"/>
      <c r="G499" s="81"/>
      <c r="H499" s="81"/>
      <c r="I499" s="79">
        <v>85</v>
      </c>
      <c r="J499" s="82">
        <v>1200000</v>
      </c>
      <c r="K499" s="82">
        <v>1200000</v>
      </c>
      <c r="L499" s="189">
        <v>800020</v>
      </c>
      <c r="M499" s="189">
        <v>800020</v>
      </c>
      <c r="N499" s="66">
        <f t="shared" si="85"/>
        <v>2000020</v>
      </c>
      <c r="O499" s="66">
        <f t="shared" si="86"/>
        <v>2000020</v>
      </c>
      <c r="P499" s="170" t="s">
        <v>214</v>
      </c>
      <c r="Q499" s="171">
        <v>1200000</v>
      </c>
      <c r="R499" s="171">
        <v>1200000</v>
      </c>
      <c r="S499" s="171">
        <v>623220</v>
      </c>
      <c r="T499" s="171">
        <v>623220</v>
      </c>
      <c r="U499" s="157">
        <f t="shared" si="87"/>
        <v>0</v>
      </c>
      <c r="V499" s="157">
        <f t="shared" si="88"/>
        <v>0</v>
      </c>
      <c r="W499" s="157">
        <f t="shared" si="89"/>
        <v>176800</v>
      </c>
      <c r="X499" s="157">
        <f t="shared" si="90"/>
        <v>176800</v>
      </c>
      <c r="Z499" s="218"/>
      <c r="AA499" s="253"/>
      <c r="AB499" s="288"/>
      <c r="AC499" s="289"/>
      <c r="AD499" s="289"/>
      <c r="AE499" s="291"/>
      <c r="AF499" s="189"/>
      <c r="AI499" s="240">
        <f t="shared" si="79"/>
        <v>2000020</v>
      </c>
    </row>
    <row r="500" spans="2:35" s="28" customFormat="1" ht="63" customHeight="1">
      <c r="B500" s="30"/>
      <c r="C500" s="313"/>
      <c r="D500" s="81" t="s">
        <v>90</v>
      </c>
      <c r="E500" s="81" t="s">
        <v>81</v>
      </c>
      <c r="F500" s="81"/>
      <c r="G500" s="81"/>
      <c r="H500" s="81" t="s">
        <v>86</v>
      </c>
      <c r="I500" s="79">
        <v>70</v>
      </c>
      <c r="J500" s="82">
        <v>1300000</v>
      </c>
      <c r="K500" s="82">
        <v>1300000</v>
      </c>
      <c r="L500" s="189">
        <v>658840</v>
      </c>
      <c r="M500" s="189">
        <v>658840</v>
      </c>
      <c r="N500" s="66">
        <f t="shared" si="85"/>
        <v>1958840</v>
      </c>
      <c r="O500" s="66">
        <f t="shared" si="86"/>
        <v>1958840</v>
      </c>
      <c r="P500" s="170" t="s">
        <v>350</v>
      </c>
      <c r="Q500" s="171">
        <v>1300000</v>
      </c>
      <c r="R500" s="171">
        <v>1300000</v>
      </c>
      <c r="S500" s="171">
        <v>513240</v>
      </c>
      <c r="T500" s="171">
        <v>513240</v>
      </c>
      <c r="U500" s="157">
        <f t="shared" si="87"/>
        <v>0</v>
      </c>
      <c r="V500" s="157">
        <f t="shared" si="88"/>
        <v>0</v>
      </c>
      <c r="W500" s="157">
        <f t="shared" si="89"/>
        <v>145600</v>
      </c>
      <c r="X500" s="157">
        <f t="shared" si="90"/>
        <v>145600</v>
      </c>
      <c r="Z500" s="218"/>
      <c r="AA500" s="253"/>
      <c r="AB500" s="288"/>
      <c r="AC500" s="289"/>
      <c r="AD500" s="289"/>
      <c r="AE500" s="291"/>
      <c r="AF500" s="189"/>
      <c r="AI500" s="240">
        <f t="shared" si="79"/>
        <v>1958840</v>
      </c>
    </row>
    <row r="501" spans="2:35" s="28" customFormat="1" ht="63" customHeight="1">
      <c r="B501" s="30"/>
      <c r="C501" s="313"/>
      <c r="D501" s="81" t="s">
        <v>86</v>
      </c>
      <c r="E501" s="81" t="s">
        <v>90</v>
      </c>
      <c r="F501" s="81"/>
      <c r="G501" s="81"/>
      <c r="H501" s="81"/>
      <c r="I501" s="79">
        <v>85</v>
      </c>
      <c r="J501" s="137">
        <v>1200000</v>
      </c>
      <c r="K501" s="137">
        <v>1200000</v>
      </c>
      <c r="L501" s="189">
        <v>800020</v>
      </c>
      <c r="M501" s="189">
        <v>800020</v>
      </c>
      <c r="N501" s="66">
        <f t="shared" si="85"/>
        <v>2000020</v>
      </c>
      <c r="O501" s="66">
        <f t="shared" si="86"/>
        <v>2000020</v>
      </c>
      <c r="P501" s="170" t="s">
        <v>214</v>
      </c>
      <c r="Q501" s="171">
        <v>1200000</v>
      </c>
      <c r="R501" s="171">
        <v>1200000</v>
      </c>
      <c r="S501" s="171">
        <v>623220</v>
      </c>
      <c r="T501" s="171">
        <v>623220</v>
      </c>
      <c r="U501" s="157">
        <f t="shared" si="87"/>
        <v>0</v>
      </c>
      <c r="V501" s="157">
        <f t="shared" si="88"/>
        <v>0</v>
      </c>
      <c r="W501" s="157">
        <f t="shared" si="89"/>
        <v>176800</v>
      </c>
      <c r="X501" s="157">
        <f t="shared" si="90"/>
        <v>176800</v>
      </c>
      <c r="Z501" s="218"/>
      <c r="AA501" s="253"/>
      <c r="AB501" s="288"/>
      <c r="AC501" s="289"/>
      <c r="AD501" s="289"/>
      <c r="AE501" s="291"/>
      <c r="AF501" s="189"/>
      <c r="AI501" s="240">
        <f t="shared" si="79"/>
        <v>2000020</v>
      </c>
    </row>
    <row r="502" spans="2:35" s="28" customFormat="1" ht="63" customHeight="1">
      <c r="B502" s="30"/>
      <c r="C502" s="313"/>
      <c r="D502" s="81" t="s">
        <v>90</v>
      </c>
      <c r="E502" s="81" t="s">
        <v>83</v>
      </c>
      <c r="F502" s="81"/>
      <c r="G502" s="81"/>
      <c r="H502" s="81" t="s">
        <v>86</v>
      </c>
      <c r="I502" s="79">
        <v>75</v>
      </c>
      <c r="J502" s="82">
        <v>1300000</v>
      </c>
      <c r="K502" s="82">
        <v>1300000</v>
      </c>
      <c r="L502" s="189">
        <v>705900</v>
      </c>
      <c r="M502" s="189">
        <v>705900</v>
      </c>
      <c r="N502" s="66">
        <f t="shared" si="85"/>
        <v>2005900</v>
      </c>
      <c r="O502" s="66">
        <f t="shared" si="86"/>
        <v>2005900</v>
      </c>
      <c r="P502" s="170" t="s">
        <v>351</v>
      </c>
      <c r="Q502" s="171">
        <v>1300000</v>
      </c>
      <c r="R502" s="171">
        <v>1300000</v>
      </c>
      <c r="S502" s="171">
        <v>549900</v>
      </c>
      <c r="T502" s="171">
        <v>549900</v>
      </c>
      <c r="U502" s="157">
        <f t="shared" si="87"/>
        <v>0</v>
      </c>
      <c r="V502" s="157">
        <f t="shared" si="88"/>
        <v>0</v>
      </c>
      <c r="W502" s="157">
        <f t="shared" si="89"/>
        <v>156000</v>
      </c>
      <c r="X502" s="157">
        <f t="shared" si="90"/>
        <v>156000</v>
      </c>
      <c r="Z502" s="218"/>
      <c r="AA502" s="253"/>
      <c r="AB502" s="288"/>
      <c r="AC502" s="289"/>
      <c r="AD502" s="289"/>
      <c r="AE502" s="291"/>
      <c r="AF502" s="189"/>
      <c r="AI502" s="240">
        <f t="shared" si="79"/>
        <v>2005900</v>
      </c>
    </row>
    <row r="503" spans="2:35" s="28" customFormat="1" ht="63" customHeight="1">
      <c r="B503" s="30"/>
      <c r="C503" s="313"/>
      <c r="D503" s="81" t="s">
        <v>86</v>
      </c>
      <c r="E503" s="81" t="s">
        <v>91</v>
      </c>
      <c r="F503" s="81"/>
      <c r="G503" s="81"/>
      <c r="H503" s="81"/>
      <c r="I503" s="79">
        <v>35</v>
      </c>
      <c r="J503" s="82">
        <v>870000</v>
      </c>
      <c r="K503" s="82">
        <v>870000</v>
      </c>
      <c r="L503" s="189">
        <v>329420</v>
      </c>
      <c r="M503" s="189">
        <v>329420</v>
      </c>
      <c r="N503" s="66">
        <f t="shared" si="85"/>
        <v>1199420</v>
      </c>
      <c r="O503" s="66">
        <f t="shared" si="86"/>
        <v>1199420</v>
      </c>
      <c r="P503" s="170" t="s">
        <v>218</v>
      </c>
      <c r="Q503" s="171">
        <v>870000</v>
      </c>
      <c r="R503" s="171">
        <v>870000</v>
      </c>
      <c r="S503" s="171">
        <v>256620</v>
      </c>
      <c r="T503" s="171">
        <v>256620</v>
      </c>
      <c r="U503" s="157">
        <f t="shared" si="87"/>
        <v>0</v>
      </c>
      <c r="V503" s="157">
        <f t="shared" si="88"/>
        <v>0</v>
      </c>
      <c r="W503" s="157">
        <f t="shared" si="89"/>
        <v>72800</v>
      </c>
      <c r="X503" s="157">
        <f t="shared" si="90"/>
        <v>72800</v>
      </c>
      <c r="Z503" s="218"/>
      <c r="AA503" s="253"/>
      <c r="AB503" s="288"/>
      <c r="AC503" s="289"/>
      <c r="AD503" s="289"/>
      <c r="AE503" s="291"/>
      <c r="AF503" s="189"/>
      <c r="AI503" s="240">
        <f t="shared" si="79"/>
        <v>1199420</v>
      </c>
    </row>
    <row r="504" spans="2:35" s="28" customFormat="1" ht="63" customHeight="1">
      <c r="B504" s="30"/>
      <c r="C504" s="313"/>
      <c r="D504" s="81" t="s">
        <v>91</v>
      </c>
      <c r="E504" s="81" t="s">
        <v>82</v>
      </c>
      <c r="F504" s="81"/>
      <c r="G504" s="81"/>
      <c r="H504" s="81" t="s">
        <v>86</v>
      </c>
      <c r="I504" s="79">
        <v>70</v>
      </c>
      <c r="J504" s="82">
        <v>1300000</v>
      </c>
      <c r="K504" s="82">
        <v>1300000</v>
      </c>
      <c r="L504" s="189">
        <v>658840</v>
      </c>
      <c r="M504" s="189">
        <v>658840</v>
      </c>
      <c r="N504" s="66">
        <f t="shared" si="85"/>
        <v>1958840</v>
      </c>
      <c r="O504" s="66">
        <f t="shared" si="86"/>
        <v>1958840</v>
      </c>
      <c r="P504" s="170" t="s">
        <v>352</v>
      </c>
      <c r="Q504" s="171">
        <v>1300000</v>
      </c>
      <c r="R504" s="171">
        <v>1300000</v>
      </c>
      <c r="S504" s="171">
        <v>513240</v>
      </c>
      <c r="T504" s="171">
        <v>513240</v>
      </c>
      <c r="U504" s="157">
        <f t="shared" si="87"/>
        <v>0</v>
      </c>
      <c r="V504" s="157">
        <f t="shared" si="88"/>
        <v>0</v>
      </c>
      <c r="W504" s="157">
        <f t="shared" si="89"/>
        <v>145600</v>
      </c>
      <c r="X504" s="157">
        <f t="shared" si="90"/>
        <v>145600</v>
      </c>
      <c r="Z504" s="218"/>
      <c r="AA504" s="253"/>
      <c r="AB504" s="288"/>
      <c r="AC504" s="289"/>
      <c r="AD504" s="289"/>
      <c r="AE504" s="291"/>
      <c r="AF504" s="189"/>
      <c r="AI504" s="240">
        <f t="shared" si="79"/>
        <v>1958840</v>
      </c>
    </row>
    <row r="505" spans="2:35" s="28" customFormat="1" ht="63" customHeight="1">
      <c r="B505" s="30"/>
      <c r="C505" s="313"/>
      <c r="D505" s="81" t="s">
        <v>86</v>
      </c>
      <c r="E505" s="81" t="s">
        <v>91</v>
      </c>
      <c r="F505" s="81"/>
      <c r="G505" s="81"/>
      <c r="H505" s="81"/>
      <c r="I505" s="79">
        <v>35</v>
      </c>
      <c r="J505" s="82">
        <v>870000</v>
      </c>
      <c r="K505" s="82">
        <v>870000</v>
      </c>
      <c r="L505" s="189">
        <v>329420</v>
      </c>
      <c r="M505" s="189">
        <v>329420</v>
      </c>
      <c r="N505" s="66">
        <f t="shared" si="85"/>
        <v>1199420</v>
      </c>
      <c r="O505" s="66">
        <f t="shared" si="86"/>
        <v>1199420</v>
      </c>
      <c r="P505" s="170" t="s">
        <v>218</v>
      </c>
      <c r="Q505" s="171">
        <v>870000</v>
      </c>
      <c r="R505" s="171">
        <v>870000</v>
      </c>
      <c r="S505" s="171">
        <v>256620</v>
      </c>
      <c r="T505" s="171">
        <v>256620</v>
      </c>
      <c r="U505" s="157">
        <f t="shared" si="87"/>
        <v>0</v>
      </c>
      <c r="V505" s="157">
        <f t="shared" si="88"/>
        <v>0</v>
      </c>
      <c r="W505" s="157">
        <f t="shared" si="89"/>
        <v>72800</v>
      </c>
      <c r="X505" s="157">
        <f t="shared" si="90"/>
        <v>72800</v>
      </c>
      <c r="Z505" s="218"/>
      <c r="AA505" s="253"/>
      <c r="AB505" s="288"/>
      <c r="AC505" s="289"/>
      <c r="AD505" s="289"/>
      <c r="AE505" s="291"/>
      <c r="AF505" s="189"/>
      <c r="AI505" s="240">
        <f t="shared" si="79"/>
        <v>1199420</v>
      </c>
    </row>
    <row r="506" spans="2:35" s="28" customFormat="1" ht="63" customHeight="1">
      <c r="B506" s="30"/>
      <c r="C506" s="313"/>
      <c r="D506" s="81" t="s">
        <v>91</v>
      </c>
      <c r="E506" s="81" t="s">
        <v>81</v>
      </c>
      <c r="F506" s="81"/>
      <c r="G506" s="81"/>
      <c r="H506" s="81" t="s">
        <v>86</v>
      </c>
      <c r="I506" s="79">
        <v>35</v>
      </c>
      <c r="J506" s="82">
        <v>870000</v>
      </c>
      <c r="K506" s="82">
        <v>870000</v>
      </c>
      <c r="L506" s="189">
        <v>329420</v>
      </c>
      <c r="M506" s="189">
        <v>329420</v>
      </c>
      <c r="N506" s="66">
        <f t="shared" si="85"/>
        <v>1199420</v>
      </c>
      <c r="O506" s="66">
        <f t="shared" si="86"/>
        <v>1199420</v>
      </c>
      <c r="P506" s="170" t="s">
        <v>353</v>
      </c>
      <c r="Q506" s="171">
        <v>870000</v>
      </c>
      <c r="R506" s="171">
        <v>870000</v>
      </c>
      <c r="S506" s="171">
        <v>256620</v>
      </c>
      <c r="T506" s="171">
        <v>256620</v>
      </c>
      <c r="U506" s="157">
        <f t="shared" si="87"/>
        <v>0</v>
      </c>
      <c r="V506" s="157">
        <f t="shared" si="88"/>
        <v>0</v>
      </c>
      <c r="W506" s="157">
        <f t="shared" si="89"/>
        <v>72800</v>
      </c>
      <c r="X506" s="157">
        <f t="shared" si="90"/>
        <v>72800</v>
      </c>
      <c r="Z506" s="218"/>
      <c r="AA506" s="253"/>
      <c r="AB506" s="288"/>
      <c r="AC506" s="289"/>
      <c r="AD506" s="289"/>
      <c r="AE506" s="291"/>
      <c r="AF506" s="189"/>
      <c r="AI506" s="240">
        <f t="shared" si="79"/>
        <v>1199420</v>
      </c>
    </row>
    <row r="507" spans="2:35" s="28" customFormat="1" ht="63" customHeight="1">
      <c r="B507" s="30"/>
      <c r="C507" s="313"/>
      <c r="D507" s="81" t="s">
        <v>86</v>
      </c>
      <c r="E507" s="81" t="s">
        <v>91</v>
      </c>
      <c r="F507" s="81"/>
      <c r="G507" s="81"/>
      <c r="H507" s="81"/>
      <c r="I507" s="79">
        <v>35</v>
      </c>
      <c r="J507" s="82">
        <v>870000</v>
      </c>
      <c r="K507" s="82">
        <v>870000</v>
      </c>
      <c r="L507" s="189">
        <v>329420</v>
      </c>
      <c r="M507" s="189">
        <v>329420</v>
      </c>
      <c r="N507" s="66">
        <f t="shared" si="85"/>
        <v>1199420</v>
      </c>
      <c r="O507" s="66">
        <f t="shared" si="86"/>
        <v>1199420</v>
      </c>
      <c r="P507" s="170" t="s">
        <v>218</v>
      </c>
      <c r="Q507" s="171">
        <v>870000</v>
      </c>
      <c r="R507" s="171">
        <v>870000</v>
      </c>
      <c r="S507" s="171">
        <v>256620</v>
      </c>
      <c r="T507" s="171">
        <v>256620</v>
      </c>
      <c r="U507" s="157">
        <f t="shared" si="87"/>
        <v>0</v>
      </c>
      <c r="V507" s="157">
        <f t="shared" si="88"/>
        <v>0</v>
      </c>
      <c r="W507" s="157">
        <f t="shared" si="89"/>
        <v>72800</v>
      </c>
      <c r="X507" s="157">
        <f t="shared" si="90"/>
        <v>72800</v>
      </c>
      <c r="Z507" s="218"/>
      <c r="AA507" s="253"/>
      <c r="AB507" s="288"/>
      <c r="AC507" s="289"/>
      <c r="AD507" s="289"/>
      <c r="AE507" s="291"/>
      <c r="AF507" s="189"/>
      <c r="AI507" s="240">
        <f t="shared" si="79"/>
        <v>1199420</v>
      </c>
    </row>
    <row r="508" spans="2:35" s="28" customFormat="1" ht="63" customHeight="1">
      <c r="B508" s="30"/>
      <c r="C508" s="313"/>
      <c r="D508" s="81" t="s">
        <v>91</v>
      </c>
      <c r="E508" s="81" t="s">
        <v>83</v>
      </c>
      <c r="F508" s="81"/>
      <c r="G508" s="81"/>
      <c r="H508" s="81" t="s">
        <v>86</v>
      </c>
      <c r="I508" s="79">
        <v>40</v>
      </c>
      <c r="J508" s="82">
        <v>970000</v>
      </c>
      <c r="K508" s="82">
        <v>970000</v>
      </c>
      <c r="L508" s="189">
        <v>376480</v>
      </c>
      <c r="M508" s="189">
        <v>376480</v>
      </c>
      <c r="N508" s="66">
        <f t="shared" si="85"/>
        <v>1346480</v>
      </c>
      <c r="O508" s="66">
        <f t="shared" si="86"/>
        <v>1346480</v>
      </c>
      <c r="P508" s="170" t="s">
        <v>354</v>
      </c>
      <c r="Q508" s="171">
        <v>970000</v>
      </c>
      <c r="R508" s="171">
        <v>970000</v>
      </c>
      <c r="S508" s="171">
        <v>293280</v>
      </c>
      <c r="T508" s="171">
        <v>293280</v>
      </c>
      <c r="U508" s="157">
        <f t="shared" si="87"/>
        <v>0</v>
      </c>
      <c r="V508" s="157">
        <f t="shared" si="88"/>
        <v>0</v>
      </c>
      <c r="W508" s="157">
        <f t="shared" si="89"/>
        <v>83200</v>
      </c>
      <c r="X508" s="157">
        <f t="shared" si="90"/>
        <v>83200</v>
      </c>
      <c r="Z508" s="218"/>
      <c r="AA508" s="253"/>
      <c r="AB508" s="288"/>
      <c r="AC508" s="289"/>
      <c r="AD508" s="289"/>
      <c r="AE508" s="291"/>
      <c r="AF508" s="189"/>
      <c r="AI508" s="240">
        <f t="shared" si="79"/>
        <v>1346480</v>
      </c>
    </row>
    <row r="509" spans="2:35" s="28" customFormat="1" ht="63" customHeight="1">
      <c r="B509" s="30"/>
      <c r="C509" s="313"/>
      <c r="D509" s="81" t="s">
        <v>86</v>
      </c>
      <c r="E509" s="81" t="s">
        <v>92</v>
      </c>
      <c r="F509" s="81"/>
      <c r="G509" s="81"/>
      <c r="H509" s="81"/>
      <c r="I509" s="79">
        <v>20</v>
      </c>
      <c r="J509" s="82">
        <v>870000</v>
      </c>
      <c r="K509" s="82">
        <v>870000</v>
      </c>
      <c r="L509" s="189">
        <v>188240</v>
      </c>
      <c r="M509" s="189">
        <v>188240</v>
      </c>
      <c r="N509" s="66">
        <f t="shared" si="85"/>
        <v>1058240</v>
      </c>
      <c r="O509" s="66">
        <f t="shared" si="86"/>
        <v>1058240</v>
      </c>
      <c r="P509" s="170" t="s">
        <v>222</v>
      </c>
      <c r="Q509" s="171">
        <v>870000</v>
      </c>
      <c r="R509" s="171">
        <v>870000</v>
      </c>
      <c r="S509" s="171">
        <v>146640</v>
      </c>
      <c r="T509" s="171">
        <v>146640</v>
      </c>
      <c r="U509" s="157">
        <f t="shared" si="87"/>
        <v>0</v>
      </c>
      <c r="V509" s="157">
        <f t="shared" si="88"/>
        <v>0</v>
      </c>
      <c r="W509" s="157">
        <f t="shared" si="89"/>
        <v>41600</v>
      </c>
      <c r="X509" s="157">
        <f t="shared" si="90"/>
        <v>41600</v>
      </c>
      <c r="Z509" s="218"/>
      <c r="AA509" s="253"/>
      <c r="AB509" s="288"/>
      <c r="AC509" s="289"/>
      <c r="AD509" s="289"/>
      <c r="AE509" s="291"/>
      <c r="AF509" s="189"/>
      <c r="AI509" s="240">
        <f t="shared" si="79"/>
        <v>1058240</v>
      </c>
    </row>
    <row r="510" spans="2:35" s="28" customFormat="1" ht="63" customHeight="1">
      <c r="B510" s="30"/>
      <c r="C510" s="313"/>
      <c r="D510" s="81" t="s">
        <v>92</v>
      </c>
      <c r="E510" s="81" t="s">
        <v>82</v>
      </c>
      <c r="F510" s="81"/>
      <c r="G510" s="81"/>
      <c r="H510" s="81" t="s">
        <v>86</v>
      </c>
      <c r="I510" s="79">
        <v>140</v>
      </c>
      <c r="J510" s="82">
        <v>1300000</v>
      </c>
      <c r="K510" s="82">
        <v>1300000</v>
      </c>
      <c r="L510" s="189">
        <v>1317680</v>
      </c>
      <c r="M510" s="189">
        <v>1317680</v>
      </c>
      <c r="N510" s="66">
        <f t="shared" si="85"/>
        <v>2617680</v>
      </c>
      <c r="O510" s="66">
        <f t="shared" si="86"/>
        <v>2617680</v>
      </c>
      <c r="P510" s="170" t="s">
        <v>355</v>
      </c>
      <c r="Q510" s="171">
        <v>1300000</v>
      </c>
      <c r="R510" s="171">
        <v>1300000</v>
      </c>
      <c r="S510" s="171">
        <v>1026480</v>
      </c>
      <c r="T510" s="171">
        <v>1026480</v>
      </c>
      <c r="U510" s="157">
        <f t="shared" si="87"/>
        <v>0</v>
      </c>
      <c r="V510" s="157">
        <f t="shared" si="88"/>
        <v>0</v>
      </c>
      <c r="W510" s="157">
        <f t="shared" si="89"/>
        <v>291200</v>
      </c>
      <c r="X510" s="157">
        <f t="shared" si="90"/>
        <v>291200</v>
      </c>
      <c r="Z510" s="218"/>
      <c r="AA510" s="253"/>
      <c r="AB510" s="288"/>
      <c r="AC510" s="289"/>
      <c r="AD510" s="289"/>
      <c r="AE510" s="291"/>
      <c r="AF510" s="189"/>
      <c r="AI510" s="240">
        <f t="shared" si="79"/>
        <v>2617680</v>
      </c>
    </row>
    <row r="511" spans="2:35" s="28" customFormat="1" ht="63" customHeight="1">
      <c r="B511" s="30"/>
      <c r="C511" s="313"/>
      <c r="D511" s="81" t="s">
        <v>86</v>
      </c>
      <c r="E511" s="81" t="s">
        <v>92</v>
      </c>
      <c r="F511" s="81"/>
      <c r="G511" s="81"/>
      <c r="H511" s="81"/>
      <c r="I511" s="79">
        <v>20</v>
      </c>
      <c r="J511" s="82">
        <v>870000</v>
      </c>
      <c r="K511" s="82">
        <v>870000</v>
      </c>
      <c r="L511" s="189">
        <v>188240</v>
      </c>
      <c r="M511" s="189">
        <v>188240</v>
      </c>
      <c r="N511" s="66">
        <f t="shared" si="85"/>
        <v>1058240</v>
      </c>
      <c r="O511" s="66">
        <f t="shared" si="86"/>
        <v>1058240</v>
      </c>
      <c r="P511" s="170" t="s">
        <v>222</v>
      </c>
      <c r="Q511" s="171">
        <v>870000</v>
      </c>
      <c r="R511" s="171">
        <v>870000</v>
      </c>
      <c r="S511" s="171">
        <v>146640</v>
      </c>
      <c r="T511" s="171">
        <v>146640</v>
      </c>
      <c r="U511" s="157">
        <f t="shared" si="87"/>
        <v>0</v>
      </c>
      <c r="V511" s="157">
        <f t="shared" si="88"/>
        <v>0</v>
      </c>
      <c r="W511" s="157">
        <f t="shared" si="89"/>
        <v>41600</v>
      </c>
      <c r="X511" s="157">
        <f t="shared" si="90"/>
        <v>41600</v>
      </c>
      <c r="Z511" s="218"/>
      <c r="AA511" s="253"/>
      <c r="AB511" s="288"/>
      <c r="AC511" s="289"/>
      <c r="AD511" s="289"/>
      <c r="AE511" s="291"/>
      <c r="AF511" s="189"/>
      <c r="AI511" s="240">
        <f t="shared" si="79"/>
        <v>1058240</v>
      </c>
    </row>
    <row r="512" spans="2:35" s="28" customFormat="1" ht="63" customHeight="1">
      <c r="B512" s="30"/>
      <c r="C512" s="313"/>
      <c r="D512" s="81" t="s">
        <v>92</v>
      </c>
      <c r="E512" s="81" t="s">
        <v>81</v>
      </c>
      <c r="F512" s="81"/>
      <c r="G512" s="81"/>
      <c r="H512" s="81" t="s">
        <v>86</v>
      </c>
      <c r="I512" s="79">
        <v>55</v>
      </c>
      <c r="J512" s="82">
        <v>970000</v>
      </c>
      <c r="K512" s="82">
        <v>970000</v>
      </c>
      <c r="L512" s="189">
        <v>517660</v>
      </c>
      <c r="M512" s="189">
        <v>517660</v>
      </c>
      <c r="N512" s="66">
        <f t="shared" si="85"/>
        <v>1487660</v>
      </c>
      <c r="O512" s="66">
        <f t="shared" si="86"/>
        <v>1487660</v>
      </c>
      <c r="P512" s="170" t="s">
        <v>356</v>
      </c>
      <c r="Q512" s="171">
        <v>970000</v>
      </c>
      <c r="R512" s="171">
        <v>970000</v>
      </c>
      <c r="S512" s="171">
        <v>403260</v>
      </c>
      <c r="T512" s="171">
        <v>403260</v>
      </c>
      <c r="U512" s="157">
        <f t="shared" si="87"/>
        <v>0</v>
      </c>
      <c r="V512" s="157">
        <f t="shared" si="88"/>
        <v>0</v>
      </c>
      <c r="W512" s="157">
        <f t="shared" si="89"/>
        <v>114400</v>
      </c>
      <c r="X512" s="157">
        <f t="shared" si="90"/>
        <v>114400</v>
      </c>
      <c r="Z512" s="218"/>
      <c r="AA512" s="253"/>
      <c r="AB512" s="288"/>
      <c r="AC512" s="289"/>
      <c r="AD512" s="289"/>
      <c r="AE512" s="291"/>
      <c r="AF512" s="189"/>
      <c r="AI512" s="240">
        <f t="shared" si="79"/>
        <v>1487660</v>
      </c>
    </row>
    <row r="513" spans="2:35" s="28" customFormat="1" ht="63" customHeight="1">
      <c r="B513" s="30"/>
      <c r="C513" s="313"/>
      <c r="D513" s="81" t="s">
        <v>86</v>
      </c>
      <c r="E513" s="81" t="s">
        <v>92</v>
      </c>
      <c r="F513" s="81"/>
      <c r="G513" s="81"/>
      <c r="H513" s="81"/>
      <c r="I513" s="79">
        <v>20</v>
      </c>
      <c r="J513" s="82">
        <v>870000</v>
      </c>
      <c r="K513" s="82">
        <v>870000</v>
      </c>
      <c r="L513" s="189">
        <v>188240</v>
      </c>
      <c r="M513" s="189">
        <v>188240</v>
      </c>
      <c r="N513" s="66">
        <f t="shared" si="85"/>
        <v>1058240</v>
      </c>
      <c r="O513" s="66">
        <f t="shared" si="86"/>
        <v>1058240</v>
      </c>
      <c r="P513" s="170" t="s">
        <v>222</v>
      </c>
      <c r="Q513" s="171">
        <v>870000</v>
      </c>
      <c r="R513" s="171">
        <v>870000</v>
      </c>
      <c r="S513" s="171">
        <v>146640</v>
      </c>
      <c r="T513" s="171">
        <v>146640</v>
      </c>
      <c r="U513" s="157">
        <f t="shared" si="87"/>
        <v>0</v>
      </c>
      <c r="V513" s="157">
        <f t="shared" si="88"/>
        <v>0</v>
      </c>
      <c r="W513" s="157">
        <f t="shared" si="89"/>
        <v>41600</v>
      </c>
      <c r="X513" s="157">
        <f t="shared" si="90"/>
        <v>41600</v>
      </c>
      <c r="Z513" s="218"/>
      <c r="AA513" s="253"/>
      <c r="AB513" s="288"/>
      <c r="AC513" s="289"/>
      <c r="AD513" s="289"/>
      <c r="AE513" s="291"/>
      <c r="AF513" s="189"/>
      <c r="AI513" s="240">
        <f t="shared" si="79"/>
        <v>1058240</v>
      </c>
    </row>
    <row r="514" spans="2:35" s="28" customFormat="1" ht="63" customHeight="1">
      <c r="B514" s="30"/>
      <c r="C514" s="314"/>
      <c r="D514" s="81" t="s">
        <v>92</v>
      </c>
      <c r="E514" s="81" t="s">
        <v>83</v>
      </c>
      <c r="F514" s="81"/>
      <c r="G514" s="81"/>
      <c r="H514" s="81" t="s">
        <v>86</v>
      </c>
      <c r="I514" s="79">
        <v>20</v>
      </c>
      <c r="J514" s="82">
        <v>870000</v>
      </c>
      <c r="K514" s="82">
        <v>870000</v>
      </c>
      <c r="L514" s="189">
        <v>188240</v>
      </c>
      <c r="M514" s="189">
        <v>188240</v>
      </c>
      <c r="N514" s="66">
        <f t="shared" si="85"/>
        <v>1058240</v>
      </c>
      <c r="O514" s="66">
        <f t="shared" si="86"/>
        <v>1058240</v>
      </c>
      <c r="P514" s="170" t="s">
        <v>357</v>
      </c>
      <c r="Q514" s="171">
        <v>870000</v>
      </c>
      <c r="R514" s="171">
        <v>870000</v>
      </c>
      <c r="S514" s="171">
        <v>146640</v>
      </c>
      <c r="T514" s="171">
        <v>146640</v>
      </c>
      <c r="U514" s="157">
        <f t="shared" si="87"/>
        <v>0</v>
      </c>
      <c r="V514" s="157">
        <f t="shared" si="88"/>
        <v>0</v>
      </c>
      <c r="W514" s="157">
        <f t="shared" si="89"/>
        <v>41600</v>
      </c>
      <c r="X514" s="157">
        <f t="shared" si="90"/>
        <v>41600</v>
      </c>
      <c r="Z514" s="218"/>
      <c r="AA514" s="253"/>
      <c r="AB514" s="288"/>
      <c r="AC514" s="289"/>
      <c r="AD514" s="289"/>
      <c r="AE514" s="291"/>
      <c r="AF514" s="189"/>
      <c r="AI514" s="240">
        <f t="shared" si="79"/>
        <v>1058240</v>
      </c>
    </row>
    <row r="515" spans="2:35" s="28" customFormat="1" ht="24.9" customHeight="1">
      <c r="C515" s="125"/>
      <c r="D515" s="126"/>
      <c r="E515" s="126"/>
      <c r="F515" s="126"/>
      <c r="G515" s="126"/>
      <c r="H515" s="126"/>
      <c r="I515" s="127"/>
      <c r="J515" s="128"/>
      <c r="K515" s="128"/>
      <c r="L515" s="194"/>
      <c r="M515" s="194"/>
      <c r="N515" s="129"/>
      <c r="O515" s="129"/>
      <c r="P515" s="170" t="s">
        <v>260</v>
      </c>
      <c r="Q515" s="171"/>
      <c r="R515" s="171"/>
      <c r="S515" s="171"/>
      <c r="T515" s="171"/>
      <c r="U515" s="157"/>
      <c r="V515" s="157"/>
      <c r="W515" s="157"/>
      <c r="X515" s="157"/>
      <c r="Z515" s="218"/>
      <c r="AA515" s="253"/>
      <c r="AB515" s="288"/>
      <c r="AC515" s="289"/>
      <c r="AD515" s="289"/>
      <c r="AE515" s="295"/>
      <c r="AF515" s="194"/>
      <c r="AI515" s="240">
        <f t="shared" si="79"/>
        <v>0</v>
      </c>
    </row>
    <row r="516" spans="2:35" s="28" customFormat="1" ht="24.9" customHeight="1">
      <c r="B516" s="112" t="s">
        <v>137</v>
      </c>
      <c r="C516" s="112" t="s">
        <v>138</v>
      </c>
      <c r="D516" s="69"/>
      <c r="E516" s="69"/>
      <c r="F516" s="69"/>
      <c r="G516" s="69"/>
      <c r="H516" s="69"/>
      <c r="I516" s="109"/>
      <c r="J516" s="124"/>
      <c r="K516" s="124"/>
      <c r="L516" s="191"/>
      <c r="M516" s="191"/>
      <c r="N516" s="71"/>
      <c r="O516" s="71"/>
      <c r="P516" s="170" t="s">
        <v>260</v>
      </c>
      <c r="Q516" s="171"/>
      <c r="R516" s="171"/>
      <c r="S516" s="171"/>
      <c r="T516" s="171"/>
      <c r="U516" s="157"/>
      <c r="V516" s="157"/>
      <c r="W516" s="157"/>
      <c r="X516" s="157"/>
      <c r="Z516" s="218"/>
      <c r="AA516" s="253"/>
      <c r="AB516" s="288"/>
      <c r="AC516" s="289"/>
      <c r="AD516" s="289"/>
      <c r="AE516" s="70"/>
      <c r="AF516" s="191"/>
      <c r="AI516" s="240">
        <f t="shared" si="79"/>
        <v>0</v>
      </c>
    </row>
    <row r="517" spans="2:35" s="28" customFormat="1" ht="24.9" customHeight="1">
      <c r="B517" s="30"/>
      <c r="C517" s="123"/>
      <c r="D517" s="69"/>
      <c r="E517" s="69"/>
      <c r="F517" s="69"/>
      <c r="G517" s="69"/>
      <c r="H517" s="69"/>
      <c r="I517" s="109"/>
      <c r="J517" s="124"/>
      <c r="K517" s="124"/>
      <c r="L517" s="191"/>
      <c r="M517" s="191"/>
      <c r="N517" s="71"/>
      <c r="O517" s="71"/>
      <c r="P517" s="170" t="s">
        <v>260</v>
      </c>
      <c r="Q517" s="171"/>
      <c r="R517" s="171"/>
      <c r="S517" s="171"/>
      <c r="T517" s="171"/>
      <c r="U517" s="157"/>
      <c r="V517" s="157"/>
      <c r="W517" s="157"/>
      <c r="X517" s="157"/>
      <c r="Z517" s="218"/>
      <c r="AA517" s="253"/>
      <c r="AB517" s="288"/>
      <c r="AC517" s="289"/>
      <c r="AD517" s="289"/>
      <c r="AE517" s="70"/>
      <c r="AF517" s="191"/>
      <c r="AI517" s="240">
        <f t="shared" si="79"/>
        <v>0</v>
      </c>
    </row>
    <row r="518" spans="2:35" s="28" customFormat="1" ht="45.75" customHeight="1">
      <c r="B518" s="30"/>
      <c r="C518" s="315" t="s">
        <v>40</v>
      </c>
      <c r="D518" s="316" t="s">
        <v>39</v>
      </c>
      <c r="E518" s="317"/>
      <c r="F518" s="317"/>
      <c r="G518" s="317"/>
      <c r="H518" s="318"/>
      <c r="I518" s="319" t="s">
        <v>41</v>
      </c>
      <c r="J518" s="320" t="s">
        <v>69</v>
      </c>
      <c r="K518" s="320"/>
      <c r="L518" s="307" t="s">
        <v>38</v>
      </c>
      <c r="M518" s="308"/>
      <c r="N518" s="311" t="s">
        <v>13</v>
      </c>
      <c r="O518" s="311"/>
      <c r="P518" s="170" t="s">
        <v>39</v>
      </c>
      <c r="Q518" s="171"/>
      <c r="R518" s="171"/>
      <c r="S518" s="171"/>
      <c r="T518" s="171"/>
      <c r="U518" s="157"/>
      <c r="V518" s="157"/>
      <c r="W518" s="157"/>
      <c r="X518" s="157"/>
      <c r="Z518" s="218"/>
      <c r="AA518" s="253"/>
      <c r="AB518" s="288"/>
      <c r="AC518" s="289"/>
      <c r="AD518" s="289"/>
      <c r="AE518" s="307"/>
      <c r="AF518" s="308"/>
      <c r="AI518" s="240">
        <f t="shared" si="79"/>
        <v>0</v>
      </c>
    </row>
    <row r="519" spans="2:35" s="28" customFormat="1" ht="45.75" customHeight="1">
      <c r="B519" s="30"/>
      <c r="C519" s="301"/>
      <c r="D519" s="117" t="s">
        <v>15</v>
      </c>
      <c r="E519" s="117" t="s">
        <v>16</v>
      </c>
      <c r="F519" s="117" t="s">
        <v>16</v>
      </c>
      <c r="G519" s="117" t="s">
        <v>16</v>
      </c>
      <c r="H519" s="117" t="s">
        <v>16</v>
      </c>
      <c r="I519" s="301"/>
      <c r="J519" s="117" t="s">
        <v>35</v>
      </c>
      <c r="K519" s="117" t="s">
        <v>36</v>
      </c>
      <c r="L519" s="190" t="s">
        <v>35</v>
      </c>
      <c r="M519" s="190" t="s">
        <v>36</v>
      </c>
      <c r="N519" s="117" t="s">
        <v>35</v>
      </c>
      <c r="O519" s="117" t="s">
        <v>36</v>
      </c>
      <c r="P519" s="170" t="s">
        <v>250</v>
      </c>
      <c r="Q519" s="171"/>
      <c r="R519" s="171"/>
      <c r="S519" s="171"/>
      <c r="T519" s="171"/>
      <c r="U519" s="157"/>
      <c r="V519" s="157"/>
      <c r="W519" s="157"/>
      <c r="X519" s="157"/>
      <c r="Z519" s="218"/>
      <c r="AA519" s="253"/>
      <c r="AB519" s="288"/>
      <c r="AC519" s="289"/>
      <c r="AD519" s="289"/>
      <c r="AE519" s="293"/>
      <c r="AF519" s="190"/>
      <c r="AI519" s="240" t="str">
        <f t="shared" si="79"/>
        <v>20FT</v>
      </c>
    </row>
    <row r="520" spans="2:35" s="28" customFormat="1" ht="44.25" customHeight="1">
      <c r="B520" s="30"/>
      <c r="C520" s="321" t="s">
        <v>145</v>
      </c>
      <c r="D520" s="79" t="s">
        <v>86</v>
      </c>
      <c r="E520" s="79" t="s">
        <v>82</v>
      </c>
      <c r="F520" s="79"/>
      <c r="G520" s="79"/>
      <c r="H520" s="79" t="s">
        <v>86</v>
      </c>
      <c r="I520" s="79">
        <v>170</v>
      </c>
      <c r="J520" s="80">
        <v>1870000</v>
      </c>
      <c r="K520" s="80">
        <v>1870000</v>
      </c>
      <c r="L520" s="189">
        <v>1400035</v>
      </c>
      <c r="M520" s="189">
        <v>1400035</v>
      </c>
      <c r="N520" s="66">
        <f>+J520+L520</f>
        <v>3270035</v>
      </c>
      <c r="O520" s="66">
        <f>+K520+M520</f>
        <v>3270035</v>
      </c>
      <c r="P520" s="170" t="s">
        <v>338</v>
      </c>
      <c r="Q520" s="171">
        <v>1870000</v>
      </c>
      <c r="R520" s="171">
        <v>1870000</v>
      </c>
      <c r="S520" s="171">
        <v>1090635</v>
      </c>
      <c r="T520" s="171">
        <v>1090635</v>
      </c>
      <c r="U520" s="157">
        <f t="shared" si="87"/>
        <v>0</v>
      </c>
      <c r="V520" s="157">
        <f t="shared" si="88"/>
        <v>0</v>
      </c>
      <c r="W520" s="157">
        <f t="shared" si="89"/>
        <v>309400</v>
      </c>
      <c r="X520" s="157">
        <f t="shared" si="90"/>
        <v>309400</v>
      </c>
      <c r="Z520" s="218"/>
      <c r="AA520" s="253"/>
      <c r="AB520" s="288"/>
      <c r="AC520" s="289"/>
      <c r="AD520" s="289"/>
      <c r="AE520" s="291"/>
      <c r="AF520" s="189"/>
      <c r="AI520" s="240">
        <f t="shared" si="79"/>
        <v>3270035</v>
      </c>
    </row>
    <row r="521" spans="2:35" s="28" customFormat="1" ht="44.25" customHeight="1">
      <c r="B521" s="30"/>
      <c r="C521" s="322"/>
      <c r="D521" s="79" t="s">
        <v>86</v>
      </c>
      <c r="E521" s="79" t="s">
        <v>81</v>
      </c>
      <c r="F521" s="79"/>
      <c r="G521" s="79"/>
      <c r="H521" s="79" t="s">
        <v>86</v>
      </c>
      <c r="I521" s="79">
        <v>70</v>
      </c>
      <c r="J521" s="80">
        <v>1220000</v>
      </c>
      <c r="K521" s="80">
        <v>1220000</v>
      </c>
      <c r="L521" s="189">
        <v>576485</v>
      </c>
      <c r="M521" s="189">
        <v>576485</v>
      </c>
      <c r="N521" s="66">
        <f t="shared" ref="N521:N560" si="91">+J521+L521</f>
        <v>1796485</v>
      </c>
      <c r="O521" s="66">
        <f t="shared" ref="O521:O560" si="92">+K521+M521</f>
        <v>1796485</v>
      </c>
      <c r="P521" s="170" t="s">
        <v>339</v>
      </c>
      <c r="Q521" s="171">
        <v>1220000</v>
      </c>
      <c r="R521" s="171">
        <v>1220000</v>
      </c>
      <c r="S521" s="171">
        <v>449085</v>
      </c>
      <c r="T521" s="171">
        <v>449085</v>
      </c>
      <c r="U521" s="157">
        <f t="shared" ref="U521:U560" si="93">J521-Q521</f>
        <v>0</v>
      </c>
      <c r="V521" s="157">
        <f t="shared" ref="V521:V560" si="94">K521-R521</f>
        <v>0</v>
      </c>
      <c r="W521" s="157">
        <f t="shared" ref="W521:W560" si="95">L521-S521</f>
        <v>127400</v>
      </c>
      <c r="X521" s="157">
        <f t="shared" ref="X521:X560" si="96">M521-T521</f>
        <v>127400</v>
      </c>
      <c r="Z521" s="218"/>
      <c r="AA521" s="253"/>
      <c r="AB521" s="288"/>
      <c r="AC521" s="289"/>
      <c r="AD521" s="289"/>
      <c r="AE521" s="291"/>
      <c r="AF521" s="189"/>
      <c r="AI521" s="240">
        <f t="shared" si="79"/>
        <v>1796485</v>
      </c>
    </row>
    <row r="522" spans="2:35" s="28" customFormat="1" ht="44.25" customHeight="1">
      <c r="B522" s="30"/>
      <c r="C522" s="322"/>
      <c r="D522" s="79" t="s">
        <v>86</v>
      </c>
      <c r="E522" s="79" t="s">
        <v>83</v>
      </c>
      <c r="F522" s="79"/>
      <c r="G522" s="79"/>
      <c r="H522" s="79" t="s">
        <v>86</v>
      </c>
      <c r="I522" s="79">
        <v>40</v>
      </c>
      <c r="J522" s="80">
        <v>1295000</v>
      </c>
      <c r="K522" s="80">
        <v>1295000</v>
      </c>
      <c r="L522" s="189">
        <v>329420</v>
      </c>
      <c r="M522" s="189">
        <v>329420</v>
      </c>
      <c r="N522" s="66">
        <f t="shared" ref="N522:N529" si="97">+J522+L522</f>
        <v>1624420</v>
      </c>
      <c r="O522" s="66">
        <f t="shared" ref="O522:O529" si="98">+K522+M522</f>
        <v>1624420</v>
      </c>
      <c r="P522" s="170" t="s">
        <v>340</v>
      </c>
      <c r="Q522" s="171">
        <v>1295000</v>
      </c>
      <c r="R522" s="171">
        <v>1295000</v>
      </c>
      <c r="S522" s="171">
        <v>256620</v>
      </c>
      <c r="T522" s="171">
        <v>256620</v>
      </c>
      <c r="U522" s="157">
        <f t="shared" si="93"/>
        <v>0</v>
      </c>
      <c r="V522" s="157">
        <f t="shared" si="94"/>
        <v>0</v>
      </c>
      <c r="W522" s="157">
        <f t="shared" si="95"/>
        <v>72800</v>
      </c>
      <c r="X522" s="157">
        <f t="shared" si="96"/>
        <v>72800</v>
      </c>
      <c r="Z522" s="218"/>
      <c r="AA522" s="253"/>
      <c r="AB522" s="288"/>
      <c r="AC522" s="289"/>
      <c r="AD522" s="289"/>
      <c r="AE522" s="291"/>
      <c r="AF522" s="189"/>
      <c r="AI522" s="240">
        <f t="shared" si="79"/>
        <v>1624420</v>
      </c>
    </row>
    <row r="523" spans="2:35" s="28" customFormat="1" ht="44.25" customHeight="1">
      <c r="B523" s="30"/>
      <c r="C523" s="322"/>
      <c r="D523" s="79" t="s">
        <v>86</v>
      </c>
      <c r="E523" s="79" t="s">
        <v>82</v>
      </c>
      <c r="F523" s="79" t="s">
        <v>81</v>
      </c>
      <c r="G523" s="79"/>
      <c r="H523" s="79" t="s">
        <v>86</v>
      </c>
      <c r="I523" s="79">
        <v>175</v>
      </c>
      <c r="J523" s="80">
        <v>2100000</v>
      </c>
      <c r="K523" s="80">
        <v>2100000</v>
      </c>
      <c r="L523" s="189">
        <v>1441213</v>
      </c>
      <c r="M523" s="189">
        <v>1441213</v>
      </c>
      <c r="N523" s="66">
        <f t="shared" si="97"/>
        <v>3541213</v>
      </c>
      <c r="O523" s="66">
        <f t="shared" si="98"/>
        <v>3541213</v>
      </c>
      <c r="P523" s="170" t="s">
        <v>341</v>
      </c>
      <c r="Q523" s="171">
        <v>2100000</v>
      </c>
      <c r="R523" s="171">
        <v>2100000</v>
      </c>
      <c r="S523" s="171">
        <v>1122713</v>
      </c>
      <c r="T523" s="171">
        <v>1122713</v>
      </c>
      <c r="U523" s="157">
        <f t="shared" si="93"/>
        <v>0</v>
      </c>
      <c r="V523" s="157">
        <f t="shared" si="94"/>
        <v>0</v>
      </c>
      <c r="W523" s="157">
        <f t="shared" si="95"/>
        <v>318500</v>
      </c>
      <c r="X523" s="157">
        <f t="shared" si="96"/>
        <v>318500</v>
      </c>
      <c r="Z523" s="218"/>
      <c r="AA523" s="253"/>
      <c r="AB523" s="288"/>
      <c r="AC523" s="289"/>
      <c r="AD523" s="289"/>
      <c r="AE523" s="291"/>
      <c r="AF523" s="189"/>
      <c r="AI523" s="240">
        <f t="shared" si="79"/>
        <v>3541213</v>
      </c>
    </row>
    <row r="524" spans="2:35" s="28" customFormat="1" ht="44.25" customHeight="1">
      <c r="B524" s="30"/>
      <c r="C524" s="322"/>
      <c r="D524" s="79" t="s">
        <v>86</v>
      </c>
      <c r="E524" s="79" t="s">
        <v>82</v>
      </c>
      <c r="F524" s="79" t="s">
        <v>83</v>
      </c>
      <c r="G524" s="79"/>
      <c r="H524" s="79" t="s">
        <v>86</v>
      </c>
      <c r="I524" s="79">
        <v>160</v>
      </c>
      <c r="J524" s="80">
        <v>2000000</v>
      </c>
      <c r="K524" s="80">
        <v>2000000</v>
      </c>
      <c r="L524" s="189">
        <v>1317680</v>
      </c>
      <c r="M524" s="189">
        <v>1317680</v>
      </c>
      <c r="N524" s="66">
        <f t="shared" si="97"/>
        <v>3317680</v>
      </c>
      <c r="O524" s="66">
        <f t="shared" si="98"/>
        <v>3317680</v>
      </c>
      <c r="P524" s="170" t="s">
        <v>342</v>
      </c>
      <c r="Q524" s="171">
        <v>2000000</v>
      </c>
      <c r="R524" s="171">
        <v>2000000</v>
      </c>
      <c r="S524" s="171">
        <v>1026480</v>
      </c>
      <c r="T524" s="171">
        <v>1026480</v>
      </c>
      <c r="U524" s="157">
        <f t="shared" si="93"/>
        <v>0</v>
      </c>
      <c r="V524" s="157">
        <f t="shared" si="94"/>
        <v>0</v>
      </c>
      <c r="W524" s="157">
        <f t="shared" si="95"/>
        <v>291200</v>
      </c>
      <c r="X524" s="157">
        <f t="shared" si="96"/>
        <v>291200</v>
      </c>
      <c r="Z524" s="218"/>
      <c r="AA524" s="253"/>
      <c r="AB524" s="288"/>
      <c r="AC524" s="289"/>
      <c r="AD524" s="289"/>
      <c r="AE524" s="291"/>
      <c r="AF524" s="189"/>
      <c r="AI524" s="240">
        <f t="shared" si="79"/>
        <v>3317680</v>
      </c>
    </row>
    <row r="525" spans="2:35" s="28" customFormat="1" ht="44.25" customHeight="1">
      <c r="B525" s="30"/>
      <c r="C525" s="322"/>
      <c r="D525" s="79" t="s">
        <v>86</v>
      </c>
      <c r="E525" s="79" t="s">
        <v>81</v>
      </c>
      <c r="F525" s="79" t="s">
        <v>83</v>
      </c>
      <c r="G525" s="79"/>
      <c r="H525" s="79" t="s">
        <v>86</v>
      </c>
      <c r="I525" s="79">
        <v>75</v>
      </c>
      <c r="J525" s="80">
        <v>1500000</v>
      </c>
      <c r="K525" s="80">
        <v>1500000</v>
      </c>
      <c r="L525" s="189">
        <v>617663</v>
      </c>
      <c r="M525" s="189">
        <v>617663</v>
      </c>
      <c r="N525" s="66">
        <f t="shared" si="97"/>
        <v>2117663</v>
      </c>
      <c r="O525" s="66">
        <f t="shared" si="98"/>
        <v>2117663</v>
      </c>
      <c r="P525" s="170" t="s">
        <v>343</v>
      </c>
      <c r="Q525" s="171">
        <v>1500000</v>
      </c>
      <c r="R525" s="171">
        <v>1500000</v>
      </c>
      <c r="S525" s="171">
        <v>481163</v>
      </c>
      <c r="T525" s="171">
        <v>481163</v>
      </c>
      <c r="U525" s="157">
        <f t="shared" si="93"/>
        <v>0</v>
      </c>
      <c r="V525" s="157">
        <f t="shared" si="94"/>
        <v>0</v>
      </c>
      <c r="W525" s="157">
        <f t="shared" si="95"/>
        <v>136500</v>
      </c>
      <c r="X525" s="157">
        <f t="shared" si="96"/>
        <v>136500</v>
      </c>
      <c r="Z525" s="218"/>
      <c r="AA525" s="253"/>
      <c r="AB525" s="288"/>
      <c r="AC525" s="289"/>
      <c r="AD525" s="289"/>
      <c r="AE525" s="291"/>
      <c r="AF525" s="189"/>
      <c r="AI525" s="240">
        <f t="shared" si="79"/>
        <v>2117663</v>
      </c>
    </row>
    <row r="526" spans="2:35" s="28" customFormat="1" ht="44.25" customHeight="1">
      <c r="B526" s="30"/>
      <c r="C526" s="322"/>
      <c r="D526" s="79" t="s">
        <v>86</v>
      </c>
      <c r="E526" s="79" t="s">
        <v>82</v>
      </c>
      <c r="F526" s="79" t="s">
        <v>81</v>
      </c>
      <c r="G526" s="79" t="s">
        <v>83</v>
      </c>
      <c r="H526" s="79" t="s">
        <v>86</v>
      </c>
      <c r="I526" s="79">
        <v>180</v>
      </c>
      <c r="J526" s="80">
        <v>2400000</v>
      </c>
      <c r="K526" s="80">
        <v>2400000</v>
      </c>
      <c r="L526" s="189">
        <v>1482390</v>
      </c>
      <c r="M526" s="189">
        <v>1482390</v>
      </c>
      <c r="N526" s="66">
        <f t="shared" si="97"/>
        <v>3882390</v>
      </c>
      <c r="O526" s="66">
        <f t="shared" si="98"/>
        <v>3882390</v>
      </c>
      <c r="P526" s="170" t="s">
        <v>344</v>
      </c>
      <c r="Q526" s="171">
        <v>2400000</v>
      </c>
      <c r="R526" s="171">
        <v>2400000</v>
      </c>
      <c r="S526" s="171">
        <v>1154790</v>
      </c>
      <c r="T526" s="171">
        <v>1154790</v>
      </c>
      <c r="U526" s="157">
        <f t="shared" si="93"/>
        <v>0</v>
      </c>
      <c r="V526" s="157">
        <f t="shared" si="94"/>
        <v>0</v>
      </c>
      <c r="W526" s="157">
        <f t="shared" si="95"/>
        <v>327600</v>
      </c>
      <c r="X526" s="157">
        <f t="shared" si="96"/>
        <v>327600</v>
      </c>
      <c r="Z526" s="218"/>
      <c r="AA526" s="253"/>
      <c r="AB526" s="288"/>
      <c r="AC526" s="289"/>
      <c r="AD526" s="289"/>
      <c r="AE526" s="291"/>
      <c r="AF526" s="189"/>
      <c r="AI526" s="240">
        <f t="shared" si="79"/>
        <v>3882390</v>
      </c>
    </row>
    <row r="527" spans="2:35" s="28" customFormat="1" ht="44.25" customHeight="1">
      <c r="B527" s="30"/>
      <c r="C527" s="322"/>
      <c r="D527" s="79" t="s">
        <v>86</v>
      </c>
      <c r="E527" s="79" t="s">
        <v>84</v>
      </c>
      <c r="F527" s="79" t="s">
        <v>81</v>
      </c>
      <c r="G527" s="79"/>
      <c r="H527" s="79" t="s">
        <v>86</v>
      </c>
      <c r="I527" s="79">
        <v>130</v>
      </c>
      <c r="J527" s="80">
        <v>2500000</v>
      </c>
      <c r="K527" s="80">
        <v>2500000</v>
      </c>
      <c r="L527" s="189">
        <v>1070615</v>
      </c>
      <c r="M527" s="189">
        <v>1070615</v>
      </c>
      <c r="N527" s="66">
        <f t="shared" si="97"/>
        <v>3570615</v>
      </c>
      <c r="O527" s="66">
        <f t="shared" si="98"/>
        <v>3570615</v>
      </c>
      <c r="P527" s="170" t="s">
        <v>345</v>
      </c>
      <c r="Q527" s="171">
        <v>2500000</v>
      </c>
      <c r="R527" s="171">
        <v>2500000</v>
      </c>
      <c r="S527" s="171">
        <v>834015</v>
      </c>
      <c r="T527" s="171">
        <v>834015</v>
      </c>
      <c r="U527" s="157">
        <f t="shared" si="93"/>
        <v>0</v>
      </c>
      <c r="V527" s="157">
        <f t="shared" si="94"/>
        <v>0</v>
      </c>
      <c r="W527" s="157">
        <f t="shared" si="95"/>
        <v>236600</v>
      </c>
      <c r="X527" s="157">
        <f t="shared" si="96"/>
        <v>236600</v>
      </c>
      <c r="Z527" s="218"/>
      <c r="AA527" s="253"/>
      <c r="AB527" s="288"/>
      <c r="AC527" s="289"/>
      <c r="AD527" s="289"/>
      <c r="AE527" s="291"/>
      <c r="AF527" s="189"/>
      <c r="AI527" s="240">
        <f t="shared" si="79"/>
        <v>3570615</v>
      </c>
    </row>
    <row r="528" spans="2:35" s="28" customFormat="1" ht="44.25" customHeight="1">
      <c r="B528" s="30"/>
      <c r="C528" s="322"/>
      <c r="D528" s="79" t="s">
        <v>86</v>
      </c>
      <c r="E528" s="79" t="s">
        <v>85</v>
      </c>
      <c r="F528" s="79" t="s">
        <v>81</v>
      </c>
      <c r="G528" s="79"/>
      <c r="H528" s="79" t="s">
        <v>86</v>
      </c>
      <c r="I528" s="79">
        <v>90</v>
      </c>
      <c r="J528" s="80">
        <v>1350000</v>
      </c>
      <c r="K528" s="80">
        <v>1350000</v>
      </c>
      <c r="L528" s="189">
        <v>741195</v>
      </c>
      <c r="M528" s="189">
        <v>741195</v>
      </c>
      <c r="N528" s="66">
        <f t="shared" si="97"/>
        <v>2091195</v>
      </c>
      <c r="O528" s="66">
        <f t="shared" si="98"/>
        <v>2091195</v>
      </c>
      <c r="P528" s="170" t="s">
        <v>346</v>
      </c>
      <c r="Q528" s="171">
        <v>1350000</v>
      </c>
      <c r="R528" s="171">
        <v>1350000</v>
      </c>
      <c r="S528" s="171">
        <v>577395</v>
      </c>
      <c r="T528" s="171">
        <v>577395</v>
      </c>
      <c r="U528" s="157">
        <f t="shared" si="93"/>
        <v>0</v>
      </c>
      <c r="V528" s="157">
        <f t="shared" si="94"/>
        <v>0</v>
      </c>
      <c r="W528" s="157">
        <f t="shared" si="95"/>
        <v>163800</v>
      </c>
      <c r="X528" s="157">
        <f t="shared" si="96"/>
        <v>163800</v>
      </c>
      <c r="Z528" s="218"/>
      <c r="AA528" s="253"/>
      <c r="AB528" s="288"/>
      <c r="AC528" s="289"/>
      <c r="AD528" s="289"/>
      <c r="AE528" s="291"/>
      <c r="AF528" s="189"/>
      <c r="AI528" s="240">
        <f t="shared" si="79"/>
        <v>2091195</v>
      </c>
    </row>
    <row r="529" spans="2:35" s="28" customFormat="1" ht="44.25" customHeight="1">
      <c r="B529" s="30"/>
      <c r="C529" s="322"/>
      <c r="D529" s="79" t="s">
        <v>86</v>
      </c>
      <c r="E529" s="79" t="s">
        <v>85</v>
      </c>
      <c r="F529" s="79" t="s">
        <v>83</v>
      </c>
      <c r="G529" s="79"/>
      <c r="H529" s="79" t="s">
        <v>86</v>
      </c>
      <c r="I529" s="79">
        <v>100</v>
      </c>
      <c r="J529" s="80">
        <v>1400000</v>
      </c>
      <c r="K529" s="80">
        <v>1400000</v>
      </c>
      <c r="L529" s="189">
        <v>823550</v>
      </c>
      <c r="M529" s="189">
        <v>823550</v>
      </c>
      <c r="N529" s="66">
        <f t="shared" si="97"/>
        <v>2223550</v>
      </c>
      <c r="O529" s="66">
        <f t="shared" si="98"/>
        <v>2223550</v>
      </c>
      <c r="P529" s="170" t="s">
        <v>347</v>
      </c>
      <c r="Q529" s="171">
        <v>1400000</v>
      </c>
      <c r="R529" s="171">
        <v>1400000</v>
      </c>
      <c r="S529" s="171">
        <v>641550</v>
      </c>
      <c r="T529" s="171">
        <v>641550</v>
      </c>
      <c r="U529" s="157">
        <f t="shared" si="93"/>
        <v>0</v>
      </c>
      <c r="V529" s="157">
        <f t="shared" si="94"/>
        <v>0</v>
      </c>
      <c r="W529" s="157">
        <f t="shared" si="95"/>
        <v>182000</v>
      </c>
      <c r="X529" s="157">
        <f t="shared" si="96"/>
        <v>182000</v>
      </c>
      <c r="Z529" s="218"/>
      <c r="AA529" s="253"/>
      <c r="AB529" s="288"/>
      <c r="AC529" s="289"/>
      <c r="AD529" s="289"/>
      <c r="AE529" s="291"/>
      <c r="AF529" s="189"/>
      <c r="AI529" s="240">
        <f t="shared" ref="AI529:AI592" si="99">O529</f>
        <v>2223550</v>
      </c>
    </row>
    <row r="530" spans="2:35" s="28" customFormat="1" ht="44.25" customHeight="1">
      <c r="B530" s="30"/>
      <c r="C530" s="323"/>
      <c r="D530" s="79" t="s">
        <v>86</v>
      </c>
      <c r="E530" s="79" t="s">
        <v>85</v>
      </c>
      <c r="F530" s="79" t="s">
        <v>81</v>
      </c>
      <c r="G530" s="79" t="s">
        <v>83</v>
      </c>
      <c r="H530" s="79" t="s">
        <v>86</v>
      </c>
      <c r="I530" s="79">
        <v>110</v>
      </c>
      <c r="J530" s="80">
        <v>1940000</v>
      </c>
      <c r="K530" s="80">
        <v>1940000</v>
      </c>
      <c r="L530" s="189">
        <v>905905</v>
      </c>
      <c r="M530" s="189">
        <v>905905</v>
      </c>
      <c r="N530" s="66">
        <f t="shared" si="91"/>
        <v>2845905</v>
      </c>
      <c r="O530" s="66">
        <f t="shared" si="92"/>
        <v>2845905</v>
      </c>
      <c r="P530" s="170" t="s">
        <v>348</v>
      </c>
      <c r="Q530" s="171">
        <v>1940000</v>
      </c>
      <c r="R530" s="171">
        <v>1940000</v>
      </c>
      <c r="S530" s="171">
        <v>705705</v>
      </c>
      <c r="T530" s="171">
        <v>705705</v>
      </c>
      <c r="U530" s="157">
        <f t="shared" si="93"/>
        <v>0</v>
      </c>
      <c r="V530" s="157">
        <f t="shared" si="94"/>
        <v>0</v>
      </c>
      <c r="W530" s="157">
        <f t="shared" si="95"/>
        <v>200200</v>
      </c>
      <c r="X530" s="157">
        <f t="shared" si="96"/>
        <v>200200</v>
      </c>
      <c r="Z530" s="218"/>
      <c r="AA530" s="253"/>
      <c r="AB530" s="288"/>
      <c r="AC530" s="289"/>
      <c r="AD530" s="289"/>
      <c r="AE530" s="291"/>
      <c r="AF530" s="189"/>
      <c r="AI530" s="240">
        <f t="shared" si="99"/>
        <v>2845905</v>
      </c>
    </row>
    <row r="531" spans="2:35" s="28" customFormat="1" ht="44.25" customHeight="1">
      <c r="B531" s="30"/>
      <c r="C531" s="312" t="s">
        <v>56</v>
      </c>
      <c r="D531" s="115" t="s">
        <v>86</v>
      </c>
      <c r="E531" s="115" t="s">
        <v>90</v>
      </c>
      <c r="F531" s="115"/>
      <c r="G531" s="115"/>
      <c r="H531" s="115"/>
      <c r="I531" s="115">
        <v>85</v>
      </c>
      <c r="J531" s="116">
        <v>1350000</v>
      </c>
      <c r="K531" s="116">
        <v>1350000</v>
      </c>
      <c r="L531" s="189">
        <v>800020</v>
      </c>
      <c r="M531" s="189">
        <v>800020</v>
      </c>
      <c r="N531" s="66">
        <f t="shared" si="91"/>
        <v>2150020</v>
      </c>
      <c r="O531" s="66">
        <f t="shared" si="92"/>
        <v>2150020</v>
      </c>
      <c r="P531" s="170" t="s">
        <v>214</v>
      </c>
      <c r="Q531" s="171">
        <v>1350000</v>
      </c>
      <c r="R531" s="171">
        <v>1350000</v>
      </c>
      <c r="S531" s="171">
        <v>623220</v>
      </c>
      <c r="T531" s="171">
        <v>623220</v>
      </c>
      <c r="U531" s="157">
        <f t="shared" si="93"/>
        <v>0</v>
      </c>
      <c r="V531" s="157">
        <f t="shared" si="94"/>
        <v>0</v>
      </c>
      <c r="W531" s="157">
        <f t="shared" si="95"/>
        <v>176800</v>
      </c>
      <c r="X531" s="157">
        <f t="shared" si="96"/>
        <v>176800</v>
      </c>
      <c r="Z531" s="218"/>
      <c r="AA531" s="253"/>
      <c r="AB531" s="288"/>
      <c r="AC531" s="289"/>
      <c r="AD531" s="289"/>
      <c r="AE531" s="291"/>
      <c r="AF531" s="189"/>
      <c r="AI531" s="240">
        <f t="shared" si="99"/>
        <v>2150020</v>
      </c>
    </row>
    <row r="532" spans="2:35" s="28" customFormat="1" ht="44.25" customHeight="1">
      <c r="B532" s="30"/>
      <c r="C532" s="313"/>
      <c r="D532" s="115" t="s">
        <v>90</v>
      </c>
      <c r="E532" s="115" t="s">
        <v>82</v>
      </c>
      <c r="F532" s="115"/>
      <c r="G532" s="115"/>
      <c r="H532" s="115" t="s">
        <v>86</v>
      </c>
      <c r="I532" s="115">
        <v>85</v>
      </c>
      <c r="J532" s="116">
        <v>1350000</v>
      </c>
      <c r="K532" s="116">
        <v>1350000</v>
      </c>
      <c r="L532" s="189">
        <v>800020</v>
      </c>
      <c r="M532" s="189">
        <v>800020</v>
      </c>
      <c r="N532" s="66">
        <f t="shared" si="91"/>
        <v>2150020</v>
      </c>
      <c r="O532" s="66">
        <f t="shared" si="92"/>
        <v>2150020</v>
      </c>
      <c r="P532" s="170" t="s">
        <v>349</v>
      </c>
      <c r="Q532" s="171">
        <v>1350000</v>
      </c>
      <c r="R532" s="171">
        <v>1350000</v>
      </c>
      <c r="S532" s="171">
        <v>623220</v>
      </c>
      <c r="T532" s="171">
        <v>623220</v>
      </c>
      <c r="U532" s="157">
        <f t="shared" si="93"/>
        <v>0</v>
      </c>
      <c r="V532" s="157">
        <f t="shared" si="94"/>
        <v>0</v>
      </c>
      <c r="W532" s="157">
        <f t="shared" si="95"/>
        <v>176800</v>
      </c>
      <c r="X532" s="157">
        <f t="shared" si="96"/>
        <v>176800</v>
      </c>
      <c r="Z532" s="218"/>
      <c r="AA532" s="253"/>
      <c r="AB532" s="288"/>
      <c r="AC532" s="289"/>
      <c r="AD532" s="289"/>
      <c r="AE532" s="291"/>
      <c r="AF532" s="189"/>
      <c r="AI532" s="240">
        <f t="shared" si="99"/>
        <v>2150020</v>
      </c>
    </row>
    <row r="533" spans="2:35" s="28" customFormat="1" ht="44.25" customHeight="1">
      <c r="B533" s="30"/>
      <c r="C533" s="313"/>
      <c r="D533" s="81" t="s">
        <v>86</v>
      </c>
      <c r="E533" s="81" t="s">
        <v>90</v>
      </c>
      <c r="F533" s="81"/>
      <c r="G533" s="81"/>
      <c r="H533" s="81"/>
      <c r="I533" s="79">
        <v>85</v>
      </c>
      <c r="J533" s="82">
        <v>1350000</v>
      </c>
      <c r="K533" s="82">
        <v>1350000</v>
      </c>
      <c r="L533" s="189">
        <v>800020</v>
      </c>
      <c r="M533" s="189">
        <v>800020</v>
      </c>
      <c r="N533" s="66">
        <f t="shared" si="91"/>
        <v>2150020</v>
      </c>
      <c r="O533" s="66">
        <f t="shared" si="92"/>
        <v>2150020</v>
      </c>
      <c r="P533" s="170" t="s">
        <v>214</v>
      </c>
      <c r="Q533" s="171">
        <v>1350000</v>
      </c>
      <c r="R533" s="171">
        <v>1350000</v>
      </c>
      <c r="S533" s="171">
        <v>623220</v>
      </c>
      <c r="T533" s="171">
        <v>623220</v>
      </c>
      <c r="U533" s="157">
        <f t="shared" si="93"/>
        <v>0</v>
      </c>
      <c r="V533" s="157">
        <f t="shared" si="94"/>
        <v>0</v>
      </c>
      <c r="W533" s="157">
        <f t="shared" si="95"/>
        <v>176800</v>
      </c>
      <c r="X533" s="157">
        <f t="shared" si="96"/>
        <v>176800</v>
      </c>
      <c r="Z533" s="218"/>
      <c r="AA533" s="253"/>
      <c r="AB533" s="288"/>
      <c r="AC533" s="289"/>
      <c r="AD533" s="289"/>
      <c r="AE533" s="291"/>
      <c r="AF533" s="189"/>
      <c r="AI533" s="240">
        <f t="shared" si="99"/>
        <v>2150020</v>
      </c>
    </row>
    <row r="534" spans="2:35" s="28" customFormat="1" ht="44.25" customHeight="1">
      <c r="B534" s="30"/>
      <c r="C534" s="313"/>
      <c r="D534" s="81" t="s">
        <v>90</v>
      </c>
      <c r="E534" s="81" t="s">
        <v>81</v>
      </c>
      <c r="F534" s="81"/>
      <c r="G534" s="81"/>
      <c r="H534" s="81" t="s">
        <v>86</v>
      </c>
      <c r="I534" s="79">
        <v>70</v>
      </c>
      <c r="J534" s="82">
        <v>1450000</v>
      </c>
      <c r="K534" s="82">
        <v>1450000</v>
      </c>
      <c r="L534" s="189">
        <v>658840</v>
      </c>
      <c r="M534" s="189">
        <v>658840</v>
      </c>
      <c r="N534" s="66">
        <f t="shared" si="91"/>
        <v>2108840</v>
      </c>
      <c r="O534" s="66">
        <f t="shared" si="92"/>
        <v>2108840</v>
      </c>
      <c r="P534" s="170" t="s">
        <v>350</v>
      </c>
      <c r="Q534" s="171">
        <v>1450000</v>
      </c>
      <c r="R534" s="171">
        <v>1450000</v>
      </c>
      <c r="S534" s="171">
        <v>513240</v>
      </c>
      <c r="T534" s="171">
        <v>513240</v>
      </c>
      <c r="U534" s="157">
        <f t="shared" si="93"/>
        <v>0</v>
      </c>
      <c r="V534" s="157">
        <f t="shared" si="94"/>
        <v>0</v>
      </c>
      <c r="W534" s="157">
        <f t="shared" si="95"/>
        <v>145600</v>
      </c>
      <c r="X534" s="157">
        <f t="shared" si="96"/>
        <v>145600</v>
      </c>
      <c r="Z534" s="218"/>
      <c r="AA534" s="253"/>
      <c r="AB534" s="288"/>
      <c r="AC534" s="289"/>
      <c r="AD534" s="289"/>
      <c r="AE534" s="291"/>
      <c r="AF534" s="189"/>
      <c r="AI534" s="240">
        <f t="shared" si="99"/>
        <v>2108840</v>
      </c>
    </row>
    <row r="535" spans="2:35" s="28" customFormat="1" ht="44.25" customHeight="1">
      <c r="B535" s="30"/>
      <c r="C535" s="313"/>
      <c r="D535" s="81" t="s">
        <v>86</v>
      </c>
      <c r="E535" s="81" t="s">
        <v>90</v>
      </c>
      <c r="F535" s="81"/>
      <c r="G535" s="81"/>
      <c r="H535" s="81"/>
      <c r="I535" s="79">
        <v>85</v>
      </c>
      <c r="J535" s="82">
        <v>1350000</v>
      </c>
      <c r="K535" s="82">
        <v>1350000</v>
      </c>
      <c r="L535" s="189">
        <v>800020</v>
      </c>
      <c r="M535" s="189">
        <v>800020</v>
      </c>
      <c r="N535" s="66">
        <f t="shared" si="91"/>
        <v>2150020</v>
      </c>
      <c r="O535" s="66">
        <f t="shared" si="92"/>
        <v>2150020</v>
      </c>
      <c r="P535" s="170" t="s">
        <v>214</v>
      </c>
      <c r="Q535" s="171">
        <v>1350000</v>
      </c>
      <c r="R535" s="171">
        <v>1350000</v>
      </c>
      <c r="S535" s="171">
        <v>623220</v>
      </c>
      <c r="T535" s="171">
        <v>623220</v>
      </c>
      <c r="U535" s="157">
        <f t="shared" si="93"/>
        <v>0</v>
      </c>
      <c r="V535" s="157">
        <f t="shared" si="94"/>
        <v>0</v>
      </c>
      <c r="W535" s="157">
        <f t="shared" si="95"/>
        <v>176800</v>
      </c>
      <c r="X535" s="157">
        <f t="shared" si="96"/>
        <v>176800</v>
      </c>
      <c r="Z535" s="218"/>
      <c r="AA535" s="253"/>
      <c r="AB535" s="288"/>
      <c r="AC535" s="289"/>
      <c r="AD535" s="289"/>
      <c r="AE535" s="291"/>
      <c r="AF535" s="189"/>
      <c r="AI535" s="240">
        <f t="shared" si="99"/>
        <v>2150020</v>
      </c>
    </row>
    <row r="536" spans="2:35" s="28" customFormat="1" ht="44.25" customHeight="1">
      <c r="B536" s="30"/>
      <c r="C536" s="313"/>
      <c r="D536" s="81" t="s">
        <v>90</v>
      </c>
      <c r="E536" s="81" t="s">
        <v>83</v>
      </c>
      <c r="F536" s="81"/>
      <c r="G536" s="81"/>
      <c r="H536" s="81" t="s">
        <v>86</v>
      </c>
      <c r="I536" s="79">
        <v>75</v>
      </c>
      <c r="J536" s="82">
        <v>1450000</v>
      </c>
      <c r="K536" s="82">
        <v>1450000</v>
      </c>
      <c r="L536" s="189">
        <v>705900</v>
      </c>
      <c r="M536" s="189">
        <v>705900</v>
      </c>
      <c r="N536" s="66">
        <f t="shared" si="91"/>
        <v>2155900</v>
      </c>
      <c r="O536" s="66">
        <f t="shared" si="92"/>
        <v>2155900</v>
      </c>
      <c r="P536" s="170" t="s">
        <v>351</v>
      </c>
      <c r="Q536" s="171">
        <v>1450000</v>
      </c>
      <c r="R536" s="171">
        <v>1450000</v>
      </c>
      <c r="S536" s="171">
        <v>549900</v>
      </c>
      <c r="T536" s="171">
        <v>549900</v>
      </c>
      <c r="U536" s="157">
        <f t="shared" si="93"/>
        <v>0</v>
      </c>
      <c r="V536" s="157">
        <f t="shared" si="94"/>
        <v>0</v>
      </c>
      <c r="W536" s="157">
        <f t="shared" si="95"/>
        <v>156000</v>
      </c>
      <c r="X536" s="157">
        <f t="shared" si="96"/>
        <v>156000</v>
      </c>
      <c r="Z536" s="218"/>
      <c r="AA536" s="253"/>
      <c r="AB536" s="288"/>
      <c r="AC536" s="289"/>
      <c r="AD536" s="289"/>
      <c r="AE536" s="291"/>
      <c r="AF536" s="189"/>
      <c r="AI536" s="240">
        <f t="shared" si="99"/>
        <v>2155900</v>
      </c>
    </row>
    <row r="537" spans="2:35" s="28" customFormat="1" ht="44.25" customHeight="1">
      <c r="B537" s="30"/>
      <c r="C537" s="313"/>
      <c r="D537" s="81" t="s">
        <v>86</v>
      </c>
      <c r="E537" s="81" t="s">
        <v>91</v>
      </c>
      <c r="F537" s="81"/>
      <c r="G537" s="81"/>
      <c r="H537" s="81"/>
      <c r="I537" s="79">
        <v>35</v>
      </c>
      <c r="J537" s="82">
        <v>1020000</v>
      </c>
      <c r="K537" s="82">
        <v>1020000</v>
      </c>
      <c r="L537" s="189">
        <v>329420</v>
      </c>
      <c r="M537" s="189">
        <v>329420</v>
      </c>
      <c r="N537" s="66">
        <f t="shared" si="91"/>
        <v>1349420</v>
      </c>
      <c r="O537" s="66">
        <f t="shared" si="92"/>
        <v>1349420</v>
      </c>
      <c r="P537" s="170" t="s">
        <v>218</v>
      </c>
      <c r="Q537" s="171">
        <v>1020000</v>
      </c>
      <c r="R537" s="171">
        <v>1020000</v>
      </c>
      <c r="S537" s="171">
        <v>256620</v>
      </c>
      <c r="T537" s="171">
        <v>256620</v>
      </c>
      <c r="U537" s="157">
        <f t="shared" si="93"/>
        <v>0</v>
      </c>
      <c r="V537" s="157">
        <f t="shared" si="94"/>
        <v>0</v>
      </c>
      <c r="W537" s="157">
        <f t="shared" si="95"/>
        <v>72800</v>
      </c>
      <c r="X537" s="157">
        <f t="shared" si="96"/>
        <v>72800</v>
      </c>
      <c r="Z537" s="218"/>
      <c r="AA537" s="253"/>
      <c r="AB537" s="288"/>
      <c r="AC537" s="289"/>
      <c r="AD537" s="289"/>
      <c r="AE537" s="291"/>
      <c r="AF537" s="189"/>
      <c r="AI537" s="240">
        <f t="shared" si="99"/>
        <v>1349420</v>
      </c>
    </row>
    <row r="538" spans="2:35" s="28" customFormat="1" ht="44.25" customHeight="1">
      <c r="B538" s="30"/>
      <c r="C538" s="313"/>
      <c r="D538" s="81" t="s">
        <v>91</v>
      </c>
      <c r="E538" s="81" t="s">
        <v>82</v>
      </c>
      <c r="F538" s="81"/>
      <c r="G538" s="81"/>
      <c r="H538" s="81" t="s">
        <v>86</v>
      </c>
      <c r="I538" s="79">
        <v>70</v>
      </c>
      <c r="J538" s="82">
        <v>1450000</v>
      </c>
      <c r="K538" s="82">
        <v>1450000</v>
      </c>
      <c r="L538" s="189">
        <v>658840</v>
      </c>
      <c r="M538" s="189">
        <v>658840</v>
      </c>
      <c r="N538" s="66">
        <f t="shared" si="91"/>
        <v>2108840</v>
      </c>
      <c r="O538" s="66">
        <f t="shared" si="92"/>
        <v>2108840</v>
      </c>
      <c r="P538" s="170" t="s">
        <v>352</v>
      </c>
      <c r="Q538" s="171">
        <v>1450000</v>
      </c>
      <c r="R538" s="171">
        <v>1450000</v>
      </c>
      <c r="S538" s="171">
        <v>513240</v>
      </c>
      <c r="T538" s="171">
        <v>513240</v>
      </c>
      <c r="U538" s="157">
        <f t="shared" si="93"/>
        <v>0</v>
      </c>
      <c r="V538" s="157">
        <f t="shared" si="94"/>
        <v>0</v>
      </c>
      <c r="W538" s="157">
        <f t="shared" si="95"/>
        <v>145600</v>
      </c>
      <c r="X538" s="157">
        <f t="shared" si="96"/>
        <v>145600</v>
      </c>
      <c r="Z538" s="218"/>
      <c r="AA538" s="253"/>
      <c r="AB538" s="288"/>
      <c r="AC538" s="289"/>
      <c r="AD538" s="289"/>
      <c r="AE538" s="291"/>
      <c r="AF538" s="189"/>
      <c r="AI538" s="240">
        <f t="shared" si="99"/>
        <v>2108840</v>
      </c>
    </row>
    <row r="539" spans="2:35" s="28" customFormat="1" ht="44.25" customHeight="1">
      <c r="B539" s="30"/>
      <c r="C539" s="313"/>
      <c r="D539" s="81" t="s">
        <v>86</v>
      </c>
      <c r="E539" s="81" t="s">
        <v>91</v>
      </c>
      <c r="F539" s="81"/>
      <c r="G539" s="81"/>
      <c r="H539" s="81"/>
      <c r="I539" s="79">
        <v>35</v>
      </c>
      <c r="J539" s="82">
        <v>1020000</v>
      </c>
      <c r="K539" s="82">
        <v>1020000</v>
      </c>
      <c r="L539" s="189">
        <v>329420</v>
      </c>
      <c r="M539" s="189">
        <v>329420</v>
      </c>
      <c r="N539" s="66">
        <f t="shared" si="91"/>
        <v>1349420</v>
      </c>
      <c r="O539" s="66">
        <f t="shared" si="92"/>
        <v>1349420</v>
      </c>
      <c r="P539" s="170" t="s">
        <v>218</v>
      </c>
      <c r="Q539" s="171">
        <v>1020000</v>
      </c>
      <c r="R539" s="171">
        <v>1020000</v>
      </c>
      <c r="S539" s="171">
        <v>256620</v>
      </c>
      <c r="T539" s="171">
        <v>256620</v>
      </c>
      <c r="U539" s="157">
        <f t="shared" si="93"/>
        <v>0</v>
      </c>
      <c r="V539" s="157">
        <f t="shared" si="94"/>
        <v>0</v>
      </c>
      <c r="W539" s="157">
        <f t="shared" si="95"/>
        <v>72800</v>
      </c>
      <c r="X539" s="157">
        <f t="shared" si="96"/>
        <v>72800</v>
      </c>
      <c r="Z539" s="218"/>
      <c r="AA539" s="253"/>
      <c r="AB539" s="288"/>
      <c r="AC539" s="289"/>
      <c r="AD539" s="289"/>
      <c r="AE539" s="291"/>
      <c r="AF539" s="189"/>
      <c r="AI539" s="240">
        <f t="shared" si="99"/>
        <v>1349420</v>
      </c>
    </row>
    <row r="540" spans="2:35" s="28" customFormat="1" ht="44.25" customHeight="1">
      <c r="B540" s="30"/>
      <c r="C540" s="313"/>
      <c r="D540" s="81" t="s">
        <v>91</v>
      </c>
      <c r="E540" s="81" t="s">
        <v>81</v>
      </c>
      <c r="F540" s="81"/>
      <c r="G540" s="81"/>
      <c r="H540" s="81" t="s">
        <v>86</v>
      </c>
      <c r="I540" s="79">
        <v>35</v>
      </c>
      <c r="J540" s="82">
        <v>1020000</v>
      </c>
      <c r="K540" s="82">
        <v>1020000</v>
      </c>
      <c r="L540" s="189">
        <v>329420</v>
      </c>
      <c r="M540" s="189">
        <v>329420</v>
      </c>
      <c r="N540" s="66">
        <f t="shared" si="91"/>
        <v>1349420</v>
      </c>
      <c r="O540" s="66">
        <f t="shared" si="92"/>
        <v>1349420</v>
      </c>
      <c r="P540" s="170" t="s">
        <v>353</v>
      </c>
      <c r="Q540" s="171">
        <v>1020000</v>
      </c>
      <c r="R540" s="171">
        <v>1020000</v>
      </c>
      <c r="S540" s="171">
        <v>256620</v>
      </c>
      <c r="T540" s="171">
        <v>256620</v>
      </c>
      <c r="U540" s="157">
        <f t="shared" si="93"/>
        <v>0</v>
      </c>
      <c r="V540" s="157">
        <f t="shared" si="94"/>
        <v>0</v>
      </c>
      <c r="W540" s="157">
        <f t="shared" si="95"/>
        <v>72800</v>
      </c>
      <c r="X540" s="157">
        <f t="shared" si="96"/>
        <v>72800</v>
      </c>
      <c r="Z540" s="218"/>
      <c r="AA540" s="253"/>
      <c r="AB540" s="288"/>
      <c r="AC540" s="289"/>
      <c r="AD540" s="289"/>
      <c r="AE540" s="291"/>
      <c r="AF540" s="189"/>
      <c r="AI540" s="240">
        <f t="shared" si="99"/>
        <v>1349420</v>
      </c>
    </row>
    <row r="541" spans="2:35" s="28" customFormat="1" ht="44.25" customHeight="1">
      <c r="B541" s="30"/>
      <c r="C541" s="313"/>
      <c r="D541" s="81" t="s">
        <v>86</v>
      </c>
      <c r="E541" s="81" t="s">
        <v>91</v>
      </c>
      <c r="F541" s="81"/>
      <c r="G541" s="81"/>
      <c r="H541" s="81"/>
      <c r="I541" s="79">
        <v>35</v>
      </c>
      <c r="J541" s="82">
        <v>1020000</v>
      </c>
      <c r="K541" s="82">
        <v>1020000</v>
      </c>
      <c r="L541" s="189">
        <v>329420</v>
      </c>
      <c r="M541" s="189">
        <v>329420</v>
      </c>
      <c r="N541" s="66">
        <f t="shared" si="91"/>
        <v>1349420</v>
      </c>
      <c r="O541" s="66">
        <f t="shared" si="92"/>
        <v>1349420</v>
      </c>
      <c r="P541" s="170" t="s">
        <v>218</v>
      </c>
      <c r="Q541" s="171">
        <v>1020000</v>
      </c>
      <c r="R541" s="171">
        <v>1020000</v>
      </c>
      <c r="S541" s="171">
        <v>256620</v>
      </c>
      <c r="T541" s="171">
        <v>256620</v>
      </c>
      <c r="U541" s="157">
        <f t="shared" si="93"/>
        <v>0</v>
      </c>
      <c r="V541" s="157">
        <f t="shared" si="94"/>
        <v>0</v>
      </c>
      <c r="W541" s="157">
        <f t="shared" si="95"/>
        <v>72800</v>
      </c>
      <c r="X541" s="157">
        <f t="shared" si="96"/>
        <v>72800</v>
      </c>
      <c r="Z541" s="218"/>
      <c r="AA541" s="253"/>
      <c r="AB541" s="288"/>
      <c r="AC541" s="289"/>
      <c r="AD541" s="289"/>
      <c r="AE541" s="291"/>
      <c r="AF541" s="189"/>
      <c r="AI541" s="240">
        <f t="shared" si="99"/>
        <v>1349420</v>
      </c>
    </row>
    <row r="542" spans="2:35" s="28" customFormat="1" ht="44.25" customHeight="1">
      <c r="B542" s="30"/>
      <c r="C542" s="313"/>
      <c r="D542" s="81" t="s">
        <v>91</v>
      </c>
      <c r="E542" s="81" t="s">
        <v>83</v>
      </c>
      <c r="F542" s="81"/>
      <c r="G542" s="81"/>
      <c r="H542" s="81" t="s">
        <v>86</v>
      </c>
      <c r="I542" s="79">
        <v>40</v>
      </c>
      <c r="J542" s="82">
        <v>1120000</v>
      </c>
      <c r="K542" s="82">
        <v>1120000</v>
      </c>
      <c r="L542" s="189">
        <v>376480</v>
      </c>
      <c r="M542" s="189">
        <v>376480</v>
      </c>
      <c r="N542" s="66">
        <f t="shared" si="91"/>
        <v>1496480</v>
      </c>
      <c r="O542" s="66">
        <f t="shared" si="92"/>
        <v>1496480</v>
      </c>
      <c r="P542" s="170" t="s">
        <v>354</v>
      </c>
      <c r="Q542" s="171">
        <v>1120000</v>
      </c>
      <c r="R542" s="171">
        <v>1120000</v>
      </c>
      <c r="S542" s="171">
        <v>293280</v>
      </c>
      <c r="T542" s="171">
        <v>293280</v>
      </c>
      <c r="U542" s="157">
        <f t="shared" si="93"/>
        <v>0</v>
      </c>
      <c r="V542" s="157">
        <f t="shared" si="94"/>
        <v>0</v>
      </c>
      <c r="W542" s="157">
        <f t="shared" si="95"/>
        <v>83200</v>
      </c>
      <c r="X542" s="157">
        <f t="shared" si="96"/>
        <v>83200</v>
      </c>
      <c r="Z542" s="218"/>
      <c r="AA542" s="253"/>
      <c r="AB542" s="288"/>
      <c r="AC542" s="289"/>
      <c r="AD542" s="289"/>
      <c r="AE542" s="291"/>
      <c r="AF542" s="189"/>
      <c r="AI542" s="240">
        <f t="shared" si="99"/>
        <v>1496480</v>
      </c>
    </row>
    <row r="543" spans="2:35" s="28" customFormat="1" ht="44.25" customHeight="1">
      <c r="B543" s="30"/>
      <c r="C543" s="313"/>
      <c r="D543" s="81" t="s">
        <v>86</v>
      </c>
      <c r="E543" s="81" t="s">
        <v>92</v>
      </c>
      <c r="F543" s="81"/>
      <c r="G543" s="81"/>
      <c r="H543" s="81"/>
      <c r="I543" s="79">
        <v>20</v>
      </c>
      <c r="J543" s="82">
        <v>1020000</v>
      </c>
      <c r="K543" s="82">
        <v>1020000</v>
      </c>
      <c r="L543" s="189">
        <v>188240</v>
      </c>
      <c r="M543" s="189">
        <v>188240</v>
      </c>
      <c r="N543" s="66">
        <f t="shared" si="91"/>
        <v>1208240</v>
      </c>
      <c r="O543" s="66">
        <f t="shared" si="92"/>
        <v>1208240</v>
      </c>
      <c r="P543" s="170" t="s">
        <v>222</v>
      </c>
      <c r="Q543" s="171">
        <v>1020000</v>
      </c>
      <c r="R543" s="171">
        <v>1020000</v>
      </c>
      <c r="S543" s="171">
        <v>146640</v>
      </c>
      <c r="T543" s="171">
        <v>146640</v>
      </c>
      <c r="U543" s="157">
        <f t="shared" si="93"/>
        <v>0</v>
      </c>
      <c r="V543" s="157">
        <f t="shared" si="94"/>
        <v>0</v>
      </c>
      <c r="W543" s="157">
        <f t="shared" si="95"/>
        <v>41600</v>
      </c>
      <c r="X543" s="157">
        <f t="shared" si="96"/>
        <v>41600</v>
      </c>
      <c r="Z543" s="218"/>
      <c r="AA543" s="253"/>
      <c r="AB543" s="288"/>
      <c r="AC543" s="289"/>
      <c r="AD543" s="289"/>
      <c r="AE543" s="291"/>
      <c r="AF543" s="189"/>
      <c r="AI543" s="240">
        <f t="shared" si="99"/>
        <v>1208240</v>
      </c>
    </row>
    <row r="544" spans="2:35" s="28" customFormat="1" ht="44.25" customHeight="1">
      <c r="B544" s="30"/>
      <c r="C544" s="313"/>
      <c r="D544" s="81" t="s">
        <v>92</v>
      </c>
      <c r="E544" s="81" t="s">
        <v>82</v>
      </c>
      <c r="F544" s="81"/>
      <c r="G544" s="81"/>
      <c r="H544" s="81" t="s">
        <v>86</v>
      </c>
      <c r="I544" s="79">
        <v>140</v>
      </c>
      <c r="J544" s="82">
        <v>1450000</v>
      </c>
      <c r="K544" s="82">
        <v>1450000</v>
      </c>
      <c r="L544" s="189">
        <v>1317680</v>
      </c>
      <c r="M544" s="189">
        <v>1317680</v>
      </c>
      <c r="N544" s="66">
        <f t="shared" si="91"/>
        <v>2767680</v>
      </c>
      <c r="O544" s="66">
        <f t="shared" si="92"/>
        <v>2767680</v>
      </c>
      <c r="P544" s="170" t="s">
        <v>355</v>
      </c>
      <c r="Q544" s="171">
        <v>1450000</v>
      </c>
      <c r="R544" s="171">
        <v>1450000</v>
      </c>
      <c r="S544" s="171">
        <v>1026480</v>
      </c>
      <c r="T544" s="171">
        <v>1026480</v>
      </c>
      <c r="U544" s="157">
        <f t="shared" si="93"/>
        <v>0</v>
      </c>
      <c r="V544" s="157">
        <f t="shared" si="94"/>
        <v>0</v>
      </c>
      <c r="W544" s="157">
        <f t="shared" si="95"/>
        <v>291200</v>
      </c>
      <c r="X544" s="157">
        <f t="shared" si="96"/>
        <v>291200</v>
      </c>
      <c r="Z544" s="218"/>
      <c r="AA544" s="253"/>
      <c r="AB544" s="288"/>
      <c r="AC544" s="289"/>
      <c r="AD544" s="289"/>
      <c r="AE544" s="291"/>
      <c r="AF544" s="189"/>
      <c r="AI544" s="240">
        <f t="shared" si="99"/>
        <v>2767680</v>
      </c>
    </row>
    <row r="545" spans="2:35" s="28" customFormat="1" ht="44.25" customHeight="1">
      <c r="B545" s="30"/>
      <c r="C545" s="313"/>
      <c r="D545" s="81" t="s">
        <v>86</v>
      </c>
      <c r="E545" s="81" t="s">
        <v>92</v>
      </c>
      <c r="F545" s="81"/>
      <c r="G545" s="81"/>
      <c r="H545" s="81"/>
      <c r="I545" s="79">
        <v>20</v>
      </c>
      <c r="J545" s="82">
        <v>1020000</v>
      </c>
      <c r="K545" s="82">
        <v>1020000</v>
      </c>
      <c r="L545" s="189">
        <v>188240</v>
      </c>
      <c r="M545" s="189">
        <v>188240</v>
      </c>
      <c r="N545" s="66">
        <f t="shared" si="91"/>
        <v>1208240</v>
      </c>
      <c r="O545" s="66">
        <f t="shared" si="92"/>
        <v>1208240</v>
      </c>
      <c r="P545" s="170" t="s">
        <v>222</v>
      </c>
      <c r="Q545" s="171">
        <v>1020000</v>
      </c>
      <c r="R545" s="171">
        <v>1020000</v>
      </c>
      <c r="S545" s="171">
        <v>146640</v>
      </c>
      <c r="T545" s="171">
        <v>146640</v>
      </c>
      <c r="U545" s="157">
        <f t="shared" si="93"/>
        <v>0</v>
      </c>
      <c r="V545" s="157">
        <f t="shared" si="94"/>
        <v>0</v>
      </c>
      <c r="W545" s="157">
        <f t="shared" si="95"/>
        <v>41600</v>
      </c>
      <c r="X545" s="157">
        <f t="shared" si="96"/>
        <v>41600</v>
      </c>
      <c r="Z545" s="218"/>
      <c r="AA545" s="253"/>
      <c r="AB545" s="288"/>
      <c r="AC545" s="289"/>
      <c r="AD545" s="289"/>
      <c r="AE545" s="291"/>
      <c r="AF545" s="189"/>
      <c r="AI545" s="240">
        <f t="shared" si="99"/>
        <v>1208240</v>
      </c>
    </row>
    <row r="546" spans="2:35" s="28" customFormat="1" ht="44.25" customHeight="1">
      <c r="B546" s="30"/>
      <c r="C546" s="313"/>
      <c r="D546" s="81" t="s">
        <v>92</v>
      </c>
      <c r="E546" s="81" t="s">
        <v>81</v>
      </c>
      <c r="F546" s="81"/>
      <c r="G546" s="81"/>
      <c r="H546" s="81" t="s">
        <v>86</v>
      </c>
      <c r="I546" s="79">
        <v>55</v>
      </c>
      <c r="J546" s="82">
        <v>1120000</v>
      </c>
      <c r="K546" s="82">
        <v>1120000</v>
      </c>
      <c r="L546" s="189">
        <v>517660</v>
      </c>
      <c r="M546" s="189">
        <v>517660</v>
      </c>
      <c r="N546" s="66">
        <f t="shared" si="91"/>
        <v>1637660</v>
      </c>
      <c r="O546" s="66">
        <f t="shared" si="92"/>
        <v>1637660</v>
      </c>
      <c r="P546" s="170" t="s">
        <v>356</v>
      </c>
      <c r="Q546" s="171">
        <v>1120000</v>
      </c>
      <c r="R546" s="171">
        <v>1120000</v>
      </c>
      <c r="S546" s="171">
        <v>403260</v>
      </c>
      <c r="T546" s="171">
        <v>403260</v>
      </c>
      <c r="U546" s="157">
        <f t="shared" si="93"/>
        <v>0</v>
      </c>
      <c r="V546" s="157">
        <f t="shared" si="94"/>
        <v>0</v>
      </c>
      <c r="W546" s="157">
        <f t="shared" si="95"/>
        <v>114400</v>
      </c>
      <c r="X546" s="157">
        <f t="shared" si="96"/>
        <v>114400</v>
      </c>
      <c r="Z546" s="218"/>
      <c r="AA546" s="253"/>
      <c r="AB546" s="288"/>
      <c r="AC546" s="289"/>
      <c r="AD546" s="289"/>
      <c r="AE546" s="291"/>
      <c r="AF546" s="189"/>
      <c r="AI546" s="240">
        <f t="shared" si="99"/>
        <v>1637660</v>
      </c>
    </row>
    <row r="547" spans="2:35" s="28" customFormat="1" ht="44.25" customHeight="1">
      <c r="B547" s="30"/>
      <c r="C547" s="313"/>
      <c r="D547" s="81" t="s">
        <v>86</v>
      </c>
      <c r="E547" s="81" t="s">
        <v>92</v>
      </c>
      <c r="F547" s="81"/>
      <c r="G547" s="81"/>
      <c r="H547" s="81"/>
      <c r="I547" s="79">
        <v>20</v>
      </c>
      <c r="J547" s="82">
        <v>1020000</v>
      </c>
      <c r="K547" s="82">
        <v>1020000</v>
      </c>
      <c r="L547" s="189">
        <v>188240</v>
      </c>
      <c r="M547" s="189">
        <v>188240</v>
      </c>
      <c r="N547" s="66">
        <f t="shared" si="91"/>
        <v>1208240</v>
      </c>
      <c r="O547" s="66">
        <f t="shared" si="92"/>
        <v>1208240</v>
      </c>
      <c r="P547" s="170" t="s">
        <v>222</v>
      </c>
      <c r="Q547" s="171">
        <v>1020000</v>
      </c>
      <c r="R547" s="171">
        <v>1020000</v>
      </c>
      <c r="S547" s="171">
        <v>146640</v>
      </c>
      <c r="T547" s="171">
        <v>146640</v>
      </c>
      <c r="U547" s="157">
        <f t="shared" si="93"/>
        <v>0</v>
      </c>
      <c r="V547" s="157">
        <f t="shared" si="94"/>
        <v>0</v>
      </c>
      <c r="W547" s="157">
        <f t="shared" si="95"/>
        <v>41600</v>
      </c>
      <c r="X547" s="157">
        <f t="shared" si="96"/>
        <v>41600</v>
      </c>
      <c r="Z547" s="218"/>
      <c r="AA547" s="253"/>
      <c r="AB547" s="288"/>
      <c r="AC547" s="289"/>
      <c r="AD547" s="289"/>
      <c r="AE547" s="291"/>
      <c r="AF547" s="189"/>
      <c r="AI547" s="240">
        <f t="shared" si="99"/>
        <v>1208240</v>
      </c>
    </row>
    <row r="548" spans="2:35" s="28" customFormat="1" ht="44.25" customHeight="1">
      <c r="B548" s="30"/>
      <c r="C548" s="314"/>
      <c r="D548" s="81" t="s">
        <v>92</v>
      </c>
      <c r="E548" s="81" t="s">
        <v>83</v>
      </c>
      <c r="F548" s="81"/>
      <c r="G548" s="81"/>
      <c r="H548" s="81" t="s">
        <v>86</v>
      </c>
      <c r="I548" s="79">
        <v>20</v>
      </c>
      <c r="J548" s="82">
        <v>1020000</v>
      </c>
      <c r="K548" s="82">
        <v>1020000</v>
      </c>
      <c r="L548" s="189">
        <v>188240</v>
      </c>
      <c r="M548" s="189">
        <v>188240</v>
      </c>
      <c r="N548" s="66">
        <f t="shared" si="91"/>
        <v>1208240</v>
      </c>
      <c r="O548" s="66">
        <f t="shared" si="92"/>
        <v>1208240</v>
      </c>
      <c r="P548" s="170" t="s">
        <v>357</v>
      </c>
      <c r="Q548" s="171">
        <v>1020000</v>
      </c>
      <c r="R548" s="171">
        <v>1020000</v>
      </c>
      <c r="S548" s="171">
        <v>146640</v>
      </c>
      <c r="T548" s="171">
        <v>146640</v>
      </c>
      <c r="U548" s="157">
        <f t="shared" si="93"/>
        <v>0</v>
      </c>
      <c r="V548" s="157">
        <f t="shared" si="94"/>
        <v>0</v>
      </c>
      <c r="W548" s="157">
        <f t="shared" si="95"/>
        <v>41600</v>
      </c>
      <c r="X548" s="157">
        <f t="shared" si="96"/>
        <v>41600</v>
      </c>
      <c r="Z548" s="218"/>
      <c r="AA548" s="253"/>
      <c r="AB548" s="288"/>
      <c r="AC548" s="289"/>
      <c r="AD548" s="289"/>
      <c r="AE548" s="291"/>
      <c r="AF548" s="189"/>
      <c r="AI548" s="240">
        <f t="shared" si="99"/>
        <v>1208240</v>
      </c>
    </row>
    <row r="549" spans="2:35" s="28" customFormat="1" ht="44.25" customHeight="1">
      <c r="B549" s="30"/>
      <c r="C549" s="312" t="s">
        <v>57</v>
      </c>
      <c r="D549" s="81" t="s">
        <v>132</v>
      </c>
      <c r="E549" s="81" t="s">
        <v>82</v>
      </c>
      <c r="F549" s="81"/>
      <c r="G549" s="81"/>
      <c r="H549" s="81" t="s">
        <v>86</v>
      </c>
      <c r="I549" s="79">
        <v>136</v>
      </c>
      <c r="J549" s="82">
        <v>1958000</v>
      </c>
      <c r="K549" s="82">
        <v>1958000</v>
      </c>
      <c r="L549" s="189">
        <v>1280032</v>
      </c>
      <c r="M549" s="189">
        <v>1280032</v>
      </c>
      <c r="N549" s="66">
        <f t="shared" si="91"/>
        <v>3238032</v>
      </c>
      <c r="O549" s="66">
        <f t="shared" si="92"/>
        <v>3238032</v>
      </c>
      <c r="P549" s="170" t="s">
        <v>358</v>
      </c>
      <c r="Q549" s="171">
        <v>1958000</v>
      </c>
      <c r="R549" s="171">
        <v>1958000</v>
      </c>
      <c r="S549" s="171">
        <v>997152</v>
      </c>
      <c r="T549" s="171">
        <v>997152</v>
      </c>
      <c r="U549" s="157">
        <f t="shared" si="93"/>
        <v>0</v>
      </c>
      <c r="V549" s="157">
        <f t="shared" si="94"/>
        <v>0</v>
      </c>
      <c r="W549" s="157">
        <f t="shared" si="95"/>
        <v>282880</v>
      </c>
      <c r="X549" s="157">
        <f t="shared" si="96"/>
        <v>282880</v>
      </c>
      <c r="Z549" s="218"/>
      <c r="AA549" s="253"/>
      <c r="AB549" s="288"/>
      <c r="AC549" s="289"/>
      <c r="AD549" s="289"/>
      <c r="AE549" s="291"/>
      <c r="AF549" s="189"/>
      <c r="AH549" s="267" t="s">
        <v>480</v>
      </c>
      <c r="AI549" s="240">
        <f t="shared" si="99"/>
        <v>3238032</v>
      </c>
    </row>
    <row r="550" spans="2:35" s="28" customFormat="1" ht="44.25" customHeight="1">
      <c r="B550" s="30"/>
      <c r="C550" s="313"/>
      <c r="D550" s="81" t="s">
        <v>132</v>
      </c>
      <c r="E550" s="81" t="s">
        <v>81</v>
      </c>
      <c r="F550" s="81"/>
      <c r="G550" s="81"/>
      <c r="H550" s="81" t="s">
        <v>86</v>
      </c>
      <c r="I550" s="79">
        <v>90</v>
      </c>
      <c r="J550" s="82">
        <v>1644000</v>
      </c>
      <c r="K550" s="82">
        <v>1644000</v>
      </c>
      <c r="L550" s="189">
        <v>847080</v>
      </c>
      <c r="M550" s="189">
        <v>847080</v>
      </c>
      <c r="N550" s="66">
        <f t="shared" si="91"/>
        <v>2491080</v>
      </c>
      <c r="O550" s="66">
        <f t="shared" si="92"/>
        <v>2491080</v>
      </c>
      <c r="P550" s="170" t="s">
        <v>359</v>
      </c>
      <c r="Q550" s="171">
        <v>1644000</v>
      </c>
      <c r="R550" s="171">
        <v>1644000</v>
      </c>
      <c r="S550" s="171">
        <v>659880</v>
      </c>
      <c r="T550" s="171">
        <v>659880</v>
      </c>
      <c r="U550" s="157">
        <f t="shared" si="93"/>
        <v>0</v>
      </c>
      <c r="V550" s="157">
        <f t="shared" si="94"/>
        <v>0</v>
      </c>
      <c r="W550" s="157">
        <f t="shared" si="95"/>
        <v>187200</v>
      </c>
      <c r="X550" s="157">
        <f t="shared" si="96"/>
        <v>187200</v>
      </c>
      <c r="Z550" s="218"/>
      <c r="AA550" s="253"/>
      <c r="AB550" s="288"/>
      <c r="AC550" s="289"/>
      <c r="AD550" s="289"/>
      <c r="AE550" s="291"/>
      <c r="AF550" s="189"/>
      <c r="AI550" s="240">
        <f t="shared" si="99"/>
        <v>2491080</v>
      </c>
    </row>
    <row r="551" spans="2:35" s="28" customFormat="1" ht="44.25" customHeight="1">
      <c r="B551" s="30"/>
      <c r="C551" s="313"/>
      <c r="D551" s="81" t="s">
        <v>132</v>
      </c>
      <c r="E551" s="81" t="s">
        <v>83</v>
      </c>
      <c r="F551" s="81"/>
      <c r="G551" s="81"/>
      <c r="H551" s="81" t="s">
        <v>86</v>
      </c>
      <c r="I551" s="79">
        <v>70</v>
      </c>
      <c r="J551" s="82">
        <v>1644000</v>
      </c>
      <c r="K551" s="82">
        <v>1644000</v>
      </c>
      <c r="L551" s="189">
        <v>658840</v>
      </c>
      <c r="M551" s="189">
        <v>658840</v>
      </c>
      <c r="N551" s="66">
        <f t="shared" si="91"/>
        <v>2302840</v>
      </c>
      <c r="O551" s="66">
        <f t="shared" si="92"/>
        <v>2302840</v>
      </c>
      <c r="P551" s="170" t="s">
        <v>360</v>
      </c>
      <c r="Q551" s="171">
        <v>1644000</v>
      </c>
      <c r="R551" s="171">
        <v>1644000</v>
      </c>
      <c r="S551" s="171">
        <v>513240</v>
      </c>
      <c r="T551" s="171">
        <v>513240</v>
      </c>
      <c r="U551" s="157">
        <f t="shared" si="93"/>
        <v>0</v>
      </c>
      <c r="V551" s="157">
        <f t="shared" si="94"/>
        <v>0</v>
      </c>
      <c r="W551" s="157">
        <f t="shared" si="95"/>
        <v>145600</v>
      </c>
      <c r="X551" s="157">
        <f t="shared" si="96"/>
        <v>145600</v>
      </c>
      <c r="Z551" s="218"/>
      <c r="AA551" s="253"/>
      <c r="AB551" s="288"/>
      <c r="AC551" s="289"/>
      <c r="AD551" s="289"/>
      <c r="AE551" s="291"/>
      <c r="AF551" s="189"/>
      <c r="AI551" s="240">
        <f t="shared" si="99"/>
        <v>2302840</v>
      </c>
    </row>
    <row r="552" spans="2:35" s="39" customFormat="1" ht="44.25" customHeight="1">
      <c r="C552" s="313"/>
      <c r="D552" s="145" t="s">
        <v>93</v>
      </c>
      <c r="E552" s="145" t="s">
        <v>82</v>
      </c>
      <c r="F552" s="145"/>
      <c r="G552" s="145"/>
      <c r="H552" s="145" t="s">
        <v>86</v>
      </c>
      <c r="I552" s="115">
        <v>155</v>
      </c>
      <c r="J552" s="146">
        <v>2281000</v>
      </c>
      <c r="K552" s="146">
        <v>2281000</v>
      </c>
      <c r="L552" s="189">
        <v>1458860</v>
      </c>
      <c r="M552" s="189">
        <v>1458860</v>
      </c>
      <c r="N552" s="66">
        <f t="shared" si="91"/>
        <v>3739860</v>
      </c>
      <c r="O552" s="66">
        <f t="shared" si="92"/>
        <v>3739860</v>
      </c>
      <c r="P552" s="170" t="s">
        <v>361</v>
      </c>
      <c r="Q552" s="171">
        <v>2281000</v>
      </c>
      <c r="R552" s="171">
        <v>2281000</v>
      </c>
      <c r="S552" s="171">
        <v>1136460</v>
      </c>
      <c r="T552" s="171">
        <v>1136460</v>
      </c>
      <c r="U552" s="157">
        <f t="shared" si="93"/>
        <v>0</v>
      </c>
      <c r="V552" s="157">
        <f t="shared" si="94"/>
        <v>0</v>
      </c>
      <c r="W552" s="157">
        <f t="shared" si="95"/>
        <v>322400</v>
      </c>
      <c r="X552" s="157">
        <f t="shared" si="96"/>
        <v>322400</v>
      </c>
      <c r="Z552" s="218"/>
      <c r="AA552" s="253"/>
      <c r="AB552" s="288"/>
      <c r="AC552" s="289"/>
      <c r="AD552" s="289"/>
      <c r="AE552" s="291"/>
      <c r="AF552" s="189"/>
      <c r="AI552" s="240">
        <f t="shared" si="99"/>
        <v>3739860</v>
      </c>
    </row>
    <row r="553" spans="2:35" s="39" customFormat="1" ht="44.25" customHeight="1">
      <c r="C553" s="313"/>
      <c r="D553" s="145" t="s">
        <v>93</v>
      </c>
      <c r="E553" s="145" t="s">
        <v>81</v>
      </c>
      <c r="F553" s="145"/>
      <c r="G553" s="145"/>
      <c r="H553" s="145" t="s">
        <v>86</v>
      </c>
      <c r="I553" s="115">
        <v>70</v>
      </c>
      <c r="J553" s="146">
        <v>1946000</v>
      </c>
      <c r="K553" s="146">
        <v>1946000</v>
      </c>
      <c r="L553" s="189">
        <v>658840</v>
      </c>
      <c r="M553" s="189">
        <v>658840</v>
      </c>
      <c r="N553" s="66">
        <f t="shared" si="91"/>
        <v>2604840</v>
      </c>
      <c r="O553" s="66">
        <f t="shared" si="92"/>
        <v>2604840</v>
      </c>
      <c r="P553" s="170" t="s">
        <v>362</v>
      </c>
      <c r="Q553" s="171">
        <v>1946000</v>
      </c>
      <c r="R553" s="171">
        <v>1946000</v>
      </c>
      <c r="S553" s="171">
        <v>513240</v>
      </c>
      <c r="T553" s="171">
        <v>513240</v>
      </c>
      <c r="U553" s="157">
        <f t="shared" si="93"/>
        <v>0</v>
      </c>
      <c r="V553" s="157">
        <f t="shared" si="94"/>
        <v>0</v>
      </c>
      <c r="W553" s="157">
        <f t="shared" si="95"/>
        <v>145600</v>
      </c>
      <c r="X553" s="157">
        <f t="shared" si="96"/>
        <v>145600</v>
      </c>
      <c r="Z553" s="218"/>
      <c r="AA553" s="253"/>
      <c r="AB553" s="288"/>
      <c r="AC553" s="289"/>
      <c r="AD553" s="289"/>
      <c r="AE553" s="291"/>
      <c r="AF553" s="189"/>
      <c r="AI553" s="240">
        <f t="shared" si="99"/>
        <v>2604840</v>
      </c>
    </row>
    <row r="554" spans="2:35" s="39" customFormat="1" ht="44.25" customHeight="1">
      <c r="C554" s="313"/>
      <c r="D554" s="145" t="s">
        <v>93</v>
      </c>
      <c r="E554" s="145" t="s">
        <v>83</v>
      </c>
      <c r="F554" s="145"/>
      <c r="G554" s="145"/>
      <c r="H554" s="145" t="s">
        <v>86</v>
      </c>
      <c r="I554" s="115">
        <v>45</v>
      </c>
      <c r="J554" s="146">
        <v>1965000</v>
      </c>
      <c r="K554" s="146">
        <v>1965000</v>
      </c>
      <c r="L554" s="189">
        <v>423540</v>
      </c>
      <c r="M554" s="189">
        <v>423540</v>
      </c>
      <c r="N554" s="66">
        <f t="shared" si="91"/>
        <v>2388540</v>
      </c>
      <c r="O554" s="66">
        <f t="shared" si="92"/>
        <v>2388540</v>
      </c>
      <c r="P554" s="170" t="s">
        <v>363</v>
      </c>
      <c r="Q554" s="171">
        <v>1965000</v>
      </c>
      <c r="R554" s="171">
        <v>1965000</v>
      </c>
      <c r="S554" s="171">
        <v>329940</v>
      </c>
      <c r="T554" s="171">
        <v>329940</v>
      </c>
      <c r="U554" s="157">
        <f t="shared" si="93"/>
        <v>0</v>
      </c>
      <c r="V554" s="157">
        <f t="shared" si="94"/>
        <v>0</v>
      </c>
      <c r="W554" s="157">
        <f t="shared" si="95"/>
        <v>93600</v>
      </c>
      <c r="X554" s="157">
        <f t="shared" si="96"/>
        <v>93600</v>
      </c>
      <c r="Z554" s="218"/>
      <c r="AA554" s="253"/>
      <c r="AB554" s="288"/>
      <c r="AC554" s="289"/>
      <c r="AD554" s="289"/>
      <c r="AE554" s="291"/>
      <c r="AF554" s="189"/>
      <c r="AI554" s="240">
        <f t="shared" si="99"/>
        <v>2388540</v>
      </c>
    </row>
    <row r="555" spans="2:35" s="28" customFormat="1" ht="44.25" customHeight="1">
      <c r="B555" s="30"/>
      <c r="C555" s="313"/>
      <c r="D555" s="81" t="s">
        <v>150</v>
      </c>
      <c r="E555" s="81" t="s">
        <v>82</v>
      </c>
      <c r="F555" s="81"/>
      <c r="G555" s="81"/>
      <c r="H555" s="81" t="s">
        <v>86</v>
      </c>
      <c r="I555" s="79">
        <v>135</v>
      </c>
      <c r="J555" s="82">
        <v>1250000</v>
      </c>
      <c r="K555" s="82">
        <v>1250000</v>
      </c>
      <c r="L555" s="189">
        <v>1270620</v>
      </c>
      <c r="M555" s="189">
        <v>1270620</v>
      </c>
      <c r="N555" s="66">
        <f t="shared" si="91"/>
        <v>2520620</v>
      </c>
      <c r="O555" s="66">
        <f t="shared" si="92"/>
        <v>2520620</v>
      </c>
      <c r="P555" s="170" t="s">
        <v>364</v>
      </c>
      <c r="Q555" s="171">
        <v>1250000</v>
      </c>
      <c r="R555" s="171">
        <v>1250000</v>
      </c>
      <c r="S555" s="171">
        <v>989820</v>
      </c>
      <c r="T555" s="171">
        <v>989820</v>
      </c>
      <c r="U555" s="157">
        <f t="shared" si="93"/>
        <v>0</v>
      </c>
      <c r="V555" s="157">
        <f t="shared" si="94"/>
        <v>0</v>
      </c>
      <c r="W555" s="157">
        <f t="shared" si="95"/>
        <v>280800</v>
      </c>
      <c r="X555" s="157">
        <f t="shared" si="96"/>
        <v>280800</v>
      </c>
      <c r="Z555" s="218"/>
      <c r="AA555" s="253"/>
      <c r="AB555" s="288"/>
      <c r="AC555" s="289"/>
      <c r="AD555" s="289"/>
      <c r="AE555" s="291"/>
      <c r="AF555" s="189"/>
      <c r="AI555" s="240">
        <f t="shared" si="99"/>
        <v>2520620</v>
      </c>
    </row>
    <row r="556" spans="2:35" s="28" customFormat="1" ht="44.25" customHeight="1">
      <c r="B556" s="30"/>
      <c r="C556" s="313"/>
      <c r="D556" s="81" t="s">
        <v>150</v>
      </c>
      <c r="E556" s="81" t="s">
        <v>81</v>
      </c>
      <c r="F556" s="81"/>
      <c r="G556" s="81"/>
      <c r="H556" s="81" t="s">
        <v>86</v>
      </c>
      <c r="I556" s="79">
        <v>60</v>
      </c>
      <c r="J556" s="82">
        <v>1050000</v>
      </c>
      <c r="K556" s="82">
        <v>1050000</v>
      </c>
      <c r="L556" s="189">
        <v>564720</v>
      </c>
      <c r="M556" s="189">
        <v>564720</v>
      </c>
      <c r="N556" s="66">
        <f t="shared" si="91"/>
        <v>1614720</v>
      </c>
      <c r="O556" s="66">
        <f t="shared" si="92"/>
        <v>1614720</v>
      </c>
      <c r="P556" s="170" t="s">
        <v>365</v>
      </c>
      <c r="Q556" s="171">
        <v>1050000</v>
      </c>
      <c r="R556" s="171">
        <v>1050000</v>
      </c>
      <c r="S556" s="171">
        <v>439920</v>
      </c>
      <c r="T556" s="171">
        <v>439920</v>
      </c>
      <c r="U556" s="157">
        <f t="shared" si="93"/>
        <v>0</v>
      </c>
      <c r="V556" s="157">
        <f t="shared" si="94"/>
        <v>0</v>
      </c>
      <c r="W556" s="157">
        <f t="shared" si="95"/>
        <v>124800</v>
      </c>
      <c r="X556" s="157">
        <f t="shared" si="96"/>
        <v>124800</v>
      </c>
      <c r="Z556" s="218"/>
      <c r="AA556" s="253"/>
      <c r="AB556" s="288"/>
      <c r="AC556" s="289"/>
      <c r="AD556" s="289"/>
      <c r="AE556" s="291"/>
      <c r="AF556" s="189"/>
      <c r="AI556" s="240">
        <f t="shared" si="99"/>
        <v>1614720</v>
      </c>
    </row>
    <row r="557" spans="2:35" s="28" customFormat="1" ht="44.25" customHeight="1">
      <c r="B557" s="30"/>
      <c r="C557" s="313"/>
      <c r="D557" s="81" t="s">
        <v>150</v>
      </c>
      <c r="E557" s="81" t="s">
        <v>83</v>
      </c>
      <c r="F557" s="81"/>
      <c r="G557" s="81"/>
      <c r="H557" s="81" t="s">
        <v>86</v>
      </c>
      <c r="I557" s="79">
        <v>45</v>
      </c>
      <c r="J557" s="82">
        <v>1050000</v>
      </c>
      <c r="K557" s="82">
        <v>1050000</v>
      </c>
      <c r="L557" s="189">
        <v>423540</v>
      </c>
      <c r="M557" s="189">
        <v>423540</v>
      </c>
      <c r="N557" s="66">
        <f t="shared" si="91"/>
        <v>1473540</v>
      </c>
      <c r="O557" s="66">
        <f t="shared" si="92"/>
        <v>1473540</v>
      </c>
      <c r="P557" s="170" t="s">
        <v>366</v>
      </c>
      <c r="Q557" s="171">
        <v>1050000</v>
      </c>
      <c r="R557" s="171">
        <v>1050000</v>
      </c>
      <c r="S557" s="171">
        <v>329940</v>
      </c>
      <c r="T557" s="171">
        <v>329940</v>
      </c>
      <c r="U557" s="157">
        <f t="shared" si="93"/>
        <v>0</v>
      </c>
      <c r="V557" s="157">
        <f t="shared" si="94"/>
        <v>0</v>
      </c>
      <c r="W557" s="157">
        <f t="shared" si="95"/>
        <v>93600</v>
      </c>
      <c r="X557" s="157">
        <f t="shared" si="96"/>
        <v>93600</v>
      </c>
      <c r="Z557" s="218"/>
      <c r="AA557" s="253"/>
      <c r="AB557" s="288"/>
      <c r="AC557" s="289"/>
      <c r="AD557" s="289"/>
      <c r="AE557" s="291"/>
      <c r="AF557" s="189"/>
      <c r="AI557" s="240">
        <f t="shared" si="99"/>
        <v>1473540</v>
      </c>
    </row>
    <row r="558" spans="2:35" s="28" customFormat="1" ht="44.25" customHeight="1">
      <c r="B558" s="30"/>
      <c r="C558" s="313"/>
      <c r="D558" s="81" t="s">
        <v>94</v>
      </c>
      <c r="E558" s="81" t="s">
        <v>82</v>
      </c>
      <c r="F558" s="81"/>
      <c r="G558" s="81"/>
      <c r="H558" s="81" t="s">
        <v>86</v>
      </c>
      <c r="I558" s="79">
        <v>125</v>
      </c>
      <c r="J558" s="82">
        <v>1904000</v>
      </c>
      <c r="K558" s="82">
        <v>1904000</v>
      </c>
      <c r="L558" s="189">
        <v>1176500</v>
      </c>
      <c r="M558" s="189">
        <v>1176500</v>
      </c>
      <c r="N558" s="66">
        <f t="shared" si="91"/>
        <v>3080500</v>
      </c>
      <c r="O558" s="66">
        <f t="shared" si="92"/>
        <v>3080500</v>
      </c>
      <c r="P558" s="170" t="s">
        <v>367</v>
      </c>
      <c r="Q558" s="171">
        <v>1904000</v>
      </c>
      <c r="R558" s="171">
        <v>1904000</v>
      </c>
      <c r="S558" s="171">
        <v>916500</v>
      </c>
      <c r="T558" s="171">
        <v>916500</v>
      </c>
      <c r="U558" s="157">
        <f t="shared" si="93"/>
        <v>0</v>
      </c>
      <c r="V558" s="157">
        <f t="shared" si="94"/>
        <v>0</v>
      </c>
      <c r="W558" s="157">
        <f t="shared" si="95"/>
        <v>260000</v>
      </c>
      <c r="X558" s="157">
        <f t="shared" si="96"/>
        <v>260000</v>
      </c>
      <c r="Z558" s="218"/>
      <c r="AA558" s="253"/>
      <c r="AB558" s="288"/>
      <c r="AC558" s="289"/>
      <c r="AD558" s="289"/>
      <c r="AE558" s="291"/>
      <c r="AF558" s="189"/>
      <c r="AI558" s="240">
        <f t="shared" si="99"/>
        <v>3080500</v>
      </c>
    </row>
    <row r="559" spans="2:35" s="28" customFormat="1" ht="44.25" customHeight="1">
      <c r="B559" s="30"/>
      <c r="C559" s="313"/>
      <c r="D559" s="81" t="s">
        <v>94</v>
      </c>
      <c r="E559" s="81" t="s">
        <v>81</v>
      </c>
      <c r="F559" s="81"/>
      <c r="G559" s="81"/>
      <c r="H559" s="81" t="s">
        <v>86</v>
      </c>
      <c r="I559" s="79">
        <v>65</v>
      </c>
      <c r="J559" s="82">
        <v>1750000</v>
      </c>
      <c r="K559" s="82">
        <v>1750000</v>
      </c>
      <c r="L559" s="189">
        <v>611780</v>
      </c>
      <c r="M559" s="189">
        <v>611780</v>
      </c>
      <c r="N559" s="66">
        <f t="shared" si="91"/>
        <v>2361780</v>
      </c>
      <c r="O559" s="66">
        <f t="shared" si="92"/>
        <v>2361780</v>
      </c>
      <c r="P559" s="170" t="s">
        <v>368</v>
      </c>
      <c r="Q559" s="171">
        <v>1750000</v>
      </c>
      <c r="R559" s="171">
        <v>1750000</v>
      </c>
      <c r="S559" s="171">
        <v>476580</v>
      </c>
      <c r="T559" s="171">
        <v>476580</v>
      </c>
      <c r="U559" s="157">
        <f t="shared" si="93"/>
        <v>0</v>
      </c>
      <c r="V559" s="157">
        <f t="shared" si="94"/>
        <v>0</v>
      </c>
      <c r="W559" s="157">
        <f t="shared" si="95"/>
        <v>135200</v>
      </c>
      <c r="X559" s="157">
        <f t="shared" si="96"/>
        <v>135200</v>
      </c>
      <c r="Z559" s="218"/>
      <c r="AA559" s="253"/>
      <c r="AB559" s="288"/>
      <c r="AC559" s="289"/>
      <c r="AD559" s="289"/>
      <c r="AE559" s="291"/>
      <c r="AF559" s="189"/>
      <c r="AI559" s="240">
        <f t="shared" si="99"/>
        <v>2361780</v>
      </c>
    </row>
    <row r="560" spans="2:35" s="28" customFormat="1" ht="44.25" customHeight="1">
      <c r="B560" s="30"/>
      <c r="C560" s="313"/>
      <c r="D560" s="81" t="s">
        <v>94</v>
      </c>
      <c r="E560" s="81" t="s">
        <v>83</v>
      </c>
      <c r="F560" s="81"/>
      <c r="G560" s="81"/>
      <c r="H560" s="81" t="s">
        <v>86</v>
      </c>
      <c r="I560" s="79">
        <v>75</v>
      </c>
      <c r="J560" s="82">
        <v>1742000</v>
      </c>
      <c r="K560" s="82">
        <v>1742000</v>
      </c>
      <c r="L560" s="189">
        <v>705900</v>
      </c>
      <c r="M560" s="189">
        <v>705900</v>
      </c>
      <c r="N560" s="66">
        <f t="shared" si="91"/>
        <v>2447900</v>
      </c>
      <c r="O560" s="66">
        <f t="shared" si="92"/>
        <v>2447900</v>
      </c>
      <c r="P560" s="170" t="s">
        <v>369</v>
      </c>
      <c r="Q560" s="171">
        <v>1742000</v>
      </c>
      <c r="R560" s="171">
        <v>1742000</v>
      </c>
      <c r="S560" s="171">
        <v>549900</v>
      </c>
      <c r="T560" s="171">
        <v>549900</v>
      </c>
      <c r="U560" s="157">
        <f t="shared" si="93"/>
        <v>0</v>
      </c>
      <c r="V560" s="157">
        <f t="shared" si="94"/>
        <v>0</v>
      </c>
      <c r="W560" s="157">
        <f t="shared" si="95"/>
        <v>156000</v>
      </c>
      <c r="X560" s="157">
        <f t="shared" si="96"/>
        <v>156000</v>
      </c>
      <c r="Z560" s="218"/>
      <c r="AA560" s="253"/>
      <c r="AB560" s="288"/>
      <c r="AC560" s="289"/>
      <c r="AD560" s="289"/>
      <c r="AE560" s="291"/>
      <c r="AF560" s="189"/>
      <c r="AI560" s="240">
        <f t="shared" si="99"/>
        <v>2447900</v>
      </c>
    </row>
    <row r="561" spans="2:35" s="28" customFormat="1" ht="13.5" customHeight="1">
      <c r="B561" s="30"/>
      <c r="C561" s="68"/>
      <c r="D561" s="69"/>
      <c r="E561" s="69"/>
      <c r="F561" s="69"/>
      <c r="G561" s="69"/>
      <c r="H561" s="69"/>
      <c r="I561" s="109"/>
      <c r="J561" s="124"/>
      <c r="K561" s="124"/>
      <c r="L561" s="191"/>
      <c r="M561" s="191"/>
      <c r="N561" s="71"/>
      <c r="O561" s="71"/>
      <c r="P561" s="170" t="s">
        <v>260</v>
      </c>
      <c r="Q561" s="171"/>
      <c r="R561" s="171"/>
      <c r="S561" s="171"/>
      <c r="T561" s="171"/>
      <c r="U561" s="157"/>
      <c r="V561" s="157"/>
      <c r="W561" s="157"/>
      <c r="X561" s="157"/>
      <c r="Z561" s="218"/>
      <c r="AA561" s="253"/>
      <c r="AB561" s="288"/>
      <c r="AC561" s="289"/>
      <c r="AD561" s="289"/>
      <c r="AE561" s="70"/>
      <c r="AF561" s="191"/>
      <c r="AI561" s="240">
        <f t="shared" si="99"/>
        <v>0</v>
      </c>
    </row>
    <row r="562" spans="2:35" s="28" customFormat="1" ht="20.25" customHeight="1">
      <c r="B562" s="30"/>
      <c r="C562" s="68"/>
      <c r="D562" s="69"/>
      <c r="E562" s="69"/>
      <c r="F562" s="69"/>
      <c r="G562" s="69"/>
      <c r="H562" s="109"/>
      <c r="I562" s="109"/>
      <c r="J562" s="70"/>
      <c r="K562" s="70"/>
      <c r="L562" s="191"/>
      <c r="M562" s="191"/>
      <c r="N562" s="71"/>
      <c r="O562" s="71"/>
      <c r="P562" s="170" t="s">
        <v>260</v>
      </c>
      <c r="Q562" s="171"/>
      <c r="R562" s="158"/>
      <c r="S562" s="151"/>
      <c r="T562" s="151"/>
      <c r="U562" s="159"/>
      <c r="V562" s="159"/>
      <c r="W562" s="151"/>
      <c r="X562" s="151"/>
      <c r="Z562" s="218"/>
      <c r="AA562" s="253"/>
      <c r="AB562" s="288"/>
      <c r="AC562" s="289"/>
      <c r="AD562" s="289"/>
      <c r="AE562" s="70"/>
      <c r="AF562" s="191"/>
      <c r="AI562" s="240">
        <f t="shared" si="99"/>
        <v>0</v>
      </c>
    </row>
    <row r="563" spans="2:35" s="28" customFormat="1" ht="24.9" customHeight="1">
      <c r="B563" s="112">
        <v>2.4</v>
      </c>
      <c r="C563" s="112" t="s">
        <v>146</v>
      </c>
      <c r="D563" s="69"/>
      <c r="E563" s="69"/>
      <c r="F563" s="69"/>
      <c r="G563" s="69"/>
      <c r="H563" s="109"/>
      <c r="I563" s="109"/>
      <c r="J563" s="70"/>
      <c r="K563" s="70"/>
      <c r="L563" s="191"/>
      <c r="M563" s="191"/>
      <c r="N563" s="71"/>
      <c r="O563" s="71"/>
      <c r="P563" s="170" t="s">
        <v>260</v>
      </c>
      <c r="Q563" s="171"/>
      <c r="R563" s="158"/>
      <c r="S563" s="151"/>
      <c r="T563" s="151"/>
      <c r="U563" s="159"/>
      <c r="V563" s="159"/>
      <c r="W563" s="151"/>
      <c r="X563" s="151"/>
      <c r="Z563" s="218"/>
      <c r="AA563" s="253"/>
      <c r="AB563" s="288"/>
      <c r="AC563" s="289"/>
      <c r="AD563" s="289"/>
      <c r="AE563" s="70"/>
      <c r="AF563" s="191"/>
      <c r="AI563" s="240">
        <f t="shared" si="99"/>
        <v>0</v>
      </c>
    </row>
    <row r="564" spans="2:35" s="28" customFormat="1" ht="24.9" customHeight="1">
      <c r="B564" s="112" t="s">
        <v>139</v>
      </c>
      <c r="C564" s="112" t="s">
        <v>147</v>
      </c>
      <c r="D564" s="69"/>
      <c r="E564" s="69"/>
      <c r="F564" s="69"/>
      <c r="G564" s="69"/>
      <c r="H564" s="109"/>
      <c r="I564" s="109"/>
      <c r="J564" s="70"/>
      <c r="K564" s="70"/>
      <c r="L564" s="191"/>
      <c r="M564" s="191"/>
      <c r="N564" s="71"/>
      <c r="O564" s="71"/>
      <c r="P564" s="170" t="s">
        <v>260</v>
      </c>
      <c r="Q564" s="171"/>
      <c r="R564" s="158"/>
      <c r="S564" s="151"/>
      <c r="T564" s="151"/>
      <c r="U564" s="159"/>
      <c r="V564" s="159"/>
      <c r="W564" s="151"/>
      <c r="X564" s="151"/>
      <c r="Z564" s="218"/>
      <c r="AA564" s="253"/>
      <c r="AB564" s="288"/>
      <c r="AC564" s="289"/>
      <c r="AD564" s="289"/>
      <c r="AE564" s="70"/>
      <c r="AF564" s="191"/>
      <c r="AI564" s="240">
        <f t="shared" si="99"/>
        <v>0</v>
      </c>
    </row>
    <row r="565" spans="2:35" s="28" customFormat="1" ht="24.9" customHeight="1">
      <c r="B565" s="30"/>
      <c r="C565" s="68"/>
      <c r="D565" s="69"/>
      <c r="E565" s="69"/>
      <c r="F565" s="69"/>
      <c r="G565" s="69"/>
      <c r="H565" s="109"/>
      <c r="I565" s="109"/>
      <c r="J565" s="70"/>
      <c r="K565" s="70"/>
      <c r="L565" s="191"/>
      <c r="M565" s="191"/>
      <c r="N565" s="71"/>
      <c r="O565" s="71"/>
      <c r="P565" s="170" t="s">
        <v>260</v>
      </c>
      <c r="Q565" s="171"/>
      <c r="R565" s="158"/>
      <c r="S565" s="151"/>
      <c r="T565" s="151"/>
      <c r="U565" s="159"/>
      <c r="V565" s="159"/>
      <c r="W565" s="151"/>
      <c r="X565" s="151"/>
      <c r="Z565" s="218"/>
      <c r="AA565" s="253"/>
      <c r="AB565" s="288"/>
      <c r="AC565" s="289"/>
      <c r="AD565" s="289"/>
      <c r="AE565" s="70"/>
      <c r="AF565" s="191"/>
      <c r="AI565" s="240">
        <f t="shared" si="99"/>
        <v>0</v>
      </c>
    </row>
    <row r="566" spans="2:35" s="28" customFormat="1" ht="35.25" customHeight="1">
      <c r="B566" s="30"/>
      <c r="C566" s="315" t="s">
        <v>40</v>
      </c>
      <c r="D566" s="316" t="s">
        <v>39</v>
      </c>
      <c r="E566" s="317"/>
      <c r="F566" s="317"/>
      <c r="G566" s="317"/>
      <c r="H566" s="318"/>
      <c r="I566" s="319" t="s">
        <v>41</v>
      </c>
      <c r="J566" s="320" t="s">
        <v>69</v>
      </c>
      <c r="K566" s="320"/>
      <c r="L566" s="307" t="s">
        <v>38</v>
      </c>
      <c r="M566" s="308"/>
      <c r="N566" s="311" t="s">
        <v>13</v>
      </c>
      <c r="O566" s="311"/>
      <c r="P566" s="170" t="s">
        <v>39</v>
      </c>
      <c r="Q566" s="166"/>
      <c r="R566" s="158"/>
      <c r="S566" s="151"/>
      <c r="T566" s="151"/>
      <c r="U566" s="159"/>
      <c r="V566" s="159"/>
      <c r="W566" s="151"/>
      <c r="X566" s="151"/>
      <c r="Z566" s="218"/>
      <c r="AA566" s="253"/>
      <c r="AB566" s="288"/>
      <c r="AC566" s="289"/>
      <c r="AD566" s="289"/>
      <c r="AE566" s="307"/>
      <c r="AF566" s="308"/>
      <c r="AI566" s="240">
        <f t="shared" si="99"/>
        <v>0</v>
      </c>
    </row>
    <row r="567" spans="2:35" s="28" customFormat="1" ht="35.25" customHeight="1">
      <c r="B567" s="30"/>
      <c r="C567" s="301"/>
      <c r="D567" s="117" t="s">
        <v>15</v>
      </c>
      <c r="E567" s="117" t="s">
        <v>16</v>
      </c>
      <c r="F567" s="117" t="s">
        <v>16</v>
      </c>
      <c r="G567" s="117" t="s">
        <v>16</v>
      </c>
      <c r="H567" s="117" t="s">
        <v>16</v>
      </c>
      <c r="I567" s="301"/>
      <c r="J567" s="117" t="s">
        <v>35</v>
      </c>
      <c r="K567" s="117" t="s">
        <v>36</v>
      </c>
      <c r="L567" s="190" t="s">
        <v>35</v>
      </c>
      <c r="M567" s="190" t="s">
        <v>36</v>
      </c>
      <c r="N567" s="117" t="s">
        <v>35</v>
      </c>
      <c r="O567" s="117" t="s">
        <v>36</v>
      </c>
      <c r="P567" s="170" t="s">
        <v>250</v>
      </c>
      <c r="Q567" s="166"/>
      <c r="R567" s="158"/>
      <c r="S567" s="151"/>
      <c r="T567" s="151"/>
      <c r="U567" s="159"/>
      <c r="V567" s="159"/>
      <c r="W567" s="151"/>
      <c r="X567" s="151"/>
      <c r="Z567" s="218"/>
      <c r="AA567" s="253"/>
      <c r="AB567" s="288"/>
      <c r="AC567" s="289"/>
      <c r="AD567" s="289"/>
      <c r="AE567" s="293"/>
      <c r="AF567" s="190"/>
      <c r="AI567" s="240" t="str">
        <f t="shared" si="99"/>
        <v>20FT</v>
      </c>
    </row>
    <row r="568" spans="2:35" s="28" customFormat="1" ht="61.5" customHeight="1">
      <c r="B568" s="30"/>
      <c r="C568" s="321" t="s">
        <v>145</v>
      </c>
      <c r="D568" s="79" t="s">
        <v>161</v>
      </c>
      <c r="E568" s="79" t="s">
        <v>82</v>
      </c>
      <c r="F568" s="79"/>
      <c r="G568" s="79"/>
      <c r="H568" s="79" t="s">
        <v>161</v>
      </c>
      <c r="I568" s="79">
        <v>130</v>
      </c>
      <c r="J568" s="80">
        <v>1220000</v>
      </c>
      <c r="K568" s="80">
        <v>1220000</v>
      </c>
      <c r="L568" s="189">
        <v>1070615</v>
      </c>
      <c r="M568" s="189">
        <v>1070615</v>
      </c>
      <c r="N568" s="66">
        <f>+J568+L568</f>
        <v>2290615</v>
      </c>
      <c r="O568" s="66">
        <f>+K568+M568</f>
        <v>2290615</v>
      </c>
      <c r="P568" s="170" t="s">
        <v>370</v>
      </c>
      <c r="Q568" s="171">
        <v>1220000</v>
      </c>
      <c r="R568" s="171">
        <v>1220000</v>
      </c>
      <c r="S568" s="171">
        <v>834015</v>
      </c>
      <c r="T568" s="171">
        <v>834015</v>
      </c>
      <c r="U568" s="157">
        <f t="shared" ref="U568" si="100">J568-Q568</f>
        <v>0</v>
      </c>
      <c r="V568" s="157">
        <f t="shared" ref="V568" si="101">K568-R568</f>
        <v>0</v>
      </c>
      <c r="W568" s="157">
        <f t="shared" ref="W568" si="102">L568-S568</f>
        <v>236600</v>
      </c>
      <c r="X568" s="157">
        <f t="shared" ref="X568" si="103">M568-T568</f>
        <v>236600</v>
      </c>
      <c r="Z568" s="218"/>
      <c r="AA568" s="253"/>
      <c r="AB568" s="288"/>
      <c r="AC568" s="289"/>
      <c r="AD568" s="289"/>
      <c r="AE568" s="291"/>
      <c r="AF568" s="189"/>
      <c r="AI568" s="240">
        <f t="shared" si="99"/>
        <v>2290615</v>
      </c>
    </row>
    <row r="569" spans="2:35" s="28" customFormat="1" ht="61.5" customHeight="1">
      <c r="B569" s="30"/>
      <c r="C569" s="322"/>
      <c r="D569" s="79" t="s">
        <v>161</v>
      </c>
      <c r="E569" s="79" t="s">
        <v>81</v>
      </c>
      <c r="F569" s="79"/>
      <c r="G569" s="79"/>
      <c r="H569" s="79" t="s">
        <v>161</v>
      </c>
      <c r="I569" s="79">
        <v>40</v>
      </c>
      <c r="J569" s="80">
        <v>940000</v>
      </c>
      <c r="K569" s="80">
        <v>940000</v>
      </c>
      <c r="L569" s="189">
        <v>329420</v>
      </c>
      <c r="M569" s="189">
        <v>329420</v>
      </c>
      <c r="N569" s="66">
        <f t="shared" ref="N569" si="104">+J569+L569</f>
        <v>1269420</v>
      </c>
      <c r="O569" s="66">
        <f t="shared" ref="O569" si="105">+K569+M569</f>
        <v>1269420</v>
      </c>
      <c r="P569" s="170" t="s">
        <v>371</v>
      </c>
      <c r="Q569" s="171">
        <v>940000</v>
      </c>
      <c r="R569" s="171">
        <v>940000</v>
      </c>
      <c r="S569" s="171">
        <v>256620</v>
      </c>
      <c r="T569" s="171">
        <v>256620</v>
      </c>
      <c r="U569" s="157">
        <f t="shared" ref="U569:U596" si="106">J569-Q569</f>
        <v>0</v>
      </c>
      <c r="V569" s="157">
        <f t="shared" ref="V569:V596" si="107">K569-R569</f>
        <v>0</v>
      </c>
      <c r="W569" s="157">
        <f t="shared" ref="W569:W596" si="108">L569-S569</f>
        <v>72800</v>
      </c>
      <c r="X569" s="157">
        <f t="shared" ref="X569:X596" si="109">M569-T569</f>
        <v>72800</v>
      </c>
      <c r="Z569" s="218"/>
      <c r="AA569" s="253"/>
      <c r="AB569" s="288"/>
      <c r="AC569" s="289"/>
      <c r="AD569" s="289"/>
      <c r="AE569" s="291"/>
      <c r="AF569" s="189"/>
      <c r="AI569" s="240">
        <f t="shared" si="99"/>
        <v>1269420</v>
      </c>
    </row>
    <row r="570" spans="2:35" s="28" customFormat="1" ht="61.5" customHeight="1">
      <c r="B570" s="30"/>
      <c r="C570" s="322"/>
      <c r="D570" s="79" t="s">
        <v>161</v>
      </c>
      <c r="E570" s="79" t="s">
        <v>83</v>
      </c>
      <c r="F570" s="79"/>
      <c r="G570" s="79"/>
      <c r="H570" s="79" t="s">
        <v>161</v>
      </c>
      <c r="I570" s="79">
        <v>60</v>
      </c>
      <c r="J570" s="80">
        <v>940000</v>
      </c>
      <c r="K570" s="80">
        <v>940000</v>
      </c>
      <c r="L570" s="189">
        <v>494130</v>
      </c>
      <c r="M570" s="189">
        <v>494130</v>
      </c>
      <c r="N570" s="66">
        <f t="shared" ref="N570:N580" si="110">+J570+L570</f>
        <v>1434130</v>
      </c>
      <c r="O570" s="66">
        <f t="shared" ref="O570:O580" si="111">+K570+M570</f>
        <v>1434130</v>
      </c>
      <c r="P570" s="170" t="s">
        <v>372</v>
      </c>
      <c r="Q570" s="171">
        <v>940000</v>
      </c>
      <c r="R570" s="171">
        <v>940000</v>
      </c>
      <c r="S570" s="171">
        <v>384930</v>
      </c>
      <c r="T570" s="171">
        <v>384930</v>
      </c>
      <c r="U570" s="157">
        <f t="shared" si="106"/>
        <v>0</v>
      </c>
      <c r="V570" s="157">
        <f t="shared" si="107"/>
        <v>0</v>
      </c>
      <c r="W570" s="157">
        <f t="shared" si="108"/>
        <v>109200</v>
      </c>
      <c r="X570" s="157">
        <f t="shared" si="109"/>
        <v>109200</v>
      </c>
      <c r="Z570" s="218"/>
      <c r="AA570" s="253"/>
      <c r="AB570" s="288"/>
      <c r="AC570" s="289"/>
      <c r="AD570" s="289"/>
      <c r="AE570" s="291"/>
      <c r="AF570" s="189"/>
      <c r="AI570" s="240">
        <f t="shared" si="99"/>
        <v>1434130</v>
      </c>
    </row>
    <row r="571" spans="2:35" s="28" customFormat="1" ht="61.5" customHeight="1">
      <c r="B571" s="30"/>
      <c r="C571" s="322"/>
      <c r="D571" s="79" t="s">
        <v>161</v>
      </c>
      <c r="E571" s="79" t="s">
        <v>82</v>
      </c>
      <c r="F571" s="79" t="s">
        <v>81</v>
      </c>
      <c r="G571" s="79"/>
      <c r="H571" s="79" t="s">
        <v>161</v>
      </c>
      <c r="I571" s="79">
        <v>140</v>
      </c>
      <c r="J571" s="80">
        <v>1550000</v>
      </c>
      <c r="K571" s="80">
        <v>1550000</v>
      </c>
      <c r="L571" s="189">
        <v>1152970</v>
      </c>
      <c r="M571" s="189">
        <v>1152970</v>
      </c>
      <c r="N571" s="66">
        <f t="shared" si="110"/>
        <v>2702970</v>
      </c>
      <c r="O571" s="66">
        <f t="shared" si="111"/>
        <v>2702970</v>
      </c>
      <c r="P571" s="170" t="s">
        <v>373</v>
      </c>
      <c r="Q571" s="171">
        <v>1550000</v>
      </c>
      <c r="R571" s="171">
        <v>1550000</v>
      </c>
      <c r="S571" s="171">
        <v>898170</v>
      </c>
      <c r="T571" s="171">
        <v>898170</v>
      </c>
      <c r="U571" s="157">
        <f t="shared" si="106"/>
        <v>0</v>
      </c>
      <c r="V571" s="157">
        <f t="shared" si="107"/>
        <v>0</v>
      </c>
      <c r="W571" s="157">
        <f t="shared" si="108"/>
        <v>254800</v>
      </c>
      <c r="X571" s="157">
        <f t="shared" si="109"/>
        <v>254800</v>
      </c>
      <c r="Z571" s="218"/>
      <c r="AA571" s="253"/>
      <c r="AB571" s="288"/>
      <c r="AC571" s="289"/>
      <c r="AD571" s="289"/>
      <c r="AE571" s="291"/>
      <c r="AF571" s="189"/>
      <c r="AI571" s="240">
        <f t="shared" si="99"/>
        <v>2702970</v>
      </c>
    </row>
    <row r="572" spans="2:35" s="28" customFormat="1" ht="61.5" customHeight="1">
      <c r="B572" s="30"/>
      <c r="C572" s="322"/>
      <c r="D572" s="79" t="s">
        <v>161</v>
      </c>
      <c r="E572" s="79" t="s">
        <v>82</v>
      </c>
      <c r="F572" s="79" t="s">
        <v>83</v>
      </c>
      <c r="G572" s="79"/>
      <c r="H572" s="79" t="s">
        <v>161</v>
      </c>
      <c r="I572" s="79">
        <v>150</v>
      </c>
      <c r="J572" s="80">
        <v>1650000</v>
      </c>
      <c r="K572" s="80">
        <v>1650000</v>
      </c>
      <c r="L572" s="189">
        <v>1235325</v>
      </c>
      <c r="M572" s="189">
        <v>1235325</v>
      </c>
      <c r="N572" s="66">
        <f t="shared" si="110"/>
        <v>2885325</v>
      </c>
      <c r="O572" s="66">
        <f t="shared" si="111"/>
        <v>2885325</v>
      </c>
      <c r="P572" s="170" t="s">
        <v>374</v>
      </c>
      <c r="Q572" s="171">
        <v>1650000</v>
      </c>
      <c r="R572" s="171">
        <v>1650000</v>
      </c>
      <c r="S572" s="171">
        <v>962325</v>
      </c>
      <c r="T572" s="171">
        <v>962325</v>
      </c>
      <c r="U572" s="157">
        <f t="shared" si="106"/>
        <v>0</v>
      </c>
      <c r="V572" s="157">
        <f t="shared" si="107"/>
        <v>0</v>
      </c>
      <c r="W572" s="157">
        <f t="shared" si="108"/>
        <v>273000</v>
      </c>
      <c r="X572" s="157">
        <f t="shared" si="109"/>
        <v>273000</v>
      </c>
      <c r="Z572" s="218"/>
      <c r="AA572" s="253"/>
      <c r="AB572" s="288"/>
      <c r="AC572" s="289"/>
      <c r="AD572" s="289"/>
      <c r="AE572" s="291"/>
      <c r="AF572" s="189"/>
      <c r="AI572" s="240">
        <f t="shared" si="99"/>
        <v>2885325</v>
      </c>
    </row>
    <row r="573" spans="2:35" s="28" customFormat="1" ht="61.5" customHeight="1">
      <c r="B573" s="30"/>
      <c r="C573" s="322"/>
      <c r="D573" s="79" t="s">
        <v>161</v>
      </c>
      <c r="E573" s="79" t="s">
        <v>81</v>
      </c>
      <c r="F573" s="79" t="s">
        <v>83</v>
      </c>
      <c r="G573" s="79"/>
      <c r="H573" s="79" t="s">
        <v>161</v>
      </c>
      <c r="I573" s="79">
        <v>70</v>
      </c>
      <c r="J573" s="80">
        <v>1150000</v>
      </c>
      <c r="K573" s="80">
        <v>1150000</v>
      </c>
      <c r="L573" s="189">
        <v>576485</v>
      </c>
      <c r="M573" s="189">
        <v>576485</v>
      </c>
      <c r="N573" s="66">
        <f t="shared" si="110"/>
        <v>1726485</v>
      </c>
      <c r="O573" s="66">
        <f t="shared" si="111"/>
        <v>1726485</v>
      </c>
      <c r="P573" s="170" t="s">
        <v>375</v>
      </c>
      <c r="Q573" s="171">
        <v>1150000</v>
      </c>
      <c r="R573" s="171">
        <v>1150000</v>
      </c>
      <c r="S573" s="171">
        <v>449085</v>
      </c>
      <c r="T573" s="171">
        <v>449085</v>
      </c>
      <c r="U573" s="157">
        <f t="shared" si="106"/>
        <v>0</v>
      </c>
      <c r="V573" s="157">
        <f t="shared" si="107"/>
        <v>0</v>
      </c>
      <c r="W573" s="157">
        <f t="shared" si="108"/>
        <v>127400</v>
      </c>
      <c r="X573" s="157">
        <f t="shared" si="109"/>
        <v>127400</v>
      </c>
      <c r="Z573" s="218"/>
      <c r="AA573" s="253"/>
      <c r="AB573" s="288"/>
      <c r="AC573" s="289"/>
      <c r="AD573" s="289"/>
      <c r="AE573" s="291"/>
      <c r="AF573" s="189"/>
      <c r="AI573" s="240">
        <f t="shared" si="99"/>
        <v>1726485</v>
      </c>
    </row>
    <row r="574" spans="2:35" s="28" customFormat="1" ht="61.5" customHeight="1">
      <c r="B574" s="30"/>
      <c r="C574" s="322"/>
      <c r="D574" s="79" t="s">
        <v>161</v>
      </c>
      <c r="E574" s="79" t="s">
        <v>82</v>
      </c>
      <c r="F574" s="79" t="s">
        <v>81</v>
      </c>
      <c r="G574" s="79" t="s">
        <v>83</v>
      </c>
      <c r="H574" s="79" t="s">
        <v>161</v>
      </c>
      <c r="I574" s="79">
        <v>170</v>
      </c>
      <c r="J574" s="80">
        <v>1610000</v>
      </c>
      <c r="K574" s="80">
        <v>1610000</v>
      </c>
      <c r="L574" s="189">
        <v>1400035</v>
      </c>
      <c r="M574" s="189">
        <v>1400035</v>
      </c>
      <c r="N574" s="66">
        <f t="shared" si="110"/>
        <v>3010035</v>
      </c>
      <c r="O574" s="66">
        <f t="shared" si="111"/>
        <v>3010035</v>
      </c>
      <c r="P574" s="170" t="s">
        <v>376</v>
      </c>
      <c r="Q574" s="171">
        <v>1610000</v>
      </c>
      <c r="R574" s="171">
        <v>1610000</v>
      </c>
      <c r="S574" s="171">
        <v>1090635</v>
      </c>
      <c r="T574" s="171">
        <v>1090635</v>
      </c>
      <c r="U574" s="157">
        <f t="shared" si="106"/>
        <v>0</v>
      </c>
      <c r="V574" s="157">
        <f t="shared" si="107"/>
        <v>0</v>
      </c>
      <c r="W574" s="157">
        <f t="shared" si="108"/>
        <v>309400</v>
      </c>
      <c r="X574" s="157">
        <f t="shared" si="109"/>
        <v>309400</v>
      </c>
      <c r="Z574" s="218"/>
      <c r="AA574" s="253"/>
      <c r="AB574" s="288"/>
      <c r="AC574" s="289"/>
      <c r="AD574" s="289"/>
      <c r="AE574" s="291"/>
      <c r="AF574" s="189"/>
      <c r="AI574" s="240">
        <f t="shared" si="99"/>
        <v>3010035</v>
      </c>
    </row>
    <row r="575" spans="2:35" s="28" customFormat="1" ht="61.5" customHeight="1">
      <c r="B575" s="30"/>
      <c r="C575" s="322"/>
      <c r="D575" s="79" t="s">
        <v>161</v>
      </c>
      <c r="E575" s="79" t="s">
        <v>84</v>
      </c>
      <c r="F575" s="79" t="s">
        <v>81</v>
      </c>
      <c r="G575" s="79"/>
      <c r="H575" s="79" t="s">
        <v>161</v>
      </c>
      <c r="I575" s="79">
        <v>100</v>
      </c>
      <c r="J575" s="80">
        <v>2000000</v>
      </c>
      <c r="K575" s="80">
        <v>2000000</v>
      </c>
      <c r="L575" s="189">
        <v>823550</v>
      </c>
      <c r="M575" s="189">
        <v>823550</v>
      </c>
      <c r="N575" s="66">
        <f t="shared" si="110"/>
        <v>2823550</v>
      </c>
      <c r="O575" s="66">
        <f t="shared" si="111"/>
        <v>2823550</v>
      </c>
      <c r="P575" s="170" t="s">
        <v>377</v>
      </c>
      <c r="Q575" s="171">
        <v>2000000</v>
      </c>
      <c r="R575" s="171">
        <v>2000000</v>
      </c>
      <c r="S575" s="171">
        <v>641550</v>
      </c>
      <c r="T575" s="171">
        <v>641550</v>
      </c>
      <c r="U575" s="157">
        <f t="shared" si="106"/>
        <v>0</v>
      </c>
      <c r="V575" s="157">
        <f t="shared" si="107"/>
        <v>0</v>
      </c>
      <c r="W575" s="157">
        <f t="shared" si="108"/>
        <v>182000</v>
      </c>
      <c r="X575" s="157">
        <f t="shared" si="109"/>
        <v>182000</v>
      </c>
      <c r="Z575" s="218"/>
      <c r="AA575" s="253"/>
      <c r="AB575" s="288"/>
      <c r="AC575" s="289"/>
      <c r="AD575" s="289"/>
      <c r="AE575" s="291"/>
      <c r="AF575" s="189"/>
      <c r="AI575" s="240">
        <f t="shared" si="99"/>
        <v>2823550</v>
      </c>
    </row>
    <row r="576" spans="2:35" s="28" customFormat="1" ht="61.5" customHeight="1">
      <c r="B576" s="30"/>
      <c r="C576" s="322"/>
      <c r="D576" s="79" t="s">
        <v>161</v>
      </c>
      <c r="E576" s="79" t="s">
        <v>85</v>
      </c>
      <c r="F576" s="79" t="s">
        <v>81</v>
      </c>
      <c r="G576" s="79"/>
      <c r="H576" s="79" t="s">
        <v>161</v>
      </c>
      <c r="I576" s="79">
        <v>60</v>
      </c>
      <c r="J576" s="80">
        <v>1160000</v>
      </c>
      <c r="K576" s="80">
        <v>1160000</v>
      </c>
      <c r="L576" s="189">
        <v>494130</v>
      </c>
      <c r="M576" s="189">
        <v>494130</v>
      </c>
      <c r="N576" s="66">
        <f t="shared" si="110"/>
        <v>1654130</v>
      </c>
      <c r="O576" s="66">
        <f t="shared" si="111"/>
        <v>1654130</v>
      </c>
      <c r="P576" s="170" t="s">
        <v>378</v>
      </c>
      <c r="Q576" s="171">
        <v>1160000</v>
      </c>
      <c r="R576" s="171">
        <v>1160000</v>
      </c>
      <c r="S576" s="171">
        <v>384930</v>
      </c>
      <c r="T576" s="171">
        <v>384930</v>
      </c>
      <c r="U576" s="157">
        <f t="shared" si="106"/>
        <v>0</v>
      </c>
      <c r="V576" s="157">
        <f t="shared" si="107"/>
        <v>0</v>
      </c>
      <c r="W576" s="157">
        <f t="shared" si="108"/>
        <v>109200</v>
      </c>
      <c r="X576" s="157">
        <f t="shared" si="109"/>
        <v>109200</v>
      </c>
      <c r="Z576" s="218"/>
      <c r="AA576" s="253"/>
      <c r="AB576" s="288"/>
      <c r="AC576" s="289"/>
      <c r="AD576" s="289"/>
      <c r="AE576" s="291"/>
      <c r="AF576" s="189"/>
      <c r="AI576" s="240">
        <f t="shared" si="99"/>
        <v>1654130</v>
      </c>
    </row>
    <row r="577" spans="2:35" s="28" customFormat="1" ht="61.5" customHeight="1">
      <c r="B577" s="30"/>
      <c r="C577" s="322"/>
      <c r="D577" s="79" t="s">
        <v>161</v>
      </c>
      <c r="E577" s="79" t="s">
        <v>85</v>
      </c>
      <c r="F577" s="79" t="s">
        <v>83</v>
      </c>
      <c r="G577" s="79"/>
      <c r="H577" s="79" t="s">
        <v>161</v>
      </c>
      <c r="I577" s="79">
        <v>80</v>
      </c>
      <c r="J577" s="80">
        <v>1130000</v>
      </c>
      <c r="K577" s="80">
        <v>1130000</v>
      </c>
      <c r="L577" s="189">
        <v>658840</v>
      </c>
      <c r="M577" s="189">
        <v>658840</v>
      </c>
      <c r="N577" s="66">
        <f t="shared" si="110"/>
        <v>1788840</v>
      </c>
      <c r="O577" s="66">
        <f t="shared" si="111"/>
        <v>1788840</v>
      </c>
      <c r="P577" s="170" t="s">
        <v>379</v>
      </c>
      <c r="Q577" s="171">
        <v>1130000</v>
      </c>
      <c r="R577" s="171">
        <v>1130000</v>
      </c>
      <c r="S577" s="171">
        <v>513240</v>
      </c>
      <c r="T577" s="171">
        <v>513240</v>
      </c>
      <c r="U577" s="157">
        <f t="shared" si="106"/>
        <v>0</v>
      </c>
      <c r="V577" s="157">
        <f t="shared" si="107"/>
        <v>0</v>
      </c>
      <c r="W577" s="157">
        <f t="shared" si="108"/>
        <v>145600</v>
      </c>
      <c r="X577" s="157">
        <f t="shared" si="109"/>
        <v>145600</v>
      </c>
      <c r="Z577" s="218"/>
      <c r="AA577" s="253"/>
      <c r="AB577" s="288"/>
      <c r="AC577" s="289"/>
      <c r="AD577" s="289"/>
      <c r="AE577" s="291"/>
      <c r="AF577" s="189"/>
      <c r="AI577" s="240">
        <f t="shared" si="99"/>
        <v>1788840</v>
      </c>
    </row>
    <row r="578" spans="2:35" s="28" customFormat="1" ht="61.5" customHeight="1">
      <c r="B578" s="30"/>
      <c r="C578" s="323"/>
      <c r="D578" s="79" t="s">
        <v>161</v>
      </c>
      <c r="E578" s="79" t="s">
        <v>85</v>
      </c>
      <c r="F578" s="79" t="s">
        <v>81</v>
      </c>
      <c r="G578" s="79" t="s">
        <v>83</v>
      </c>
      <c r="H578" s="79" t="s">
        <v>161</v>
      </c>
      <c r="I578" s="79">
        <v>85</v>
      </c>
      <c r="J578" s="80">
        <v>1700000</v>
      </c>
      <c r="K578" s="80">
        <v>1700000</v>
      </c>
      <c r="L578" s="189">
        <v>700018</v>
      </c>
      <c r="M578" s="189">
        <v>700018</v>
      </c>
      <c r="N578" s="66">
        <f t="shared" si="110"/>
        <v>2400018</v>
      </c>
      <c r="O578" s="66">
        <f t="shared" si="111"/>
        <v>2400018</v>
      </c>
      <c r="P578" s="170" t="s">
        <v>380</v>
      </c>
      <c r="Q578" s="171">
        <v>1700000</v>
      </c>
      <c r="R578" s="171">
        <v>1700000</v>
      </c>
      <c r="S578" s="171">
        <v>545318</v>
      </c>
      <c r="T578" s="171">
        <v>545318</v>
      </c>
      <c r="U578" s="157">
        <f t="shared" si="106"/>
        <v>0</v>
      </c>
      <c r="V578" s="157">
        <f t="shared" si="107"/>
        <v>0</v>
      </c>
      <c r="W578" s="157">
        <f t="shared" si="108"/>
        <v>154700</v>
      </c>
      <c r="X578" s="157">
        <f t="shared" si="109"/>
        <v>154700</v>
      </c>
      <c r="Z578" s="218"/>
      <c r="AA578" s="253"/>
      <c r="AB578" s="288"/>
      <c r="AC578" s="289"/>
      <c r="AD578" s="289"/>
      <c r="AE578" s="291"/>
      <c r="AF578" s="189"/>
      <c r="AI578" s="240">
        <f t="shared" si="99"/>
        <v>2400018</v>
      </c>
    </row>
    <row r="579" spans="2:35" s="28" customFormat="1" ht="61.5" customHeight="1">
      <c r="B579" s="30"/>
      <c r="C579" s="312" t="s">
        <v>56</v>
      </c>
      <c r="D579" s="115" t="s">
        <v>161</v>
      </c>
      <c r="E579" s="115" t="s">
        <v>163</v>
      </c>
      <c r="F579" s="115"/>
      <c r="G579" s="115"/>
      <c r="H579" s="115"/>
      <c r="I579" s="115">
        <v>65</v>
      </c>
      <c r="J579" s="116">
        <v>1050000</v>
      </c>
      <c r="K579" s="116">
        <v>1050000</v>
      </c>
      <c r="L579" s="189">
        <v>611780</v>
      </c>
      <c r="M579" s="189">
        <v>611780</v>
      </c>
      <c r="N579" s="66">
        <f t="shared" si="110"/>
        <v>1661780</v>
      </c>
      <c r="O579" s="66">
        <f t="shared" si="111"/>
        <v>1661780</v>
      </c>
      <c r="P579" s="170" t="s">
        <v>226</v>
      </c>
      <c r="Q579" s="171">
        <v>1050000</v>
      </c>
      <c r="R579" s="171">
        <v>1050000</v>
      </c>
      <c r="S579" s="171">
        <v>476580</v>
      </c>
      <c r="T579" s="171">
        <v>476580</v>
      </c>
      <c r="U579" s="157">
        <f t="shared" si="106"/>
        <v>0</v>
      </c>
      <c r="V579" s="157">
        <f t="shared" si="107"/>
        <v>0</v>
      </c>
      <c r="W579" s="157">
        <f t="shared" si="108"/>
        <v>135200</v>
      </c>
      <c r="X579" s="157">
        <f t="shared" si="109"/>
        <v>135200</v>
      </c>
      <c r="Z579" s="218"/>
      <c r="AA579" s="253"/>
      <c r="AB579" s="288"/>
      <c r="AC579" s="289"/>
      <c r="AD579" s="289"/>
      <c r="AE579" s="291"/>
      <c r="AF579" s="189"/>
      <c r="AI579" s="240">
        <f t="shared" si="99"/>
        <v>1661780</v>
      </c>
    </row>
    <row r="580" spans="2:35" s="28" customFormat="1" ht="61.5" customHeight="1">
      <c r="B580" s="30"/>
      <c r="C580" s="313"/>
      <c r="D580" s="115" t="s">
        <v>163</v>
      </c>
      <c r="E580" s="115" t="s">
        <v>82</v>
      </c>
      <c r="F580" s="115"/>
      <c r="G580" s="115"/>
      <c r="H580" s="115" t="s">
        <v>161</v>
      </c>
      <c r="I580" s="115">
        <v>65</v>
      </c>
      <c r="J580" s="116">
        <v>1050000</v>
      </c>
      <c r="K580" s="116">
        <v>1050000</v>
      </c>
      <c r="L580" s="189">
        <v>611780</v>
      </c>
      <c r="M580" s="189">
        <v>611780</v>
      </c>
      <c r="N580" s="66">
        <f t="shared" si="110"/>
        <v>1661780</v>
      </c>
      <c r="O580" s="66">
        <f t="shared" si="111"/>
        <v>1661780</v>
      </c>
      <c r="P580" s="170" t="s">
        <v>381</v>
      </c>
      <c r="Q580" s="171">
        <v>1050000</v>
      </c>
      <c r="R580" s="171">
        <v>1050000</v>
      </c>
      <c r="S580" s="171">
        <v>476580</v>
      </c>
      <c r="T580" s="171">
        <v>476580</v>
      </c>
      <c r="U580" s="157">
        <f t="shared" si="106"/>
        <v>0</v>
      </c>
      <c r="V580" s="157">
        <f t="shared" si="107"/>
        <v>0</v>
      </c>
      <c r="W580" s="157">
        <f t="shared" si="108"/>
        <v>135200</v>
      </c>
      <c r="X580" s="157">
        <f t="shared" si="109"/>
        <v>135200</v>
      </c>
      <c r="Z580" s="218"/>
      <c r="AA580" s="253"/>
      <c r="AB580" s="288"/>
      <c r="AC580" s="289"/>
      <c r="AD580" s="289"/>
      <c r="AE580" s="291"/>
      <c r="AF580" s="189"/>
      <c r="AI580" s="240">
        <f t="shared" si="99"/>
        <v>1661780</v>
      </c>
    </row>
    <row r="581" spans="2:35" s="28" customFormat="1" ht="61.5" customHeight="1">
      <c r="B581" s="30"/>
      <c r="C581" s="313"/>
      <c r="D581" s="81" t="s">
        <v>161</v>
      </c>
      <c r="E581" s="81" t="s">
        <v>163</v>
      </c>
      <c r="F581" s="81"/>
      <c r="G581" s="81"/>
      <c r="H581" s="81"/>
      <c r="I581" s="79">
        <v>65</v>
      </c>
      <c r="J581" s="82">
        <v>1050000</v>
      </c>
      <c r="K581" s="82">
        <v>1050000</v>
      </c>
      <c r="L581" s="189">
        <v>611780</v>
      </c>
      <c r="M581" s="189">
        <v>611780</v>
      </c>
      <c r="N581" s="66">
        <f t="shared" ref="N581:N596" si="112">+J581+L581</f>
        <v>1661780</v>
      </c>
      <c r="O581" s="66">
        <f t="shared" ref="O581:O596" si="113">+K581+M581</f>
        <v>1661780</v>
      </c>
      <c r="P581" s="170" t="s">
        <v>226</v>
      </c>
      <c r="Q581" s="171">
        <v>1050000</v>
      </c>
      <c r="R581" s="171">
        <v>1050000</v>
      </c>
      <c r="S581" s="171">
        <v>476580</v>
      </c>
      <c r="T581" s="171">
        <v>476580</v>
      </c>
      <c r="U581" s="157">
        <f t="shared" si="106"/>
        <v>0</v>
      </c>
      <c r="V581" s="157">
        <f t="shared" si="107"/>
        <v>0</v>
      </c>
      <c r="W581" s="157">
        <f t="shared" si="108"/>
        <v>135200</v>
      </c>
      <c r="X581" s="157">
        <f t="shared" si="109"/>
        <v>135200</v>
      </c>
      <c r="Z581" s="218"/>
      <c r="AA581" s="253"/>
      <c r="AB581" s="288"/>
      <c r="AC581" s="289"/>
      <c r="AD581" s="289"/>
      <c r="AE581" s="291"/>
      <c r="AF581" s="189"/>
      <c r="AI581" s="240">
        <f t="shared" si="99"/>
        <v>1661780</v>
      </c>
    </row>
    <row r="582" spans="2:35" s="28" customFormat="1" ht="61.5" customHeight="1">
      <c r="B582" s="30"/>
      <c r="C582" s="313"/>
      <c r="D582" s="81" t="s">
        <v>163</v>
      </c>
      <c r="E582" s="81" t="s">
        <v>81</v>
      </c>
      <c r="F582" s="81"/>
      <c r="G582" s="81"/>
      <c r="H582" s="81" t="s">
        <v>161</v>
      </c>
      <c r="I582" s="79">
        <v>75</v>
      </c>
      <c r="J582" s="82">
        <v>1200000</v>
      </c>
      <c r="K582" s="82">
        <v>1200000</v>
      </c>
      <c r="L582" s="189">
        <v>705900</v>
      </c>
      <c r="M582" s="189">
        <v>705900</v>
      </c>
      <c r="N582" s="66">
        <f t="shared" si="112"/>
        <v>1905900</v>
      </c>
      <c r="O582" s="66">
        <f t="shared" si="113"/>
        <v>1905900</v>
      </c>
      <c r="P582" s="170" t="s">
        <v>382</v>
      </c>
      <c r="Q582" s="171">
        <v>1200000</v>
      </c>
      <c r="R582" s="171">
        <v>1200000</v>
      </c>
      <c r="S582" s="171">
        <v>549900</v>
      </c>
      <c r="T582" s="171">
        <v>549900</v>
      </c>
      <c r="U582" s="157">
        <f t="shared" si="106"/>
        <v>0</v>
      </c>
      <c r="V582" s="157">
        <f t="shared" si="107"/>
        <v>0</v>
      </c>
      <c r="W582" s="157">
        <f t="shared" si="108"/>
        <v>156000</v>
      </c>
      <c r="X582" s="157">
        <f t="shared" si="109"/>
        <v>156000</v>
      </c>
      <c r="Z582" s="218"/>
      <c r="AA582" s="253"/>
      <c r="AB582" s="288"/>
      <c r="AC582" s="289"/>
      <c r="AD582" s="289"/>
      <c r="AE582" s="291"/>
      <c r="AF582" s="189"/>
      <c r="AI582" s="240">
        <f t="shared" si="99"/>
        <v>1905900</v>
      </c>
    </row>
    <row r="583" spans="2:35" s="28" customFormat="1" ht="61.5" customHeight="1">
      <c r="B583" s="30"/>
      <c r="C583" s="313"/>
      <c r="D583" s="81" t="s">
        <v>161</v>
      </c>
      <c r="E583" s="81" t="s">
        <v>163</v>
      </c>
      <c r="F583" s="81"/>
      <c r="G583" s="81"/>
      <c r="H583" s="81"/>
      <c r="I583" s="79">
        <v>65</v>
      </c>
      <c r="J583" s="137">
        <v>1050000</v>
      </c>
      <c r="K583" s="137">
        <v>1050000</v>
      </c>
      <c r="L583" s="189">
        <v>611780</v>
      </c>
      <c r="M583" s="189">
        <v>611780</v>
      </c>
      <c r="N583" s="66">
        <f t="shared" si="112"/>
        <v>1661780</v>
      </c>
      <c r="O583" s="66">
        <f t="shared" si="113"/>
        <v>1661780</v>
      </c>
      <c r="P583" s="170" t="s">
        <v>226</v>
      </c>
      <c r="Q583" s="171">
        <v>1050000</v>
      </c>
      <c r="R583" s="171">
        <v>1050000</v>
      </c>
      <c r="S583" s="171">
        <v>476580</v>
      </c>
      <c r="T583" s="171">
        <v>476580</v>
      </c>
      <c r="U583" s="157">
        <f t="shared" si="106"/>
        <v>0</v>
      </c>
      <c r="V583" s="157">
        <f t="shared" si="107"/>
        <v>0</v>
      </c>
      <c r="W583" s="157">
        <f t="shared" si="108"/>
        <v>135200</v>
      </c>
      <c r="X583" s="157">
        <f t="shared" si="109"/>
        <v>135200</v>
      </c>
      <c r="Z583" s="218"/>
      <c r="AA583" s="253"/>
      <c r="AB583" s="288"/>
      <c r="AC583" s="289"/>
      <c r="AD583" s="289"/>
      <c r="AE583" s="291"/>
      <c r="AF583" s="189"/>
      <c r="AI583" s="240">
        <f t="shared" si="99"/>
        <v>1661780</v>
      </c>
    </row>
    <row r="584" spans="2:35" s="28" customFormat="1" ht="61.5" customHeight="1">
      <c r="B584" s="30"/>
      <c r="C584" s="313"/>
      <c r="D584" s="81" t="s">
        <v>163</v>
      </c>
      <c r="E584" s="81" t="s">
        <v>83</v>
      </c>
      <c r="F584" s="81"/>
      <c r="G584" s="81"/>
      <c r="H584" s="81" t="s">
        <v>161</v>
      </c>
      <c r="I584" s="79">
        <v>85</v>
      </c>
      <c r="J584" s="82">
        <v>1200000</v>
      </c>
      <c r="K584" s="82">
        <v>1200000</v>
      </c>
      <c r="L584" s="189">
        <v>800020</v>
      </c>
      <c r="M584" s="189">
        <v>800020</v>
      </c>
      <c r="N584" s="66">
        <f t="shared" si="112"/>
        <v>2000020</v>
      </c>
      <c r="O584" s="66">
        <f t="shared" si="113"/>
        <v>2000020</v>
      </c>
      <c r="P584" s="170" t="s">
        <v>383</v>
      </c>
      <c r="Q584" s="171">
        <v>1200000</v>
      </c>
      <c r="R584" s="171">
        <v>1200000</v>
      </c>
      <c r="S584" s="171">
        <v>623220</v>
      </c>
      <c r="T584" s="171">
        <v>623220</v>
      </c>
      <c r="U584" s="157">
        <f t="shared" si="106"/>
        <v>0</v>
      </c>
      <c r="V584" s="157">
        <f t="shared" si="107"/>
        <v>0</v>
      </c>
      <c r="W584" s="157">
        <f t="shared" si="108"/>
        <v>176800</v>
      </c>
      <c r="X584" s="157">
        <f t="shared" si="109"/>
        <v>176800</v>
      </c>
      <c r="Z584" s="218"/>
      <c r="AA584" s="253"/>
      <c r="AB584" s="288"/>
      <c r="AC584" s="289"/>
      <c r="AD584" s="289"/>
      <c r="AE584" s="291"/>
      <c r="AF584" s="189"/>
      <c r="AI584" s="240">
        <f t="shared" si="99"/>
        <v>2000020</v>
      </c>
    </row>
    <row r="585" spans="2:35" s="28" customFormat="1" ht="61.5" customHeight="1">
      <c r="B585" s="30"/>
      <c r="C585" s="313"/>
      <c r="D585" s="81" t="s">
        <v>161</v>
      </c>
      <c r="E585" s="81" t="s">
        <v>164</v>
      </c>
      <c r="F585" s="81"/>
      <c r="G585" s="81"/>
      <c r="H585" s="81"/>
      <c r="I585" s="79">
        <v>20</v>
      </c>
      <c r="J585" s="82">
        <v>950000</v>
      </c>
      <c r="K585" s="82">
        <v>950000</v>
      </c>
      <c r="L585" s="189">
        <v>188240</v>
      </c>
      <c r="M585" s="189">
        <v>188240</v>
      </c>
      <c r="N585" s="66">
        <f t="shared" si="112"/>
        <v>1138240</v>
      </c>
      <c r="O585" s="66">
        <f t="shared" si="113"/>
        <v>1138240</v>
      </c>
      <c r="P585" s="170" t="s">
        <v>230</v>
      </c>
      <c r="Q585" s="171">
        <v>950000</v>
      </c>
      <c r="R585" s="171">
        <v>950000</v>
      </c>
      <c r="S585" s="171">
        <v>146640</v>
      </c>
      <c r="T585" s="171">
        <v>146640</v>
      </c>
      <c r="U585" s="157">
        <f t="shared" si="106"/>
        <v>0</v>
      </c>
      <c r="V585" s="157">
        <f t="shared" si="107"/>
        <v>0</v>
      </c>
      <c r="W585" s="157">
        <f t="shared" si="108"/>
        <v>41600</v>
      </c>
      <c r="X585" s="157">
        <f t="shared" si="109"/>
        <v>41600</v>
      </c>
      <c r="Z585" s="218"/>
      <c r="AA585" s="253"/>
      <c r="AB585" s="288"/>
      <c r="AC585" s="289"/>
      <c r="AD585" s="289"/>
      <c r="AE585" s="291"/>
      <c r="AF585" s="189"/>
      <c r="AI585" s="240">
        <f t="shared" si="99"/>
        <v>1138240</v>
      </c>
    </row>
    <row r="586" spans="2:35" s="28" customFormat="1" ht="61.5" customHeight="1">
      <c r="B586" s="30"/>
      <c r="C586" s="313"/>
      <c r="D586" s="81" t="s">
        <v>164</v>
      </c>
      <c r="E586" s="81" t="s">
        <v>82</v>
      </c>
      <c r="F586" s="81"/>
      <c r="G586" s="81"/>
      <c r="H586" s="81" t="s">
        <v>161</v>
      </c>
      <c r="I586" s="79">
        <v>120</v>
      </c>
      <c r="J586" s="82">
        <v>1500000</v>
      </c>
      <c r="K586" s="82">
        <v>1500000</v>
      </c>
      <c r="L586" s="189">
        <v>1129440</v>
      </c>
      <c r="M586" s="189">
        <v>1129440</v>
      </c>
      <c r="N586" s="66">
        <f t="shared" si="112"/>
        <v>2629440</v>
      </c>
      <c r="O586" s="66">
        <f t="shared" si="113"/>
        <v>2629440</v>
      </c>
      <c r="P586" s="170" t="s">
        <v>384</v>
      </c>
      <c r="Q586" s="171">
        <v>1500000</v>
      </c>
      <c r="R586" s="171">
        <v>1500000</v>
      </c>
      <c r="S586" s="171">
        <v>879840</v>
      </c>
      <c r="T586" s="171">
        <v>879840</v>
      </c>
      <c r="U586" s="157">
        <f t="shared" si="106"/>
        <v>0</v>
      </c>
      <c r="V586" s="157">
        <f t="shared" si="107"/>
        <v>0</v>
      </c>
      <c r="W586" s="157">
        <f t="shared" si="108"/>
        <v>249600</v>
      </c>
      <c r="X586" s="157">
        <f t="shared" si="109"/>
        <v>249600</v>
      </c>
      <c r="Z586" s="218"/>
      <c r="AA586" s="253"/>
      <c r="AB586" s="288"/>
      <c r="AC586" s="289"/>
      <c r="AD586" s="289"/>
      <c r="AE586" s="291"/>
      <c r="AF586" s="189"/>
      <c r="AI586" s="240">
        <f t="shared" si="99"/>
        <v>2629440</v>
      </c>
    </row>
    <row r="587" spans="2:35" s="28" customFormat="1" ht="61.5" customHeight="1">
      <c r="B587" s="30"/>
      <c r="C587" s="313"/>
      <c r="D587" s="81" t="s">
        <v>161</v>
      </c>
      <c r="E587" s="81" t="s">
        <v>164</v>
      </c>
      <c r="F587" s="81"/>
      <c r="G587" s="81"/>
      <c r="H587" s="81"/>
      <c r="I587" s="79">
        <v>20</v>
      </c>
      <c r="J587" s="82">
        <v>950000</v>
      </c>
      <c r="K587" s="82">
        <v>950000</v>
      </c>
      <c r="L587" s="189">
        <v>188240</v>
      </c>
      <c r="M587" s="189">
        <v>188240</v>
      </c>
      <c r="N587" s="66">
        <f t="shared" si="112"/>
        <v>1138240</v>
      </c>
      <c r="O587" s="66">
        <f t="shared" si="113"/>
        <v>1138240</v>
      </c>
      <c r="P587" s="170" t="s">
        <v>230</v>
      </c>
      <c r="Q587" s="171">
        <v>950000</v>
      </c>
      <c r="R587" s="171">
        <v>950000</v>
      </c>
      <c r="S587" s="171">
        <v>146640</v>
      </c>
      <c r="T587" s="171">
        <v>146640</v>
      </c>
      <c r="U587" s="157">
        <f t="shared" si="106"/>
        <v>0</v>
      </c>
      <c r="V587" s="157">
        <f t="shared" si="107"/>
        <v>0</v>
      </c>
      <c r="W587" s="157">
        <f t="shared" si="108"/>
        <v>41600</v>
      </c>
      <c r="X587" s="157">
        <f t="shared" si="109"/>
        <v>41600</v>
      </c>
      <c r="Z587" s="218"/>
      <c r="AA587" s="253"/>
      <c r="AB587" s="288"/>
      <c r="AC587" s="289"/>
      <c r="AD587" s="289"/>
      <c r="AE587" s="291"/>
      <c r="AF587" s="189"/>
      <c r="AI587" s="240">
        <f t="shared" si="99"/>
        <v>1138240</v>
      </c>
    </row>
    <row r="588" spans="2:35" s="28" customFormat="1" ht="61.5" customHeight="1">
      <c r="B588" s="30"/>
      <c r="C588" s="313"/>
      <c r="D588" s="81" t="s">
        <v>164</v>
      </c>
      <c r="E588" s="81" t="s">
        <v>81</v>
      </c>
      <c r="F588" s="81"/>
      <c r="G588" s="81"/>
      <c r="H588" s="81" t="s">
        <v>161</v>
      </c>
      <c r="I588" s="79">
        <v>20</v>
      </c>
      <c r="J588" s="82">
        <v>950000</v>
      </c>
      <c r="K588" s="82">
        <v>950000</v>
      </c>
      <c r="L588" s="189">
        <v>188240</v>
      </c>
      <c r="M588" s="189">
        <v>188240</v>
      </c>
      <c r="N588" s="66">
        <f t="shared" si="112"/>
        <v>1138240</v>
      </c>
      <c r="O588" s="66">
        <f t="shared" si="113"/>
        <v>1138240</v>
      </c>
      <c r="P588" s="170" t="s">
        <v>385</v>
      </c>
      <c r="Q588" s="171">
        <v>950000</v>
      </c>
      <c r="R588" s="171">
        <v>950000</v>
      </c>
      <c r="S588" s="171">
        <v>146640</v>
      </c>
      <c r="T588" s="171">
        <v>146640</v>
      </c>
      <c r="U588" s="157">
        <f t="shared" si="106"/>
        <v>0</v>
      </c>
      <c r="V588" s="157">
        <f t="shared" si="107"/>
        <v>0</v>
      </c>
      <c r="W588" s="157">
        <f t="shared" si="108"/>
        <v>41600</v>
      </c>
      <c r="X588" s="157">
        <f t="shared" si="109"/>
        <v>41600</v>
      </c>
      <c r="Z588" s="218"/>
      <c r="AA588" s="253"/>
      <c r="AB588" s="288"/>
      <c r="AC588" s="289"/>
      <c r="AD588" s="289"/>
      <c r="AE588" s="291"/>
      <c r="AF588" s="189"/>
      <c r="AI588" s="240">
        <f t="shared" si="99"/>
        <v>1138240</v>
      </c>
    </row>
    <row r="589" spans="2:35" s="28" customFormat="1" ht="61.5" customHeight="1">
      <c r="B589" s="30"/>
      <c r="C589" s="313"/>
      <c r="D589" s="81" t="s">
        <v>161</v>
      </c>
      <c r="E589" s="81" t="s">
        <v>164</v>
      </c>
      <c r="F589" s="81"/>
      <c r="G589" s="81"/>
      <c r="H589" s="81"/>
      <c r="I589" s="79">
        <v>20</v>
      </c>
      <c r="J589" s="82">
        <v>950000</v>
      </c>
      <c r="K589" s="82">
        <v>950000</v>
      </c>
      <c r="L589" s="189">
        <v>188240</v>
      </c>
      <c r="M589" s="189">
        <v>188240</v>
      </c>
      <c r="N589" s="66">
        <f t="shared" si="112"/>
        <v>1138240</v>
      </c>
      <c r="O589" s="66">
        <f t="shared" si="113"/>
        <v>1138240</v>
      </c>
      <c r="P589" s="170" t="s">
        <v>230</v>
      </c>
      <c r="Q589" s="171">
        <v>950000</v>
      </c>
      <c r="R589" s="171">
        <v>950000</v>
      </c>
      <c r="S589" s="171">
        <v>146640</v>
      </c>
      <c r="T589" s="171">
        <v>146640</v>
      </c>
      <c r="U589" s="157">
        <f t="shared" si="106"/>
        <v>0</v>
      </c>
      <c r="V589" s="157">
        <f t="shared" si="107"/>
        <v>0</v>
      </c>
      <c r="W589" s="157">
        <f t="shared" si="108"/>
        <v>41600</v>
      </c>
      <c r="X589" s="157">
        <f t="shared" si="109"/>
        <v>41600</v>
      </c>
      <c r="Z589" s="218"/>
      <c r="AA589" s="253"/>
      <c r="AB589" s="288"/>
      <c r="AC589" s="289"/>
      <c r="AD589" s="289"/>
      <c r="AE589" s="291"/>
      <c r="AF589" s="189"/>
      <c r="AI589" s="240">
        <f t="shared" si="99"/>
        <v>1138240</v>
      </c>
    </row>
    <row r="590" spans="2:35" s="28" customFormat="1" ht="61.5" customHeight="1">
      <c r="B590" s="30"/>
      <c r="C590" s="313"/>
      <c r="D590" s="81" t="s">
        <v>164</v>
      </c>
      <c r="E590" s="81" t="s">
        <v>83</v>
      </c>
      <c r="F590" s="81"/>
      <c r="G590" s="81"/>
      <c r="H590" s="81" t="s">
        <v>161</v>
      </c>
      <c r="I590" s="79">
        <v>50</v>
      </c>
      <c r="J590" s="82">
        <v>1100000</v>
      </c>
      <c r="K590" s="82">
        <v>1100000</v>
      </c>
      <c r="L590" s="189">
        <v>470600</v>
      </c>
      <c r="M590" s="189">
        <v>470600</v>
      </c>
      <c r="N590" s="66">
        <f t="shared" si="112"/>
        <v>1570600</v>
      </c>
      <c r="O590" s="66">
        <f t="shared" si="113"/>
        <v>1570600</v>
      </c>
      <c r="P590" s="170" t="s">
        <v>386</v>
      </c>
      <c r="Q590" s="171">
        <v>1100000</v>
      </c>
      <c r="R590" s="171">
        <v>1100000</v>
      </c>
      <c r="S590" s="171">
        <v>366600</v>
      </c>
      <c r="T590" s="171">
        <v>366600</v>
      </c>
      <c r="U590" s="157">
        <f t="shared" si="106"/>
        <v>0</v>
      </c>
      <c r="V590" s="157">
        <f t="shared" si="107"/>
        <v>0</v>
      </c>
      <c r="W590" s="157">
        <f t="shared" si="108"/>
        <v>104000</v>
      </c>
      <c r="X590" s="157">
        <f t="shared" si="109"/>
        <v>104000</v>
      </c>
      <c r="Z590" s="218"/>
      <c r="AA590" s="253"/>
      <c r="AB590" s="288"/>
      <c r="AC590" s="289"/>
      <c r="AD590" s="289"/>
      <c r="AE590" s="291"/>
      <c r="AF590" s="189"/>
      <c r="AI590" s="240">
        <f t="shared" si="99"/>
        <v>1570600</v>
      </c>
    </row>
    <row r="591" spans="2:35" s="28" customFormat="1" ht="61.5" customHeight="1">
      <c r="B591" s="30"/>
      <c r="C591" s="313"/>
      <c r="D591" s="81" t="s">
        <v>161</v>
      </c>
      <c r="E591" s="81" t="s">
        <v>165</v>
      </c>
      <c r="F591" s="81"/>
      <c r="G591" s="81"/>
      <c r="H591" s="81"/>
      <c r="I591" s="79">
        <v>30</v>
      </c>
      <c r="J591" s="82">
        <v>950000</v>
      </c>
      <c r="K591" s="82">
        <v>950000</v>
      </c>
      <c r="L591" s="189">
        <v>282360</v>
      </c>
      <c r="M591" s="189">
        <v>282360</v>
      </c>
      <c r="N591" s="66">
        <f t="shared" si="112"/>
        <v>1232360</v>
      </c>
      <c r="O591" s="66">
        <f t="shared" si="113"/>
        <v>1232360</v>
      </c>
      <c r="P591" s="170" t="s">
        <v>234</v>
      </c>
      <c r="Q591" s="171">
        <v>950000</v>
      </c>
      <c r="R591" s="171">
        <v>950000</v>
      </c>
      <c r="S591" s="171">
        <v>219960</v>
      </c>
      <c r="T591" s="171">
        <v>219960</v>
      </c>
      <c r="U591" s="157">
        <f t="shared" si="106"/>
        <v>0</v>
      </c>
      <c r="V591" s="157">
        <f t="shared" si="107"/>
        <v>0</v>
      </c>
      <c r="W591" s="157">
        <f t="shared" si="108"/>
        <v>62400</v>
      </c>
      <c r="X591" s="157">
        <f t="shared" si="109"/>
        <v>62400</v>
      </c>
      <c r="Z591" s="218"/>
      <c r="AA591" s="253"/>
      <c r="AB591" s="288"/>
      <c r="AC591" s="289"/>
      <c r="AD591" s="289"/>
      <c r="AE591" s="291"/>
      <c r="AF591" s="189"/>
      <c r="AI591" s="240">
        <f t="shared" si="99"/>
        <v>1232360</v>
      </c>
    </row>
    <row r="592" spans="2:35" s="28" customFormat="1" ht="61.5" customHeight="1">
      <c r="B592" s="30"/>
      <c r="C592" s="313"/>
      <c r="D592" s="81" t="s">
        <v>165</v>
      </c>
      <c r="E592" s="81" t="s">
        <v>82</v>
      </c>
      <c r="F592" s="81"/>
      <c r="G592" s="81"/>
      <c r="H592" s="81" t="s">
        <v>161</v>
      </c>
      <c r="I592" s="79">
        <v>120</v>
      </c>
      <c r="J592" s="82">
        <v>1500000</v>
      </c>
      <c r="K592" s="82">
        <v>1500000</v>
      </c>
      <c r="L592" s="189">
        <v>1129440</v>
      </c>
      <c r="M592" s="189">
        <v>1129440</v>
      </c>
      <c r="N592" s="66">
        <f t="shared" si="112"/>
        <v>2629440</v>
      </c>
      <c r="O592" s="66">
        <f t="shared" si="113"/>
        <v>2629440</v>
      </c>
      <c r="P592" s="170" t="s">
        <v>387</v>
      </c>
      <c r="Q592" s="171">
        <v>1500000</v>
      </c>
      <c r="R592" s="171">
        <v>1500000</v>
      </c>
      <c r="S592" s="171">
        <v>879840</v>
      </c>
      <c r="T592" s="171">
        <v>879840</v>
      </c>
      <c r="U592" s="157">
        <f t="shared" si="106"/>
        <v>0</v>
      </c>
      <c r="V592" s="157">
        <f t="shared" si="107"/>
        <v>0</v>
      </c>
      <c r="W592" s="157">
        <f t="shared" si="108"/>
        <v>249600</v>
      </c>
      <c r="X592" s="157">
        <f t="shared" si="109"/>
        <v>249600</v>
      </c>
      <c r="Z592" s="252"/>
      <c r="AA592" s="253"/>
      <c r="AB592" s="288"/>
      <c r="AC592" s="289"/>
      <c r="AD592" s="289"/>
      <c r="AE592" s="291"/>
      <c r="AF592" s="189"/>
      <c r="AI592" s="240">
        <f t="shared" si="99"/>
        <v>2629440</v>
      </c>
    </row>
    <row r="593" spans="2:38" s="28" customFormat="1" ht="61.5" customHeight="1">
      <c r="B593" s="30"/>
      <c r="C593" s="313"/>
      <c r="D593" s="81" t="s">
        <v>161</v>
      </c>
      <c r="E593" s="81" t="s">
        <v>165</v>
      </c>
      <c r="F593" s="81"/>
      <c r="G593" s="81"/>
      <c r="H593" s="81"/>
      <c r="I593" s="79">
        <v>30</v>
      </c>
      <c r="J593" s="82">
        <v>950000</v>
      </c>
      <c r="K593" s="82">
        <v>950000</v>
      </c>
      <c r="L593" s="189">
        <v>282360</v>
      </c>
      <c r="M593" s="189">
        <v>282360</v>
      </c>
      <c r="N593" s="66">
        <f t="shared" si="112"/>
        <v>1232360</v>
      </c>
      <c r="O593" s="66">
        <f t="shared" si="113"/>
        <v>1232360</v>
      </c>
      <c r="P593" s="170" t="s">
        <v>234</v>
      </c>
      <c r="Q593" s="171">
        <v>950000</v>
      </c>
      <c r="R593" s="171">
        <v>950000</v>
      </c>
      <c r="S593" s="171">
        <v>219960</v>
      </c>
      <c r="T593" s="171">
        <v>219960</v>
      </c>
      <c r="U593" s="157">
        <f t="shared" si="106"/>
        <v>0</v>
      </c>
      <c r="V593" s="157">
        <f t="shared" si="107"/>
        <v>0</v>
      </c>
      <c r="W593" s="157">
        <f t="shared" si="108"/>
        <v>62400</v>
      </c>
      <c r="X593" s="157">
        <f t="shared" si="109"/>
        <v>62400</v>
      </c>
      <c r="Z593" s="218"/>
      <c r="AA593" s="253"/>
      <c r="AB593" s="288"/>
      <c r="AC593" s="289"/>
      <c r="AD593" s="289"/>
      <c r="AE593" s="291"/>
      <c r="AF593" s="189"/>
      <c r="AI593" s="240">
        <f t="shared" ref="AI593:AI639" si="114">O593</f>
        <v>1232360</v>
      </c>
    </row>
    <row r="594" spans="2:38" s="28" customFormat="1" ht="61.5" customHeight="1">
      <c r="B594" s="30"/>
      <c r="C594" s="313"/>
      <c r="D594" s="81" t="s">
        <v>165</v>
      </c>
      <c r="E594" s="81" t="s">
        <v>81</v>
      </c>
      <c r="F594" s="81"/>
      <c r="G594" s="81"/>
      <c r="H594" s="81" t="s">
        <v>161</v>
      </c>
      <c r="I594" s="79">
        <v>50</v>
      </c>
      <c r="J594" s="82">
        <v>1100000</v>
      </c>
      <c r="K594" s="82">
        <v>1100000</v>
      </c>
      <c r="L594" s="189">
        <v>470600</v>
      </c>
      <c r="M594" s="189">
        <v>470600</v>
      </c>
      <c r="N594" s="66">
        <f t="shared" si="112"/>
        <v>1570600</v>
      </c>
      <c r="O594" s="66">
        <f t="shared" si="113"/>
        <v>1570600</v>
      </c>
      <c r="P594" s="170" t="s">
        <v>388</v>
      </c>
      <c r="Q594" s="171">
        <v>1100000</v>
      </c>
      <c r="R594" s="171">
        <v>1100000</v>
      </c>
      <c r="S594" s="171">
        <v>366600</v>
      </c>
      <c r="T594" s="171">
        <v>366600</v>
      </c>
      <c r="U594" s="157">
        <f t="shared" si="106"/>
        <v>0</v>
      </c>
      <c r="V594" s="157">
        <f t="shared" si="107"/>
        <v>0</v>
      </c>
      <c r="W594" s="157">
        <f t="shared" si="108"/>
        <v>104000</v>
      </c>
      <c r="X594" s="157">
        <f t="shared" si="109"/>
        <v>104000</v>
      </c>
      <c r="Z594" s="218"/>
      <c r="AA594" s="253"/>
      <c r="AB594" s="288"/>
      <c r="AC594" s="289"/>
      <c r="AD594" s="289"/>
      <c r="AE594" s="291"/>
      <c r="AF594" s="189"/>
      <c r="AI594" s="240">
        <f t="shared" si="114"/>
        <v>1570600</v>
      </c>
    </row>
    <row r="595" spans="2:38" s="28" customFormat="1" ht="61.5" customHeight="1">
      <c r="B595" s="30"/>
      <c r="C595" s="313"/>
      <c r="D595" s="81" t="s">
        <v>161</v>
      </c>
      <c r="E595" s="81" t="s">
        <v>165</v>
      </c>
      <c r="F595" s="81"/>
      <c r="G595" s="81"/>
      <c r="H595" s="81"/>
      <c r="I595" s="79">
        <v>30</v>
      </c>
      <c r="J595" s="82">
        <v>950000</v>
      </c>
      <c r="K595" s="82">
        <v>950000</v>
      </c>
      <c r="L595" s="189">
        <v>282360</v>
      </c>
      <c r="M595" s="189">
        <v>282360</v>
      </c>
      <c r="N595" s="66">
        <f t="shared" si="112"/>
        <v>1232360</v>
      </c>
      <c r="O595" s="66">
        <f t="shared" si="113"/>
        <v>1232360</v>
      </c>
      <c r="P595" s="170" t="s">
        <v>234</v>
      </c>
      <c r="Q595" s="171">
        <v>950000</v>
      </c>
      <c r="R595" s="171">
        <v>950000</v>
      </c>
      <c r="S595" s="171">
        <v>219960</v>
      </c>
      <c r="T595" s="171">
        <v>219960</v>
      </c>
      <c r="U595" s="157">
        <f t="shared" si="106"/>
        <v>0</v>
      </c>
      <c r="V595" s="157">
        <f t="shared" si="107"/>
        <v>0</v>
      </c>
      <c r="W595" s="157">
        <f t="shared" si="108"/>
        <v>62400</v>
      </c>
      <c r="X595" s="157">
        <f t="shared" si="109"/>
        <v>62400</v>
      </c>
      <c r="Z595" s="218"/>
      <c r="AA595" s="253"/>
      <c r="AB595" s="288"/>
      <c r="AC595" s="289"/>
      <c r="AD595" s="289"/>
      <c r="AE595" s="291"/>
      <c r="AF595" s="189"/>
      <c r="AI595" s="240">
        <f t="shared" si="114"/>
        <v>1232360</v>
      </c>
    </row>
    <row r="596" spans="2:38" s="28" customFormat="1" ht="61.5" customHeight="1">
      <c r="B596" s="30"/>
      <c r="C596" s="314"/>
      <c r="D596" s="81" t="s">
        <v>165</v>
      </c>
      <c r="E596" s="81" t="s">
        <v>83</v>
      </c>
      <c r="F596" s="81"/>
      <c r="G596" s="81"/>
      <c r="H596" s="81" t="s">
        <v>161</v>
      </c>
      <c r="I596" s="79">
        <v>30</v>
      </c>
      <c r="J596" s="82">
        <v>950000</v>
      </c>
      <c r="K596" s="82">
        <v>950000</v>
      </c>
      <c r="L596" s="189">
        <v>282360</v>
      </c>
      <c r="M596" s="189">
        <v>282360</v>
      </c>
      <c r="N596" s="66">
        <f t="shared" si="112"/>
        <v>1232360</v>
      </c>
      <c r="O596" s="66">
        <f t="shared" si="113"/>
        <v>1232360</v>
      </c>
      <c r="P596" s="170" t="s">
        <v>389</v>
      </c>
      <c r="Q596" s="171">
        <v>950000</v>
      </c>
      <c r="R596" s="171">
        <v>950000</v>
      </c>
      <c r="S596" s="171">
        <v>219960</v>
      </c>
      <c r="T596" s="171">
        <v>219960</v>
      </c>
      <c r="U596" s="157">
        <f t="shared" si="106"/>
        <v>0</v>
      </c>
      <c r="V596" s="157">
        <f t="shared" si="107"/>
        <v>0</v>
      </c>
      <c r="W596" s="157">
        <f t="shared" si="108"/>
        <v>62400</v>
      </c>
      <c r="X596" s="157">
        <f t="shared" si="109"/>
        <v>62400</v>
      </c>
      <c r="Z596" s="218"/>
      <c r="AA596" s="253"/>
      <c r="AB596" s="288"/>
      <c r="AC596" s="289"/>
      <c r="AD596" s="289"/>
      <c r="AE596" s="291"/>
      <c r="AF596" s="189"/>
      <c r="AI596" s="240">
        <f t="shared" si="114"/>
        <v>1232360</v>
      </c>
    </row>
    <row r="597" spans="2:38" s="28" customFormat="1" ht="24.9" customHeight="1">
      <c r="B597" s="30"/>
      <c r="C597" s="68"/>
      <c r="D597" s="69"/>
      <c r="E597" s="69"/>
      <c r="F597" s="69"/>
      <c r="G597" s="69"/>
      <c r="H597" s="109"/>
      <c r="I597" s="109"/>
      <c r="J597" s="70"/>
      <c r="K597" s="70"/>
      <c r="L597" s="191"/>
      <c r="M597" s="191"/>
      <c r="N597" s="71"/>
      <c r="O597" s="71"/>
      <c r="P597" s="170" t="s">
        <v>260</v>
      </c>
      <c r="Q597" s="171"/>
      <c r="R597" s="158"/>
      <c r="S597" s="151"/>
      <c r="T597" s="151"/>
      <c r="U597" s="159"/>
      <c r="V597" s="159"/>
      <c r="W597" s="151"/>
      <c r="X597" s="151"/>
      <c r="Z597" s="218"/>
      <c r="AA597" s="253"/>
      <c r="AB597" s="288"/>
      <c r="AC597" s="289"/>
      <c r="AD597" s="289"/>
      <c r="AE597" s="70"/>
      <c r="AF597" s="191"/>
      <c r="AI597" s="240">
        <f t="shared" si="114"/>
        <v>0</v>
      </c>
    </row>
    <row r="598" spans="2:38" s="28" customFormat="1" ht="24.9" customHeight="1">
      <c r="B598" s="112" t="s">
        <v>140</v>
      </c>
      <c r="C598" s="112" t="s">
        <v>148</v>
      </c>
      <c r="D598" s="69"/>
      <c r="E598" s="69"/>
      <c r="F598" s="69"/>
      <c r="G598" s="69"/>
      <c r="H598" s="109"/>
      <c r="I598" s="109"/>
      <c r="J598" s="70"/>
      <c r="K598" s="70"/>
      <c r="L598" s="191"/>
      <c r="M598" s="191"/>
      <c r="N598" s="71"/>
      <c r="O598" s="71"/>
      <c r="P598" s="170" t="s">
        <v>260</v>
      </c>
      <c r="Q598" s="171"/>
      <c r="R598" s="158"/>
      <c r="S598" s="151"/>
      <c r="T598" s="151"/>
      <c r="U598" s="159"/>
      <c r="V598" s="159"/>
      <c r="W598" s="151"/>
      <c r="X598" s="151"/>
      <c r="Z598" s="218"/>
      <c r="AA598" s="253"/>
      <c r="AB598" s="288"/>
      <c r="AC598" s="289"/>
      <c r="AD598" s="289"/>
      <c r="AE598" s="70"/>
      <c r="AF598" s="191"/>
      <c r="AI598" s="240">
        <f t="shared" si="114"/>
        <v>0</v>
      </c>
    </row>
    <row r="599" spans="2:38" s="28" customFormat="1" ht="24.9" customHeight="1">
      <c r="B599" s="30"/>
      <c r="C599" s="68"/>
      <c r="D599" s="69"/>
      <c r="E599" s="69"/>
      <c r="F599" s="69"/>
      <c r="G599" s="69"/>
      <c r="H599" s="109"/>
      <c r="I599" s="109"/>
      <c r="J599" s="70"/>
      <c r="K599" s="70"/>
      <c r="L599" s="191"/>
      <c r="M599" s="191"/>
      <c r="N599" s="71"/>
      <c r="O599" s="71"/>
      <c r="P599" s="170" t="s">
        <v>260</v>
      </c>
      <c r="Q599" s="171"/>
      <c r="R599" s="158"/>
      <c r="S599" s="151"/>
      <c r="T599" s="151"/>
      <c r="U599" s="159"/>
      <c r="V599" s="159"/>
      <c r="W599" s="151"/>
      <c r="X599" s="151"/>
      <c r="Z599" s="218"/>
      <c r="AA599" s="253"/>
      <c r="AB599" s="288"/>
      <c r="AC599" s="289"/>
      <c r="AD599" s="289"/>
      <c r="AE599" s="70"/>
      <c r="AF599" s="191"/>
      <c r="AI599" s="240">
        <f t="shared" si="114"/>
        <v>0</v>
      </c>
    </row>
    <row r="600" spans="2:38" s="28" customFormat="1" ht="35.25" customHeight="1">
      <c r="B600" s="30"/>
      <c r="C600" s="315" t="s">
        <v>40</v>
      </c>
      <c r="D600" s="316" t="s">
        <v>39</v>
      </c>
      <c r="E600" s="317"/>
      <c r="F600" s="317"/>
      <c r="G600" s="317"/>
      <c r="H600" s="318"/>
      <c r="I600" s="319" t="s">
        <v>41</v>
      </c>
      <c r="J600" s="320" t="s">
        <v>69</v>
      </c>
      <c r="K600" s="320"/>
      <c r="L600" s="307" t="s">
        <v>38</v>
      </c>
      <c r="M600" s="308"/>
      <c r="N600" s="311" t="s">
        <v>13</v>
      </c>
      <c r="O600" s="311"/>
      <c r="P600" s="170" t="s">
        <v>39</v>
      </c>
      <c r="Q600" s="166"/>
      <c r="R600" s="158"/>
      <c r="S600" s="151"/>
      <c r="T600" s="151"/>
      <c r="U600" s="159"/>
      <c r="V600" s="159"/>
      <c r="W600" s="151"/>
      <c r="X600" s="151"/>
      <c r="Z600" s="218"/>
      <c r="AA600" s="253"/>
      <c r="AB600" s="288"/>
      <c r="AC600" s="289"/>
      <c r="AD600" s="289"/>
      <c r="AE600" s="307"/>
      <c r="AF600" s="308"/>
      <c r="AI600" s="240">
        <f t="shared" si="114"/>
        <v>0</v>
      </c>
    </row>
    <row r="601" spans="2:38" s="28" customFormat="1" ht="35.25" customHeight="1">
      <c r="B601" s="30"/>
      <c r="C601" s="301"/>
      <c r="D601" s="117" t="s">
        <v>15</v>
      </c>
      <c r="E601" s="117" t="s">
        <v>16</v>
      </c>
      <c r="F601" s="117" t="s">
        <v>16</v>
      </c>
      <c r="G601" s="117" t="s">
        <v>16</v>
      </c>
      <c r="H601" s="117" t="s">
        <v>16</v>
      </c>
      <c r="I601" s="301"/>
      <c r="J601" s="117" t="s">
        <v>35</v>
      </c>
      <c r="K601" s="117" t="s">
        <v>36</v>
      </c>
      <c r="L601" s="190" t="s">
        <v>35</v>
      </c>
      <c r="M601" s="190" t="s">
        <v>36</v>
      </c>
      <c r="N601" s="117" t="s">
        <v>35</v>
      </c>
      <c r="O601" s="117" t="s">
        <v>36</v>
      </c>
      <c r="P601" s="170" t="s">
        <v>250</v>
      </c>
      <c r="Q601" s="166"/>
      <c r="R601" s="158"/>
      <c r="S601" s="151"/>
      <c r="T601" s="151"/>
      <c r="U601" s="159"/>
      <c r="V601" s="159"/>
      <c r="W601" s="151"/>
      <c r="X601" s="151"/>
      <c r="Z601" s="218"/>
      <c r="AA601" s="253"/>
      <c r="AB601" s="288"/>
      <c r="AC601" s="289"/>
      <c r="AD601" s="289"/>
      <c r="AE601" s="293"/>
      <c r="AF601" s="190"/>
      <c r="AI601" s="240" t="str">
        <f t="shared" si="114"/>
        <v>20FT</v>
      </c>
    </row>
    <row r="602" spans="2:38" s="28" customFormat="1" ht="48.75" customHeight="1">
      <c r="B602" s="30"/>
      <c r="C602" s="321" t="s">
        <v>145</v>
      </c>
      <c r="D602" s="79" t="s">
        <v>161</v>
      </c>
      <c r="E602" s="79" t="s">
        <v>82</v>
      </c>
      <c r="F602" s="79"/>
      <c r="G602" s="79"/>
      <c r="H602" s="79" t="s">
        <v>161</v>
      </c>
      <c r="I602" s="79">
        <v>130</v>
      </c>
      <c r="J602" s="80">
        <v>1520000</v>
      </c>
      <c r="K602" s="80">
        <v>1520000</v>
      </c>
      <c r="L602" s="189">
        <v>1070615</v>
      </c>
      <c r="M602" s="189">
        <v>1070615</v>
      </c>
      <c r="N602" s="66">
        <f>+J602+L602</f>
        <v>2590615</v>
      </c>
      <c r="O602" s="66">
        <f>+K602+M602</f>
        <v>2590615</v>
      </c>
      <c r="P602" s="170" t="s">
        <v>370</v>
      </c>
      <c r="Q602" s="171">
        <f>VLOOKUP($P602,'[1]Format 3 Drayage by trip-ICD'!$H$238:$O$293,3,0)</f>
        <v>1520000</v>
      </c>
      <c r="R602" s="171">
        <f>VLOOKUP($P602,'[1]Format 3 Drayage by trip-ICD'!$H$238:$O$293,4,0)</f>
        <v>1520000</v>
      </c>
      <c r="S602" s="171">
        <f>VLOOKUP($P602,'[1]Format 3 Drayage by trip-ICD'!$H$238:$O$293,5,0)</f>
        <v>834015</v>
      </c>
      <c r="T602" s="171">
        <f>VLOOKUP($P602,'[1]Format 3 Drayage by trip-ICD'!$H$238:$O$293,6,0)</f>
        <v>834015</v>
      </c>
      <c r="U602" s="157">
        <f t="shared" ref="U602" si="115">J602-Q602</f>
        <v>0</v>
      </c>
      <c r="V602" s="157">
        <f t="shared" ref="V602" si="116">K602-R602</f>
        <v>0</v>
      </c>
      <c r="W602" s="157">
        <f t="shared" ref="W602" si="117">L602-S602</f>
        <v>236600</v>
      </c>
      <c r="X602" s="157">
        <f t="shared" ref="X602" si="118">M602-T602</f>
        <v>236600</v>
      </c>
      <c r="Z602" s="218"/>
      <c r="AA602" s="253"/>
      <c r="AB602" s="288"/>
      <c r="AC602" s="289"/>
      <c r="AD602" s="289"/>
      <c r="AE602" s="291"/>
      <c r="AF602" s="189"/>
      <c r="AI602" s="240">
        <f t="shared" si="114"/>
        <v>2590615</v>
      </c>
      <c r="AL602" s="256"/>
    </row>
    <row r="603" spans="2:38" s="28" customFormat="1" ht="48.75" customHeight="1">
      <c r="B603" s="30"/>
      <c r="C603" s="322"/>
      <c r="D603" s="79" t="s">
        <v>161</v>
      </c>
      <c r="E603" s="79" t="s">
        <v>81</v>
      </c>
      <c r="F603" s="79"/>
      <c r="G603" s="79"/>
      <c r="H603" s="79" t="s">
        <v>161</v>
      </c>
      <c r="I603" s="79">
        <v>40</v>
      </c>
      <c r="J603" s="80">
        <v>1240000</v>
      </c>
      <c r="K603" s="80">
        <v>1240000</v>
      </c>
      <c r="L603" s="189">
        <v>329420</v>
      </c>
      <c r="M603" s="189">
        <v>329420</v>
      </c>
      <c r="N603" s="66">
        <f t="shared" ref="N603:N639" si="119">+J603+L603</f>
        <v>1569420</v>
      </c>
      <c r="O603" s="66">
        <f t="shared" ref="O603:O639" si="120">+K603+M603</f>
        <v>1569420</v>
      </c>
      <c r="P603" s="170" t="s">
        <v>371</v>
      </c>
      <c r="Q603" s="171">
        <f>VLOOKUP($P603,'[1]Format 3 Drayage by trip-ICD'!$H$238:$O$293,3,0)</f>
        <v>1240000</v>
      </c>
      <c r="R603" s="171">
        <f>VLOOKUP($P603,'[1]Format 3 Drayage by trip-ICD'!$H$238:$O$293,4,0)</f>
        <v>1240000</v>
      </c>
      <c r="S603" s="171">
        <f>VLOOKUP($P603,'[1]Format 3 Drayage by trip-ICD'!$H$238:$O$293,5,0)</f>
        <v>256620</v>
      </c>
      <c r="T603" s="171">
        <f>VLOOKUP($P603,'[1]Format 3 Drayage by trip-ICD'!$H$238:$O$293,6,0)</f>
        <v>256620</v>
      </c>
      <c r="U603" s="157">
        <f t="shared" ref="U603:U639" si="121">J603-Q603</f>
        <v>0</v>
      </c>
      <c r="V603" s="157">
        <f t="shared" ref="V603:V639" si="122">K603-R603</f>
        <v>0</v>
      </c>
      <c r="W603" s="157">
        <f t="shared" ref="W603:W639" si="123">L603-S603</f>
        <v>72800</v>
      </c>
      <c r="X603" s="157">
        <f t="shared" ref="X603:X639" si="124">M603-T603</f>
        <v>72800</v>
      </c>
      <c r="Z603" s="218"/>
      <c r="AA603" s="253"/>
      <c r="AB603" s="288"/>
      <c r="AC603" s="289"/>
      <c r="AD603" s="289"/>
      <c r="AE603" s="291"/>
      <c r="AF603" s="189"/>
      <c r="AI603" s="240">
        <f t="shared" si="114"/>
        <v>1569420</v>
      </c>
    </row>
    <row r="604" spans="2:38" s="28" customFormat="1" ht="48.75" customHeight="1">
      <c r="B604" s="30"/>
      <c r="C604" s="322"/>
      <c r="D604" s="79" t="s">
        <v>161</v>
      </c>
      <c r="E604" s="79" t="s">
        <v>83</v>
      </c>
      <c r="F604" s="79"/>
      <c r="G604" s="79"/>
      <c r="H604" s="79" t="s">
        <v>161</v>
      </c>
      <c r="I604" s="79">
        <v>60</v>
      </c>
      <c r="J604" s="80">
        <v>1240000</v>
      </c>
      <c r="K604" s="80">
        <v>1240000</v>
      </c>
      <c r="L604" s="189">
        <v>494130</v>
      </c>
      <c r="M604" s="189">
        <v>494130</v>
      </c>
      <c r="N604" s="66">
        <f t="shared" si="119"/>
        <v>1734130</v>
      </c>
      <c r="O604" s="66">
        <f t="shared" si="120"/>
        <v>1734130</v>
      </c>
      <c r="P604" s="170" t="s">
        <v>372</v>
      </c>
      <c r="Q604" s="171">
        <f>VLOOKUP($P604,'[1]Format 3 Drayage by trip-ICD'!$H$238:$O$293,3,0)</f>
        <v>1240000</v>
      </c>
      <c r="R604" s="171">
        <f>VLOOKUP($P604,'[1]Format 3 Drayage by trip-ICD'!$H$238:$O$293,4,0)</f>
        <v>1240000</v>
      </c>
      <c r="S604" s="171">
        <f>VLOOKUP($P604,'[1]Format 3 Drayage by trip-ICD'!$H$238:$O$293,5,0)</f>
        <v>384930</v>
      </c>
      <c r="T604" s="171">
        <f>VLOOKUP($P604,'[1]Format 3 Drayage by trip-ICD'!$H$238:$O$293,6,0)</f>
        <v>384930</v>
      </c>
      <c r="U604" s="157">
        <f t="shared" si="121"/>
        <v>0</v>
      </c>
      <c r="V604" s="157">
        <f t="shared" si="122"/>
        <v>0</v>
      </c>
      <c r="W604" s="157">
        <f t="shared" si="123"/>
        <v>109200</v>
      </c>
      <c r="X604" s="157">
        <f t="shared" si="124"/>
        <v>109200</v>
      </c>
      <c r="Z604" s="218"/>
      <c r="AA604" s="253"/>
      <c r="AB604" s="288"/>
      <c r="AC604" s="289"/>
      <c r="AD604" s="289"/>
      <c r="AE604" s="291"/>
      <c r="AF604" s="189"/>
      <c r="AI604" s="240">
        <f t="shared" si="114"/>
        <v>1734130</v>
      </c>
    </row>
    <row r="605" spans="2:38" s="28" customFormat="1" ht="48.75" customHeight="1">
      <c r="B605" s="30"/>
      <c r="C605" s="322"/>
      <c r="D605" s="79" t="s">
        <v>161</v>
      </c>
      <c r="E605" s="79" t="s">
        <v>82</v>
      </c>
      <c r="F605" s="79" t="s">
        <v>81</v>
      </c>
      <c r="G605" s="79"/>
      <c r="H605" s="79" t="s">
        <v>161</v>
      </c>
      <c r="I605" s="79">
        <v>140</v>
      </c>
      <c r="J605" s="80">
        <v>1850000</v>
      </c>
      <c r="K605" s="80">
        <v>1850000</v>
      </c>
      <c r="L605" s="189">
        <v>1152970</v>
      </c>
      <c r="M605" s="189">
        <v>1152970</v>
      </c>
      <c r="N605" s="66">
        <f t="shared" si="119"/>
        <v>3002970</v>
      </c>
      <c r="O605" s="66">
        <f t="shared" si="120"/>
        <v>3002970</v>
      </c>
      <c r="P605" s="170" t="s">
        <v>373</v>
      </c>
      <c r="Q605" s="171">
        <f>VLOOKUP($P605,'[1]Format 3 Drayage by trip-ICD'!$H$238:$O$293,3,0)</f>
        <v>1850000</v>
      </c>
      <c r="R605" s="171">
        <f>VLOOKUP($P605,'[1]Format 3 Drayage by trip-ICD'!$H$238:$O$293,4,0)</f>
        <v>1850000</v>
      </c>
      <c r="S605" s="171">
        <f>VLOOKUP($P605,'[1]Format 3 Drayage by trip-ICD'!$H$238:$O$293,5,0)</f>
        <v>898170</v>
      </c>
      <c r="T605" s="171">
        <f>VLOOKUP($P605,'[1]Format 3 Drayage by trip-ICD'!$H$238:$O$293,6,0)</f>
        <v>898170</v>
      </c>
      <c r="U605" s="157">
        <f t="shared" si="121"/>
        <v>0</v>
      </c>
      <c r="V605" s="157">
        <f t="shared" si="122"/>
        <v>0</v>
      </c>
      <c r="W605" s="157">
        <f t="shared" si="123"/>
        <v>254800</v>
      </c>
      <c r="X605" s="157">
        <f t="shared" si="124"/>
        <v>254800</v>
      </c>
      <c r="Z605" s="218"/>
      <c r="AA605" s="253"/>
      <c r="AB605" s="288"/>
      <c r="AC605" s="289"/>
      <c r="AD605" s="289"/>
      <c r="AE605" s="291"/>
      <c r="AF605" s="189"/>
      <c r="AI605" s="240">
        <f t="shared" si="114"/>
        <v>3002970</v>
      </c>
    </row>
    <row r="606" spans="2:38" s="28" customFormat="1" ht="48.75" customHeight="1">
      <c r="B606" s="30"/>
      <c r="C606" s="322"/>
      <c r="D606" s="79" t="s">
        <v>161</v>
      </c>
      <c r="E606" s="79" t="s">
        <v>82</v>
      </c>
      <c r="F606" s="79" t="s">
        <v>83</v>
      </c>
      <c r="G606" s="79"/>
      <c r="H606" s="79" t="s">
        <v>161</v>
      </c>
      <c r="I606" s="79">
        <v>150</v>
      </c>
      <c r="J606" s="80">
        <v>1950000</v>
      </c>
      <c r="K606" s="80">
        <v>1950000</v>
      </c>
      <c r="L606" s="189">
        <v>1235325</v>
      </c>
      <c r="M606" s="189">
        <v>1235325</v>
      </c>
      <c r="N606" s="66">
        <f t="shared" si="119"/>
        <v>3185325</v>
      </c>
      <c r="O606" s="66">
        <f t="shared" si="120"/>
        <v>3185325</v>
      </c>
      <c r="P606" s="170" t="s">
        <v>374</v>
      </c>
      <c r="Q606" s="171">
        <f>VLOOKUP($P606,'[1]Format 3 Drayage by trip-ICD'!$H$238:$O$293,3,0)</f>
        <v>1950000</v>
      </c>
      <c r="R606" s="171">
        <f>VLOOKUP($P606,'[1]Format 3 Drayage by trip-ICD'!$H$238:$O$293,4,0)</f>
        <v>1950000</v>
      </c>
      <c r="S606" s="171">
        <f>VLOOKUP($P606,'[1]Format 3 Drayage by trip-ICD'!$H$238:$O$293,5,0)</f>
        <v>962325</v>
      </c>
      <c r="T606" s="171">
        <f>VLOOKUP($P606,'[1]Format 3 Drayage by trip-ICD'!$H$238:$O$293,6,0)</f>
        <v>962325</v>
      </c>
      <c r="U606" s="157">
        <f t="shared" si="121"/>
        <v>0</v>
      </c>
      <c r="V606" s="157">
        <f t="shared" si="122"/>
        <v>0</v>
      </c>
      <c r="W606" s="157">
        <f t="shared" si="123"/>
        <v>273000</v>
      </c>
      <c r="X606" s="157">
        <f t="shared" si="124"/>
        <v>273000</v>
      </c>
      <c r="Z606" s="218"/>
      <c r="AA606" s="253"/>
      <c r="AB606" s="288"/>
      <c r="AC606" s="289"/>
      <c r="AD606" s="289"/>
      <c r="AE606" s="291"/>
      <c r="AF606" s="189"/>
      <c r="AI606" s="240">
        <f t="shared" si="114"/>
        <v>3185325</v>
      </c>
    </row>
    <row r="607" spans="2:38" s="28" customFormat="1" ht="48.75" customHeight="1">
      <c r="B607" s="30"/>
      <c r="C607" s="322"/>
      <c r="D607" s="79" t="s">
        <v>161</v>
      </c>
      <c r="E607" s="79" t="s">
        <v>81</v>
      </c>
      <c r="F607" s="79" t="s">
        <v>83</v>
      </c>
      <c r="G607" s="79"/>
      <c r="H607" s="79" t="s">
        <v>161</v>
      </c>
      <c r="I607" s="79">
        <v>70</v>
      </c>
      <c r="J607" s="80">
        <v>1450000</v>
      </c>
      <c r="K607" s="80">
        <v>1450000</v>
      </c>
      <c r="L607" s="189">
        <v>576485</v>
      </c>
      <c r="M607" s="189">
        <v>576485</v>
      </c>
      <c r="N607" s="66">
        <f t="shared" si="119"/>
        <v>2026485</v>
      </c>
      <c r="O607" s="66">
        <f t="shared" si="120"/>
        <v>2026485</v>
      </c>
      <c r="P607" s="170" t="s">
        <v>375</v>
      </c>
      <c r="Q607" s="171">
        <f>VLOOKUP($P607,'[1]Format 3 Drayage by trip-ICD'!$H$238:$O$293,3,0)</f>
        <v>1450000</v>
      </c>
      <c r="R607" s="171">
        <f>VLOOKUP($P607,'[1]Format 3 Drayage by trip-ICD'!$H$238:$O$293,4,0)</f>
        <v>1450000</v>
      </c>
      <c r="S607" s="171">
        <f>VLOOKUP($P607,'[1]Format 3 Drayage by trip-ICD'!$H$238:$O$293,5,0)</f>
        <v>449085</v>
      </c>
      <c r="T607" s="171">
        <f>VLOOKUP($P607,'[1]Format 3 Drayage by trip-ICD'!$H$238:$O$293,6,0)</f>
        <v>449085</v>
      </c>
      <c r="U607" s="157">
        <f t="shared" si="121"/>
        <v>0</v>
      </c>
      <c r="V607" s="157">
        <f t="shared" si="122"/>
        <v>0</v>
      </c>
      <c r="W607" s="157">
        <f t="shared" si="123"/>
        <v>127400</v>
      </c>
      <c r="X607" s="157">
        <f t="shared" si="124"/>
        <v>127400</v>
      </c>
      <c r="Z607" s="218"/>
      <c r="AA607" s="253"/>
      <c r="AB607" s="288"/>
      <c r="AC607" s="289"/>
      <c r="AD607" s="289"/>
      <c r="AE607" s="291"/>
      <c r="AF607" s="189"/>
      <c r="AI607" s="240">
        <f t="shared" si="114"/>
        <v>2026485</v>
      </c>
    </row>
    <row r="608" spans="2:38" s="28" customFormat="1" ht="48.75" customHeight="1">
      <c r="B608" s="30"/>
      <c r="C608" s="322"/>
      <c r="D608" s="79" t="s">
        <v>161</v>
      </c>
      <c r="E608" s="79" t="s">
        <v>82</v>
      </c>
      <c r="F608" s="79" t="s">
        <v>81</v>
      </c>
      <c r="G608" s="79" t="s">
        <v>83</v>
      </c>
      <c r="H608" s="79" t="s">
        <v>161</v>
      </c>
      <c r="I608" s="79">
        <v>170</v>
      </c>
      <c r="J608" s="80">
        <v>1910000</v>
      </c>
      <c r="K608" s="80">
        <v>1910000</v>
      </c>
      <c r="L608" s="189">
        <v>1400035</v>
      </c>
      <c r="M608" s="189">
        <v>1400035</v>
      </c>
      <c r="N608" s="66">
        <f t="shared" si="119"/>
        <v>3310035</v>
      </c>
      <c r="O608" s="66">
        <f t="shared" si="120"/>
        <v>3310035</v>
      </c>
      <c r="P608" s="170" t="s">
        <v>376</v>
      </c>
      <c r="Q608" s="171">
        <f>VLOOKUP($P608,'[1]Format 3 Drayage by trip-ICD'!$H$238:$O$293,3,0)</f>
        <v>1910000</v>
      </c>
      <c r="R608" s="171">
        <f>VLOOKUP($P608,'[1]Format 3 Drayage by trip-ICD'!$H$238:$O$293,4,0)</f>
        <v>1910000</v>
      </c>
      <c r="S608" s="171">
        <f>VLOOKUP($P608,'[1]Format 3 Drayage by trip-ICD'!$H$238:$O$293,5,0)</f>
        <v>1090635</v>
      </c>
      <c r="T608" s="171">
        <f>VLOOKUP($P608,'[1]Format 3 Drayage by trip-ICD'!$H$238:$O$293,6,0)</f>
        <v>1090635</v>
      </c>
      <c r="U608" s="157">
        <f t="shared" si="121"/>
        <v>0</v>
      </c>
      <c r="V608" s="157">
        <f t="shared" si="122"/>
        <v>0</v>
      </c>
      <c r="W608" s="157">
        <f t="shared" si="123"/>
        <v>309400</v>
      </c>
      <c r="X608" s="157">
        <f t="shared" si="124"/>
        <v>309400</v>
      </c>
      <c r="Z608" s="218"/>
      <c r="AA608" s="253"/>
      <c r="AB608" s="288"/>
      <c r="AC608" s="289"/>
      <c r="AD608" s="289"/>
      <c r="AE608" s="291"/>
      <c r="AF608" s="189"/>
      <c r="AI608" s="240">
        <f t="shared" si="114"/>
        <v>3310035</v>
      </c>
    </row>
    <row r="609" spans="2:37" s="28" customFormat="1" ht="48.75" customHeight="1">
      <c r="B609" s="30"/>
      <c r="C609" s="322"/>
      <c r="D609" s="79" t="s">
        <v>161</v>
      </c>
      <c r="E609" s="79" t="s">
        <v>84</v>
      </c>
      <c r="F609" s="79" t="s">
        <v>81</v>
      </c>
      <c r="G609" s="79"/>
      <c r="H609" s="79" t="s">
        <v>161</v>
      </c>
      <c r="I609" s="79">
        <v>100</v>
      </c>
      <c r="J609" s="80">
        <v>2300000</v>
      </c>
      <c r="K609" s="80">
        <v>2300000</v>
      </c>
      <c r="L609" s="189">
        <v>823550</v>
      </c>
      <c r="M609" s="189">
        <v>823550</v>
      </c>
      <c r="N609" s="66">
        <f t="shared" si="119"/>
        <v>3123550</v>
      </c>
      <c r="O609" s="66">
        <f t="shared" si="120"/>
        <v>3123550</v>
      </c>
      <c r="P609" s="170" t="s">
        <v>377</v>
      </c>
      <c r="Q609" s="171">
        <f>VLOOKUP($P609,'[1]Format 3 Drayage by trip-ICD'!$H$238:$O$293,3,0)</f>
        <v>2300000</v>
      </c>
      <c r="R609" s="171">
        <f>VLOOKUP($P609,'[1]Format 3 Drayage by trip-ICD'!$H$238:$O$293,4,0)</f>
        <v>2300000</v>
      </c>
      <c r="S609" s="171">
        <f>VLOOKUP($P609,'[1]Format 3 Drayage by trip-ICD'!$H$238:$O$293,5,0)</f>
        <v>641550</v>
      </c>
      <c r="T609" s="171">
        <f>VLOOKUP($P609,'[1]Format 3 Drayage by trip-ICD'!$H$238:$O$293,6,0)</f>
        <v>641550</v>
      </c>
      <c r="U609" s="157">
        <f t="shared" si="121"/>
        <v>0</v>
      </c>
      <c r="V609" s="157">
        <f t="shared" si="122"/>
        <v>0</v>
      </c>
      <c r="W609" s="157">
        <f t="shared" si="123"/>
        <v>182000</v>
      </c>
      <c r="X609" s="157">
        <f t="shared" si="124"/>
        <v>182000</v>
      </c>
      <c r="Z609" s="218"/>
      <c r="AA609" s="253"/>
      <c r="AB609" s="288"/>
      <c r="AC609" s="289"/>
      <c r="AD609" s="289"/>
      <c r="AE609" s="291"/>
      <c r="AF609" s="189"/>
      <c r="AI609" s="240">
        <f t="shared" si="114"/>
        <v>3123550</v>
      </c>
    </row>
    <row r="610" spans="2:37" s="28" customFormat="1" ht="48.75" customHeight="1">
      <c r="B610" s="30"/>
      <c r="C610" s="322"/>
      <c r="D610" s="79" t="s">
        <v>161</v>
      </c>
      <c r="E610" s="79" t="s">
        <v>85</v>
      </c>
      <c r="F610" s="79" t="s">
        <v>81</v>
      </c>
      <c r="G610" s="79"/>
      <c r="H610" s="79" t="s">
        <v>161</v>
      </c>
      <c r="I610" s="79">
        <v>60</v>
      </c>
      <c r="J610" s="80">
        <v>1460000</v>
      </c>
      <c r="K610" s="80">
        <v>1460000</v>
      </c>
      <c r="L610" s="189">
        <v>494130</v>
      </c>
      <c r="M610" s="189">
        <v>494130</v>
      </c>
      <c r="N610" s="66">
        <f t="shared" si="119"/>
        <v>1954130</v>
      </c>
      <c r="O610" s="66">
        <f t="shared" si="120"/>
        <v>1954130</v>
      </c>
      <c r="P610" s="170" t="s">
        <v>378</v>
      </c>
      <c r="Q610" s="171">
        <f>VLOOKUP($P610,'[1]Format 3 Drayage by trip-ICD'!$H$238:$O$293,3,0)</f>
        <v>1460000</v>
      </c>
      <c r="R610" s="171">
        <f>VLOOKUP($P610,'[1]Format 3 Drayage by trip-ICD'!$H$238:$O$293,4,0)</f>
        <v>1460000</v>
      </c>
      <c r="S610" s="171">
        <f>VLOOKUP($P610,'[1]Format 3 Drayage by trip-ICD'!$H$238:$O$293,5,0)</f>
        <v>384930</v>
      </c>
      <c r="T610" s="171">
        <f>VLOOKUP($P610,'[1]Format 3 Drayage by trip-ICD'!$H$238:$O$293,6,0)</f>
        <v>384930</v>
      </c>
      <c r="U610" s="157">
        <f t="shared" si="121"/>
        <v>0</v>
      </c>
      <c r="V610" s="157">
        <f t="shared" si="122"/>
        <v>0</v>
      </c>
      <c r="W610" s="157">
        <f t="shared" si="123"/>
        <v>109200</v>
      </c>
      <c r="X610" s="157">
        <f t="shared" si="124"/>
        <v>109200</v>
      </c>
      <c r="Z610" s="218"/>
      <c r="AA610" s="253"/>
      <c r="AB610" s="288"/>
      <c r="AC610" s="289"/>
      <c r="AD610" s="289"/>
      <c r="AE610" s="291"/>
      <c r="AF610" s="189"/>
      <c r="AI610" s="240">
        <f t="shared" si="114"/>
        <v>1954130</v>
      </c>
    </row>
    <row r="611" spans="2:37" s="28" customFormat="1" ht="48.75" customHeight="1">
      <c r="B611" s="30"/>
      <c r="C611" s="322"/>
      <c r="D611" s="79" t="s">
        <v>161</v>
      </c>
      <c r="E611" s="79" t="s">
        <v>85</v>
      </c>
      <c r="F611" s="79" t="s">
        <v>83</v>
      </c>
      <c r="G611" s="79"/>
      <c r="H611" s="79" t="s">
        <v>161</v>
      </c>
      <c r="I611" s="79">
        <v>80</v>
      </c>
      <c r="J611" s="80">
        <v>1430000</v>
      </c>
      <c r="K611" s="80">
        <v>1430000</v>
      </c>
      <c r="L611" s="189">
        <v>658840</v>
      </c>
      <c r="M611" s="189">
        <v>658840</v>
      </c>
      <c r="N611" s="66">
        <f t="shared" si="119"/>
        <v>2088840</v>
      </c>
      <c r="O611" s="66">
        <f t="shared" si="120"/>
        <v>2088840</v>
      </c>
      <c r="P611" s="170" t="s">
        <v>379</v>
      </c>
      <c r="Q611" s="171">
        <f>VLOOKUP($P611,'[1]Format 3 Drayage by trip-ICD'!$H$238:$O$293,3,0)</f>
        <v>1430000</v>
      </c>
      <c r="R611" s="171">
        <f>VLOOKUP($P611,'[1]Format 3 Drayage by trip-ICD'!$H$238:$O$293,4,0)</f>
        <v>1430000</v>
      </c>
      <c r="S611" s="171">
        <f>VLOOKUP($P611,'[1]Format 3 Drayage by trip-ICD'!$H$238:$O$293,5,0)</f>
        <v>513240</v>
      </c>
      <c r="T611" s="171">
        <f>VLOOKUP($P611,'[1]Format 3 Drayage by trip-ICD'!$H$238:$O$293,6,0)</f>
        <v>513240</v>
      </c>
      <c r="U611" s="157">
        <f t="shared" si="121"/>
        <v>0</v>
      </c>
      <c r="V611" s="157">
        <f t="shared" si="122"/>
        <v>0</v>
      </c>
      <c r="W611" s="157">
        <f t="shared" si="123"/>
        <v>145600</v>
      </c>
      <c r="X611" s="157">
        <f t="shared" si="124"/>
        <v>145600</v>
      </c>
      <c r="Z611" s="218"/>
      <c r="AA611" s="253"/>
      <c r="AB611" s="288"/>
      <c r="AC611" s="289"/>
      <c r="AD611" s="289"/>
      <c r="AE611" s="291"/>
      <c r="AF611" s="189"/>
      <c r="AI611" s="240">
        <f t="shared" si="114"/>
        <v>2088840</v>
      </c>
    </row>
    <row r="612" spans="2:37" s="28" customFormat="1" ht="48.75" customHeight="1">
      <c r="B612" s="30"/>
      <c r="C612" s="323"/>
      <c r="D612" s="79" t="s">
        <v>161</v>
      </c>
      <c r="E612" s="79" t="s">
        <v>85</v>
      </c>
      <c r="F612" s="79" t="s">
        <v>81</v>
      </c>
      <c r="G612" s="79" t="s">
        <v>83</v>
      </c>
      <c r="H612" s="79" t="s">
        <v>161</v>
      </c>
      <c r="I612" s="79">
        <v>85</v>
      </c>
      <c r="J612" s="80">
        <v>2000000</v>
      </c>
      <c r="K612" s="80">
        <v>2000000</v>
      </c>
      <c r="L612" s="189">
        <v>700018</v>
      </c>
      <c r="M612" s="189">
        <v>700018</v>
      </c>
      <c r="N612" s="66">
        <f t="shared" si="119"/>
        <v>2700018</v>
      </c>
      <c r="O612" s="66">
        <f t="shared" si="120"/>
        <v>2700018</v>
      </c>
      <c r="P612" s="170" t="s">
        <v>380</v>
      </c>
      <c r="Q612" s="171">
        <f>VLOOKUP($P612,'[1]Format 3 Drayage by trip-ICD'!$H$238:$O$293,3,0)</f>
        <v>2000000</v>
      </c>
      <c r="R612" s="171">
        <f>VLOOKUP($P612,'[1]Format 3 Drayage by trip-ICD'!$H$238:$O$293,4,0)</f>
        <v>2000000</v>
      </c>
      <c r="S612" s="171">
        <f>VLOOKUP($P612,'[1]Format 3 Drayage by trip-ICD'!$H$238:$O$293,5,0)</f>
        <v>545318</v>
      </c>
      <c r="T612" s="171">
        <f>VLOOKUP($P612,'[1]Format 3 Drayage by trip-ICD'!$H$238:$O$293,6,0)</f>
        <v>545318</v>
      </c>
      <c r="U612" s="157">
        <f t="shared" si="121"/>
        <v>0</v>
      </c>
      <c r="V612" s="157">
        <f t="shared" si="122"/>
        <v>0</v>
      </c>
      <c r="W612" s="157">
        <f t="shared" si="123"/>
        <v>154700</v>
      </c>
      <c r="X612" s="157">
        <f t="shared" si="124"/>
        <v>154700</v>
      </c>
      <c r="Z612" s="218"/>
      <c r="AA612" s="253"/>
      <c r="AB612" s="288"/>
      <c r="AC612" s="289"/>
      <c r="AD612" s="289"/>
      <c r="AE612" s="291"/>
      <c r="AF612" s="189"/>
      <c r="AI612" s="240">
        <f t="shared" si="114"/>
        <v>2700018</v>
      </c>
    </row>
    <row r="613" spans="2:37" s="28" customFormat="1" ht="48.75" customHeight="1">
      <c r="B613" s="30"/>
      <c r="C613" s="312" t="s">
        <v>56</v>
      </c>
      <c r="D613" s="115" t="s">
        <v>161</v>
      </c>
      <c r="E613" s="115" t="s">
        <v>163</v>
      </c>
      <c r="F613" s="115"/>
      <c r="G613" s="115"/>
      <c r="H613" s="115"/>
      <c r="I613" s="115">
        <v>65</v>
      </c>
      <c r="J613" s="116">
        <v>1200000</v>
      </c>
      <c r="K613" s="116">
        <v>1200000</v>
      </c>
      <c r="L613" s="189">
        <v>611780</v>
      </c>
      <c r="M613" s="189">
        <v>611780</v>
      </c>
      <c r="N613" s="66">
        <f t="shared" si="119"/>
        <v>1811780</v>
      </c>
      <c r="O613" s="66">
        <f t="shared" si="120"/>
        <v>1811780</v>
      </c>
      <c r="P613" s="170" t="s">
        <v>226</v>
      </c>
      <c r="Q613" s="171">
        <f>VLOOKUP($P613,'[1]Format 3 Drayage by trip-ICD'!$H$238:$O$293,3,0)</f>
        <v>1200000</v>
      </c>
      <c r="R613" s="171">
        <f>VLOOKUP($P613,'[1]Format 3 Drayage by trip-ICD'!$H$238:$O$293,4,0)</f>
        <v>1200000</v>
      </c>
      <c r="S613" s="171">
        <f>VLOOKUP($P613,'[1]Format 3 Drayage by trip-ICD'!$H$238:$O$293,5,0)</f>
        <v>476580</v>
      </c>
      <c r="T613" s="171">
        <f>VLOOKUP($P613,'[1]Format 3 Drayage by trip-ICD'!$H$238:$O$293,6,0)</f>
        <v>476580</v>
      </c>
      <c r="U613" s="157">
        <f t="shared" si="121"/>
        <v>0</v>
      </c>
      <c r="V613" s="157">
        <f t="shared" si="122"/>
        <v>0</v>
      </c>
      <c r="W613" s="157">
        <f t="shared" si="123"/>
        <v>135200</v>
      </c>
      <c r="X613" s="157">
        <f t="shared" si="124"/>
        <v>135200</v>
      </c>
      <c r="Z613" s="218">
        <f>O613+O614</f>
        <v>3623560</v>
      </c>
      <c r="AA613" s="253"/>
      <c r="AB613" s="288"/>
      <c r="AC613" s="289"/>
      <c r="AD613" s="289"/>
      <c r="AE613" s="291"/>
      <c r="AF613" s="189"/>
      <c r="AI613" s="240">
        <f t="shared" si="114"/>
        <v>1811780</v>
      </c>
    </row>
    <row r="614" spans="2:37" s="28" customFormat="1" ht="48.75" customHeight="1">
      <c r="B614" s="30"/>
      <c r="C614" s="313"/>
      <c r="D614" s="115" t="s">
        <v>163</v>
      </c>
      <c r="E614" s="115" t="s">
        <v>82</v>
      </c>
      <c r="F614" s="115"/>
      <c r="G614" s="115"/>
      <c r="H614" s="115" t="s">
        <v>161</v>
      </c>
      <c r="I614" s="115">
        <v>65</v>
      </c>
      <c r="J614" s="116">
        <v>1200000</v>
      </c>
      <c r="K614" s="116">
        <v>1200000</v>
      </c>
      <c r="L614" s="189">
        <v>611780</v>
      </c>
      <c r="M614" s="189">
        <v>611780</v>
      </c>
      <c r="N614" s="66">
        <f t="shared" si="119"/>
        <v>1811780</v>
      </c>
      <c r="O614" s="66">
        <f t="shared" si="120"/>
        <v>1811780</v>
      </c>
      <c r="P614" s="170" t="s">
        <v>381</v>
      </c>
      <c r="Q614" s="171">
        <f>VLOOKUP($P614,'[1]Format 3 Drayage by trip-ICD'!$H$238:$O$293,3,0)</f>
        <v>1200000</v>
      </c>
      <c r="R614" s="171">
        <f>VLOOKUP($P614,'[1]Format 3 Drayage by trip-ICD'!$H$238:$O$293,4,0)</f>
        <v>1200000</v>
      </c>
      <c r="S614" s="171">
        <f>VLOOKUP($P614,'[1]Format 3 Drayage by trip-ICD'!$H$238:$O$293,5,0)</f>
        <v>476580</v>
      </c>
      <c r="T614" s="171">
        <f>VLOOKUP($P614,'[1]Format 3 Drayage by trip-ICD'!$H$238:$O$293,6,0)</f>
        <v>476580</v>
      </c>
      <c r="U614" s="157">
        <f t="shared" si="121"/>
        <v>0</v>
      </c>
      <c r="V614" s="157">
        <f t="shared" si="122"/>
        <v>0</v>
      </c>
      <c r="W614" s="157">
        <f t="shared" si="123"/>
        <v>135200</v>
      </c>
      <c r="X614" s="157">
        <f t="shared" si="124"/>
        <v>135200</v>
      </c>
      <c r="Z614" s="218"/>
      <c r="AA614" s="253"/>
      <c r="AB614" s="288"/>
      <c r="AC614" s="289"/>
      <c r="AD614" s="289"/>
      <c r="AE614" s="291"/>
      <c r="AF614" s="189"/>
      <c r="AI614" s="240">
        <f t="shared" si="114"/>
        <v>1811780</v>
      </c>
      <c r="AK614" s="256"/>
    </row>
    <row r="615" spans="2:37" s="28" customFormat="1" ht="48.75" customHeight="1">
      <c r="B615" s="30"/>
      <c r="C615" s="313"/>
      <c r="D615" s="81" t="s">
        <v>161</v>
      </c>
      <c r="E615" s="81" t="s">
        <v>163</v>
      </c>
      <c r="F615" s="81"/>
      <c r="G615" s="81"/>
      <c r="H615" s="81"/>
      <c r="I615" s="79">
        <v>65</v>
      </c>
      <c r="J615" s="82">
        <v>1200000</v>
      </c>
      <c r="K615" s="82">
        <v>1200000</v>
      </c>
      <c r="L615" s="189">
        <v>611780</v>
      </c>
      <c r="M615" s="189">
        <v>611780</v>
      </c>
      <c r="N615" s="66">
        <f t="shared" si="119"/>
        <v>1811780</v>
      </c>
      <c r="O615" s="66">
        <f t="shared" si="120"/>
        <v>1811780</v>
      </c>
      <c r="P615" s="170" t="s">
        <v>226</v>
      </c>
      <c r="Q615" s="171">
        <f>VLOOKUP($P615,'[1]Format 3 Drayage by trip-ICD'!$H$238:$O$293,3,0)</f>
        <v>1200000</v>
      </c>
      <c r="R615" s="171">
        <f>VLOOKUP($P615,'[1]Format 3 Drayage by trip-ICD'!$H$238:$O$293,4,0)</f>
        <v>1200000</v>
      </c>
      <c r="S615" s="171">
        <f>VLOOKUP($P615,'[1]Format 3 Drayage by trip-ICD'!$H$238:$O$293,5,0)</f>
        <v>476580</v>
      </c>
      <c r="T615" s="171">
        <f>VLOOKUP($P615,'[1]Format 3 Drayage by trip-ICD'!$H$238:$O$293,6,0)</f>
        <v>476580</v>
      </c>
      <c r="U615" s="157">
        <f t="shared" si="121"/>
        <v>0</v>
      </c>
      <c r="V615" s="157">
        <f t="shared" si="122"/>
        <v>0</v>
      </c>
      <c r="W615" s="157">
        <f t="shared" si="123"/>
        <v>135200</v>
      </c>
      <c r="X615" s="157">
        <f t="shared" si="124"/>
        <v>135200</v>
      </c>
      <c r="Z615" s="218"/>
      <c r="AA615" s="253"/>
      <c r="AB615" s="288"/>
      <c r="AC615" s="289"/>
      <c r="AD615" s="289"/>
      <c r="AE615" s="291"/>
      <c r="AF615" s="189"/>
      <c r="AI615" s="240">
        <f t="shared" si="114"/>
        <v>1811780</v>
      </c>
    </row>
    <row r="616" spans="2:37" s="28" customFormat="1" ht="48.75" customHeight="1">
      <c r="B616" s="30"/>
      <c r="C616" s="313"/>
      <c r="D616" s="81" t="s">
        <v>163</v>
      </c>
      <c r="E616" s="81" t="s">
        <v>81</v>
      </c>
      <c r="F616" s="81"/>
      <c r="G616" s="81"/>
      <c r="H616" s="81" t="s">
        <v>161</v>
      </c>
      <c r="I616" s="79">
        <v>75</v>
      </c>
      <c r="J616" s="82">
        <v>1350000</v>
      </c>
      <c r="K616" s="82">
        <v>1350000</v>
      </c>
      <c r="L616" s="189">
        <v>705900</v>
      </c>
      <c r="M616" s="189">
        <v>705900</v>
      </c>
      <c r="N616" s="66">
        <f t="shared" si="119"/>
        <v>2055900</v>
      </c>
      <c r="O616" s="66">
        <f t="shared" si="120"/>
        <v>2055900</v>
      </c>
      <c r="P616" s="170" t="s">
        <v>382</v>
      </c>
      <c r="Q616" s="171">
        <f>VLOOKUP($P616,'[1]Format 3 Drayage by trip-ICD'!$H$238:$O$293,3,0)</f>
        <v>1350000</v>
      </c>
      <c r="R616" s="171">
        <f>VLOOKUP($P616,'[1]Format 3 Drayage by trip-ICD'!$H$238:$O$293,4,0)</f>
        <v>1350000</v>
      </c>
      <c r="S616" s="171">
        <f>VLOOKUP($P616,'[1]Format 3 Drayage by trip-ICD'!$H$238:$O$293,5,0)</f>
        <v>549900</v>
      </c>
      <c r="T616" s="171">
        <f>VLOOKUP($P616,'[1]Format 3 Drayage by trip-ICD'!$H$238:$O$293,6,0)</f>
        <v>549900</v>
      </c>
      <c r="U616" s="157">
        <f t="shared" si="121"/>
        <v>0</v>
      </c>
      <c r="V616" s="157">
        <f t="shared" si="122"/>
        <v>0</v>
      </c>
      <c r="W616" s="157">
        <f t="shared" si="123"/>
        <v>156000</v>
      </c>
      <c r="X616" s="157">
        <f t="shared" si="124"/>
        <v>156000</v>
      </c>
      <c r="Z616" s="218"/>
      <c r="AA616" s="253"/>
      <c r="AB616" s="288"/>
      <c r="AC616" s="289"/>
      <c r="AD616" s="289"/>
      <c r="AE616" s="291"/>
      <c r="AF616" s="189"/>
      <c r="AI616" s="240">
        <f t="shared" si="114"/>
        <v>2055900</v>
      </c>
    </row>
    <row r="617" spans="2:37" s="28" customFormat="1" ht="48.75" customHeight="1">
      <c r="B617" s="30"/>
      <c r="C617" s="313"/>
      <c r="D617" s="81" t="s">
        <v>161</v>
      </c>
      <c r="E617" s="81" t="s">
        <v>163</v>
      </c>
      <c r="F617" s="81"/>
      <c r="G617" s="81"/>
      <c r="H617" s="81"/>
      <c r="I617" s="79">
        <v>65</v>
      </c>
      <c r="J617" s="137">
        <v>1200000</v>
      </c>
      <c r="K617" s="137">
        <v>1200000</v>
      </c>
      <c r="L617" s="189">
        <v>611780</v>
      </c>
      <c r="M617" s="189">
        <v>611780</v>
      </c>
      <c r="N617" s="66">
        <f t="shared" si="119"/>
        <v>1811780</v>
      </c>
      <c r="O617" s="66">
        <f t="shared" si="120"/>
        <v>1811780</v>
      </c>
      <c r="P617" s="170" t="s">
        <v>226</v>
      </c>
      <c r="Q617" s="171">
        <f>VLOOKUP($P617,'[1]Format 3 Drayage by trip-ICD'!$H$238:$O$293,3,0)</f>
        <v>1200000</v>
      </c>
      <c r="R617" s="171">
        <f>VLOOKUP($P617,'[1]Format 3 Drayage by trip-ICD'!$H$238:$O$293,4,0)</f>
        <v>1200000</v>
      </c>
      <c r="S617" s="171">
        <f>VLOOKUP($P617,'[1]Format 3 Drayage by trip-ICD'!$H$238:$O$293,5,0)</f>
        <v>476580</v>
      </c>
      <c r="T617" s="171">
        <f>VLOOKUP($P617,'[1]Format 3 Drayage by trip-ICD'!$H$238:$O$293,6,0)</f>
        <v>476580</v>
      </c>
      <c r="U617" s="157">
        <f t="shared" si="121"/>
        <v>0</v>
      </c>
      <c r="V617" s="157">
        <f t="shared" si="122"/>
        <v>0</v>
      </c>
      <c r="W617" s="157">
        <f t="shared" si="123"/>
        <v>135200</v>
      </c>
      <c r="X617" s="157">
        <f t="shared" si="124"/>
        <v>135200</v>
      </c>
      <c r="Z617" s="218"/>
      <c r="AA617" s="253"/>
      <c r="AB617" s="288"/>
      <c r="AC617" s="289"/>
      <c r="AD617" s="289"/>
      <c r="AE617" s="291"/>
      <c r="AF617" s="189"/>
      <c r="AI617" s="240">
        <f t="shared" si="114"/>
        <v>1811780</v>
      </c>
    </row>
    <row r="618" spans="2:37" s="28" customFormat="1" ht="48.75" customHeight="1">
      <c r="B618" s="30"/>
      <c r="C618" s="313"/>
      <c r="D618" s="81" t="s">
        <v>163</v>
      </c>
      <c r="E618" s="81" t="s">
        <v>83</v>
      </c>
      <c r="F618" s="81"/>
      <c r="G618" s="81"/>
      <c r="H618" s="81" t="s">
        <v>161</v>
      </c>
      <c r="I618" s="79">
        <v>85</v>
      </c>
      <c r="J618" s="82">
        <v>1350000</v>
      </c>
      <c r="K618" s="82">
        <v>1350000</v>
      </c>
      <c r="L618" s="189">
        <v>800020</v>
      </c>
      <c r="M618" s="189">
        <v>800020</v>
      </c>
      <c r="N618" s="66">
        <f t="shared" si="119"/>
        <v>2150020</v>
      </c>
      <c r="O618" s="66">
        <f t="shared" si="120"/>
        <v>2150020</v>
      </c>
      <c r="P618" s="170" t="s">
        <v>383</v>
      </c>
      <c r="Q618" s="171">
        <f>VLOOKUP($P618,'[1]Format 3 Drayage by trip-ICD'!$H$238:$O$293,3,0)</f>
        <v>1350000</v>
      </c>
      <c r="R618" s="171">
        <f>VLOOKUP($P618,'[1]Format 3 Drayage by trip-ICD'!$H$238:$O$293,4,0)</f>
        <v>1350000</v>
      </c>
      <c r="S618" s="171">
        <f>VLOOKUP($P618,'[1]Format 3 Drayage by trip-ICD'!$H$238:$O$293,5,0)</f>
        <v>623220</v>
      </c>
      <c r="T618" s="171">
        <f>VLOOKUP($P618,'[1]Format 3 Drayage by trip-ICD'!$H$238:$O$293,6,0)</f>
        <v>623220</v>
      </c>
      <c r="U618" s="157">
        <f t="shared" si="121"/>
        <v>0</v>
      </c>
      <c r="V618" s="157">
        <f t="shared" si="122"/>
        <v>0</v>
      </c>
      <c r="W618" s="157">
        <f t="shared" si="123"/>
        <v>176800</v>
      </c>
      <c r="X618" s="157">
        <f t="shared" si="124"/>
        <v>176800</v>
      </c>
      <c r="Z618" s="218"/>
      <c r="AA618" s="253"/>
      <c r="AB618" s="288"/>
      <c r="AC618" s="289"/>
      <c r="AD618" s="289"/>
      <c r="AE618" s="291"/>
      <c r="AF618" s="189"/>
      <c r="AI618" s="240">
        <f t="shared" si="114"/>
        <v>2150020</v>
      </c>
    </row>
    <row r="619" spans="2:37" s="28" customFormat="1" ht="48.75" customHeight="1">
      <c r="B619" s="30"/>
      <c r="C619" s="313"/>
      <c r="D619" s="81" t="s">
        <v>161</v>
      </c>
      <c r="E619" s="81" t="s">
        <v>164</v>
      </c>
      <c r="F619" s="81"/>
      <c r="G619" s="81"/>
      <c r="H619" s="81"/>
      <c r="I619" s="79">
        <v>20</v>
      </c>
      <c r="J619" s="82">
        <v>1100000</v>
      </c>
      <c r="K619" s="82">
        <v>1100000</v>
      </c>
      <c r="L619" s="189">
        <v>188240</v>
      </c>
      <c r="M619" s="189">
        <v>188240</v>
      </c>
      <c r="N619" s="66">
        <f t="shared" si="119"/>
        <v>1288240</v>
      </c>
      <c r="O619" s="66">
        <f t="shared" si="120"/>
        <v>1288240</v>
      </c>
      <c r="P619" s="170" t="s">
        <v>230</v>
      </c>
      <c r="Q619" s="171">
        <f>VLOOKUP($P619,'[1]Format 3 Drayage by trip-ICD'!$H$238:$O$293,3,0)</f>
        <v>1100000</v>
      </c>
      <c r="R619" s="171">
        <f>VLOOKUP($P619,'[1]Format 3 Drayage by trip-ICD'!$H$238:$O$293,4,0)</f>
        <v>1100000</v>
      </c>
      <c r="S619" s="171">
        <f>VLOOKUP($P619,'[1]Format 3 Drayage by trip-ICD'!$H$238:$O$293,5,0)</f>
        <v>146640</v>
      </c>
      <c r="T619" s="171">
        <f>VLOOKUP($P619,'[1]Format 3 Drayage by trip-ICD'!$H$238:$O$293,6,0)</f>
        <v>146640</v>
      </c>
      <c r="U619" s="157">
        <f t="shared" si="121"/>
        <v>0</v>
      </c>
      <c r="V619" s="157">
        <f t="shared" si="122"/>
        <v>0</v>
      </c>
      <c r="W619" s="157">
        <f t="shared" si="123"/>
        <v>41600</v>
      </c>
      <c r="X619" s="157">
        <f t="shared" si="124"/>
        <v>41600</v>
      </c>
      <c r="Z619" s="218"/>
      <c r="AA619" s="253"/>
      <c r="AB619" s="288"/>
      <c r="AC619" s="289"/>
      <c r="AD619" s="289"/>
      <c r="AE619" s="291"/>
      <c r="AF619" s="189"/>
      <c r="AI619" s="240">
        <f t="shared" si="114"/>
        <v>1288240</v>
      </c>
    </row>
    <row r="620" spans="2:37" s="28" customFormat="1" ht="48.75" customHeight="1">
      <c r="B620" s="30"/>
      <c r="C620" s="313"/>
      <c r="D620" s="81" t="s">
        <v>164</v>
      </c>
      <c r="E620" s="81" t="s">
        <v>82</v>
      </c>
      <c r="F620" s="81"/>
      <c r="G620" s="81"/>
      <c r="H620" s="81" t="s">
        <v>161</v>
      </c>
      <c r="I620" s="79">
        <v>120</v>
      </c>
      <c r="J620" s="82">
        <v>1650000</v>
      </c>
      <c r="K620" s="82">
        <v>1650000</v>
      </c>
      <c r="L620" s="189">
        <v>1129440</v>
      </c>
      <c r="M620" s="189">
        <v>1129440</v>
      </c>
      <c r="N620" s="66">
        <f t="shared" si="119"/>
        <v>2779440</v>
      </c>
      <c r="O620" s="66">
        <f t="shared" si="120"/>
        <v>2779440</v>
      </c>
      <c r="P620" s="170" t="s">
        <v>384</v>
      </c>
      <c r="Q620" s="171">
        <f>VLOOKUP($P620,'[1]Format 3 Drayage by trip-ICD'!$H$238:$O$293,3,0)</f>
        <v>1650000</v>
      </c>
      <c r="R620" s="171">
        <f>VLOOKUP($P620,'[1]Format 3 Drayage by trip-ICD'!$H$238:$O$293,4,0)</f>
        <v>1650000</v>
      </c>
      <c r="S620" s="171">
        <f>VLOOKUP($P620,'[1]Format 3 Drayage by trip-ICD'!$H$238:$O$293,5,0)</f>
        <v>879840</v>
      </c>
      <c r="T620" s="171">
        <f>VLOOKUP($P620,'[1]Format 3 Drayage by trip-ICD'!$H$238:$O$293,6,0)</f>
        <v>879840</v>
      </c>
      <c r="U620" s="157">
        <f t="shared" si="121"/>
        <v>0</v>
      </c>
      <c r="V620" s="157">
        <f t="shared" si="122"/>
        <v>0</v>
      </c>
      <c r="W620" s="157">
        <f t="shared" si="123"/>
        <v>249600</v>
      </c>
      <c r="X620" s="157">
        <f t="shared" si="124"/>
        <v>249600</v>
      </c>
      <c r="Z620" s="218"/>
      <c r="AA620" s="253"/>
      <c r="AB620" s="288"/>
      <c r="AC620" s="289"/>
      <c r="AD620" s="289"/>
      <c r="AE620" s="291"/>
      <c r="AF620" s="189"/>
      <c r="AI620" s="240">
        <f t="shared" si="114"/>
        <v>2779440</v>
      </c>
    </row>
    <row r="621" spans="2:37" s="28" customFormat="1" ht="48.75" customHeight="1">
      <c r="B621" s="30"/>
      <c r="C621" s="313"/>
      <c r="D621" s="81" t="s">
        <v>161</v>
      </c>
      <c r="E621" s="81" t="s">
        <v>164</v>
      </c>
      <c r="F621" s="81"/>
      <c r="G621" s="81"/>
      <c r="H621" s="81"/>
      <c r="I621" s="79">
        <v>20</v>
      </c>
      <c r="J621" s="82">
        <v>1100000</v>
      </c>
      <c r="K621" s="82">
        <v>1100000</v>
      </c>
      <c r="L621" s="189">
        <v>188240</v>
      </c>
      <c r="M621" s="189">
        <v>188240</v>
      </c>
      <c r="N621" s="66">
        <f t="shared" si="119"/>
        <v>1288240</v>
      </c>
      <c r="O621" s="66">
        <f t="shared" si="120"/>
        <v>1288240</v>
      </c>
      <c r="P621" s="170" t="s">
        <v>230</v>
      </c>
      <c r="Q621" s="171">
        <f>VLOOKUP($P621,'[1]Format 3 Drayage by trip-ICD'!$H$238:$O$293,3,0)</f>
        <v>1100000</v>
      </c>
      <c r="R621" s="171">
        <f>VLOOKUP($P621,'[1]Format 3 Drayage by trip-ICD'!$H$238:$O$293,4,0)</f>
        <v>1100000</v>
      </c>
      <c r="S621" s="171">
        <f>VLOOKUP($P621,'[1]Format 3 Drayage by trip-ICD'!$H$238:$O$293,5,0)</f>
        <v>146640</v>
      </c>
      <c r="T621" s="171">
        <f>VLOOKUP($P621,'[1]Format 3 Drayage by trip-ICD'!$H$238:$O$293,6,0)</f>
        <v>146640</v>
      </c>
      <c r="U621" s="157">
        <f t="shared" si="121"/>
        <v>0</v>
      </c>
      <c r="V621" s="157">
        <f t="shared" si="122"/>
        <v>0</v>
      </c>
      <c r="W621" s="157">
        <f t="shared" si="123"/>
        <v>41600</v>
      </c>
      <c r="X621" s="157">
        <f t="shared" si="124"/>
        <v>41600</v>
      </c>
      <c r="Z621" s="218"/>
      <c r="AA621" s="253"/>
      <c r="AB621" s="288"/>
      <c r="AC621" s="289"/>
      <c r="AD621" s="289"/>
      <c r="AE621" s="291"/>
      <c r="AF621" s="189"/>
      <c r="AI621" s="240">
        <f t="shared" si="114"/>
        <v>1288240</v>
      </c>
    </row>
    <row r="622" spans="2:37" s="28" customFormat="1" ht="48.75" customHeight="1">
      <c r="B622" s="30"/>
      <c r="C622" s="313"/>
      <c r="D622" s="81" t="s">
        <v>164</v>
      </c>
      <c r="E622" s="81" t="s">
        <v>81</v>
      </c>
      <c r="F622" s="81"/>
      <c r="G622" s="81"/>
      <c r="H622" s="81" t="s">
        <v>161</v>
      </c>
      <c r="I622" s="79">
        <v>20</v>
      </c>
      <c r="J622" s="82">
        <v>1100000</v>
      </c>
      <c r="K622" s="82">
        <v>1100000</v>
      </c>
      <c r="L622" s="189">
        <v>188240</v>
      </c>
      <c r="M622" s="189">
        <v>188240</v>
      </c>
      <c r="N622" s="66">
        <f t="shared" si="119"/>
        <v>1288240</v>
      </c>
      <c r="O622" s="66">
        <f t="shared" si="120"/>
        <v>1288240</v>
      </c>
      <c r="P622" s="170" t="s">
        <v>385</v>
      </c>
      <c r="Q622" s="171">
        <f>VLOOKUP($P622,'[1]Format 3 Drayage by trip-ICD'!$H$238:$O$293,3,0)</f>
        <v>1100000</v>
      </c>
      <c r="R622" s="171">
        <f>VLOOKUP($P622,'[1]Format 3 Drayage by trip-ICD'!$H$238:$O$293,4,0)</f>
        <v>1100000</v>
      </c>
      <c r="S622" s="171">
        <f>VLOOKUP($P622,'[1]Format 3 Drayage by trip-ICD'!$H$238:$O$293,5,0)</f>
        <v>146640</v>
      </c>
      <c r="T622" s="171">
        <f>VLOOKUP($P622,'[1]Format 3 Drayage by trip-ICD'!$H$238:$O$293,6,0)</f>
        <v>146640</v>
      </c>
      <c r="U622" s="157">
        <f t="shared" si="121"/>
        <v>0</v>
      </c>
      <c r="V622" s="157">
        <f t="shared" si="122"/>
        <v>0</v>
      </c>
      <c r="W622" s="157">
        <f t="shared" si="123"/>
        <v>41600</v>
      </c>
      <c r="X622" s="157">
        <f t="shared" si="124"/>
        <v>41600</v>
      </c>
      <c r="Z622" s="218"/>
      <c r="AA622" s="253"/>
      <c r="AB622" s="288"/>
      <c r="AC622" s="289"/>
      <c r="AD622" s="289"/>
      <c r="AE622" s="291"/>
      <c r="AF622" s="189"/>
      <c r="AI622" s="240">
        <f t="shared" si="114"/>
        <v>1288240</v>
      </c>
    </row>
    <row r="623" spans="2:37" s="28" customFormat="1" ht="48.75" customHeight="1">
      <c r="B623" s="30"/>
      <c r="C623" s="313"/>
      <c r="D623" s="81" t="s">
        <v>161</v>
      </c>
      <c r="E623" s="81" t="s">
        <v>164</v>
      </c>
      <c r="F623" s="81"/>
      <c r="G623" s="81"/>
      <c r="H623" s="81"/>
      <c r="I623" s="79">
        <v>20</v>
      </c>
      <c r="J623" s="82">
        <v>1100000</v>
      </c>
      <c r="K623" s="82">
        <v>1100000</v>
      </c>
      <c r="L623" s="189">
        <v>188240</v>
      </c>
      <c r="M623" s="189">
        <v>188240</v>
      </c>
      <c r="N623" s="66">
        <f t="shared" si="119"/>
        <v>1288240</v>
      </c>
      <c r="O623" s="66">
        <f t="shared" si="120"/>
        <v>1288240</v>
      </c>
      <c r="P623" s="170" t="s">
        <v>230</v>
      </c>
      <c r="Q623" s="171">
        <f>VLOOKUP($P623,'[1]Format 3 Drayage by trip-ICD'!$H$238:$O$293,3,0)</f>
        <v>1100000</v>
      </c>
      <c r="R623" s="171">
        <f>VLOOKUP($P623,'[1]Format 3 Drayage by trip-ICD'!$H$238:$O$293,4,0)</f>
        <v>1100000</v>
      </c>
      <c r="S623" s="171">
        <f>VLOOKUP($P623,'[1]Format 3 Drayage by trip-ICD'!$H$238:$O$293,5,0)</f>
        <v>146640</v>
      </c>
      <c r="T623" s="171">
        <f>VLOOKUP($P623,'[1]Format 3 Drayage by trip-ICD'!$H$238:$O$293,6,0)</f>
        <v>146640</v>
      </c>
      <c r="U623" s="157">
        <f t="shared" si="121"/>
        <v>0</v>
      </c>
      <c r="V623" s="157">
        <f t="shared" si="122"/>
        <v>0</v>
      </c>
      <c r="W623" s="157">
        <f t="shared" si="123"/>
        <v>41600</v>
      </c>
      <c r="X623" s="157">
        <f t="shared" si="124"/>
        <v>41600</v>
      </c>
      <c r="Z623" s="218"/>
      <c r="AA623" s="253"/>
      <c r="AB623" s="288"/>
      <c r="AC623" s="289"/>
      <c r="AD623" s="289"/>
      <c r="AE623" s="291"/>
      <c r="AF623" s="189"/>
      <c r="AI623" s="240">
        <f t="shared" si="114"/>
        <v>1288240</v>
      </c>
    </row>
    <row r="624" spans="2:37" s="28" customFormat="1" ht="48.75" customHeight="1">
      <c r="B624" s="30"/>
      <c r="C624" s="313"/>
      <c r="D624" s="81" t="s">
        <v>164</v>
      </c>
      <c r="E624" s="81" t="s">
        <v>83</v>
      </c>
      <c r="F624" s="81"/>
      <c r="G624" s="81"/>
      <c r="H624" s="81" t="s">
        <v>161</v>
      </c>
      <c r="I624" s="79">
        <v>50</v>
      </c>
      <c r="J624" s="82">
        <v>1250000</v>
      </c>
      <c r="K624" s="82">
        <v>1250000</v>
      </c>
      <c r="L624" s="189">
        <v>470600</v>
      </c>
      <c r="M624" s="189">
        <v>470600</v>
      </c>
      <c r="N624" s="66">
        <f t="shared" si="119"/>
        <v>1720600</v>
      </c>
      <c r="O624" s="66">
        <f t="shared" si="120"/>
        <v>1720600</v>
      </c>
      <c r="P624" s="170" t="s">
        <v>386</v>
      </c>
      <c r="Q624" s="171">
        <f>VLOOKUP($P624,'[1]Format 3 Drayage by trip-ICD'!$H$238:$O$293,3,0)</f>
        <v>1250000</v>
      </c>
      <c r="R624" s="171">
        <f>VLOOKUP($P624,'[1]Format 3 Drayage by trip-ICD'!$H$238:$O$293,4,0)</f>
        <v>1250000</v>
      </c>
      <c r="S624" s="171">
        <f>VLOOKUP($P624,'[1]Format 3 Drayage by trip-ICD'!$H$238:$O$293,5,0)</f>
        <v>366600</v>
      </c>
      <c r="T624" s="171">
        <f>VLOOKUP($P624,'[1]Format 3 Drayage by trip-ICD'!$H$238:$O$293,6,0)</f>
        <v>366600</v>
      </c>
      <c r="U624" s="157">
        <f t="shared" si="121"/>
        <v>0</v>
      </c>
      <c r="V624" s="157">
        <f t="shared" si="122"/>
        <v>0</v>
      </c>
      <c r="W624" s="157">
        <f t="shared" si="123"/>
        <v>104000</v>
      </c>
      <c r="X624" s="157">
        <f t="shared" si="124"/>
        <v>104000</v>
      </c>
      <c r="Z624" s="218"/>
      <c r="AA624" s="253"/>
      <c r="AB624" s="288"/>
      <c r="AC624" s="289"/>
      <c r="AD624" s="289"/>
      <c r="AE624" s="291"/>
      <c r="AF624" s="189"/>
      <c r="AI624" s="240">
        <f t="shared" si="114"/>
        <v>1720600</v>
      </c>
    </row>
    <row r="625" spans="2:35" s="28" customFormat="1" ht="48.75" customHeight="1">
      <c r="B625" s="30"/>
      <c r="C625" s="313"/>
      <c r="D625" s="81" t="s">
        <v>161</v>
      </c>
      <c r="E625" s="81" t="s">
        <v>165</v>
      </c>
      <c r="F625" s="81"/>
      <c r="G625" s="81"/>
      <c r="H625" s="81"/>
      <c r="I625" s="79">
        <v>30</v>
      </c>
      <c r="J625" s="82">
        <v>1100000</v>
      </c>
      <c r="K625" s="82">
        <v>1100000</v>
      </c>
      <c r="L625" s="189">
        <v>282360</v>
      </c>
      <c r="M625" s="189">
        <v>282360</v>
      </c>
      <c r="N625" s="66">
        <f t="shared" si="119"/>
        <v>1382360</v>
      </c>
      <c r="O625" s="66">
        <f t="shared" si="120"/>
        <v>1382360</v>
      </c>
      <c r="P625" s="170" t="s">
        <v>234</v>
      </c>
      <c r="Q625" s="171">
        <f>VLOOKUP($P625,'[1]Format 3 Drayage by trip-ICD'!$H$238:$O$293,3,0)</f>
        <v>1100000</v>
      </c>
      <c r="R625" s="171">
        <f>VLOOKUP($P625,'[1]Format 3 Drayage by trip-ICD'!$H$238:$O$293,4,0)</f>
        <v>1100000</v>
      </c>
      <c r="S625" s="171">
        <f>VLOOKUP($P625,'[1]Format 3 Drayage by trip-ICD'!$H$238:$O$293,5,0)</f>
        <v>219960</v>
      </c>
      <c r="T625" s="171">
        <f>VLOOKUP($P625,'[1]Format 3 Drayage by trip-ICD'!$H$238:$O$293,6,0)</f>
        <v>219960</v>
      </c>
      <c r="U625" s="157">
        <f t="shared" si="121"/>
        <v>0</v>
      </c>
      <c r="V625" s="157">
        <f t="shared" si="122"/>
        <v>0</v>
      </c>
      <c r="W625" s="157">
        <f t="shared" si="123"/>
        <v>62400</v>
      </c>
      <c r="X625" s="157">
        <f t="shared" si="124"/>
        <v>62400</v>
      </c>
      <c r="Z625" s="218"/>
      <c r="AA625" s="253"/>
      <c r="AB625" s="288"/>
      <c r="AC625" s="289"/>
      <c r="AD625" s="289"/>
      <c r="AE625" s="291"/>
      <c r="AF625" s="189"/>
      <c r="AI625" s="240">
        <f t="shared" si="114"/>
        <v>1382360</v>
      </c>
    </row>
    <row r="626" spans="2:35" s="28" customFormat="1" ht="48.75" customHeight="1">
      <c r="B626" s="30"/>
      <c r="C626" s="313"/>
      <c r="D626" s="81" t="s">
        <v>165</v>
      </c>
      <c r="E626" s="81" t="s">
        <v>82</v>
      </c>
      <c r="F626" s="81"/>
      <c r="G626" s="81"/>
      <c r="H626" s="81" t="s">
        <v>161</v>
      </c>
      <c r="I626" s="79">
        <v>120</v>
      </c>
      <c r="J626" s="82">
        <v>1650000</v>
      </c>
      <c r="K626" s="82">
        <v>1650000</v>
      </c>
      <c r="L626" s="189">
        <v>1129440</v>
      </c>
      <c r="M626" s="189">
        <v>1129440</v>
      </c>
      <c r="N626" s="66">
        <f t="shared" si="119"/>
        <v>2779440</v>
      </c>
      <c r="O626" s="66">
        <f t="shared" si="120"/>
        <v>2779440</v>
      </c>
      <c r="P626" s="170" t="s">
        <v>387</v>
      </c>
      <c r="Q626" s="171">
        <f>VLOOKUP($P626,'[1]Format 3 Drayage by trip-ICD'!$H$238:$O$293,3,0)</f>
        <v>1650000</v>
      </c>
      <c r="R626" s="171">
        <f>VLOOKUP($P626,'[1]Format 3 Drayage by trip-ICD'!$H$238:$O$293,4,0)</f>
        <v>1650000</v>
      </c>
      <c r="S626" s="171">
        <f>VLOOKUP($P626,'[1]Format 3 Drayage by trip-ICD'!$H$238:$O$293,5,0)</f>
        <v>879840</v>
      </c>
      <c r="T626" s="171">
        <f>VLOOKUP($P626,'[1]Format 3 Drayage by trip-ICD'!$H$238:$O$293,6,0)</f>
        <v>879840</v>
      </c>
      <c r="U626" s="157">
        <f t="shared" si="121"/>
        <v>0</v>
      </c>
      <c r="V626" s="157">
        <f t="shared" si="122"/>
        <v>0</v>
      </c>
      <c r="W626" s="157">
        <f t="shared" si="123"/>
        <v>249600</v>
      </c>
      <c r="X626" s="157">
        <f t="shared" si="124"/>
        <v>249600</v>
      </c>
      <c r="Z626" s="218"/>
      <c r="AA626" s="253"/>
      <c r="AB626" s="288"/>
      <c r="AC626" s="289"/>
      <c r="AD626" s="289"/>
      <c r="AE626" s="291"/>
      <c r="AF626" s="189"/>
      <c r="AI626" s="240">
        <f t="shared" si="114"/>
        <v>2779440</v>
      </c>
    </row>
    <row r="627" spans="2:35" s="28" customFormat="1" ht="48.75" customHeight="1">
      <c r="B627" s="30"/>
      <c r="C627" s="313"/>
      <c r="D627" s="81" t="s">
        <v>161</v>
      </c>
      <c r="E627" s="81" t="s">
        <v>165</v>
      </c>
      <c r="F627" s="81"/>
      <c r="G627" s="81"/>
      <c r="H627" s="81"/>
      <c r="I627" s="79">
        <v>30</v>
      </c>
      <c r="J627" s="82">
        <v>1100000</v>
      </c>
      <c r="K627" s="82">
        <v>1100000</v>
      </c>
      <c r="L627" s="189">
        <v>282360</v>
      </c>
      <c r="M627" s="189">
        <v>282360</v>
      </c>
      <c r="N627" s="66">
        <f t="shared" si="119"/>
        <v>1382360</v>
      </c>
      <c r="O627" s="66">
        <f t="shared" si="120"/>
        <v>1382360</v>
      </c>
      <c r="P627" s="170" t="s">
        <v>234</v>
      </c>
      <c r="Q627" s="171">
        <f>VLOOKUP($P627,'[1]Format 3 Drayage by trip-ICD'!$H$238:$O$293,3,0)</f>
        <v>1100000</v>
      </c>
      <c r="R627" s="171">
        <f>VLOOKUP($P627,'[1]Format 3 Drayage by trip-ICD'!$H$238:$O$293,4,0)</f>
        <v>1100000</v>
      </c>
      <c r="S627" s="171">
        <f>VLOOKUP($P627,'[1]Format 3 Drayage by trip-ICD'!$H$238:$O$293,5,0)</f>
        <v>219960</v>
      </c>
      <c r="T627" s="171">
        <f>VLOOKUP($P627,'[1]Format 3 Drayage by trip-ICD'!$H$238:$O$293,6,0)</f>
        <v>219960</v>
      </c>
      <c r="U627" s="157">
        <f t="shared" si="121"/>
        <v>0</v>
      </c>
      <c r="V627" s="157">
        <f t="shared" si="122"/>
        <v>0</v>
      </c>
      <c r="W627" s="157">
        <f t="shared" si="123"/>
        <v>62400</v>
      </c>
      <c r="X627" s="157">
        <f t="shared" si="124"/>
        <v>62400</v>
      </c>
      <c r="Z627" s="218"/>
      <c r="AA627" s="253"/>
      <c r="AB627" s="288"/>
      <c r="AC627" s="289"/>
      <c r="AD627" s="289"/>
      <c r="AE627" s="291"/>
      <c r="AF627" s="189"/>
      <c r="AI627" s="240">
        <f t="shared" si="114"/>
        <v>1382360</v>
      </c>
    </row>
    <row r="628" spans="2:35" s="28" customFormat="1" ht="48.75" customHeight="1">
      <c r="B628" s="30"/>
      <c r="C628" s="313"/>
      <c r="D628" s="81" t="s">
        <v>165</v>
      </c>
      <c r="E628" s="81" t="s">
        <v>81</v>
      </c>
      <c r="F628" s="81"/>
      <c r="G628" s="81"/>
      <c r="H628" s="81" t="s">
        <v>161</v>
      </c>
      <c r="I628" s="79">
        <v>50</v>
      </c>
      <c r="J628" s="82">
        <v>1250000</v>
      </c>
      <c r="K628" s="82">
        <v>1250000</v>
      </c>
      <c r="L628" s="189">
        <v>470600</v>
      </c>
      <c r="M628" s="189">
        <v>470600</v>
      </c>
      <c r="N628" s="66">
        <f t="shared" si="119"/>
        <v>1720600</v>
      </c>
      <c r="O628" s="66">
        <f t="shared" si="120"/>
        <v>1720600</v>
      </c>
      <c r="P628" s="170" t="s">
        <v>388</v>
      </c>
      <c r="Q628" s="171">
        <f>VLOOKUP($P628,'[1]Format 3 Drayage by trip-ICD'!$H$238:$O$293,3,0)</f>
        <v>1250000</v>
      </c>
      <c r="R628" s="171">
        <f>VLOOKUP($P628,'[1]Format 3 Drayage by trip-ICD'!$H$238:$O$293,4,0)</f>
        <v>1250000</v>
      </c>
      <c r="S628" s="171">
        <f>VLOOKUP($P628,'[1]Format 3 Drayage by trip-ICD'!$H$238:$O$293,5,0)</f>
        <v>366600</v>
      </c>
      <c r="T628" s="171">
        <f>VLOOKUP($P628,'[1]Format 3 Drayage by trip-ICD'!$H$238:$O$293,6,0)</f>
        <v>366600</v>
      </c>
      <c r="U628" s="157">
        <f t="shared" si="121"/>
        <v>0</v>
      </c>
      <c r="V628" s="157">
        <f t="shared" si="122"/>
        <v>0</v>
      </c>
      <c r="W628" s="157">
        <f t="shared" si="123"/>
        <v>104000</v>
      </c>
      <c r="X628" s="157">
        <f t="shared" si="124"/>
        <v>104000</v>
      </c>
      <c r="Z628" s="218"/>
      <c r="AA628" s="253"/>
      <c r="AB628" s="288"/>
      <c r="AC628" s="289"/>
      <c r="AD628" s="289"/>
      <c r="AE628" s="291"/>
      <c r="AF628" s="189"/>
      <c r="AI628" s="240">
        <f t="shared" si="114"/>
        <v>1720600</v>
      </c>
    </row>
    <row r="629" spans="2:35" s="28" customFormat="1" ht="48.75" customHeight="1">
      <c r="B629" s="30"/>
      <c r="C629" s="313"/>
      <c r="D629" s="81" t="s">
        <v>161</v>
      </c>
      <c r="E629" s="81" t="s">
        <v>165</v>
      </c>
      <c r="F629" s="81"/>
      <c r="G629" s="81"/>
      <c r="H629" s="81"/>
      <c r="I629" s="79">
        <v>30</v>
      </c>
      <c r="J629" s="82">
        <v>1100000</v>
      </c>
      <c r="K629" s="82">
        <v>1100000</v>
      </c>
      <c r="L629" s="189">
        <v>282360</v>
      </c>
      <c r="M629" s="189">
        <v>282360</v>
      </c>
      <c r="N629" s="66">
        <f t="shared" si="119"/>
        <v>1382360</v>
      </c>
      <c r="O629" s="66">
        <f t="shared" si="120"/>
        <v>1382360</v>
      </c>
      <c r="P629" s="170" t="s">
        <v>234</v>
      </c>
      <c r="Q629" s="171">
        <f>VLOOKUP($P629,'[1]Format 3 Drayage by trip-ICD'!$H$238:$O$293,3,0)</f>
        <v>1100000</v>
      </c>
      <c r="R629" s="171">
        <f>VLOOKUP($P629,'[1]Format 3 Drayage by trip-ICD'!$H$238:$O$293,4,0)</f>
        <v>1100000</v>
      </c>
      <c r="S629" s="171">
        <f>VLOOKUP($P629,'[1]Format 3 Drayage by trip-ICD'!$H$238:$O$293,5,0)</f>
        <v>219960</v>
      </c>
      <c r="T629" s="171">
        <f>VLOOKUP($P629,'[1]Format 3 Drayage by trip-ICD'!$H$238:$O$293,6,0)</f>
        <v>219960</v>
      </c>
      <c r="U629" s="157">
        <f t="shared" si="121"/>
        <v>0</v>
      </c>
      <c r="V629" s="157">
        <f t="shared" si="122"/>
        <v>0</v>
      </c>
      <c r="W629" s="157">
        <f t="shared" si="123"/>
        <v>62400</v>
      </c>
      <c r="X629" s="157">
        <f t="shared" si="124"/>
        <v>62400</v>
      </c>
      <c r="Z629" s="218"/>
      <c r="AA629" s="253"/>
      <c r="AB629" s="288"/>
      <c r="AC629" s="289"/>
      <c r="AD629" s="289"/>
      <c r="AE629" s="291"/>
      <c r="AF629" s="189"/>
      <c r="AI629" s="240">
        <f t="shared" si="114"/>
        <v>1382360</v>
      </c>
    </row>
    <row r="630" spans="2:35" s="28" customFormat="1" ht="48.75" customHeight="1">
      <c r="B630" s="30"/>
      <c r="C630" s="314"/>
      <c r="D630" s="81" t="s">
        <v>165</v>
      </c>
      <c r="E630" s="81" t="s">
        <v>83</v>
      </c>
      <c r="F630" s="81"/>
      <c r="G630" s="81"/>
      <c r="H630" s="81" t="s">
        <v>161</v>
      </c>
      <c r="I630" s="79">
        <v>30</v>
      </c>
      <c r="J630" s="82">
        <v>1100000</v>
      </c>
      <c r="K630" s="82">
        <v>1100000</v>
      </c>
      <c r="L630" s="189">
        <v>282360</v>
      </c>
      <c r="M630" s="189">
        <v>282360</v>
      </c>
      <c r="N630" s="66">
        <f t="shared" si="119"/>
        <v>1382360</v>
      </c>
      <c r="O630" s="66">
        <f t="shared" si="120"/>
        <v>1382360</v>
      </c>
      <c r="P630" s="170" t="s">
        <v>389</v>
      </c>
      <c r="Q630" s="171">
        <f>VLOOKUP($P630,'[1]Format 3 Drayage by trip-ICD'!$H$238:$O$293,3,0)</f>
        <v>1100000</v>
      </c>
      <c r="R630" s="171">
        <f>VLOOKUP($P630,'[1]Format 3 Drayage by trip-ICD'!$H$238:$O$293,4,0)</f>
        <v>1100000</v>
      </c>
      <c r="S630" s="171">
        <f>VLOOKUP($P630,'[1]Format 3 Drayage by trip-ICD'!$H$238:$O$293,5,0)</f>
        <v>219960</v>
      </c>
      <c r="T630" s="171">
        <f>VLOOKUP($P630,'[1]Format 3 Drayage by trip-ICD'!$H$238:$O$293,6,0)</f>
        <v>219960</v>
      </c>
      <c r="U630" s="157">
        <f t="shared" si="121"/>
        <v>0</v>
      </c>
      <c r="V630" s="157">
        <f t="shared" si="122"/>
        <v>0</v>
      </c>
      <c r="W630" s="157">
        <f t="shared" si="123"/>
        <v>62400</v>
      </c>
      <c r="X630" s="157">
        <f t="shared" si="124"/>
        <v>62400</v>
      </c>
      <c r="Z630" s="218"/>
      <c r="AA630" s="253"/>
      <c r="AB630" s="288"/>
      <c r="AC630" s="289"/>
      <c r="AD630" s="289"/>
      <c r="AE630" s="291"/>
      <c r="AF630" s="189"/>
      <c r="AI630" s="240">
        <f t="shared" si="114"/>
        <v>1382360</v>
      </c>
    </row>
    <row r="631" spans="2:35" s="28" customFormat="1" ht="48.75" customHeight="1">
      <c r="B631" s="30"/>
      <c r="C631" s="312" t="s">
        <v>57</v>
      </c>
      <c r="D631" s="81" t="s">
        <v>132</v>
      </c>
      <c r="E631" s="81" t="s">
        <v>82</v>
      </c>
      <c r="F631" s="81"/>
      <c r="G631" s="81"/>
      <c r="H631" s="81" t="s">
        <v>161</v>
      </c>
      <c r="I631" s="79">
        <v>80</v>
      </c>
      <c r="J631" s="82">
        <v>1800000</v>
      </c>
      <c r="K631" s="82">
        <v>1800000</v>
      </c>
      <c r="L631" s="189">
        <v>752960</v>
      </c>
      <c r="M631" s="189">
        <v>752960</v>
      </c>
      <c r="N631" s="66">
        <f t="shared" si="119"/>
        <v>2552960</v>
      </c>
      <c r="O631" s="66">
        <f t="shared" si="120"/>
        <v>2552960</v>
      </c>
      <c r="P631" s="170" t="s">
        <v>390</v>
      </c>
      <c r="Q631" s="171">
        <f>VLOOKUP($P631,'[1]Format 3 Drayage by trip-ICD'!$H$238:$O$293,3,0)</f>
        <v>1800000</v>
      </c>
      <c r="R631" s="171">
        <f>VLOOKUP($P631,'[1]Format 3 Drayage by trip-ICD'!$H$238:$O$293,4,0)</f>
        <v>1800000</v>
      </c>
      <c r="S631" s="171">
        <f>VLOOKUP($P631,'[1]Format 3 Drayage by trip-ICD'!$H$238:$O$293,5,0)</f>
        <v>586560</v>
      </c>
      <c r="T631" s="171">
        <f>VLOOKUP($P631,'[1]Format 3 Drayage by trip-ICD'!$H$238:$O$293,6,0)</f>
        <v>586560</v>
      </c>
      <c r="U631" s="157">
        <f t="shared" si="121"/>
        <v>0</v>
      </c>
      <c r="V631" s="157">
        <f t="shared" si="122"/>
        <v>0</v>
      </c>
      <c r="W631" s="157">
        <f t="shared" si="123"/>
        <v>166400</v>
      </c>
      <c r="X631" s="157">
        <f t="shared" si="124"/>
        <v>166400</v>
      </c>
      <c r="Z631" s="218"/>
      <c r="AA631" s="253"/>
      <c r="AB631" s="288"/>
      <c r="AC631" s="289"/>
      <c r="AD631" s="289"/>
      <c r="AE631" s="291"/>
      <c r="AF631" s="189"/>
      <c r="AI631" s="240">
        <f t="shared" si="114"/>
        <v>2552960</v>
      </c>
    </row>
    <row r="632" spans="2:35" s="28" customFormat="1" ht="48.75" customHeight="1">
      <c r="B632" s="30"/>
      <c r="C632" s="313"/>
      <c r="D632" s="81" t="s">
        <v>132</v>
      </c>
      <c r="E632" s="81" t="s">
        <v>81</v>
      </c>
      <c r="F632" s="81"/>
      <c r="G632" s="81"/>
      <c r="H632" s="81" t="s">
        <v>161</v>
      </c>
      <c r="I632" s="79">
        <v>70</v>
      </c>
      <c r="J632" s="82">
        <v>1600000</v>
      </c>
      <c r="K632" s="82">
        <v>1600000</v>
      </c>
      <c r="L632" s="189">
        <v>658840</v>
      </c>
      <c r="M632" s="189">
        <v>658840</v>
      </c>
      <c r="N632" s="66">
        <f t="shared" si="119"/>
        <v>2258840</v>
      </c>
      <c r="O632" s="66">
        <f t="shared" si="120"/>
        <v>2258840</v>
      </c>
      <c r="P632" s="170" t="s">
        <v>391</v>
      </c>
      <c r="Q632" s="171">
        <f>VLOOKUP($P632,'[1]Format 3 Drayage by trip-ICD'!$H$238:$O$293,3,0)</f>
        <v>1600000</v>
      </c>
      <c r="R632" s="171">
        <f>VLOOKUP($P632,'[1]Format 3 Drayage by trip-ICD'!$H$238:$O$293,4,0)</f>
        <v>1600000</v>
      </c>
      <c r="S632" s="171">
        <f>VLOOKUP($P632,'[1]Format 3 Drayage by trip-ICD'!$H$238:$O$293,5,0)</f>
        <v>513240</v>
      </c>
      <c r="T632" s="171">
        <f>VLOOKUP($P632,'[1]Format 3 Drayage by trip-ICD'!$H$238:$O$293,6,0)</f>
        <v>513240</v>
      </c>
      <c r="U632" s="157">
        <f t="shared" si="121"/>
        <v>0</v>
      </c>
      <c r="V632" s="157">
        <f t="shared" si="122"/>
        <v>0</v>
      </c>
      <c r="W632" s="157">
        <f t="shared" si="123"/>
        <v>145600</v>
      </c>
      <c r="X632" s="157">
        <f t="shared" si="124"/>
        <v>145600</v>
      </c>
      <c r="Z632" s="218"/>
      <c r="AA632" s="253"/>
      <c r="AB632" s="288"/>
      <c r="AC632" s="289"/>
      <c r="AD632" s="289"/>
      <c r="AE632" s="291"/>
      <c r="AF632" s="189"/>
      <c r="AI632" s="240">
        <f t="shared" si="114"/>
        <v>2258840</v>
      </c>
    </row>
    <row r="633" spans="2:35" s="28" customFormat="1" ht="48.75" customHeight="1">
      <c r="B633" s="30"/>
      <c r="C633" s="313"/>
      <c r="D633" s="81" t="s">
        <v>132</v>
      </c>
      <c r="E633" s="81" t="s">
        <v>83</v>
      </c>
      <c r="F633" s="81"/>
      <c r="G633" s="81"/>
      <c r="H633" s="81" t="s">
        <v>161</v>
      </c>
      <c r="I633" s="79">
        <v>80</v>
      </c>
      <c r="J633" s="82">
        <v>1600000</v>
      </c>
      <c r="K633" s="82">
        <v>1600000</v>
      </c>
      <c r="L633" s="189">
        <v>752960</v>
      </c>
      <c r="M633" s="189">
        <v>752960</v>
      </c>
      <c r="N633" s="66">
        <f t="shared" si="119"/>
        <v>2352960</v>
      </c>
      <c r="O633" s="66">
        <f t="shared" si="120"/>
        <v>2352960</v>
      </c>
      <c r="P633" s="170" t="s">
        <v>392</v>
      </c>
      <c r="Q633" s="171">
        <f>VLOOKUP($P633,'[1]Format 3 Drayage by trip-ICD'!$H$238:$O$293,3,0)</f>
        <v>1600000</v>
      </c>
      <c r="R633" s="171">
        <f>VLOOKUP($P633,'[1]Format 3 Drayage by trip-ICD'!$H$238:$O$293,4,0)</f>
        <v>1600000</v>
      </c>
      <c r="S633" s="171">
        <f>VLOOKUP($P633,'[1]Format 3 Drayage by trip-ICD'!$H$238:$O$293,5,0)</f>
        <v>586560</v>
      </c>
      <c r="T633" s="171">
        <f>VLOOKUP($P633,'[1]Format 3 Drayage by trip-ICD'!$H$238:$O$293,6,0)</f>
        <v>586560</v>
      </c>
      <c r="U633" s="157">
        <f t="shared" si="121"/>
        <v>0</v>
      </c>
      <c r="V633" s="157">
        <f t="shared" si="122"/>
        <v>0</v>
      </c>
      <c r="W633" s="157">
        <f t="shared" si="123"/>
        <v>166400</v>
      </c>
      <c r="X633" s="157">
        <f t="shared" si="124"/>
        <v>166400</v>
      </c>
      <c r="Z633" s="218"/>
      <c r="AA633" s="253"/>
      <c r="AB633" s="288"/>
      <c r="AC633" s="289"/>
      <c r="AD633" s="289"/>
      <c r="AE633" s="291"/>
      <c r="AF633" s="189"/>
      <c r="AI633" s="240">
        <f t="shared" si="114"/>
        <v>2352960</v>
      </c>
    </row>
    <row r="634" spans="2:35" s="28" customFormat="1" ht="48.75" customHeight="1">
      <c r="B634" s="30"/>
      <c r="C634" s="313"/>
      <c r="D634" s="81" t="s">
        <v>93</v>
      </c>
      <c r="E634" s="81" t="s">
        <v>82</v>
      </c>
      <c r="F634" s="81"/>
      <c r="G634" s="81"/>
      <c r="H634" s="81" t="s">
        <v>161</v>
      </c>
      <c r="I634" s="79">
        <v>150</v>
      </c>
      <c r="J634" s="82">
        <v>2280000</v>
      </c>
      <c r="K634" s="82">
        <v>2280000</v>
      </c>
      <c r="L634" s="189">
        <v>1411800</v>
      </c>
      <c r="M634" s="189">
        <v>1411800</v>
      </c>
      <c r="N634" s="66">
        <f t="shared" si="119"/>
        <v>3691800</v>
      </c>
      <c r="O634" s="66">
        <f t="shared" si="120"/>
        <v>3691800</v>
      </c>
      <c r="P634" s="170" t="s">
        <v>393</v>
      </c>
      <c r="Q634" s="171">
        <f>VLOOKUP($P634,'[1]Format 3 Drayage by trip-ICD'!$H$238:$O$293,3,0)</f>
        <v>2280000</v>
      </c>
      <c r="R634" s="171">
        <f>VLOOKUP($P634,'[1]Format 3 Drayage by trip-ICD'!$H$238:$O$293,4,0)</f>
        <v>2280000</v>
      </c>
      <c r="S634" s="171">
        <f>VLOOKUP($P634,'[1]Format 3 Drayage by trip-ICD'!$H$238:$O$293,5,0)</f>
        <v>1099800</v>
      </c>
      <c r="T634" s="171">
        <f>VLOOKUP($P634,'[1]Format 3 Drayage by trip-ICD'!$H$238:$O$293,6,0)</f>
        <v>1099800</v>
      </c>
      <c r="U634" s="157">
        <f t="shared" si="121"/>
        <v>0</v>
      </c>
      <c r="V634" s="157">
        <f t="shared" si="122"/>
        <v>0</v>
      </c>
      <c r="W634" s="157">
        <f t="shared" si="123"/>
        <v>312000</v>
      </c>
      <c r="X634" s="157">
        <f t="shared" si="124"/>
        <v>312000</v>
      </c>
      <c r="Z634" s="218"/>
      <c r="AA634" s="253"/>
      <c r="AB634" s="288"/>
      <c r="AC634" s="289"/>
      <c r="AD634" s="289"/>
      <c r="AE634" s="291"/>
      <c r="AF634" s="189"/>
      <c r="AI634" s="240">
        <f t="shared" si="114"/>
        <v>3691800</v>
      </c>
    </row>
    <row r="635" spans="2:35" s="28" customFormat="1" ht="48.75" customHeight="1">
      <c r="B635" s="30"/>
      <c r="C635" s="313"/>
      <c r="D635" s="81" t="s">
        <v>93</v>
      </c>
      <c r="E635" s="81" t="s">
        <v>81</v>
      </c>
      <c r="F635" s="81"/>
      <c r="G635" s="81"/>
      <c r="H635" s="81" t="s">
        <v>161</v>
      </c>
      <c r="I635" s="79">
        <v>60</v>
      </c>
      <c r="J635" s="82">
        <v>1600000</v>
      </c>
      <c r="K635" s="82">
        <v>1600000</v>
      </c>
      <c r="L635" s="189">
        <v>564720</v>
      </c>
      <c r="M635" s="189">
        <v>564720</v>
      </c>
      <c r="N635" s="66">
        <f t="shared" si="119"/>
        <v>2164720</v>
      </c>
      <c r="O635" s="66">
        <f t="shared" si="120"/>
        <v>2164720</v>
      </c>
      <c r="P635" s="170" t="s">
        <v>394</v>
      </c>
      <c r="Q635" s="171">
        <f>VLOOKUP($P635,'[1]Format 3 Drayage by trip-ICD'!$H$238:$O$293,3,0)</f>
        <v>1600000</v>
      </c>
      <c r="R635" s="171">
        <f>VLOOKUP($P635,'[1]Format 3 Drayage by trip-ICD'!$H$238:$O$293,4,0)</f>
        <v>1600000</v>
      </c>
      <c r="S635" s="171">
        <f>VLOOKUP($P635,'[1]Format 3 Drayage by trip-ICD'!$H$238:$O$293,5,0)</f>
        <v>439920</v>
      </c>
      <c r="T635" s="171">
        <f>VLOOKUP($P635,'[1]Format 3 Drayage by trip-ICD'!$H$238:$O$293,6,0)</f>
        <v>439920</v>
      </c>
      <c r="U635" s="157">
        <f t="shared" si="121"/>
        <v>0</v>
      </c>
      <c r="V635" s="157">
        <f t="shared" si="122"/>
        <v>0</v>
      </c>
      <c r="W635" s="157">
        <f t="shared" si="123"/>
        <v>124800</v>
      </c>
      <c r="X635" s="157">
        <f t="shared" si="124"/>
        <v>124800</v>
      </c>
      <c r="Z635" s="218"/>
      <c r="AA635" s="253"/>
      <c r="AB635" s="288"/>
      <c r="AC635" s="289"/>
      <c r="AD635" s="289"/>
      <c r="AE635" s="291"/>
      <c r="AF635" s="189"/>
      <c r="AI635" s="240">
        <f t="shared" si="114"/>
        <v>2164720</v>
      </c>
    </row>
    <row r="636" spans="2:35" s="28" customFormat="1" ht="48.75" customHeight="1">
      <c r="B636" s="30"/>
      <c r="C636" s="313"/>
      <c r="D636" s="81" t="s">
        <v>93</v>
      </c>
      <c r="E636" s="81" t="s">
        <v>83</v>
      </c>
      <c r="F636" s="81"/>
      <c r="G636" s="81"/>
      <c r="H636" s="81" t="s">
        <v>161</v>
      </c>
      <c r="I636" s="79">
        <v>70</v>
      </c>
      <c r="J636" s="82">
        <v>1600000</v>
      </c>
      <c r="K636" s="82">
        <v>1600000</v>
      </c>
      <c r="L636" s="189">
        <v>658840</v>
      </c>
      <c r="M636" s="189">
        <v>658840</v>
      </c>
      <c r="N636" s="66">
        <f t="shared" si="119"/>
        <v>2258840</v>
      </c>
      <c r="O636" s="66">
        <f t="shared" si="120"/>
        <v>2258840</v>
      </c>
      <c r="P636" s="170" t="s">
        <v>395</v>
      </c>
      <c r="Q636" s="171">
        <f>VLOOKUP($P636,'[1]Format 3 Drayage by trip-ICD'!$H$238:$O$293,3,0)</f>
        <v>1600000</v>
      </c>
      <c r="R636" s="171">
        <f>VLOOKUP($P636,'[1]Format 3 Drayage by trip-ICD'!$H$238:$O$293,4,0)</f>
        <v>1600000</v>
      </c>
      <c r="S636" s="171">
        <f>VLOOKUP($P636,'[1]Format 3 Drayage by trip-ICD'!$H$238:$O$293,5,0)</f>
        <v>513240</v>
      </c>
      <c r="T636" s="171">
        <f>VLOOKUP($P636,'[1]Format 3 Drayage by trip-ICD'!$H$238:$O$293,6,0)</f>
        <v>513240</v>
      </c>
      <c r="U636" s="157">
        <f t="shared" si="121"/>
        <v>0</v>
      </c>
      <c r="V636" s="157">
        <f t="shared" si="122"/>
        <v>0</v>
      </c>
      <c r="W636" s="157">
        <f t="shared" si="123"/>
        <v>145600</v>
      </c>
      <c r="X636" s="157">
        <f t="shared" si="124"/>
        <v>145600</v>
      </c>
      <c r="Z636" s="218"/>
      <c r="AA636" s="253"/>
      <c r="AB636" s="288"/>
      <c r="AC636" s="289"/>
      <c r="AD636" s="289"/>
      <c r="AE636" s="291"/>
      <c r="AF636" s="189"/>
      <c r="AI636" s="240">
        <f t="shared" si="114"/>
        <v>2258840</v>
      </c>
    </row>
    <row r="637" spans="2:35" s="28" customFormat="1" ht="48.75" customHeight="1">
      <c r="B637" s="30"/>
      <c r="C637" s="313"/>
      <c r="D637" s="81" t="s">
        <v>94</v>
      </c>
      <c r="E637" s="81" t="s">
        <v>82</v>
      </c>
      <c r="F637" s="81"/>
      <c r="G637" s="81"/>
      <c r="H637" s="81" t="s">
        <v>161</v>
      </c>
      <c r="I637" s="79">
        <v>110</v>
      </c>
      <c r="J637" s="82">
        <v>2280000</v>
      </c>
      <c r="K637" s="82">
        <v>2280000</v>
      </c>
      <c r="L637" s="189">
        <v>1035320</v>
      </c>
      <c r="M637" s="189">
        <v>1035320</v>
      </c>
      <c r="N637" s="66">
        <f t="shared" si="119"/>
        <v>3315320</v>
      </c>
      <c r="O637" s="66">
        <f t="shared" si="120"/>
        <v>3315320</v>
      </c>
      <c r="P637" s="170" t="s">
        <v>396</v>
      </c>
      <c r="Q637" s="171">
        <f>VLOOKUP($P637,'[1]Format 3 Drayage by trip-ICD'!$H$238:$O$293,3,0)</f>
        <v>2280000</v>
      </c>
      <c r="R637" s="171">
        <f>VLOOKUP($P637,'[1]Format 3 Drayage by trip-ICD'!$H$238:$O$293,4,0)</f>
        <v>2280000</v>
      </c>
      <c r="S637" s="171">
        <f>VLOOKUP($P637,'[1]Format 3 Drayage by trip-ICD'!$H$238:$O$293,5,0)</f>
        <v>806520</v>
      </c>
      <c r="T637" s="171">
        <f>VLOOKUP($P637,'[1]Format 3 Drayage by trip-ICD'!$H$238:$O$293,6,0)</f>
        <v>806520</v>
      </c>
      <c r="U637" s="157">
        <f t="shared" si="121"/>
        <v>0</v>
      </c>
      <c r="V637" s="157">
        <f t="shared" si="122"/>
        <v>0</v>
      </c>
      <c r="W637" s="157">
        <f t="shared" si="123"/>
        <v>228800</v>
      </c>
      <c r="X637" s="157">
        <f t="shared" si="124"/>
        <v>228800</v>
      </c>
      <c r="Z637" s="218"/>
      <c r="AA637" s="253"/>
      <c r="AB637" s="288"/>
      <c r="AC637" s="289"/>
      <c r="AD637" s="289"/>
      <c r="AE637" s="291"/>
      <c r="AF637" s="189"/>
      <c r="AI637" s="240">
        <f t="shared" si="114"/>
        <v>3315320</v>
      </c>
    </row>
    <row r="638" spans="2:35" s="28" customFormat="1" ht="48.75" customHeight="1">
      <c r="B638" s="30"/>
      <c r="C638" s="313"/>
      <c r="D638" s="81" t="s">
        <v>94</v>
      </c>
      <c r="E638" s="81" t="s">
        <v>81</v>
      </c>
      <c r="F638" s="81"/>
      <c r="G638" s="81"/>
      <c r="H638" s="81" t="s">
        <v>161</v>
      </c>
      <c r="I638" s="79">
        <v>60</v>
      </c>
      <c r="J638" s="82">
        <v>1600000</v>
      </c>
      <c r="K638" s="82">
        <v>1600000</v>
      </c>
      <c r="L638" s="189">
        <v>564720</v>
      </c>
      <c r="M638" s="189">
        <v>564720</v>
      </c>
      <c r="N638" s="66">
        <f t="shared" si="119"/>
        <v>2164720</v>
      </c>
      <c r="O638" s="66">
        <f t="shared" si="120"/>
        <v>2164720</v>
      </c>
      <c r="P638" s="170" t="s">
        <v>397</v>
      </c>
      <c r="Q638" s="171">
        <f>VLOOKUP($P638,'[1]Format 3 Drayage by trip-ICD'!$H$238:$O$293,3,0)</f>
        <v>1600000</v>
      </c>
      <c r="R638" s="171">
        <f>VLOOKUP($P638,'[1]Format 3 Drayage by trip-ICD'!$H$238:$O$293,4,0)</f>
        <v>1600000</v>
      </c>
      <c r="S638" s="171">
        <f>VLOOKUP($P638,'[1]Format 3 Drayage by trip-ICD'!$H$238:$O$293,5,0)</f>
        <v>439920</v>
      </c>
      <c r="T638" s="171">
        <f>VLOOKUP($P638,'[1]Format 3 Drayage by trip-ICD'!$H$238:$O$293,6,0)</f>
        <v>439920</v>
      </c>
      <c r="U638" s="157">
        <f t="shared" si="121"/>
        <v>0</v>
      </c>
      <c r="V638" s="157">
        <f t="shared" si="122"/>
        <v>0</v>
      </c>
      <c r="W638" s="157">
        <f t="shared" si="123"/>
        <v>124800</v>
      </c>
      <c r="X638" s="157">
        <f t="shared" si="124"/>
        <v>124800</v>
      </c>
      <c r="Z638" s="218"/>
      <c r="AA638" s="253"/>
      <c r="AB638" s="288"/>
      <c r="AC638" s="289"/>
      <c r="AD638" s="289"/>
      <c r="AE638" s="291"/>
      <c r="AF638" s="189"/>
      <c r="AI638" s="240">
        <f t="shared" si="114"/>
        <v>2164720</v>
      </c>
    </row>
    <row r="639" spans="2:35" s="28" customFormat="1" ht="48.75" customHeight="1">
      <c r="B639" s="30"/>
      <c r="C639" s="314"/>
      <c r="D639" s="81" t="s">
        <v>94</v>
      </c>
      <c r="E639" s="81" t="s">
        <v>83</v>
      </c>
      <c r="F639" s="81"/>
      <c r="G639" s="81"/>
      <c r="H639" s="81" t="s">
        <v>161</v>
      </c>
      <c r="I639" s="79">
        <v>80</v>
      </c>
      <c r="J639" s="82">
        <v>1600000</v>
      </c>
      <c r="K639" s="82">
        <v>1600000</v>
      </c>
      <c r="L639" s="189">
        <v>752960</v>
      </c>
      <c r="M639" s="189">
        <v>752960</v>
      </c>
      <c r="N639" s="66">
        <f t="shared" si="119"/>
        <v>2352960</v>
      </c>
      <c r="O639" s="66">
        <f t="shared" si="120"/>
        <v>2352960</v>
      </c>
      <c r="P639" s="170" t="s">
        <v>398</v>
      </c>
      <c r="Q639" s="171">
        <f>VLOOKUP($P639,'[1]Format 3 Drayage by trip-ICD'!$H$238:$O$293,3,0)</f>
        <v>1600000</v>
      </c>
      <c r="R639" s="171">
        <f>VLOOKUP($P639,'[1]Format 3 Drayage by trip-ICD'!$H$238:$O$293,4,0)</f>
        <v>1600000</v>
      </c>
      <c r="S639" s="171">
        <f>VLOOKUP($P639,'[1]Format 3 Drayage by trip-ICD'!$H$238:$O$293,5,0)</f>
        <v>586560</v>
      </c>
      <c r="T639" s="171">
        <f>VLOOKUP($P639,'[1]Format 3 Drayage by trip-ICD'!$H$238:$O$293,6,0)</f>
        <v>586560</v>
      </c>
      <c r="U639" s="157">
        <f t="shared" si="121"/>
        <v>0</v>
      </c>
      <c r="V639" s="157">
        <f t="shared" si="122"/>
        <v>0</v>
      </c>
      <c r="W639" s="157">
        <f t="shared" si="123"/>
        <v>166400</v>
      </c>
      <c r="X639" s="157">
        <f t="shared" si="124"/>
        <v>166400</v>
      </c>
      <c r="Z639" s="218"/>
      <c r="AA639" s="253"/>
      <c r="AB639" s="288"/>
      <c r="AC639" s="289"/>
      <c r="AD639" s="289"/>
      <c r="AE639" s="291"/>
      <c r="AF639" s="189"/>
      <c r="AI639" s="240">
        <f t="shared" si="114"/>
        <v>2352960</v>
      </c>
    </row>
    <row r="640" spans="2:35" s="28" customFormat="1" ht="24.9" customHeight="1">
      <c r="B640" s="30"/>
      <c r="C640" s="68"/>
      <c r="D640" s="69"/>
      <c r="E640" s="69"/>
      <c r="F640" s="69"/>
      <c r="G640" s="69"/>
      <c r="H640" s="109"/>
      <c r="I640" s="109"/>
      <c r="J640" s="70"/>
      <c r="K640" s="70"/>
      <c r="L640" s="191"/>
      <c r="M640" s="191"/>
      <c r="N640" s="71"/>
      <c r="O640" s="71"/>
      <c r="P640" s="171"/>
      <c r="Q640" s="171"/>
      <c r="R640" s="151"/>
      <c r="S640" s="151"/>
      <c r="T640" s="151"/>
      <c r="U640" s="151"/>
      <c r="V640" s="151"/>
      <c r="W640" s="151"/>
      <c r="X640" s="151"/>
      <c r="AA640" s="29"/>
      <c r="AB640" s="29"/>
      <c r="AC640" s="260"/>
      <c r="AD640" s="29"/>
      <c r="AF640" s="228"/>
    </row>
    <row r="641" spans="1:32" s="28" customFormat="1" ht="24.9" customHeight="1">
      <c r="B641" s="30"/>
      <c r="C641" s="68"/>
      <c r="D641" s="69"/>
      <c r="E641" s="69"/>
      <c r="F641" s="69"/>
      <c r="G641" s="69"/>
      <c r="H641" s="109"/>
      <c r="I641" s="109"/>
      <c r="J641" s="70"/>
      <c r="K641" s="70"/>
      <c r="L641" s="191"/>
      <c r="M641" s="191"/>
      <c r="N641" s="71"/>
      <c r="O641" s="71"/>
      <c r="P641" s="171"/>
      <c r="Q641" s="171"/>
      <c r="R641" s="151"/>
      <c r="S641" s="151"/>
      <c r="T641" s="151"/>
      <c r="U641" s="151"/>
      <c r="V641" s="151"/>
      <c r="W641" s="151"/>
      <c r="X641" s="151"/>
      <c r="AA641" s="29"/>
      <c r="AB641" s="29"/>
      <c r="AC641" s="29"/>
      <c r="AD641" s="29"/>
      <c r="AF641" s="228"/>
    </row>
    <row r="642" spans="1:32" s="39" customFormat="1" ht="24.9" customHeight="1">
      <c r="B642" s="85" t="s">
        <v>43</v>
      </c>
      <c r="C642" s="110" t="s">
        <v>117</v>
      </c>
      <c r="D642" s="87"/>
      <c r="E642" s="87"/>
      <c r="F642" s="87"/>
      <c r="G642" s="87"/>
      <c r="H642" s="87"/>
      <c r="I642" s="87"/>
      <c r="J642" s="88"/>
      <c r="K642" s="88"/>
      <c r="L642" s="202"/>
      <c r="M642" s="202"/>
      <c r="N642" s="89"/>
      <c r="O642" s="89"/>
      <c r="P642" s="172"/>
      <c r="Q642" s="172"/>
      <c r="R642" s="159"/>
      <c r="S642" s="159"/>
      <c r="T642" s="160"/>
      <c r="U642" s="160"/>
      <c r="V642" s="160"/>
      <c r="W642" s="160"/>
      <c r="X642" s="160"/>
      <c r="AA642" s="241"/>
      <c r="AB642" s="241"/>
      <c r="AC642" s="241"/>
      <c r="AD642" s="241"/>
      <c r="AF642" s="231"/>
    </row>
    <row r="643" spans="1:32" s="30" customFormat="1" ht="24.9" customHeight="1">
      <c r="A643" s="39"/>
      <c r="B643" s="39"/>
      <c r="C643" s="111" t="s">
        <v>118</v>
      </c>
      <c r="D643" s="91" t="s">
        <v>119</v>
      </c>
      <c r="E643" s="87"/>
      <c r="F643" s="87"/>
      <c r="G643" s="87"/>
      <c r="H643" s="87"/>
      <c r="I643" s="87"/>
      <c r="J643" s="88"/>
      <c r="K643" s="88"/>
      <c r="L643" s="202"/>
      <c r="M643" s="202"/>
      <c r="N643" s="89"/>
      <c r="O643" s="89"/>
      <c r="P643" s="172"/>
      <c r="Q643" s="172"/>
      <c r="R643" s="151"/>
      <c r="S643" s="151"/>
      <c r="T643" s="169"/>
      <c r="U643" s="169"/>
      <c r="V643" s="169"/>
      <c r="W643" s="169"/>
      <c r="X643" s="169"/>
      <c r="AA643" s="240"/>
      <c r="AB643" s="240"/>
      <c r="AC643" s="240"/>
      <c r="AD643" s="240"/>
      <c r="AE643" s="252"/>
      <c r="AF643" s="230"/>
    </row>
    <row r="644" spans="1:32" s="30" customFormat="1" ht="24.9" customHeight="1">
      <c r="A644" s="39"/>
      <c r="B644" s="39"/>
      <c r="C644" s="111" t="s">
        <v>118</v>
      </c>
      <c r="D644" s="91" t="s">
        <v>120</v>
      </c>
      <c r="E644" s="87"/>
      <c r="F644" s="87"/>
      <c r="G644" s="87"/>
      <c r="H644" s="87"/>
      <c r="I644" s="87"/>
      <c r="J644" s="88"/>
      <c r="K644" s="88"/>
      <c r="L644" s="202"/>
      <c r="M644" s="202"/>
      <c r="N644" s="89"/>
      <c r="O644" s="89"/>
      <c r="P644" s="172"/>
      <c r="Q644" s="172"/>
      <c r="R644" s="151"/>
      <c r="S644" s="151"/>
      <c r="T644" s="169"/>
      <c r="U644" s="169"/>
      <c r="V644" s="169"/>
      <c r="W644" s="169"/>
      <c r="X644" s="169"/>
      <c r="AA644" s="240"/>
      <c r="AB644" s="255"/>
      <c r="AC644" s="286"/>
      <c r="AD644" s="240"/>
      <c r="AF644" s="230"/>
    </row>
    <row r="645" spans="1:32" s="30" customFormat="1" ht="24.9" customHeight="1">
      <c r="A645" s="39"/>
      <c r="B645" s="39"/>
      <c r="C645" s="111" t="s">
        <v>121</v>
      </c>
      <c r="D645" s="91" t="s">
        <v>122</v>
      </c>
      <c r="E645" s="87"/>
      <c r="F645" s="87"/>
      <c r="G645" s="87"/>
      <c r="H645" s="87"/>
      <c r="I645" s="87"/>
      <c r="J645" s="88"/>
      <c r="K645" s="88"/>
      <c r="L645" s="202"/>
      <c r="M645" s="202"/>
      <c r="N645" s="89"/>
      <c r="O645" s="89"/>
      <c r="P645" s="172"/>
      <c r="Q645" s="172"/>
      <c r="R645" s="151"/>
      <c r="S645" s="151"/>
      <c r="T645" s="169"/>
      <c r="U645" s="169"/>
      <c r="V645" s="169"/>
      <c r="W645" s="169"/>
      <c r="X645" s="169"/>
      <c r="AA645" s="240"/>
      <c r="AB645" s="240"/>
      <c r="AC645" s="240"/>
      <c r="AD645" s="240"/>
      <c r="AF645" s="230"/>
    </row>
    <row r="646" spans="1:32" s="30" customFormat="1" ht="24.9" customHeight="1">
      <c r="A646" s="39"/>
      <c r="B646" s="39"/>
      <c r="C646" s="111" t="s">
        <v>121</v>
      </c>
      <c r="D646" s="91" t="s">
        <v>123</v>
      </c>
      <c r="E646" s="87"/>
      <c r="F646" s="87"/>
      <c r="G646" s="87"/>
      <c r="H646" s="87"/>
      <c r="I646" s="87"/>
      <c r="J646" s="88"/>
      <c r="K646" s="88"/>
      <c r="L646" s="202"/>
      <c r="M646" s="202"/>
      <c r="N646" s="89"/>
      <c r="O646" s="89"/>
      <c r="P646" s="172"/>
      <c r="Q646" s="172"/>
      <c r="R646" s="151"/>
      <c r="S646" s="151"/>
      <c r="T646" s="169"/>
      <c r="U646" s="169"/>
      <c r="V646" s="169"/>
      <c r="W646" s="169"/>
      <c r="X646" s="169"/>
      <c r="AA646" s="240"/>
      <c r="AB646" s="240"/>
      <c r="AC646" s="240"/>
      <c r="AD646" s="240"/>
      <c r="AF646" s="230"/>
    </row>
    <row r="647" spans="1:32" s="28" customFormat="1" ht="24.9" customHeight="1">
      <c r="B647" s="44" t="s">
        <v>43</v>
      </c>
      <c r="C647" s="244" t="s">
        <v>124</v>
      </c>
      <c r="D647" s="94"/>
      <c r="E647" s="94"/>
      <c r="F647" s="94"/>
      <c r="G647" s="94"/>
      <c r="H647" s="94"/>
      <c r="I647" s="94"/>
      <c r="J647" s="233"/>
      <c r="K647" s="96" t="s">
        <v>125</v>
      </c>
      <c r="L647" s="203"/>
      <c r="M647" s="203"/>
      <c r="N647" s="97"/>
      <c r="O647" s="97"/>
      <c r="P647" s="245"/>
      <c r="Q647" s="245"/>
      <c r="R647" s="151"/>
      <c r="S647" s="151"/>
      <c r="T647" s="151"/>
      <c r="U647" s="151"/>
      <c r="V647" s="151"/>
      <c r="W647" s="151"/>
      <c r="X647" s="151"/>
      <c r="AA647" s="246"/>
      <c r="AB647" s="246"/>
      <c r="AC647" s="246"/>
      <c r="AD647" s="246"/>
      <c r="AF647" s="228"/>
    </row>
    <row r="648" spans="1:32" s="28" customFormat="1" ht="24.9" customHeight="1">
      <c r="C648" s="247"/>
      <c r="D648" s="93"/>
      <c r="E648" s="94"/>
      <c r="F648" s="94"/>
      <c r="G648" s="94"/>
      <c r="H648" s="94"/>
      <c r="I648" s="94"/>
      <c r="J648" s="96"/>
      <c r="K648" s="96"/>
      <c r="L648" s="203"/>
      <c r="M648" s="203"/>
      <c r="N648" s="97"/>
      <c r="O648" s="97"/>
      <c r="P648" s="245"/>
      <c r="Q648" s="245"/>
      <c r="R648" s="151"/>
      <c r="S648" s="151"/>
      <c r="T648" s="151"/>
      <c r="U648" s="151"/>
      <c r="V648" s="151"/>
      <c r="W648" s="151"/>
      <c r="X648" s="151"/>
      <c r="AA648" s="246"/>
      <c r="AB648" s="246"/>
      <c r="AC648" s="246"/>
      <c r="AD648" s="246"/>
      <c r="AF648" s="228"/>
    </row>
    <row r="649" spans="1:32" s="28" customFormat="1" ht="24.9" customHeight="1">
      <c r="B649" s="44" t="s">
        <v>43</v>
      </c>
      <c r="C649" s="244" t="s">
        <v>126</v>
      </c>
      <c r="D649" s="94"/>
      <c r="E649" s="94"/>
      <c r="F649" s="94"/>
      <c r="G649" s="94"/>
      <c r="H649" s="94"/>
      <c r="I649" s="94"/>
      <c r="J649" s="233"/>
      <c r="K649" s="96" t="s">
        <v>127</v>
      </c>
      <c r="L649" s="203"/>
      <c r="M649" s="203"/>
      <c r="N649" s="97"/>
      <c r="O649" s="97"/>
      <c r="P649" s="245"/>
      <c r="Q649" s="245"/>
      <c r="R649" s="151"/>
      <c r="S649" s="151"/>
      <c r="T649" s="151"/>
      <c r="U649" s="151"/>
      <c r="V649" s="151"/>
      <c r="W649" s="151"/>
      <c r="X649" s="151"/>
      <c r="AA649" s="246"/>
      <c r="AB649" s="246"/>
      <c r="AC649" s="246"/>
      <c r="AD649" s="246"/>
      <c r="AF649" s="228"/>
    </row>
    <row r="650" spans="1:32" s="28" customFormat="1" ht="24.9" customHeight="1">
      <c r="C650" s="247"/>
      <c r="D650" s="93"/>
      <c r="E650" s="94"/>
      <c r="F650" s="94"/>
      <c r="G650" s="94"/>
      <c r="H650" s="94"/>
      <c r="I650" s="94"/>
      <c r="J650" s="96"/>
      <c r="K650" s="96"/>
      <c r="L650" s="203"/>
      <c r="M650" s="203"/>
      <c r="N650" s="97"/>
      <c r="O650" s="97"/>
      <c r="P650" s="245"/>
      <c r="Q650" s="245"/>
      <c r="R650" s="151"/>
      <c r="S650" s="151"/>
      <c r="T650" s="151"/>
      <c r="U650" s="151"/>
      <c r="V650" s="151"/>
      <c r="W650" s="151"/>
      <c r="X650" s="151"/>
      <c r="AA650" s="246"/>
      <c r="AB650" s="246"/>
      <c r="AC650" s="246"/>
      <c r="AD650" s="246"/>
      <c r="AF650" s="228"/>
    </row>
    <row r="651" spans="1:32" s="248" customFormat="1" ht="24.9" customHeight="1">
      <c r="B651" s="44" t="s">
        <v>43</v>
      </c>
      <c r="C651" s="244" t="s">
        <v>128</v>
      </c>
      <c r="D651" s="94"/>
      <c r="E651" s="94"/>
      <c r="F651" s="94"/>
      <c r="G651" s="94"/>
      <c r="H651" s="94"/>
      <c r="I651" s="94"/>
      <c r="J651" s="233"/>
      <c r="K651" s="96"/>
      <c r="L651" s="203"/>
      <c r="M651" s="203"/>
      <c r="N651" s="97"/>
      <c r="O651" s="97"/>
      <c r="P651" s="245"/>
      <c r="Q651" s="245"/>
      <c r="R651" s="151"/>
      <c r="S651" s="151"/>
      <c r="T651" s="151"/>
      <c r="U651" s="151"/>
      <c r="V651" s="151"/>
      <c r="W651" s="151"/>
      <c r="X651" s="151"/>
      <c r="AA651" s="249"/>
      <c r="AB651" s="249"/>
      <c r="AC651" s="249"/>
      <c r="AD651" s="296"/>
      <c r="AE651" s="297"/>
      <c r="AF651" s="250"/>
    </row>
    <row r="652" spans="1:32" s="248" customFormat="1" ht="24.9" customHeight="1">
      <c r="B652" s="28"/>
      <c r="C652" s="251" t="s">
        <v>118</v>
      </c>
      <c r="D652" s="95" t="s">
        <v>129</v>
      </c>
      <c r="E652" s="94"/>
      <c r="F652" s="94"/>
      <c r="G652" s="94"/>
      <c r="H652" s="94"/>
      <c r="I652" s="94"/>
      <c r="J652" s="233"/>
      <c r="K652" s="96"/>
      <c r="L652" s="203"/>
      <c r="M652" s="203"/>
      <c r="N652" s="97"/>
      <c r="O652" s="97"/>
      <c r="P652" s="245"/>
      <c r="Q652" s="245"/>
      <c r="R652" s="151"/>
      <c r="S652" s="151"/>
      <c r="T652" s="151"/>
      <c r="U652" s="151"/>
      <c r="V652" s="151"/>
      <c r="W652" s="151"/>
      <c r="X652" s="151"/>
      <c r="AA652" s="249"/>
      <c r="AB652" s="249"/>
      <c r="AC652" s="249"/>
      <c r="AD652" s="296"/>
      <c r="AE652" s="297"/>
      <c r="AF652" s="250"/>
    </row>
    <row r="653" spans="1:32" s="248" customFormat="1" ht="24.9" customHeight="1">
      <c r="B653" s="28"/>
      <c r="C653" s="251" t="s">
        <v>118</v>
      </c>
      <c r="D653" s="95" t="s">
        <v>130</v>
      </c>
      <c r="E653" s="94"/>
      <c r="F653" s="94"/>
      <c r="G653" s="94"/>
      <c r="H653" s="94"/>
      <c r="I653" s="94"/>
      <c r="J653" s="233"/>
      <c r="K653" s="96" t="s">
        <v>131</v>
      </c>
      <c r="L653" s="203"/>
      <c r="M653" s="203"/>
      <c r="N653" s="97"/>
      <c r="O653" s="97"/>
      <c r="P653" s="245"/>
      <c r="Q653" s="245"/>
      <c r="R653" s="151"/>
      <c r="S653" s="151"/>
      <c r="T653" s="151"/>
      <c r="U653" s="151"/>
      <c r="V653" s="151"/>
      <c r="W653" s="151"/>
      <c r="X653" s="151"/>
      <c r="AA653" s="249"/>
      <c r="AB653" s="249"/>
      <c r="AC653" s="249"/>
      <c r="AD653" s="296"/>
      <c r="AE653" s="297"/>
      <c r="AF653" s="250"/>
    </row>
    <row r="654" spans="1:32" s="248" customFormat="1" ht="24.9" customHeight="1">
      <c r="B654" s="28"/>
      <c r="C654" s="251"/>
      <c r="D654" s="95"/>
      <c r="E654" s="94"/>
      <c r="F654" s="94"/>
      <c r="G654" s="94"/>
      <c r="H654" s="94"/>
      <c r="I654" s="94"/>
      <c r="J654" s="233"/>
      <c r="K654" s="96"/>
      <c r="L654" s="203"/>
      <c r="M654" s="203"/>
      <c r="N654" s="97"/>
      <c r="O654" s="97"/>
      <c r="P654" s="245"/>
      <c r="Q654" s="245"/>
      <c r="R654" s="151"/>
      <c r="S654" s="151"/>
      <c r="T654" s="151"/>
      <c r="U654" s="151"/>
      <c r="V654" s="151"/>
      <c r="W654" s="151"/>
      <c r="X654" s="151"/>
      <c r="AA654" s="249"/>
      <c r="AB654" s="249"/>
      <c r="AC654" s="249"/>
      <c r="AD654" s="296"/>
      <c r="AE654" s="297"/>
      <c r="AF654" s="250"/>
    </row>
    <row r="655" spans="1:32" s="39" customFormat="1" ht="24.9" customHeight="1">
      <c r="B655" s="50">
        <v>2.5</v>
      </c>
      <c r="C655" s="50" t="s">
        <v>151</v>
      </c>
      <c r="D655" s="69"/>
      <c r="E655" s="69"/>
      <c r="F655" s="69"/>
      <c r="G655" s="69"/>
      <c r="H655" s="69"/>
      <c r="I655" s="69"/>
      <c r="J655" s="70"/>
      <c r="K655" s="70"/>
      <c r="L655" s="191"/>
      <c r="M655" s="191"/>
      <c r="N655" s="71"/>
      <c r="O655" s="71"/>
      <c r="P655" s="171"/>
      <c r="Q655" s="171"/>
      <c r="R655" s="160"/>
      <c r="S655" s="160"/>
      <c r="T655" s="160"/>
      <c r="U655" s="160"/>
      <c r="V655" s="160"/>
      <c r="W655" s="160"/>
      <c r="X655" s="160"/>
      <c r="AA655" s="241"/>
      <c r="AB655" s="241"/>
      <c r="AC655" s="241"/>
      <c r="AD655" s="241"/>
      <c r="AF655" s="231"/>
    </row>
    <row r="656" spans="1:32" s="39" customFormat="1" ht="24.9" customHeight="1">
      <c r="C656" s="68"/>
      <c r="D656" s="69"/>
      <c r="E656" s="69"/>
      <c r="F656" s="69"/>
      <c r="G656" s="69"/>
      <c r="H656" s="69"/>
      <c r="I656" s="69"/>
      <c r="J656" s="70"/>
      <c r="K656" s="70"/>
      <c r="L656" s="191"/>
      <c r="M656" s="191"/>
      <c r="N656" s="71"/>
      <c r="O656" s="71"/>
      <c r="P656" s="171"/>
      <c r="Q656" s="171"/>
      <c r="R656" s="160"/>
      <c r="S656" s="160"/>
      <c r="T656" s="160"/>
      <c r="U656" s="160"/>
      <c r="V656" s="160"/>
      <c r="W656" s="160"/>
      <c r="X656" s="160"/>
      <c r="AA656" s="241"/>
      <c r="AB656" s="241"/>
      <c r="AC656" s="241"/>
      <c r="AD656" s="241"/>
      <c r="AF656" s="231"/>
    </row>
    <row r="657" spans="1:32" ht="24.9" customHeight="1">
      <c r="A657" s="56"/>
      <c r="B657" s="85" t="s">
        <v>43</v>
      </c>
      <c r="C657" s="86" t="s">
        <v>44</v>
      </c>
      <c r="D657" s="87"/>
      <c r="E657" s="87"/>
      <c r="F657" s="87"/>
      <c r="G657" s="87"/>
      <c r="H657" s="87"/>
      <c r="I657" s="87"/>
      <c r="J657" s="88"/>
      <c r="K657" s="88"/>
      <c r="L657" s="202"/>
      <c r="M657" s="202"/>
      <c r="N657" s="89"/>
      <c r="O657" s="89"/>
      <c r="P657" s="172"/>
      <c r="Q657" s="172"/>
    </row>
    <row r="658" spans="1:32" ht="24.9" customHeight="1">
      <c r="A658" s="56"/>
      <c r="B658" s="85"/>
      <c r="C658" s="90" t="s">
        <v>95</v>
      </c>
      <c r="D658" s="87"/>
      <c r="E658" s="87"/>
      <c r="F658" s="87"/>
      <c r="G658" s="87"/>
      <c r="H658" s="87"/>
      <c r="I658" s="87"/>
      <c r="J658" s="88"/>
      <c r="K658" s="88"/>
      <c r="L658" s="202"/>
      <c r="M658" s="202"/>
      <c r="N658" s="89"/>
      <c r="O658" s="89"/>
      <c r="P658" s="172"/>
      <c r="Q658" s="172"/>
    </row>
    <row r="659" spans="1:32" ht="24.9" customHeight="1">
      <c r="A659" s="56"/>
      <c r="B659" s="85"/>
      <c r="C659" s="91" t="s">
        <v>96</v>
      </c>
      <c r="D659" s="87"/>
      <c r="E659" s="87"/>
      <c r="F659" s="87"/>
      <c r="G659" s="87"/>
      <c r="H659" s="92" t="s">
        <v>97</v>
      </c>
      <c r="I659" s="87"/>
      <c r="J659" s="88"/>
      <c r="K659" s="88"/>
      <c r="L659" s="202"/>
      <c r="M659" s="202"/>
      <c r="N659" s="89"/>
      <c r="O659" s="89"/>
      <c r="P659" s="172"/>
      <c r="Q659" s="172"/>
    </row>
    <row r="660" spans="1:32" ht="24.9" customHeight="1">
      <c r="A660" s="56"/>
      <c r="B660" s="85"/>
      <c r="C660" s="91" t="s">
        <v>98</v>
      </c>
      <c r="D660" s="87"/>
      <c r="E660" s="87"/>
      <c r="F660" s="87"/>
      <c r="G660" s="87"/>
      <c r="H660" s="92" t="s">
        <v>99</v>
      </c>
      <c r="I660" s="87"/>
      <c r="J660" s="88"/>
      <c r="K660" s="88"/>
      <c r="L660" s="202"/>
      <c r="M660" s="202"/>
      <c r="N660" s="89"/>
      <c r="O660" s="89"/>
      <c r="P660" s="172"/>
      <c r="Q660" s="172"/>
    </row>
    <row r="661" spans="1:32" ht="24.9" customHeight="1">
      <c r="A661" s="56"/>
      <c r="B661" s="85"/>
      <c r="C661" s="91"/>
      <c r="D661" s="87"/>
      <c r="E661" s="87"/>
      <c r="F661" s="87"/>
      <c r="G661" s="87"/>
      <c r="H661" s="92"/>
      <c r="I661" s="87"/>
      <c r="J661" s="88"/>
      <c r="K661" s="88"/>
      <c r="L661" s="202"/>
      <c r="M661" s="202"/>
      <c r="N661" s="89"/>
      <c r="O661" s="89"/>
      <c r="P661" s="172"/>
      <c r="Q661" s="172"/>
    </row>
    <row r="662" spans="1:32" ht="24.9" customHeight="1">
      <c r="A662" s="56"/>
      <c r="B662" s="85"/>
      <c r="C662" s="90" t="s">
        <v>100</v>
      </c>
      <c r="D662" s="87"/>
      <c r="E662" s="87"/>
      <c r="F662" s="87"/>
      <c r="G662" s="87"/>
      <c r="H662" s="87"/>
      <c r="I662" s="87"/>
      <c r="J662" s="88"/>
      <c r="K662" s="88"/>
      <c r="L662" s="202"/>
      <c r="M662" s="202"/>
      <c r="N662" s="89"/>
      <c r="O662" s="89"/>
      <c r="P662" s="172"/>
      <c r="Q662" s="172"/>
    </row>
    <row r="663" spans="1:32" ht="24.9" customHeight="1">
      <c r="A663" s="56"/>
      <c r="B663" s="85"/>
      <c r="C663" s="91" t="s">
        <v>96</v>
      </c>
      <c r="D663" s="87"/>
      <c r="E663" s="87"/>
      <c r="F663" s="87"/>
      <c r="G663" s="87"/>
      <c r="H663" s="92" t="s">
        <v>101</v>
      </c>
      <c r="I663" s="87"/>
      <c r="J663" s="88"/>
      <c r="K663" s="88"/>
      <c r="L663" s="202"/>
      <c r="M663" s="202"/>
      <c r="N663" s="89"/>
      <c r="O663" s="89"/>
      <c r="P663" s="172"/>
      <c r="Q663" s="172"/>
    </row>
    <row r="664" spans="1:32" ht="24.9" customHeight="1">
      <c r="A664" s="56"/>
      <c r="B664" s="85"/>
      <c r="C664" s="91" t="s">
        <v>102</v>
      </c>
      <c r="D664" s="87"/>
      <c r="E664" s="87"/>
      <c r="F664" s="87"/>
      <c r="G664" s="87"/>
      <c r="H664" s="92"/>
      <c r="I664" s="87"/>
      <c r="J664" s="88"/>
      <c r="K664" s="88"/>
      <c r="L664" s="202"/>
      <c r="M664" s="202"/>
      <c r="N664" s="89"/>
      <c r="O664" s="89"/>
      <c r="P664" s="172"/>
      <c r="Q664" s="172"/>
    </row>
    <row r="665" spans="1:32" ht="24.9" customHeight="1">
      <c r="B665" s="44"/>
      <c r="C665" s="93"/>
      <c r="D665" s="94"/>
      <c r="E665" s="94"/>
      <c r="F665" s="94"/>
      <c r="G665" s="94"/>
      <c r="H665" s="95"/>
      <c r="I665" s="94"/>
      <c r="J665" s="96"/>
      <c r="K665" s="96"/>
      <c r="L665" s="203"/>
      <c r="M665" s="203"/>
      <c r="N665" s="97"/>
      <c r="O665" s="89"/>
      <c r="P665" s="172"/>
      <c r="Q665" s="172"/>
    </row>
    <row r="666" spans="1:32" ht="24.9" customHeight="1">
      <c r="B666" s="44" t="s">
        <v>43</v>
      </c>
      <c r="C666" s="98" t="s">
        <v>154</v>
      </c>
      <c r="D666" s="94"/>
      <c r="E666" s="94"/>
      <c r="F666" s="94"/>
      <c r="G666" s="94"/>
      <c r="H666" s="95"/>
      <c r="I666" s="94"/>
      <c r="J666" s="96"/>
      <c r="K666" s="96"/>
      <c r="L666" s="203"/>
      <c r="M666" s="203"/>
      <c r="N666" s="97"/>
      <c r="O666" s="89"/>
      <c r="P666" s="172"/>
      <c r="Q666" s="172"/>
    </row>
    <row r="667" spans="1:32" ht="24.9" customHeight="1">
      <c r="B667" s="99"/>
      <c r="C667" s="95" t="s">
        <v>103</v>
      </c>
      <c r="D667" s="95"/>
      <c r="E667" s="95"/>
      <c r="F667" s="95"/>
      <c r="G667" s="95"/>
      <c r="H667" s="95" t="s">
        <v>104</v>
      </c>
      <c r="I667" s="95"/>
      <c r="J667" s="100"/>
      <c r="K667" s="100"/>
      <c r="L667" s="204"/>
      <c r="M667" s="204"/>
      <c r="N667" s="100"/>
      <c r="O667" s="101"/>
      <c r="P667" s="173"/>
      <c r="Q667" s="173"/>
    </row>
    <row r="668" spans="1:32" ht="24.9" customHeight="1">
      <c r="B668" s="44"/>
      <c r="C668" s="93" t="s">
        <v>105</v>
      </c>
      <c r="D668" s="94"/>
      <c r="E668" s="94"/>
      <c r="F668" s="94"/>
      <c r="G668" s="94"/>
      <c r="H668" s="95" t="s">
        <v>106</v>
      </c>
      <c r="I668" s="94"/>
      <c r="J668" s="96"/>
      <c r="K668" s="96"/>
      <c r="L668" s="203"/>
      <c r="M668" s="203"/>
      <c r="N668" s="97"/>
      <c r="O668" s="89"/>
      <c r="P668" s="172"/>
      <c r="Q668" s="172"/>
    </row>
    <row r="669" spans="1:32" ht="24.9" customHeight="1">
      <c r="B669" s="44"/>
      <c r="C669" s="93" t="s">
        <v>107</v>
      </c>
      <c r="D669" s="94"/>
      <c r="E669" s="94"/>
      <c r="F669" s="94"/>
      <c r="G669" s="94"/>
      <c r="H669" s="95" t="s">
        <v>108</v>
      </c>
      <c r="I669" s="94"/>
      <c r="J669" s="96"/>
      <c r="K669" s="96"/>
      <c r="L669" s="203"/>
      <c r="M669" s="203"/>
      <c r="N669" s="97"/>
      <c r="O669" s="89"/>
      <c r="P669" s="172"/>
      <c r="Q669" s="172"/>
    </row>
    <row r="670" spans="1:32" ht="24.9" customHeight="1">
      <c r="B670" s="44" t="s">
        <v>43</v>
      </c>
      <c r="C670" s="102" t="s">
        <v>153</v>
      </c>
      <c r="D670" s="103"/>
      <c r="E670" s="104"/>
      <c r="F670" s="104"/>
      <c r="G670" s="104"/>
      <c r="H670" s="105"/>
      <c r="I670" s="105"/>
      <c r="J670" s="106"/>
      <c r="K670" s="106"/>
      <c r="L670" s="205"/>
      <c r="M670" s="205"/>
      <c r="N670" s="107"/>
      <c r="O670" s="108"/>
      <c r="P670" s="174"/>
      <c r="Q670" s="174"/>
    </row>
    <row r="671" spans="1:32" s="56" customFormat="1" ht="24.9" customHeight="1">
      <c r="B671" s="85"/>
      <c r="C671" s="147" t="s">
        <v>152</v>
      </c>
      <c r="D671" s="103"/>
      <c r="E671" s="104"/>
      <c r="F671" s="104"/>
      <c r="G671" s="104"/>
      <c r="H671" s="148" t="s">
        <v>149</v>
      </c>
      <c r="I671" s="105"/>
      <c r="J671" s="141"/>
      <c r="K671" s="141"/>
      <c r="L671" s="206"/>
      <c r="M671" s="206"/>
      <c r="N671" s="142"/>
      <c r="O671" s="142"/>
      <c r="P671" s="175"/>
      <c r="Q671" s="175"/>
      <c r="R671" s="160"/>
      <c r="S671" s="160"/>
      <c r="T671" s="160"/>
      <c r="U671" s="160"/>
      <c r="V671" s="160"/>
      <c r="W671" s="160"/>
      <c r="X671" s="160"/>
      <c r="AA671" s="242"/>
      <c r="AB671" s="242"/>
      <c r="AC671" s="242"/>
      <c r="AD671" s="242"/>
      <c r="AF671" s="232"/>
    </row>
    <row r="672" spans="1:32" s="56" customFormat="1" ht="24.9" customHeight="1">
      <c r="B672" s="85"/>
      <c r="C672" s="147" t="s">
        <v>158</v>
      </c>
      <c r="D672" s="103"/>
      <c r="E672" s="104"/>
      <c r="F672" s="104"/>
      <c r="G672" s="104"/>
      <c r="H672" s="148" t="s">
        <v>155</v>
      </c>
      <c r="I672" s="105"/>
      <c r="J672" s="141"/>
      <c r="K672" s="141"/>
      <c r="L672" s="206"/>
      <c r="M672" s="206"/>
      <c r="N672" s="142"/>
      <c r="O672" s="142"/>
      <c r="P672" s="175"/>
      <c r="Q672" s="175"/>
      <c r="R672" s="160"/>
      <c r="S672" s="160"/>
      <c r="T672" s="160"/>
      <c r="U672" s="160"/>
      <c r="V672" s="160"/>
      <c r="W672" s="160"/>
      <c r="X672" s="160"/>
      <c r="AA672" s="242"/>
      <c r="AB672" s="242"/>
      <c r="AC672" s="242"/>
      <c r="AD672" s="242"/>
      <c r="AF672" s="232"/>
    </row>
    <row r="673" spans="2:39" s="56" customFormat="1" ht="24.9" customHeight="1">
      <c r="B673" s="85"/>
      <c r="C673" s="147" t="s">
        <v>157</v>
      </c>
      <c r="D673" s="103"/>
      <c r="E673" s="104"/>
      <c r="F673" s="104"/>
      <c r="G673" s="104"/>
      <c r="H673" s="148" t="s">
        <v>156</v>
      </c>
      <c r="I673" s="105"/>
      <c r="J673" s="141"/>
      <c r="K673" s="141"/>
      <c r="L673" s="206"/>
      <c r="M673" s="206"/>
      <c r="N673" s="142"/>
      <c r="O673" s="142"/>
      <c r="P673" s="175"/>
      <c r="Q673" s="175"/>
      <c r="R673" s="160"/>
      <c r="S673" s="160"/>
      <c r="T673" s="160"/>
      <c r="U673" s="160"/>
      <c r="V673" s="160"/>
      <c r="W673" s="160"/>
      <c r="X673" s="160"/>
      <c r="AA673" s="242"/>
      <c r="AB673" s="242"/>
      <c r="AC673" s="242"/>
      <c r="AD673" s="242"/>
      <c r="AF673" s="232"/>
    </row>
    <row r="674" spans="2:39" s="56" customFormat="1" ht="24.9" customHeight="1">
      <c r="B674" s="85"/>
      <c r="C674" s="143" t="s">
        <v>159</v>
      </c>
      <c r="D674" s="138"/>
      <c r="E674" s="139"/>
      <c r="F674" s="139"/>
      <c r="G674" s="139"/>
      <c r="H674" s="144" t="s">
        <v>160</v>
      </c>
      <c r="I674" s="140"/>
      <c r="J674" s="141"/>
      <c r="K674" s="141"/>
      <c r="L674" s="206"/>
      <c r="M674" s="206"/>
      <c r="N674" s="142"/>
      <c r="O674" s="142"/>
      <c r="P674" s="175"/>
      <c r="Q674" s="175"/>
      <c r="R674" s="160"/>
      <c r="S674" s="160"/>
      <c r="T674" s="160"/>
      <c r="U674" s="160"/>
      <c r="V674" s="160"/>
      <c r="W674" s="160"/>
      <c r="X674" s="160"/>
      <c r="AA674" s="242"/>
      <c r="AB674" s="242"/>
      <c r="AC674" s="242"/>
      <c r="AD674" s="242"/>
      <c r="AF674" s="232"/>
    </row>
    <row r="675" spans="2:39" ht="24.9" customHeight="1">
      <c r="B675" s="44"/>
      <c r="C675" s="147" t="s">
        <v>406</v>
      </c>
      <c r="D675" s="103"/>
      <c r="E675" s="104"/>
      <c r="F675" s="104"/>
      <c r="G675" s="104"/>
      <c r="H675" s="148" t="s">
        <v>407</v>
      </c>
      <c r="I675" s="105"/>
      <c r="J675" s="209"/>
      <c r="K675" s="209"/>
      <c r="L675" s="205"/>
      <c r="M675" s="205"/>
      <c r="N675" s="107"/>
      <c r="O675" s="107"/>
      <c r="P675" s="211"/>
      <c r="Q675" s="211"/>
      <c r="AA675" s="243"/>
      <c r="AB675" s="243"/>
      <c r="AC675" s="243"/>
      <c r="AD675" s="243"/>
    </row>
    <row r="676" spans="2:39" s="56" customFormat="1" ht="24.9" customHeight="1">
      <c r="B676" s="85" t="s">
        <v>43</v>
      </c>
      <c r="C676" s="149" t="s">
        <v>141</v>
      </c>
      <c r="D676" s="138"/>
      <c r="E676" s="139"/>
      <c r="F676" s="139"/>
      <c r="G676" s="139"/>
      <c r="H676" s="140"/>
      <c r="I676" s="140"/>
      <c r="J676" s="141"/>
      <c r="K676" s="101"/>
      <c r="L676" s="206"/>
      <c r="M676" s="206"/>
      <c r="N676" s="142"/>
      <c r="O676" s="142"/>
      <c r="P676" s="175"/>
      <c r="Q676" s="175"/>
      <c r="R676" s="160"/>
      <c r="S676" s="160"/>
      <c r="T676" s="160"/>
      <c r="U676" s="160"/>
      <c r="V676" s="160"/>
      <c r="W676" s="160"/>
      <c r="X676" s="160"/>
      <c r="AA676" s="242"/>
      <c r="AB676" s="242"/>
      <c r="AC676" s="242"/>
      <c r="AD676" s="242"/>
      <c r="AF676" s="232"/>
    </row>
    <row r="677" spans="2:39" ht="24.9" customHeight="1">
      <c r="B677" s="44"/>
      <c r="C677" s="208" t="s">
        <v>43</v>
      </c>
      <c r="D677" s="147" t="s">
        <v>483</v>
      </c>
      <c r="E677" s="104"/>
      <c r="F677" s="104"/>
      <c r="G677" s="104"/>
      <c r="H677" s="105"/>
      <c r="I677" s="95" t="s">
        <v>484</v>
      </c>
      <c r="J677" s="209"/>
      <c r="K677" s="210" t="s">
        <v>142</v>
      </c>
      <c r="L677" s="205"/>
      <c r="M677" s="205"/>
      <c r="N677" s="107"/>
      <c r="O677" s="107"/>
      <c r="P677" s="211"/>
      <c r="Q677" s="211"/>
      <c r="AA677" s="243"/>
      <c r="AB677" s="243"/>
      <c r="AC677" s="243"/>
      <c r="AD677" s="243"/>
    </row>
    <row r="678" spans="2:39" ht="24.9" customHeight="1">
      <c r="B678" s="9"/>
      <c r="C678" s="208" t="s">
        <v>43</v>
      </c>
      <c r="D678" s="147" t="s">
        <v>485</v>
      </c>
      <c r="E678" s="9"/>
      <c r="F678" s="9"/>
      <c r="G678" s="9"/>
      <c r="H678" s="9"/>
      <c r="I678" s="233" t="s">
        <v>486</v>
      </c>
      <c r="J678" s="233"/>
      <c r="K678" s="9"/>
      <c r="L678" s="195"/>
      <c r="M678" s="195"/>
      <c r="N678" s="9"/>
      <c r="O678" s="9"/>
      <c r="P678" s="151"/>
      <c r="Q678" s="151"/>
      <c r="AA678" s="243"/>
      <c r="AB678" s="243"/>
      <c r="AC678" s="243"/>
      <c r="AD678" s="243"/>
    </row>
    <row r="679" spans="2:39" ht="24.9" customHeight="1">
      <c r="B679" s="9"/>
      <c r="C679" s="208"/>
      <c r="D679" s="147"/>
      <c r="E679" s="9"/>
      <c r="F679" s="9"/>
      <c r="G679" s="9"/>
      <c r="H679" s="9"/>
      <c r="I679" s="233"/>
      <c r="J679" s="233"/>
      <c r="K679" s="9"/>
      <c r="L679" s="195"/>
      <c r="M679" s="195"/>
      <c r="N679" s="9"/>
      <c r="O679" s="9"/>
      <c r="P679" s="151"/>
      <c r="Q679" s="151"/>
      <c r="AA679" s="243"/>
      <c r="AB679" s="243"/>
      <c r="AC679" s="243"/>
      <c r="AD679" s="243"/>
    </row>
    <row r="680" spans="2:39" ht="24.9" customHeight="1">
      <c r="B680" s="53" t="s">
        <v>63</v>
      </c>
      <c r="C680" s="50" t="s">
        <v>409</v>
      </c>
      <c r="D680" s="54"/>
      <c r="E680" s="54"/>
      <c r="F680" s="9"/>
      <c r="G680" s="9"/>
      <c r="H680" s="9"/>
      <c r="I680" s="233"/>
      <c r="J680" s="233"/>
      <c r="K680" s="9"/>
      <c r="L680" s="195"/>
      <c r="M680" s="195"/>
      <c r="N680" s="9"/>
      <c r="O680" s="9"/>
      <c r="P680" s="151"/>
      <c r="Q680" s="151"/>
      <c r="AA680" s="243"/>
      <c r="AB680" s="243"/>
      <c r="AC680" s="243"/>
      <c r="AD680" s="243"/>
    </row>
    <row r="681" spans="2:39" ht="24.9" customHeight="1">
      <c r="B681" s="53" t="s">
        <v>410</v>
      </c>
      <c r="C681" s="50" t="s">
        <v>411</v>
      </c>
      <c r="D681" s="54"/>
      <c r="E681" s="54"/>
      <c r="F681" s="9"/>
      <c r="G681" s="9"/>
      <c r="H681" s="9"/>
      <c r="I681" s="233"/>
      <c r="J681" s="233"/>
      <c r="K681" s="9"/>
      <c r="L681" s="195"/>
      <c r="M681" s="195"/>
      <c r="N681" s="9"/>
      <c r="O681" s="9"/>
      <c r="P681" s="151"/>
      <c r="Q681" s="151"/>
      <c r="AA681" s="243"/>
      <c r="AB681" s="243"/>
      <c r="AC681" s="243"/>
      <c r="AD681" s="243"/>
    </row>
    <row r="682" spans="2:39" ht="24.9" customHeight="1">
      <c r="B682" s="53"/>
      <c r="C682" s="50"/>
      <c r="D682" s="54"/>
      <c r="E682" s="54"/>
      <c r="F682" s="9"/>
      <c r="G682" s="9"/>
      <c r="H682" s="9"/>
      <c r="I682" s="233"/>
      <c r="J682" s="233"/>
      <c r="K682" s="9"/>
      <c r="L682" s="195"/>
      <c r="M682" s="195"/>
      <c r="N682" s="9"/>
      <c r="O682" s="9"/>
      <c r="P682" s="151"/>
      <c r="Q682" s="151"/>
      <c r="AA682" s="243"/>
      <c r="AB682" s="243"/>
      <c r="AC682" s="243"/>
      <c r="AD682" s="243"/>
    </row>
    <row r="683" spans="2:39" ht="24.9" customHeight="1">
      <c r="B683" s="9"/>
      <c r="C683" s="300" t="s">
        <v>40</v>
      </c>
      <c r="D683" s="302" t="s">
        <v>39</v>
      </c>
      <c r="E683" s="303"/>
      <c r="F683" s="303"/>
      <c r="G683" s="303"/>
      <c r="H683" s="304"/>
      <c r="I683" s="305" t="s">
        <v>41</v>
      </c>
      <c r="J683" s="306" t="s">
        <v>412</v>
      </c>
      <c r="K683" s="306"/>
      <c r="L683" s="307" t="s">
        <v>38</v>
      </c>
      <c r="M683" s="308"/>
      <c r="N683" s="306" t="s">
        <v>13</v>
      </c>
      <c r="O683" s="306"/>
      <c r="P683" s="151"/>
      <c r="Q683" s="151"/>
      <c r="AA683" s="238"/>
      <c r="AB683" s="238"/>
      <c r="AC683" s="238"/>
      <c r="AD683" s="239"/>
      <c r="AE683" s="38"/>
      <c r="AF683" s="227"/>
      <c r="AG683" s="54"/>
      <c r="AH683" s="54"/>
      <c r="AI683" s="54"/>
      <c r="AJ683" s="54"/>
      <c r="AK683" s="54"/>
      <c r="AL683" s="54"/>
      <c r="AM683" s="54"/>
    </row>
    <row r="684" spans="2:39" ht="24.9" customHeight="1">
      <c r="B684" s="9"/>
      <c r="C684" s="301"/>
      <c r="D684" s="268" t="s">
        <v>15</v>
      </c>
      <c r="E684" s="268" t="s">
        <v>16</v>
      </c>
      <c r="F684" s="268" t="s">
        <v>16</v>
      </c>
      <c r="G684" s="268" t="s">
        <v>16</v>
      </c>
      <c r="H684" s="268" t="s">
        <v>16</v>
      </c>
      <c r="I684" s="301"/>
      <c r="J684" s="268" t="s">
        <v>35</v>
      </c>
      <c r="K684" s="268" t="s">
        <v>36</v>
      </c>
      <c r="L684" s="269" t="s">
        <v>35</v>
      </c>
      <c r="M684" s="269" t="s">
        <v>36</v>
      </c>
      <c r="N684" s="268" t="s">
        <v>35</v>
      </c>
      <c r="O684" s="268" t="s">
        <v>36</v>
      </c>
      <c r="P684" s="151"/>
      <c r="Q684" s="151"/>
      <c r="AC684" s="238"/>
    </row>
    <row r="685" spans="2:39" ht="24.9" customHeight="1">
      <c r="B685" s="9"/>
      <c r="C685" s="309"/>
      <c r="D685" s="270" t="s">
        <v>161</v>
      </c>
      <c r="E685" s="271"/>
      <c r="F685" s="271"/>
      <c r="G685" s="271"/>
      <c r="H685" s="272" t="s">
        <v>64</v>
      </c>
      <c r="I685" s="273"/>
      <c r="J685" s="274">
        <v>3315431.9999999995</v>
      </c>
      <c r="K685" s="274">
        <v>2309032</v>
      </c>
      <c r="L685" s="275">
        <v>492217</v>
      </c>
      <c r="M685" s="275">
        <v>268840</v>
      </c>
      <c r="N685" s="276">
        <f>J685+L685</f>
        <v>3807648.9999999995</v>
      </c>
      <c r="O685" s="276">
        <f>K685+M685</f>
        <v>2577872</v>
      </c>
      <c r="P685" s="151"/>
      <c r="Q685" s="151"/>
      <c r="AC685" s="282"/>
    </row>
    <row r="686" spans="2:39" ht="24.9" customHeight="1">
      <c r="B686" s="9"/>
      <c r="C686" s="310"/>
      <c r="D686" s="270" t="s">
        <v>161</v>
      </c>
      <c r="E686" s="271"/>
      <c r="F686" s="271"/>
      <c r="G686" s="271"/>
      <c r="H686" s="272" t="s">
        <v>46</v>
      </c>
      <c r="I686" s="273"/>
      <c r="J686" s="274">
        <v>3580632</v>
      </c>
      <c r="K686" s="274">
        <v>2525032</v>
      </c>
      <c r="L686" s="275">
        <v>571056</v>
      </c>
      <c r="M686" s="275">
        <v>334540</v>
      </c>
      <c r="N686" s="276">
        <f>J686+L686</f>
        <v>4151688</v>
      </c>
      <c r="O686" s="276">
        <f>K686+M686</f>
        <v>2859572</v>
      </c>
      <c r="P686" s="151"/>
      <c r="Q686" s="151"/>
    </row>
    <row r="687" spans="2:39" ht="24.9" customHeight="1">
      <c r="B687" s="9"/>
      <c r="C687" s="208"/>
      <c r="D687" s="147"/>
      <c r="E687" s="9"/>
      <c r="F687" s="9"/>
      <c r="G687" s="9"/>
      <c r="H687" s="9"/>
      <c r="I687" s="233"/>
      <c r="J687" s="233"/>
      <c r="K687" s="9"/>
      <c r="L687" s="195"/>
      <c r="M687" s="195"/>
      <c r="N687" s="9"/>
      <c r="O687" s="9"/>
      <c r="P687" s="151"/>
      <c r="Q687" s="151"/>
      <c r="AC687" s="282"/>
    </row>
    <row r="688" spans="2:39" ht="24.9" customHeight="1">
      <c r="B688" s="53" t="s">
        <v>413</v>
      </c>
      <c r="C688" s="50" t="s">
        <v>414</v>
      </c>
      <c r="D688" s="54"/>
      <c r="E688" s="9"/>
      <c r="F688" s="9"/>
      <c r="G688" s="9"/>
      <c r="H688" s="9"/>
      <c r="I688" s="233"/>
      <c r="J688" s="233"/>
      <c r="K688" s="9"/>
      <c r="L688" s="195"/>
      <c r="M688" s="195"/>
      <c r="N688" s="9"/>
      <c r="O688" s="9"/>
      <c r="P688" s="151"/>
      <c r="Q688" s="151"/>
    </row>
    <row r="689" spans="2:32" ht="24.9" customHeight="1">
      <c r="B689" s="9"/>
      <c r="C689" s="208"/>
      <c r="D689" s="147"/>
      <c r="E689" s="9"/>
      <c r="F689" s="9"/>
      <c r="G689" s="9"/>
      <c r="H689" s="9"/>
      <c r="I689" s="233"/>
      <c r="J689" s="233"/>
      <c r="K689" s="9"/>
      <c r="L689" s="195"/>
      <c r="M689" s="195"/>
      <c r="N689" s="9"/>
      <c r="O689" s="9"/>
      <c r="P689" s="151"/>
      <c r="Q689" s="151"/>
    </row>
    <row r="690" spans="2:32" ht="24.9" customHeight="1">
      <c r="B690" s="9"/>
      <c r="C690" s="300" t="s">
        <v>40</v>
      </c>
      <c r="D690" s="302" t="s">
        <v>39</v>
      </c>
      <c r="E690" s="303"/>
      <c r="F690" s="303"/>
      <c r="G690" s="303"/>
      <c r="H690" s="304"/>
      <c r="I690" s="305" t="s">
        <v>41</v>
      </c>
      <c r="J690" s="306" t="s">
        <v>412</v>
      </c>
      <c r="K690" s="306"/>
      <c r="L690" s="307" t="s">
        <v>38</v>
      </c>
      <c r="M690" s="308"/>
      <c r="N690" s="306" t="s">
        <v>13</v>
      </c>
      <c r="O690" s="306"/>
      <c r="P690" s="151"/>
      <c r="Q690" s="151"/>
    </row>
    <row r="691" spans="2:32" ht="24.9" customHeight="1">
      <c r="B691" s="9"/>
      <c r="C691" s="301"/>
      <c r="D691" s="268" t="s">
        <v>15</v>
      </c>
      <c r="E691" s="268" t="s">
        <v>16</v>
      </c>
      <c r="F691" s="268" t="s">
        <v>16</v>
      </c>
      <c r="G691" s="268" t="s">
        <v>16</v>
      </c>
      <c r="H691" s="268" t="s">
        <v>16</v>
      </c>
      <c r="I691" s="301"/>
      <c r="J691" s="268" t="s">
        <v>35</v>
      </c>
      <c r="K691" s="268" t="s">
        <v>36</v>
      </c>
      <c r="L691" s="269" t="s">
        <v>35</v>
      </c>
      <c r="M691" s="269" t="s">
        <v>36</v>
      </c>
      <c r="N691" s="268" t="s">
        <v>35</v>
      </c>
      <c r="O691" s="268" t="s">
        <v>36</v>
      </c>
      <c r="P691" s="151"/>
      <c r="Q691" s="151"/>
    </row>
    <row r="692" spans="2:32" ht="24.9" customHeight="1">
      <c r="B692" s="9"/>
      <c r="C692" s="298"/>
      <c r="D692" s="277" t="s">
        <v>161</v>
      </c>
      <c r="E692" s="278"/>
      <c r="F692" s="278"/>
      <c r="G692" s="278"/>
      <c r="H692" s="279" t="s">
        <v>64</v>
      </c>
      <c r="I692" s="278"/>
      <c r="J692" s="274">
        <v>4460232</v>
      </c>
      <c r="K692" s="280">
        <f>0</f>
        <v>0</v>
      </c>
      <c r="L692" s="275">
        <v>413379</v>
      </c>
      <c r="M692" s="280">
        <v>0</v>
      </c>
      <c r="N692" s="276">
        <f>J692+L692</f>
        <v>4873611</v>
      </c>
      <c r="O692" s="280">
        <f>0</f>
        <v>0</v>
      </c>
      <c r="P692" s="151"/>
      <c r="Q692" s="151"/>
    </row>
    <row r="693" spans="2:32" ht="24.9" customHeight="1">
      <c r="B693" s="9"/>
      <c r="C693" s="299"/>
      <c r="D693" s="277" t="s">
        <v>161</v>
      </c>
      <c r="E693" s="278"/>
      <c r="F693" s="278"/>
      <c r="G693" s="278"/>
      <c r="H693" s="279" t="s">
        <v>46</v>
      </c>
      <c r="I693" s="278"/>
      <c r="J693" s="274">
        <v>4735432</v>
      </c>
      <c r="K693" s="280">
        <f>0</f>
        <v>0</v>
      </c>
      <c r="L693" s="275">
        <v>492217</v>
      </c>
      <c r="M693" s="280">
        <v>0</v>
      </c>
      <c r="N693" s="276">
        <f>J693+L693</f>
        <v>5227649</v>
      </c>
      <c r="O693" s="280">
        <f>0</f>
        <v>0</v>
      </c>
      <c r="P693" s="151"/>
      <c r="Q693" s="151"/>
    </row>
    <row r="694" spans="2:32" ht="24.9" customHeight="1">
      <c r="B694" s="9"/>
      <c r="C694" s="208"/>
      <c r="D694" s="147"/>
      <c r="E694" s="9"/>
      <c r="F694" s="9"/>
      <c r="G694" s="9"/>
      <c r="H694" s="9"/>
      <c r="I694" s="233"/>
      <c r="J694" s="233"/>
      <c r="K694" s="9"/>
      <c r="L694" s="195"/>
      <c r="M694" s="195"/>
      <c r="N694" s="9"/>
      <c r="O694" s="9"/>
      <c r="P694" s="151"/>
      <c r="Q694" s="151"/>
      <c r="AA694" s="243"/>
      <c r="AB694" s="243"/>
      <c r="AC694" s="243"/>
      <c r="AD694" s="243"/>
    </row>
    <row r="695" spans="2:32" ht="24.9" customHeight="1">
      <c r="B695" s="9"/>
      <c r="C695" s="208"/>
      <c r="D695" s="147"/>
      <c r="E695" s="9"/>
      <c r="F695" s="9"/>
      <c r="G695" s="9"/>
      <c r="H695" s="9"/>
      <c r="I695" s="233"/>
      <c r="J695" s="233"/>
      <c r="K695" s="9"/>
      <c r="L695" s="195"/>
      <c r="M695" s="195"/>
      <c r="N695" s="9"/>
      <c r="O695" s="9"/>
      <c r="P695" s="151"/>
      <c r="Q695" s="151"/>
      <c r="AA695" s="243"/>
      <c r="AB695" s="243"/>
      <c r="AC695" s="243"/>
      <c r="AD695" s="243"/>
    </row>
    <row r="696" spans="2:32" s="54" customFormat="1" ht="24.9" customHeight="1">
      <c r="B696" s="53" t="s">
        <v>408</v>
      </c>
      <c r="C696" s="50" t="s">
        <v>47</v>
      </c>
      <c r="L696" s="200"/>
      <c r="M696" s="200"/>
      <c r="P696" s="169"/>
      <c r="Q696" s="169"/>
      <c r="R696" s="169"/>
      <c r="S696" s="169"/>
      <c r="T696" s="169"/>
      <c r="U696" s="169"/>
      <c r="V696" s="169"/>
      <c r="W696" s="169"/>
      <c r="X696" s="169"/>
      <c r="AA696" s="238"/>
      <c r="AB696" s="238"/>
      <c r="AC696" s="238"/>
      <c r="AD696" s="239"/>
      <c r="AE696" s="38"/>
      <c r="AF696" s="227"/>
    </row>
    <row r="697" spans="2:32" ht="24.9" customHeight="1">
      <c r="AC697" s="238"/>
    </row>
    <row r="698" spans="2:32" ht="26.25" customHeight="1">
      <c r="C698" s="337" t="s">
        <v>109</v>
      </c>
      <c r="D698" s="338"/>
      <c r="E698" s="337" t="s">
        <v>34</v>
      </c>
      <c r="F698" s="339"/>
      <c r="G698" s="339"/>
      <c r="H698" s="339"/>
      <c r="I698" s="339"/>
      <c r="J698" s="338"/>
      <c r="K698" s="119" t="s">
        <v>110</v>
      </c>
      <c r="L698" s="340" t="s">
        <v>111</v>
      </c>
      <c r="M698" s="341"/>
      <c r="N698" s="330" t="s">
        <v>37</v>
      </c>
      <c r="O698" s="330"/>
      <c r="P698" s="176"/>
      <c r="Q698" s="176"/>
      <c r="AC698" s="282"/>
    </row>
    <row r="699" spans="2:32" ht="26.25" customHeight="1">
      <c r="C699" s="331" t="s">
        <v>112</v>
      </c>
      <c r="D699" s="332"/>
      <c r="E699" s="326" t="s">
        <v>113</v>
      </c>
      <c r="F699" s="327"/>
      <c r="G699" s="327"/>
      <c r="H699" s="327"/>
      <c r="I699" s="327"/>
      <c r="J699" s="328"/>
      <c r="K699" s="118" t="s">
        <v>36</v>
      </c>
      <c r="L699" s="329" t="s">
        <v>114</v>
      </c>
      <c r="M699" s="329"/>
      <c r="N699" s="324" t="s">
        <v>115</v>
      </c>
      <c r="O699" s="325"/>
      <c r="P699" s="177"/>
      <c r="Q699" s="177"/>
    </row>
    <row r="700" spans="2:32" ht="26.25" customHeight="1">
      <c r="C700" s="333"/>
      <c r="D700" s="334"/>
      <c r="E700" s="326" t="s">
        <v>113</v>
      </c>
      <c r="F700" s="327"/>
      <c r="G700" s="327"/>
      <c r="H700" s="327"/>
      <c r="I700" s="327"/>
      <c r="J700" s="328"/>
      <c r="K700" s="118" t="s">
        <v>35</v>
      </c>
      <c r="L700" s="329" t="s">
        <v>114</v>
      </c>
      <c r="M700" s="329"/>
      <c r="N700" s="324" t="s">
        <v>115</v>
      </c>
      <c r="O700" s="325"/>
      <c r="P700" s="177"/>
      <c r="Q700" s="177"/>
      <c r="AC700" s="282"/>
    </row>
    <row r="701" spans="2:32" ht="26.25" customHeight="1">
      <c r="C701" s="333"/>
      <c r="D701" s="334"/>
      <c r="E701" s="326" t="s">
        <v>116</v>
      </c>
      <c r="F701" s="327"/>
      <c r="G701" s="327"/>
      <c r="H701" s="327"/>
      <c r="I701" s="327"/>
      <c r="J701" s="328"/>
      <c r="K701" s="118" t="s">
        <v>36</v>
      </c>
      <c r="L701" s="329" t="s">
        <v>114</v>
      </c>
      <c r="M701" s="329"/>
      <c r="N701" s="324" t="s">
        <v>115</v>
      </c>
      <c r="O701" s="325"/>
      <c r="P701" s="177"/>
      <c r="Q701" s="177"/>
    </row>
    <row r="702" spans="2:32" ht="26.25" customHeight="1">
      <c r="C702" s="335"/>
      <c r="D702" s="336"/>
      <c r="E702" s="326" t="s">
        <v>116</v>
      </c>
      <c r="F702" s="327"/>
      <c r="G702" s="327"/>
      <c r="H702" s="327"/>
      <c r="I702" s="327"/>
      <c r="J702" s="328"/>
      <c r="K702" s="118" t="s">
        <v>35</v>
      </c>
      <c r="L702" s="329" t="s">
        <v>114</v>
      </c>
      <c r="M702" s="329"/>
      <c r="N702" s="324" t="s">
        <v>115</v>
      </c>
      <c r="O702" s="325"/>
      <c r="P702" s="177"/>
      <c r="Q702" s="177"/>
    </row>
    <row r="703" spans="2:32" ht="24.9" customHeight="1"/>
  </sheetData>
  <mergeCells count="162">
    <mergeCell ref="AE484:AF484"/>
    <mergeCell ref="AE518:AF518"/>
    <mergeCell ref="AE566:AF566"/>
    <mergeCell ref="AE600:AF600"/>
    <mergeCell ref="AE74:AF74"/>
    <mergeCell ref="AE126:AF126"/>
    <mergeCell ref="AE186:AF186"/>
    <mergeCell ref="AE234:AF234"/>
    <mergeCell ref="AE249:AF249"/>
    <mergeCell ref="AE305:AF305"/>
    <mergeCell ref="AE361:AF361"/>
    <mergeCell ref="AE413:AF413"/>
    <mergeCell ref="AE469:AF469"/>
    <mergeCell ref="C486:C496"/>
    <mergeCell ref="C497:C514"/>
    <mergeCell ref="C363:C394"/>
    <mergeCell ref="C251:C282"/>
    <mergeCell ref="I469:I470"/>
    <mergeCell ref="J469:K469"/>
    <mergeCell ref="L469:M469"/>
    <mergeCell ref="N469:O469"/>
    <mergeCell ref="D361:H361"/>
    <mergeCell ref="I361:I362"/>
    <mergeCell ref="J361:K361"/>
    <mergeCell ref="L361:M361"/>
    <mergeCell ref="N361:O361"/>
    <mergeCell ref="N413:O413"/>
    <mergeCell ref="C471:C479"/>
    <mergeCell ref="C415:C468"/>
    <mergeCell ref="C469:C470"/>
    <mergeCell ref="D469:H469"/>
    <mergeCell ref="I2:J2"/>
    <mergeCell ref="L3:M3"/>
    <mergeCell ref="D413:H413"/>
    <mergeCell ref="I413:I414"/>
    <mergeCell ref="J413:K413"/>
    <mergeCell ref="L413:M413"/>
    <mergeCell ref="C307:C356"/>
    <mergeCell ref="C361:C362"/>
    <mergeCell ref="C236:C244"/>
    <mergeCell ref="C234:C235"/>
    <mergeCell ref="D234:H234"/>
    <mergeCell ref="I234:I235"/>
    <mergeCell ref="J234:K234"/>
    <mergeCell ref="L234:M234"/>
    <mergeCell ref="J249:K249"/>
    <mergeCell ref="L249:M249"/>
    <mergeCell ref="D249:H249"/>
    <mergeCell ref="I249:I250"/>
    <mergeCell ref="N6:O6"/>
    <mergeCell ref="C7:D7"/>
    <mergeCell ref="E7:F7"/>
    <mergeCell ref="G7:M7"/>
    <mergeCell ref="I3:J3"/>
    <mergeCell ref="N14:O14"/>
    <mergeCell ref="C126:C127"/>
    <mergeCell ref="D126:H126"/>
    <mergeCell ref="I126:I127"/>
    <mergeCell ref="J126:K126"/>
    <mergeCell ref="L126:M126"/>
    <mergeCell ref="N126:O126"/>
    <mergeCell ref="C14:C15"/>
    <mergeCell ref="D14:H14"/>
    <mergeCell ref="I14:I15"/>
    <mergeCell ref="J14:K14"/>
    <mergeCell ref="L14:M14"/>
    <mergeCell ref="C16:C47"/>
    <mergeCell ref="N74:O74"/>
    <mergeCell ref="C8:D8"/>
    <mergeCell ref="E8:F8"/>
    <mergeCell ref="G8:M8"/>
    <mergeCell ref="N701:O701"/>
    <mergeCell ref="E702:J702"/>
    <mergeCell ref="L702:M702"/>
    <mergeCell ref="N702:O702"/>
    <mergeCell ref="C484:C485"/>
    <mergeCell ref="D484:H484"/>
    <mergeCell ref="I484:I485"/>
    <mergeCell ref="J484:K484"/>
    <mergeCell ref="L484:M484"/>
    <mergeCell ref="N484:O484"/>
    <mergeCell ref="N698:O698"/>
    <mergeCell ref="C699:D702"/>
    <mergeCell ref="E699:J699"/>
    <mergeCell ref="L699:M699"/>
    <mergeCell ref="N699:O699"/>
    <mergeCell ref="E700:J700"/>
    <mergeCell ref="L700:M700"/>
    <mergeCell ref="N700:O700"/>
    <mergeCell ref="E701:J701"/>
    <mergeCell ref="L701:M701"/>
    <mergeCell ref="C698:D698"/>
    <mergeCell ref="E698:J698"/>
    <mergeCell ref="L698:M698"/>
    <mergeCell ref="C518:C519"/>
    <mergeCell ref="N600:O600"/>
    <mergeCell ref="C602:C612"/>
    <mergeCell ref="C566:C567"/>
    <mergeCell ref="D566:H566"/>
    <mergeCell ref="I566:I567"/>
    <mergeCell ref="J566:K566"/>
    <mergeCell ref="L566:M566"/>
    <mergeCell ref="N566:O566"/>
    <mergeCell ref="L518:M518"/>
    <mergeCell ref="N518:O518"/>
    <mergeCell ref="D518:H518"/>
    <mergeCell ref="I518:I519"/>
    <mergeCell ref="J518:K518"/>
    <mergeCell ref="C549:C560"/>
    <mergeCell ref="C520:C530"/>
    <mergeCell ref="C531:C548"/>
    <mergeCell ref="C568:C578"/>
    <mergeCell ref="C613:C630"/>
    <mergeCell ref="C631:C639"/>
    <mergeCell ref="C579:C596"/>
    <mergeCell ref="C600:C601"/>
    <mergeCell ref="D600:H600"/>
    <mergeCell ref="I600:I601"/>
    <mergeCell ref="J600:K600"/>
    <mergeCell ref="L600:M600"/>
    <mergeCell ref="C48:C73"/>
    <mergeCell ref="C74:C75"/>
    <mergeCell ref="D74:H74"/>
    <mergeCell ref="I74:I75"/>
    <mergeCell ref="J74:K74"/>
    <mergeCell ref="L74:M74"/>
    <mergeCell ref="C160:C185"/>
    <mergeCell ref="C188:C233"/>
    <mergeCell ref="C186:C187"/>
    <mergeCell ref="D186:H186"/>
    <mergeCell ref="I186:I187"/>
    <mergeCell ref="J186:K186"/>
    <mergeCell ref="L186:M186"/>
    <mergeCell ref="C395:C412"/>
    <mergeCell ref="C413:C414"/>
    <mergeCell ref="C128:C159"/>
    <mergeCell ref="N186:O186"/>
    <mergeCell ref="C76:C121"/>
    <mergeCell ref="C283:C304"/>
    <mergeCell ref="C305:C306"/>
    <mergeCell ref="D305:H305"/>
    <mergeCell ref="I305:I306"/>
    <mergeCell ref="J305:K305"/>
    <mergeCell ref="L305:M305"/>
    <mergeCell ref="N305:O305"/>
    <mergeCell ref="C249:C250"/>
    <mergeCell ref="N234:O234"/>
    <mergeCell ref="N249:O249"/>
    <mergeCell ref="C692:C693"/>
    <mergeCell ref="C683:C684"/>
    <mergeCell ref="D683:H683"/>
    <mergeCell ref="I683:I684"/>
    <mergeCell ref="J683:K683"/>
    <mergeCell ref="L683:M683"/>
    <mergeCell ref="N683:O683"/>
    <mergeCell ref="C685:C686"/>
    <mergeCell ref="C690:C691"/>
    <mergeCell ref="D690:H690"/>
    <mergeCell ref="I690:I691"/>
    <mergeCell ref="J690:K690"/>
    <mergeCell ref="L690:M690"/>
    <mergeCell ref="N690:O690"/>
  </mergeCells>
  <printOptions horizontalCentered="1"/>
  <pageMargins left="0" right="0" top="0.37" bottom="0.3" header="0.3" footer="0.39"/>
  <pageSetup paperSize="9" scale="44" orientation="portrait" r:id="rId1"/>
  <headerFooter alignWithMargins="0"/>
  <rowBreaks count="9" manualBreakCount="9">
    <brk id="122" max="16383" man="1"/>
    <brk id="233" max="16383" man="1"/>
    <brk id="244" max="16383" man="1"/>
    <brk id="356" max="16383" man="1"/>
    <brk id="468" max="16383" man="1"/>
    <brk id="480" max="16383" man="1"/>
    <brk id="514" max="16383" man="1"/>
    <brk id="560" max="16383" man="1"/>
    <brk id="59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E49890AB11046A47D8357EF28CE67" ma:contentTypeVersion="10" ma:contentTypeDescription="Create a new document." ma:contentTypeScope="" ma:versionID="7d3eefc9815436683270ff4ed6c6a442">
  <xsd:schema xmlns:xsd="http://www.w3.org/2001/XMLSchema" xmlns:xs="http://www.w3.org/2001/XMLSchema" xmlns:p="http://schemas.microsoft.com/office/2006/metadata/properties" xmlns:ns3="cc5289a7-753f-4608-94b4-1b3cea3688d2" targetNamespace="http://schemas.microsoft.com/office/2006/metadata/properties" ma:root="true" ma:fieldsID="9418b9224f7fd9d01069f6e595a8b7e5" ns3:_="">
    <xsd:import namespace="cc5289a7-753f-4608-94b4-1b3cea3688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289a7-753f-4608-94b4-1b3cea368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45D0A9-AE38-421E-B4F9-C2C094577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289a7-753f-4608-94b4-1b3cea368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B52F76-141D-41AC-9ECF-11F58BB6FD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32BE8A-4F2A-47D2-8431-42B50FDA4868}">
  <ds:schemaRefs>
    <ds:schemaRef ds:uri="cc5289a7-753f-4608-94b4-1b3cea3688d2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QUOTATION</vt:lpstr>
      <vt:lpstr>import</vt:lpstr>
      <vt:lpstr>import!Print_Area</vt:lpstr>
      <vt:lpstr>QUOTATION!Print_Area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Hong Huong</dc:creator>
  <cp:lastModifiedBy>anh vo</cp:lastModifiedBy>
  <cp:lastPrinted>2026-06-04T08:00:21Z</cp:lastPrinted>
  <dcterms:created xsi:type="dcterms:W3CDTF">2009-04-03T02:11:17Z</dcterms:created>
  <dcterms:modified xsi:type="dcterms:W3CDTF">2026-06-24T16:58:15Z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0x0101006D9E49890AB11046A47D8357EF28CE67</vt:lpwstr>
  </property>
</Properties>
</file>