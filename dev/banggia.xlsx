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" sheetId="1" r:id="rId5"/>
    <sheet state="visible" name="Attachmen(disconnect &amp; conn" sheetId="2" r:id="rId6"/>
    <sheet state="visible" name="Import Data" sheetId="3" r:id="rId7"/>
  </sheets>
  <definedNames/>
  <calcPr/>
</workbook>
</file>

<file path=xl/sharedStrings.xml><?xml version="1.0" encoding="utf-8"?>
<sst xmlns="http://schemas.openxmlformats.org/spreadsheetml/2006/main" count="5623" uniqueCount="419">
  <si>
    <t>MBF JOINT STOCK COMPANY</t>
  </si>
  <si>
    <t>No. 58, Gieng Hamlet, Co Dien A Village, Thanh Tri Commune, Hanoi, Vietnam</t>
  </si>
  <si>
    <t>Tel: 84-24-39449616 - Fax 84-24-39449618</t>
  </si>
  <si>
    <t xml:space="preserve"> http://mbf.com.vn</t>
  </si>
  <si>
    <t>To:</t>
  </si>
  <si>
    <t>CANON VIETNAM CO., LTD-THANGLONG FACTORY (CTL)
CANON VIETNAM CO., LTD-QUEVO FACTORY (CQV)
CANON VIETNAM CO., LTD-TIENSON FACTORY (CTS)</t>
  </si>
  <si>
    <t>Ref No:</t>
  </si>
  <si>
    <t>Quotation no:</t>
  </si>
  <si>
    <t>MBF-202607-00</t>
  </si>
  <si>
    <t>Attn.:</t>
  </si>
  <si>
    <t>Mr. Shigeyuki Okamoto</t>
  </si>
  <si>
    <t>Issue Date:</t>
  </si>
  <si>
    <t>General Director</t>
  </si>
  <si>
    <t>Effect Date:</t>
  </si>
  <si>
    <t>Tel:</t>
  </si>
  <si>
    <t xml:space="preserve">+(84)(24)-3.881.2111
+(84)(222)-3.622.111
+(84)(222)-3.712.111 </t>
  </si>
  <si>
    <t>Expiry Date:</t>
  </si>
  <si>
    <t>From:</t>
  </si>
  <si>
    <t>Ms. Nguyen Thu Thuy - Director</t>
  </si>
  <si>
    <t>Contact:</t>
  </si>
  <si>
    <t xml:space="preserve">Name: </t>
  </si>
  <si>
    <t>Ms. Thanh Mai</t>
  </si>
  <si>
    <t>Subject:</t>
  </si>
  <si>
    <t xml:space="preserve">GENERAL QUOTATION FOR HANDLING IMPORT-EXPORT CARGO
</t>
  </si>
  <si>
    <t xml:space="preserve">Tel: </t>
  </si>
  <si>
    <t>0981.639.905</t>
  </si>
  <si>
    <t>FOLLOWING CONTRACT NO:</t>
  </si>
  <si>
    <t>CVNLOG-MBF-2026-001</t>
  </si>
  <si>
    <t>Email</t>
  </si>
  <si>
    <t>doc01@mbf.com.vn</t>
  </si>
  <si>
    <t>Dear sirs,</t>
  </si>
  <si>
    <t xml:space="preserve">Thank you very much for your kind attention and support to our company as always. </t>
  </si>
  <si>
    <t>We would like to send you herewith our revised Quotation as attachment.</t>
  </si>
  <si>
    <t>·</t>
  </si>
  <si>
    <t xml:space="preserve">This Quotation is replaced for Quotation No: </t>
  </si>
  <si>
    <t>1st version</t>
  </si>
  <si>
    <t xml:space="preserve">This quotation rate is based on fuel price: </t>
  </si>
  <si>
    <t>35,440 VND per liter.</t>
  </si>
  <si>
    <t>The quotation will be renewed automatically after the above expired date if there is no contrary from any party.</t>
  </si>
  <si>
    <t>We deeply wish that our offer will satisfy your requirement.  If you have any comment, please feel free to contact us at anytime.</t>
  </si>
  <si>
    <t>Your kind attention to above would be highly appreciated.</t>
  </si>
  <si>
    <t>CANON VIETNAM CO., LTD</t>
  </si>
  <si>
    <t>Ms. Nguyen Thu Thuy</t>
  </si>
  <si>
    <t>Director</t>
  </si>
  <si>
    <t>LOGISTICS QUOTATION LIST OF HANDLING IMPORT/EXPORT CARGO</t>
  </si>
  <si>
    <t xml:space="preserve">Issued by MBF JOINT STOCK COMPANY on: </t>
  </si>
  <si>
    <r>
      <rPr>
        <rFont val="Calibri"/>
        <color theme="1"/>
        <sz val="15.0"/>
      </rPr>
      <t xml:space="preserve">This attached file is an integral part of the </t>
    </r>
    <r>
      <rPr>
        <rFont val="Calibri"/>
        <color theme="1"/>
        <sz val="15.0"/>
      </rPr>
      <t xml:space="preserve">Quotation No: </t>
    </r>
  </si>
  <si>
    <t xml:space="preserve">effective date: </t>
  </si>
  <si>
    <t>1.</t>
  </si>
  <si>
    <t>CUSTOMS CLEARANCE FEE</t>
  </si>
  <si>
    <t>Factory</t>
  </si>
  <si>
    <t>Kind</t>
  </si>
  <si>
    <t>Item</t>
  </si>
  <si>
    <t>40FT</t>
  </si>
  <si>
    <t>20FT</t>
  </si>
  <si>
    <t>LCL</t>
  </si>
  <si>
    <t>Air</t>
  </si>
  <si>
    <t>Domestics</t>
  </si>
  <si>
    <t>Remark</t>
  </si>
  <si>
    <t>Container</t>
  </si>
  <si>
    <t>CDS</t>
  </si>
  <si>
    <t>TL/TS/QV</t>
  </si>
  <si>
    <t>Export/ Import</t>
  </si>
  <si>
    <t>Local custom clerance fee</t>
  </si>
  <si>
    <t>Port custom clerance fee</t>
  </si>
  <si>
    <t>Total</t>
  </si>
  <si>
    <t>Branch CDS (over 50 item lines)</t>
  </si>
  <si>
    <t>Additional CDS (2 or more different CDS for each shipment/ each invoice, except branch CDS as  mentioned above)</t>
  </si>
  <si>
    <t>-</t>
  </si>
  <si>
    <t>Combine container (cargo of 2 or 3 factories combined in 1 container), from the 2nd CDS</t>
  </si>
  <si>
    <t>2.</t>
  </si>
  <si>
    <t xml:space="preserve">DRAYAGE BY TRIP </t>
  </si>
  <si>
    <t>2.1.</t>
  </si>
  <si>
    <t xml:space="preserve">HAI PHONG PORT </t>
  </si>
  <si>
    <t>2.1.1</t>
  </si>
  <si>
    <t xml:space="preserve">TRUCK DISCONNECT WITH CHASSIS TO HAI PHONG PORT </t>
  </si>
  <si>
    <t>KIND</t>
  </si>
  <si>
    <t>Routing</t>
  </si>
  <si>
    <t>Distance
( km)</t>
  </si>
  <si>
    <t xml:space="preserve">Transportation fee </t>
  </si>
  <si>
    <t>Fuel fee</t>
  </si>
  <si>
    <t>FROM</t>
  </si>
  <si>
    <t>TO</t>
  </si>
  <si>
    <t>HPP</t>
  </si>
  <si>
    <t>TL</t>
  </si>
  <si>
    <t>TS</t>
  </si>
  <si>
    <t>QV</t>
  </si>
  <si>
    <t>CEV</t>
  </si>
  <si>
    <t>VSIP</t>
  </si>
  <si>
    <t>Transportation 1 way of Import/Export</t>
  </si>
  <si>
    <t>ICDQV</t>
  </si>
  <si>
    <t>ICDTP</t>
  </si>
  <si>
    <t>Internal CRU transportation</t>
  </si>
  <si>
    <t>TL(IM HPP)</t>
  </si>
  <si>
    <t>TS(IM HPP)</t>
  </si>
  <si>
    <t>QV(IM HPP)</t>
  </si>
  <si>
    <t>TL(IM ICDQV)</t>
  </si>
  <si>
    <t>TS(IM ICDQV)</t>
  </si>
  <si>
    <t>QV(IM ICDQV)</t>
  </si>
  <si>
    <t>TL(IM ICDTP)</t>
  </si>
  <si>
    <t>TS(IM ICDTP)</t>
  </si>
  <si>
    <t>QV(IM ICDTP)</t>
  </si>
  <si>
    <t>External CRU transportation</t>
  </si>
  <si>
    <t>HN</t>
  </si>
  <si>
    <t>BG</t>
  </si>
  <si>
    <t>HY</t>
  </si>
  <si>
    <t>2.1.2</t>
  </si>
  <si>
    <t>TRUCK CONNECT WITH CHASSIS TO HAI PHONG PORT</t>
  </si>
  <si>
    <t>2.2.</t>
  </si>
  <si>
    <t xml:space="preserve">LACH HUYEN PORT </t>
  </si>
  <si>
    <t>2.2.1</t>
  </si>
  <si>
    <t>TRUCK DISCONNECT WITH CHASSIS TO LACH HUYEN PORT</t>
  </si>
  <si>
    <t>LHP</t>
  </si>
  <si>
    <t>2.2.2</t>
  </si>
  <si>
    <t>TRUCK CONNECT WITH CHASSIS TO LACH HUYEN PORT</t>
  </si>
  <si>
    <t>2.3.</t>
  </si>
  <si>
    <t>ICD QV</t>
  </si>
  <si>
    <t>2.3.1</t>
  </si>
  <si>
    <t>TRUCK DISCONNECT WITH CHASSIS TO ICD QV</t>
  </si>
  <si>
    <t>Transportation
 1 way of
 Import/Export</t>
  </si>
  <si>
    <t>2.3.2</t>
  </si>
  <si>
    <t>TRUCK CONNECT WITH CHASSIS TO ICD QV</t>
  </si>
  <si>
    <t>ICD TP</t>
  </si>
  <si>
    <t>2.4.1</t>
  </si>
  <si>
    <t>TRUCK DISCONNECT WITH CHASSIS TO ICD TP</t>
  </si>
  <si>
    <t>2.4.2</t>
  </si>
  <si>
    <t>TRUCK CONNECT WITH CHASSIS TO ICD TP</t>
  </si>
  <si>
    <t>*</t>
  </si>
  <si>
    <t>TRANSPORTATION FEE FOR COMBINATION OF 2X20FT</t>
  </si>
  <si>
    <t>Combination of 2x20FT of CVN: Price of 2x20FT = Price of 40FT + VND 2,100,000</t>
  </si>
  <si>
    <t>Combination of CVN's  1x20FT and MBF customer's 1x20FT:</t>
  </si>
  <si>
    <t>+</t>
  </si>
  <si>
    <t>Container is reposited at CVN by CVN: Price per 20FT = Price of single 20FT - VND 900,000</t>
  </si>
  <si>
    <t>Container is NOT reposited at CVN by CVN: Price per 20FT = Price of single 20F</t>
  </si>
  <si>
    <t xml:space="preserve">TRANSPORTATION FEE FOR COMBINATION OF 2 FACTORIES: </t>
  </si>
  <si>
    <t>VND 900,000 (base on 1st Fact's price)</t>
  </si>
  <si>
    <t xml:space="preserve">TRANSPORTATION FEE FOR COMBINATION OF 3 FACTORIES: </t>
  </si>
  <si>
    <t>VND 1,400,000 (base on TL's price)</t>
  </si>
  <si>
    <t>TRANSPORTATION FEE FOR TRUCK COMEBACK TO ICD WITHOUT CONTAINER:</t>
  </si>
  <si>
    <t>Free charge for 5 containers/ month</t>
  </si>
  <si>
    <t>From the 6th container:</t>
  </si>
  <si>
    <t>50% ROUTE ICD-FACTORY-ICD</t>
  </si>
  <si>
    <t>DETENTION, CANCEL CONTAINER FEE, OTHER FEE</t>
  </si>
  <si>
    <t>Detention:</t>
  </si>
  <si>
    <t>For truck connect with chassis</t>
  </si>
  <si>
    <t>Free time</t>
  </si>
  <si>
    <t>10 hours</t>
  </si>
  <si>
    <t>Waiting time, after free time</t>
  </si>
  <si>
    <t>VND 100,000 / Hour/ Cont</t>
  </si>
  <si>
    <t>Block 12h, from 0h00 D+1 (D is loading day)</t>
  </si>
  <si>
    <t>VND 800,000 / Cont</t>
  </si>
  <si>
    <t>For truck disconnect with chassis</t>
  </si>
  <si>
    <t>4 hours</t>
  </si>
  <si>
    <t>After free time, the rate of truck connect with chassis will be applied</t>
  </si>
  <si>
    <t>Cancel fee:</t>
  </si>
  <si>
    <t>Before 24H</t>
  </si>
  <si>
    <t>Free</t>
  </si>
  <si>
    <t>Less than 24H</t>
  </si>
  <si>
    <t>VND 1,000,000 / Cont</t>
  </si>
  <si>
    <t>Truck at factory</t>
  </si>
  <si>
    <t>Trucking price</t>
  </si>
  <si>
    <t xml:space="preserve">Other fee: </t>
  </si>
  <si>
    <t xml:space="preserve">Additional fee for pick up container at LHP </t>
  </si>
  <si>
    <t>VND 400,000/ Cont</t>
  </si>
  <si>
    <t>CDS liquidation OT at port – Normal Hours</t>
  </si>
  <si>
    <t>VND 300,000/ Cont</t>
  </si>
  <si>
    <t>CDS liquidation OT at port – After Hours</t>
  </si>
  <si>
    <t>VND 500,000/ Cont</t>
  </si>
  <si>
    <t>CDS liquidation OT at port – Public Holiday</t>
  </si>
  <si>
    <t>VND 1,000,000/ Cont</t>
  </si>
  <si>
    <t>Driver Gratuity – Sunday (for ICD Route)</t>
  </si>
  <si>
    <t>VND 250,000 VND / Cont</t>
  </si>
  <si>
    <t>Driver Gratuity – Sunday (for HPH Route)</t>
  </si>
  <si>
    <t>VND 500,000 VND / Cont</t>
  </si>
  <si>
    <t>Driver Gratuity – Public Holiday (for ICD Route)</t>
  </si>
  <si>
    <t>VND 1,200,000 VND / Cont</t>
  </si>
  <si>
    <t>Driver Gratuity – Public Holiday (for HPH Route)</t>
  </si>
  <si>
    <t>VND 1,900,000 VND / Cont</t>
  </si>
  <si>
    <t>RU FEE VIA ONE</t>
  </si>
  <si>
    <t>For  Internal CRU ( Effective from January 1, 2026 ) :</t>
  </si>
  <si>
    <t>VND 1,728,000/ Cont</t>
  </si>
  <si>
    <t xml:space="preserve">Split 50/50 for export and import. </t>
  </si>
  <si>
    <t>For  External CRU ( Effective from January 1, 2026 ) :</t>
  </si>
  <si>
    <t xml:space="preserve">VND 864,000/ Cont </t>
  </si>
  <si>
    <t>OVERTIME &amp; OTHER ARRANGEMENT</t>
  </si>
  <si>
    <t>Unit</t>
  </si>
  <si>
    <t>Price</t>
  </si>
  <si>
    <t>Ocean port</t>
  </si>
  <si>
    <t>High way HPH-TL</t>
  </si>
  <si>
    <t>One way</t>
  </si>
  <si>
    <t>High way HPH-TS/ QV</t>
  </si>
  <si>
    <t>Loại</t>
  </si>
  <si>
    <t>Điểm Hạ</t>
  </si>
  <si>
    <t>TO 1</t>
  </si>
  <si>
    <t>TO 2</t>
  </si>
  <si>
    <t>TO 3</t>
  </si>
  <si>
    <t>TO 4</t>
  </si>
  <si>
    <t>Tuyến (Routing)</t>
  </si>
  <si>
    <t>Distance (km)</t>
  </si>
  <si>
    <t>Transport fee 40FT</t>
  </si>
  <si>
    <t>Transport fee 20FT</t>
  </si>
  <si>
    <t>Fuel fee 40FT</t>
  </si>
  <si>
    <t>Fuel fee 20FT</t>
  </si>
  <si>
    <t>Total 40FT</t>
  </si>
  <si>
    <t>Total 20FT</t>
  </si>
  <si>
    <t>DISCONNECT</t>
  </si>
  <si>
    <t>HAI PHONG</t>
  </si>
  <si>
    <t>HPP → TL → HPP</t>
  </si>
  <si>
    <t>HPP → TS → HPP</t>
  </si>
  <si>
    <t>HPP → QV → HPP</t>
  </si>
  <si>
    <t>HPP → TL → TS → HPP</t>
  </si>
  <si>
    <t>HPP → TL → QV → HPP</t>
  </si>
  <si>
    <t>HPP → TS → QV → HPP</t>
  </si>
  <si>
    <t>HPP → TL → TS → QV → HPP</t>
  </si>
  <si>
    <t>HPP → CEV → HPP</t>
  </si>
  <si>
    <t>HPP → CEV → TL → HPP</t>
  </si>
  <si>
    <t>HPP → CEV → TS → HPP</t>
  </si>
  <si>
    <t>HPP → VSIP → HPP</t>
  </si>
  <si>
    <t>HPP → VSIP → TS → HPP</t>
  </si>
  <si>
    <t>HPP → VSIP → QV → HPP</t>
  </si>
  <si>
    <t>HPP → VSIP → TS → QV → HPP</t>
  </si>
  <si>
    <t>ICDQV → TL → HPP</t>
  </si>
  <si>
    <t>ICDQV → TS → HPP</t>
  </si>
  <si>
    <t>ICDQV → QV → HPP</t>
  </si>
  <si>
    <t>ICDQV → TL → TS → HPP</t>
  </si>
  <si>
    <t>ICDQV → TL → QV → HPP</t>
  </si>
  <si>
    <t>ICDQV → TS → QV → HPP</t>
  </si>
  <si>
    <t>ICDQV → TL → TS → QV → HPP</t>
  </si>
  <si>
    <t>ICDTP → TL → HPP</t>
  </si>
  <si>
    <t>ICDTP → TS → HPP</t>
  </si>
  <si>
    <t>ICDTP → QV → HPP</t>
  </si>
  <si>
    <t>ICDTP → TL → TS → HPP</t>
  </si>
  <si>
    <t>ICDTP → TL → QV → HPP</t>
  </si>
  <si>
    <t>ICDTP → TS → QV → HPP</t>
  </si>
  <si>
    <t>ICDTP → TL → TS → QV → HPP</t>
  </si>
  <si>
    <t>HPP → TL(IM HPP)</t>
  </si>
  <si>
    <t>TL(IM HPP) → TL → HPP</t>
  </si>
  <si>
    <t>TL(IM HPP) → TS → HPP</t>
  </si>
  <si>
    <t>TL(IM HPP) → QV → HPP</t>
  </si>
  <si>
    <t>HPP → TS(IM HPP)</t>
  </si>
  <si>
    <t>TS(IM HPP) → TL → HPP</t>
  </si>
  <si>
    <t>TS(IM HPP) → TS → HPP</t>
  </si>
  <si>
    <t>TS(IM HPP) → QV → HPP</t>
  </si>
  <si>
    <t>HPP → QV(IM HPP)</t>
  </si>
  <si>
    <t>QV(IM HPP) → TL → HPP</t>
  </si>
  <si>
    <t>QV(IM HPP) → TS → HPP</t>
  </si>
  <si>
    <t>QV(IM HPP) → QV → HPP</t>
  </si>
  <si>
    <t>ICDQV → TL(IM ICDQV)</t>
  </si>
  <si>
    <t>TL(IM ICDQV) → TL → HPP</t>
  </si>
  <si>
    <t>TL(IM ICDQV) → TS → HPP</t>
  </si>
  <si>
    <t>TL(IM ICDQV) → QV → HPP</t>
  </si>
  <si>
    <t>ICDQV → TS(IM ICDQV)</t>
  </si>
  <si>
    <t>TS(IM ICDQV) → TL → HPP</t>
  </si>
  <si>
    <t>TS(IM ICDQV) → TS → HPP</t>
  </si>
  <si>
    <t>TS(IM ICDQV) → QV → HPP</t>
  </si>
  <si>
    <t>ICDQV → QV(IM ICDQV)</t>
  </si>
  <si>
    <t>QV(IM ICDQV) → TL → HPP</t>
  </si>
  <si>
    <t>QV(IM ICDQV) → TS → HPP</t>
  </si>
  <si>
    <t>QV(IM ICDQV) → QV → HPP</t>
  </si>
  <si>
    <t>ICDTP → TL(IM ICDTP)</t>
  </si>
  <si>
    <t>TL(IM ICDTP) → TL → HPP</t>
  </si>
  <si>
    <t>TL(IM ICDTP) → TS → HPP</t>
  </si>
  <si>
    <t>TL(IM ICDTP) → QV → HPP</t>
  </si>
  <si>
    <t>ICDTP → TS(IM ICDTP)</t>
  </si>
  <si>
    <t>TS(IM ICDTP) → TL → HPP</t>
  </si>
  <si>
    <t>TS(IM ICDTP) → TS → HPP</t>
  </si>
  <si>
    <t>TS(IM ICDTP) → QV → HPP</t>
  </si>
  <si>
    <t>ICDTP → QV(IM ICDTP)</t>
  </si>
  <si>
    <t>QV(IM ICDTP) → TL → HPP</t>
  </si>
  <si>
    <t>QV(IM ICDTP) → TS → HPP</t>
  </si>
  <si>
    <t>QV(IM ICDTP) → QV → HPP</t>
  </si>
  <si>
    <t>HN → TL → HPP</t>
  </si>
  <si>
    <t>HN → TS → HPP</t>
  </si>
  <si>
    <t>HN → QV → HPP</t>
  </si>
  <si>
    <t>BG → TL → HPP</t>
  </si>
  <si>
    <t>BG → TS → HPP</t>
  </si>
  <si>
    <t>BG → QV → HPP</t>
  </si>
  <si>
    <t>HY → TL → HPP</t>
  </si>
  <si>
    <t>HY → TS → HPP</t>
  </si>
  <si>
    <t>HY → QV → HPP</t>
  </si>
  <si>
    <t>CONNECT</t>
  </si>
  <si>
    <t>LACH HUYEN</t>
  </si>
  <si>
    <t>HPP → TL → LHP</t>
  </si>
  <si>
    <t>HPP → TS → LHP</t>
  </si>
  <si>
    <t>HPP → QV → LHP</t>
  </si>
  <si>
    <t>HPP → TL → TS → LHP</t>
  </si>
  <si>
    <t>HPP → TL → QV → LHP</t>
  </si>
  <si>
    <t>HPP → TS → QV → LHP</t>
  </si>
  <si>
    <t>HPP → TL → TS → QV → LHP</t>
  </si>
  <si>
    <t>HPP → CEV → LHP</t>
  </si>
  <si>
    <t>HPP → CEV → TL → LHP</t>
  </si>
  <si>
    <t>HPP → CEV → TS → LHP</t>
  </si>
  <si>
    <t>HPP → VSIP → LHP</t>
  </si>
  <si>
    <t>HPP → VSIP → TS → LHP</t>
  </si>
  <si>
    <t>HPP → VSIP → QV → LHP</t>
  </si>
  <si>
    <t>HPP → VSIP → TS → QV → LHP</t>
  </si>
  <si>
    <t>ICDQV → TL → LHP</t>
  </si>
  <si>
    <t>ICDQV → TS → LHP</t>
  </si>
  <si>
    <t>ICDQV → QV → LHP</t>
  </si>
  <si>
    <t>ICDQV → TL → TS → LHP</t>
  </si>
  <si>
    <t>ICDQV → TL → QV → LHP</t>
  </si>
  <si>
    <t>ICDQV → TS → QV → LHP</t>
  </si>
  <si>
    <t>ICDQV → TL → TS → QV → LHP</t>
  </si>
  <si>
    <t>ICDTP → TL → LHP</t>
  </si>
  <si>
    <t>ICDTP → TS → LHP</t>
  </si>
  <si>
    <t>ICDTP → QV → LHP</t>
  </si>
  <si>
    <t>ICDTP → TL → TS → LHP</t>
  </si>
  <si>
    <t>ICDTP → TL → QV → LHP</t>
  </si>
  <si>
    <t>ICDTP → TS → QV → LHP</t>
  </si>
  <si>
    <t>ICDTP → TL → TS → QV → LHP</t>
  </si>
  <si>
    <t>TL(IM HPP) → TL → LHP</t>
  </si>
  <si>
    <t>TL(IM HPP) → TS → LHP</t>
  </si>
  <si>
    <t>TL(IM HPP) → QV → LHP</t>
  </si>
  <si>
    <t>TS(IM HPP) → TL → LHP</t>
  </si>
  <si>
    <t>TS(IM HPP) → TS → LHP</t>
  </si>
  <si>
    <t>TS(IM HPP) → QV → LHP</t>
  </si>
  <si>
    <t>QV(IM HPP) → TL → LHP</t>
  </si>
  <si>
    <t>QV(IM HPP) → TS → LHP</t>
  </si>
  <si>
    <t>QV(IM HPP) → QV → LHP</t>
  </si>
  <si>
    <t>TL(IM ICDQV) → TL → LHP</t>
  </si>
  <si>
    <t>TL(IM ICDQV) → TS → LHP</t>
  </si>
  <si>
    <t>TL(IM ICDQV) → QV → LHP</t>
  </si>
  <si>
    <t>TS(IM ICDQV) → TL → LHP</t>
  </si>
  <si>
    <t>TS(IM ICDQV) → TS → LHP</t>
  </si>
  <si>
    <t>TS(IM ICDQV) → QV → LHP</t>
  </si>
  <si>
    <t>QV(IM ICDQV) → TL → LHP</t>
  </si>
  <si>
    <t>QV(IM ICDQV) → TS → LHP</t>
  </si>
  <si>
    <t>QV(IM ICDQV) → QV → LHP</t>
  </si>
  <si>
    <t>TL(IM ICDTP) → TL → LHP</t>
  </si>
  <si>
    <t>TL(IM ICDTP) → TS → LHP</t>
  </si>
  <si>
    <t>TL(IM ICDTP) → QV → LHP</t>
  </si>
  <si>
    <t>TS(IM ICDTP) → TL → LHP</t>
  </si>
  <si>
    <t>TS(IM ICDTP) → TS → LHP</t>
  </si>
  <si>
    <t>TS(IM ICDTP) → QV → LHP</t>
  </si>
  <si>
    <t>QV(IM ICDTP) → TL → LHP</t>
  </si>
  <si>
    <t>QV(IM ICDTP) → TS → LHP</t>
  </si>
  <si>
    <t>QV(IM ICDTP) → QV → LHP</t>
  </si>
  <si>
    <t>HN → TL → LHP</t>
  </si>
  <si>
    <t>HN → TS → LHP</t>
  </si>
  <si>
    <t>HN → QV → LHP</t>
  </si>
  <si>
    <t>BG → TL → LHP</t>
  </si>
  <si>
    <t>BG → TS → LHP</t>
  </si>
  <si>
    <t>BG → QV → LHP</t>
  </si>
  <si>
    <t>HY → TL → LHP</t>
  </si>
  <si>
    <t>HY → TS → LHP</t>
  </si>
  <si>
    <t>HY → QV → LHP</t>
  </si>
  <si>
    <t>ICDQV → TL → ICDQV</t>
  </si>
  <si>
    <t>ICDQV → TS → ICDQV</t>
  </si>
  <si>
    <t>ICDQV → QV → ICDQV</t>
  </si>
  <si>
    <t>ICDQV → TL → TS → ICDQV</t>
  </si>
  <si>
    <t>ICDQV → TL → QV → ICDQV</t>
  </si>
  <si>
    <t>ICDQV → TS → QV → ICDQV</t>
  </si>
  <si>
    <t>ICDQV → TL → TS → QV → ICDQV</t>
  </si>
  <si>
    <t>ICDQV → CEV → ICDQV</t>
  </si>
  <si>
    <t>ICDQV → CEV → TL → ICDQV</t>
  </si>
  <si>
    <t>ICDQV → CEV → TS → ICDQV</t>
  </si>
  <si>
    <t>ICDQV → VSIP → ICDQV</t>
  </si>
  <si>
    <t>ICDQV → VSIP → TS → ICDQV</t>
  </si>
  <si>
    <t>ICDQV → VSIP → QV → ICDQV</t>
  </si>
  <si>
    <t>ICDQV → VSIP → TS → QV → ICDQV</t>
  </si>
  <si>
    <t>TL(IM ICDQV) → TL → ICDQV</t>
  </si>
  <si>
    <t>TL(IM ICDQV) → TS → ICDQV</t>
  </si>
  <si>
    <t>TL(IM ICDQV) → QV → ICDQV</t>
  </si>
  <si>
    <t>TS(IM ICDQV) → TL → ICDQV</t>
  </si>
  <si>
    <t>TS(IM ICDQV) → TS → ICDQV</t>
  </si>
  <si>
    <t>TS(IM ICDQV) → QV → ICDQV</t>
  </si>
  <si>
    <t>QV(IM ICDQV) → TL → ICDQV</t>
  </si>
  <si>
    <t>QV(IM ICDQV) → TS → ICDQV</t>
  </si>
  <si>
    <t>QV(IM ICDQV) → QV → ICDQV</t>
  </si>
  <si>
    <t>BG → TL → ICDQV</t>
  </si>
  <si>
    <t>BG → TS → ICDQV</t>
  </si>
  <si>
    <t>BG → QV → ICDQV</t>
  </si>
  <si>
    <t>HN → TL → ICDQV</t>
  </si>
  <si>
    <t>HN → TS → ICDQV</t>
  </si>
  <si>
    <t>HN → QV → ICDQV</t>
  </si>
  <si>
    <t>HY → TL → ICDQV</t>
  </si>
  <si>
    <t>HY → TS → ICDQV</t>
  </si>
  <si>
    <t>HY → QV → ICDQV</t>
  </si>
  <si>
    <t>ICDTP → TL → ICDTP</t>
  </si>
  <si>
    <t>ICDTP → TS → ICDTP</t>
  </si>
  <si>
    <t>ICDTP → QV → ICDTP</t>
  </si>
  <si>
    <t>ICDTP → TL → TS → ICDTP</t>
  </si>
  <si>
    <t>ICDTP → TL → QV → ICDTP</t>
  </si>
  <si>
    <t>ICDTP → TS → QV → ICDTP</t>
  </si>
  <si>
    <t>ICDTP → TL → TS → QV → ICDTP</t>
  </si>
  <si>
    <t>ICDTP → CEV → ICDTP</t>
  </si>
  <si>
    <t>ICDTP → CEV → TL → ICDTP</t>
  </si>
  <si>
    <t>ICDTP → CEV → TS → ICDTP</t>
  </si>
  <si>
    <t>ICDTP → VSIP → ICDTP</t>
  </si>
  <si>
    <t>ICDTP → VSIP → TS → ICDTP</t>
  </si>
  <si>
    <t>ICDTP → VSIP → QV → ICDTP</t>
  </si>
  <si>
    <t>ICDTP → VSIP → TS → QV → ICDTP</t>
  </si>
  <si>
    <t>TL(IM ICDTP) → TL → ICDTP</t>
  </si>
  <si>
    <t>TL(IM ICDTP) → TS → ICDTP</t>
  </si>
  <si>
    <t>TL(IM ICDTP) → QV → ICDTP</t>
  </si>
  <si>
    <t>TS(IM ICDTP) → TL → ICDTP</t>
  </si>
  <si>
    <t>TS(IM ICDTP) → TS → ICDTP</t>
  </si>
  <si>
    <t>TS(IM ICDTP) → QV → ICDTP</t>
  </si>
  <si>
    <t>QV(IM ICDTP) → TL → ICDTP</t>
  </si>
  <si>
    <t>QV(IM ICDTP) → TS → ICDTP</t>
  </si>
  <si>
    <t>QV(IM ICDTP) → QV → ICDTP</t>
  </si>
  <si>
    <t>HN → TL → ICDTP</t>
  </si>
  <si>
    <t>HN → TS → ICDTP</t>
  </si>
  <si>
    <t>HN → QV → ICDTP</t>
  </si>
  <si>
    <t>BG → TL → ICDTP</t>
  </si>
  <si>
    <t>BG → TS → ICDTP</t>
  </si>
  <si>
    <t>BG → QV → ICDTP</t>
  </si>
  <si>
    <t>HY → TL → ICDTP</t>
  </si>
  <si>
    <t>HY → TS → ICDTP</t>
  </si>
  <si>
    <t>HY → QV → ICDTP</t>
  </si>
  <si>
    <t>TL(IM ICDQV) → TL → ICDTP</t>
  </si>
  <si>
    <t>TL(IM ICDQV) → TS → ICDTP</t>
  </si>
  <si>
    <t>TL(IM ICDQV) → QV → ICDTP</t>
  </si>
  <si>
    <t>TS(IM ICDQV) → TL → ICDTP</t>
  </si>
  <si>
    <t>TS(IM ICDQV) → TS → ICDTP</t>
  </si>
  <si>
    <t>TS(IM ICDQV) → QV → ICDTP</t>
  </si>
  <si>
    <t>QV(IM ICDQV) → TL → ICDTP</t>
  </si>
  <si>
    <t>QV(IM ICDQV) → TS → ICDTP</t>
  </si>
  <si>
    <t>QV(IM ICDQV) → QV → ICDTP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</si>
</sst>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Q-DRACO-MDHN-&quot;yymm&quot;- &quot;"/>
    <numFmt numFmtId="165" formatCode="mmmm\.\ dd\,\ yyyy"/>
    <numFmt numFmtId="166" formatCode="&quot;VND&quot;\ #,##0&quot;/liter&quot;"/>
    <numFmt numFmtId="167" formatCode="&quot;on &quot;dd/mmm/yyyy"/>
    <numFmt numFmtId="168" formatCode="_-* #,##0_-;\-* #,##0_-;_-* &quot;-&quot;_-;_-@"/>
    <numFmt numFmtId="169" formatCode="[$-409]mmmm\ d\,\ yyyy"/>
    <numFmt numFmtId="170" formatCode="#,##0;(#,##0);-"/>
  </numFmts>
  <fonts count="59">
    <font>
      <sz val="11.0"/>
      <color rgb="FF000000"/>
      <name val="MS PGothic"/>
      <scheme val="minor"/>
    </font>
    <font>
      <sz val="11.0"/>
      <color theme="1"/>
      <name val="Calibri"/>
    </font>
    <font>
      <sz val="10.0"/>
      <color theme="1"/>
      <name val="Calibri"/>
    </font>
    <font>
      <b/>
      <sz val="30.0"/>
      <color rgb="FF0000CC"/>
      <name val="Calibri"/>
    </font>
    <font>
      <b/>
      <sz val="12.0"/>
      <color theme="1"/>
      <name val="Calibri"/>
    </font>
    <font/>
    <font>
      <b/>
      <sz val="30.0"/>
      <color theme="1"/>
      <name val="Calibri"/>
    </font>
    <font>
      <sz val="12.0"/>
      <color theme="1"/>
      <name val="Calibri"/>
    </font>
    <font>
      <u/>
      <sz val="11.0"/>
      <color theme="10"/>
      <name val="MS PGothic"/>
    </font>
    <font>
      <b/>
      <u/>
      <sz val="12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i/>
      <sz val="12.0"/>
      <color rgb="FF002060"/>
      <name val="Calibri"/>
    </font>
    <font>
      <sz val="12.0"/>
      <color rgb="FF0000FF"/>
      <name val="Calibri"/>
    </font>
    <font>
      <sz val="12.0"/>
      <color theme="1"/>
      <name val="Noto Sans Symbols"/>
    </font>
    <font>
      <i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theme="1"/>
      <name val="Calibri"/>
    </font>
    <font>
      <i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969696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3.0"/>
      <color theme="1"/>
      <name val="Calibri"/>
    </font>
    <font>
      <sz val="13.0"/>
      <color theme="1"/>
      <name val="Calibri"/>
    </font>
    <font>
      <b/>
      <sz val="25.0"/>
      <color theme="1"/>
      <name val="Calibri"/>
    </font>
    <font>
      <sz val="12.0"/>
      <color rgb="FFFFFF00"/>
      <name val="Calibri"/>
    </font>
    <font>
      <sz val="12.0"/>
      <color rgb="FFFF0000"/>
      <name val="Calibri"/>
    </font>
    <font>
      <b/>
      <sz val="15.0"/>
      <color theme="1"/>
      <name val="Calibri"/>
    </font>
    <font>
      <sz val="15.0"/>
      <color theme="1"/>
      <name val="Calibri"/>
    </font>
    <font>
      <sz val="15.0"/>
      <color rgb="FFFF0000"/>
      <name val="Calibri"/>
    </font>
    <font>
      <b/>
      <sz val="15.0"/>
      <color rgb="FFFFFF00"/>
      <name val="Calibri"/>
    </font>
    <font>
      <b/>
      <sz val="15.0"/>
      <color rgb="FFFF0000"/>
      <name val="Calibri"/>
    </font>
    <font>
      <b/>
      <sz val="13.0"/>
      <color rgb="FF000000"/>
      <name val="Calibri"/>
    </font>
    <font>
      <b/>
      <i/>
      <sz val="13.0"/>
      <color rgb="FF000000"/>
      <name val="Calibri"/>
    </font>
    <font>
      <b/>
      <i/>
      <sz val="13.0"/>
      <color theme="1"/>
      <name val="Calibri"/>
    </font>
    <font>
      <b/>
      <sz val="13.0"/>
      <color rgb="FFFFFF00"/>
      <name val="Calibri"/>
    </font>
    <font>
      <b/>
      <sz val="13.0"/>
      <color rgb="FFFF0000"/>
      <name val="Calibri"/>
    </font>
    <font>
      <b/>
      <sz val="15.0"/>
      <color rgb="FF000099"/>
      <name val="Calibri"/>
    </font>
    <font>
      <sz val="13.0"/>
      <color rgb="FFFFFF00"/>
      <name val="Calibri"/>
    </font>
    <font>
      <sz val="13.0"/>
      <color rgb="FF000000"/>
      <name val="Calibri"/>
    </font>
    <font>
      <b/>
      <sz val="13.0"/>
      <color rgb="FF0070C0"/>
      <name val="Calibri"/>
    </font>
    <font>
      <sz val="13.0"/>
      <color rgb="FFFF0000"/>
      <name val="Calibri"/>
    </font>
    <font>
      <sz val="15.0"/>
      <color rgb="FF000099"/>
      <name val="Calibri"/>
    </font>
    <font>
      <sz val="15.0"/>
      <color rgb="FFFFFF00"/>
      <name val="Calibri"/>
    </font>
    <font>
      <b/>
      <sz val="11.0"/>
      <color theme="1"/>
      <name val="Calibri"/>
    </font>
    <font>
      <b/>
      <sz val="15.0"/>
      <color rgb="FF000000"/>
      <name val="Calibri"/>
    </font>
    <font>
      <b/>
      <u/>
      <sz val="13.0"/>
      <color rgb="FF000000"/>
      <name val="Calibri"/>
    </font>
    <font>
      <i/>
      <u/>
      <sz val="13.0"/>
      <color rgb="FF000000"/>
      <name val="Calibri"/>
    </font>
    <font>
      <b/>
      <u/>
      <sz val="13.0"/>
      <color rgb="FF000000"/>
      <name val="Calibri"/>
    </font>
    <font>
      <b/>
      <u/>
      <sz val="13.0"/>
      <color rgb="FF000000"/>
      <name val="Calibri"/>
    </font>
    <font>
      <b/>
      <sz val="13.0"/>
      <color rgb="FF000099"/>
      <name val="Calibri"/>
    </font>
    <font>
      <b/>
      <color rgb="FFFFFFFF"/>
      <name val="MS PGothic"/>
      <scheme val="minor"/>
    </font>
    <font>
      <color theme="1"/>
      <name val="MS PGothic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AAE571"/>
        <bgColor rgb="FFAAE571"/>
      </patternFill>
    </fill>
    <fill>
      <patternFill patternType="solid">
        <fgColor rgb="FF1F4E78"/>
        <bgColor rgb="FF1F4E78"/>
      </patternFill>
    </fill>
  </fills>
  <borders count="3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3366FF"/>
      </bottom>
    </border>
    <border>
      <left style="thin">
        <color rgb="FF3366FF"/>
      </left>
      <top style="thin">
        <color rgb="FF3366FF"/>
      </top>
      <bottom style="thin">
        <color rgb="FF3366FF"/>
      </bottom>
    </border>
    <border>
      <top style="thin">
        <color rgb="FF3366FF"/>
      </top>
      <bottom style="thin">
        <color rgb="FF3366FF"/>
      </bottom>
    </border>
    <border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top style="thin">
        <color rgb="FF3366FF"/>
      </top>
    </border>
    <border>
      <top style="thin">
        <color rgb="FF3366FF"/>
      </top>
    </border>
    <border>
      <right style="thin">
        <color rgb="FF3366FF"/>
      </right>
      <top style="thin">
        <color rgb="FF3366FF"/>
      </top>
    </border>
    <border>
      <left style="thin">
        <color rgb="FF3366FF"/>
      </left>
      <bottom style="thin">
        <color rgb="FF3366FF"/>
      </bottom>
    </border>
    <border>
      <bottom style="thin">
        <color rgb="FF3366FF"/>
      </bottom>
    </border>
    <border>
      <right style="thin">
        <color rgb="FF3366FF"/>
      </right>
      <bottom style="thin">
        <color rgb="FF3366FF"/>
      </bottom>
    </border>
    <border>
      <left style="thin">
        <color rgb="FF3366FF"/>
      </left>
    </border>
    <border>
      <right style="thin">
        <color rgb="FF3366FF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38" xfId="0" applyAlignment="1" applyBorder="1" applyFill="1" applyFont="1" applyNumberFormat="1">
      <alignment vertical="center"/>
    </xf>
    <xf borderId="1" fillId="2" fontId="2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1" fillId="3" fontId="3" numFmtId="0" xfId="0" applyAlignment="1" applyBorder="1" applyFill="1" applyFont="1">
      <alignment shrinkToFit="0" vertical="center" wrapText="1"/>
    </xf>
    <xf borderId="2" fillId="3" fontId="4" numFmtId="0" xfId="0" applyAlignment="1" applyBorder="1" applyFont="1">
      <alignment horizontal="right" shrinkToFit="0" vertical="center" wrapText="1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1" fillId="3" fontId="6" numFmtId="0" xfId="0" applyAlignment="1" applyBorder="1" applyFont="1">
      <alignment horizontal="right" shrinkToFit="0" vertical="center" wrapText="1"/>
    </xf>
    <xf borderId="1" fillId="3" fontId="4" numFmtId="0" xfId="0" applyAlignment="1" applyBorder="1" applyFont="1">
      <alignment horizontal="right" vertical="center"/>
    </xf>
    <xf borderId="1" fillId="3" fontId="4" numFmtId="0" xfId="0" applyAlignment="1" applyBorder="1" applyFont="1">
      <alignment horizontal="right" shrinkToFit="0" vertical="center" wrapText="1"/>
    </xf>
    <xf borderId="5" fillId="3" fontId="3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6" fillId="4" fontId="7" numFmtId="0" xfId="0" applyAlignment="1" applyBorder="1" applyFill="1" applyFont="1">
      <alignment horizontal="left" shrinkToFit="1" vertical="center" wrapText="0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6" fillId="0" fontId="4" numFmtId="0" xfId="0" applyAlignment="1" applyBorder="1" applyFont="1">
      <alignment horizontal="left" shrinkToFit="0" vertical="center" wrapText="1"/>
    </xf>
    <xf borderId="6" fillId="2" fontId="4" numFmtId="164" xfId="0" applyAlignment="1" applyBorder="1" applyFont="1" applyNumberFormat="1">
      <alignment horizontal="center" vertical="center"/>
    </xf>
    <xf borderId="6" fillId="0" fontId="4" numFmtId="164" xfId="0" applyAlignment="1" applyBorder="1" applyFont="1" applyNumberFormat="1">
      <alignment horizontal="left" vertical="center"/>
    </xf>
    <xf borderId="0" fillId="0" fontId="7" numFmtId="38" xfId="0" applyAlignment="1" applyFont="1" applyNumberFormat="1">
      <alignment vertical="center"/>
    </xf>
    <xf borderId="9" fillId="4" fontId="7" numFmtId="0" xfId="0" applyAlignment="1" applyBorder="1" applyFont="1">
      <alignment horizontal="left" shrinkToFit="1" vertical="top" wrapText="0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6" fillId="0" fontId="7" numFmtId="0" xfId="0" applyAlignment="1" applyBorder="1" applyFont="1">
      <alignment horizontal="left" shrinkToFit="0" vertical="center" wrapText="1"/>
    </xf>
    <xf borderId="6" fillId="0" fontId="7" numFmtId="165" xfId="0" applyAlignment="1" applyBorder="1" applyFont="1" applyNumberForma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6" fillId="0" fontId="7" numFmtId="0" xfId="0" applyAlignment="1" applyBorder="1" applyFont="1">
      <alignment horizontal="left" vertical="center"/>
    </xf>
    <xf quotePrefix="1" borderId="6" fillId="0" fontId="7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vertical="center"/>
    </xf>
    <xf borderId="1" fillId="2" fontId="7" numFmtId="38" xfId="0" applyAlignment="1" applyBorder="1" applyFont="1" applyNumberFormat="1">
      <alignment vertical="center"/>
    </xf>
    <xf borderId="1" fillId="2" fontId="7" numFmtId="0" xfId="0" applyAlignment="1" applyBorder="1" applyFont="1">
      <alignment vertical="center"/>
    </xf>
    <xf borderId="9" fillId="4" fontId="7" numFmtId="0" xfId="0" applyAlignment="1" applyBorder="1" applyFont="1">
      <alignment horizontal="left" shrinkToFit="1" vertical="center" wrapText="0"/>
    </xf>
    <xf borderId="6" fillId="0" fontId="4" numFmtId="0" xfId="0" applyAlignment="1" applyBorder="1" applyFont="1">
      <alignment horizontal="left" shrinkToFit="0" vertical="top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quotePrefix="1" borderId="6" fillId="0" fontId="1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1" fillId="2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10" xfId="0" applyAlignment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11" numFmtId="166" xfId="0" applyAlignment="1" applyFont="1" applyNumberFormat="1">
      <alignment horizontal="center" shrinkToFit="1" vertical="center" wrapText="0"/>
    </xf>
    <xf borderId="0" fillId="0" fontId="12" numFmtId="167" xfId="0" applyAlignment="1" applyFont="1" applyNumberFormat="1">
      <alignment horizontal="center" vertical="center"/>
    </xf>
    <xf borderId="0" fillId="0" fontId="13" numFmtId="167" xfId="0" applyAlignment="1" applyFont="1" applyNumberFormat="1">
      <alignment horizontal="center" vertical="center"/>
    </xf>
    <xf borderId="1" fillId="3" fontId="7" numFmtId="0" xfId="0" applyAlignment="1" applyBorder="1" applyFont="1">
      <alignment vertical="center"/>
    </xf>
    <xf borderId="1" fillId="3" fontId="4" numFmtId="0" xfId="0" applyAlignment="1" applyBorder="1" applyFont="1">
      <alignment vertical="center"/>
    </xf>
    <xf borderId="1" fillId="3" fontId="14" numFmtId="0" xfId="0" applyAlignment="1" applyBorder="1" applyFont="1">
      <alignment horizontal="left" vertical="center"/>
    </xf>
    <xf borderId="1" fillId="3" fontId="15" numFmtId="0" xfId="0" applyAlignment="1" applyBorder="1" applyFont="1">
      <alignment vertical="center"/>
    </xf>
    <xf borderId="2" fillId="3" fontId="15" numFmtId="0" xfId="0" applyAlignment="1" applyBorder="1" applyFont="1">
      <alignment horizontal="left" vertical="center"/>
    </xf>
    <xf borderId="1" fillId="3" fontId="16" numFmtId="0" xfId="0" applyAlignment="1" applyBorder="1" applyFont="1">
      <alignment vertical="center"/>
    </xf>
    <xf borderId="1" fillId="3" fontId="17" numFmtId="0" xfId="0" applyAlignment="1" applyBorder="1" applyFont="1">
      <alignment vertical="center"/>
    </xf>
    <xf borderId="1" fillId="2" fontId="10" numFmtId="0" xfId="0" applyAlignment="1" applyBorder="1" applyFont="1">
      <alignment vertical="center"/>
    </xf>
    <xf borderId="1" fillId="2" fontId="18" numFmtId="0" xfId="0" applyAlignment="1" applyBorder="1" applyFont="1">
      <alignment vertical="center"/>
    </xf>
    <xf borderId="2" fillId="3" fontId="15" numFmtId="166" xfId="0" applyAlignment="1" applyBorder="1" applyFont="1" applyNumberFormat="1">
      <alignment horizontal="left" vertical="center"/>
    </xf>
    <xf borderId="0" fillId="0" fontId="19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0" fontId="20" numFmtId="0" xfId="0" applyAlignment="1" applyFont="1">
      <alignment vertical="top"/>
    </xf>
    <xf borderId="0" fillId="0" fontId="10" numFmtId="0" xfId="0" applyAlignment="1" applyFont="1">
      <alignment shrinkToFit="0" vertical="top" wrapText="1"/>
    </xf>
    <xf borderId="0" fillId="0" fontId="10" numFmtId="38" xfId="0" applyAlignment="1" applyFont="1" applyNumberFormat="1">
      <alignment vertical="center"/>
    </xf>
    <xf borderId="0" fillId="0" fontId="21" numFmtId="0" xfId="0" applyAlignment="1" applyFont="1">
      <alignment horizontal="left" vertical="top"/>
    </xf>
    <xf borderId="0" fillId="0" fontId="22" numFmtId="0" xfId="0" applyAlignment="1" applyFont="1">
      <alignment horizontal="left" vertical="top"/>
    </xf>
    <xf borderId="0" fillId="0" fontId="11" numFmtId="0" xfId="0" applyAlignment="1" applyFont="1">
      <alignment horizontal="left" shrinkToFit="0" vertical="top" wrapText="1"/>
    </xf>
    <xf borderId="0" fillId="0" fontId="23" numFmtId="38" xfId="0" applyAlignment="1" applyFont="1" applyNumberFormat="1">
      <alignment horizontal="left" vertical="top"/>
    </xf>
    <xf borderId="0" fillId="0" fontId="24" numFmtId="40" xfId="0" applyAlignment="1" applyFont="1" applyNumberFormat="1">
      <alignment horizontal="left" vertical="top"/>
    </xf>
    <xf borderId="0" fillId="0" fontId="7" numFmtId="0" xfId="0" applyAlignment="1" applyFont="1">
      <alignment horizontal="left" vertical="top"/>
    </xf>
    <xf borderId="1" fillId="2" fontId="25" numFmtId="0" xfId="0" applyAlignment="1" applyBorder="1" applyFont="1">
      <alignment horizontal="left" vertical="top"/>
    </xf>
    <xf borderId="1" fillId="2" fontId="26" numFmtId="38" xfId="0" applyAlignment="1" applyBorder="1" applyFont="1" applyNumberFormat="1">
      <alignment horizontal="left" vertical="top"/>
    </xf>
    <xf borderId="1" fillId="2" fontId="27" numFmtId="40" xfId="0" applyAlignment="1" applyBorder="1" applyFont="1" applyNumberFormat="1">
      <alignment horizontal="left" vertical="top"/>
    </xf>
    <xf borderId="0" fillId="0" fontId="10" numFmtId="0" xfId="0" applyAlignment="1" applyFont="1">
      <alignment vertical="top"/>
    </xf>
    <xf borderId="0" fillId="0" fontId="7" numFmtId="40" xfId="0" applyAlignment="1" applyFont="1" applyNumberFormat="1">
      <alignment vertical="center"/>
    </xf>
    <xf borderId="0" fillId="0" fontId="28" numFmtId="0" xfId="0" applyAlignment="1" applyFont="1">
      <alignment vertical="center"/>
    </xf>
    <xf borderId="1" fillId="2" fontId="29" numFmtId="0" xfId="0" applyAlignment="1" applyBorder="1" applyFont="1">
      <alignment vertical="center"/>
    </xf>
    <xf borderId="1" fillId="2" fontId="28" numFmtId="0" xfId="0" applyAlignment="1" applyBorder="1" applyFont="1">
      <alignment vertical="center"/>
    </xf>
    <xf borderId="0" fillId="0" fontId="29" numFmtId="38" xfId="0" applyAlignment="1" applyFont="1" applyNumberFormat="1">
      <alignment vertical="center"/>
    </xf>
    <xf borderId="0" fillId="0" fontId="29" numFmtId="40" xfId="0" applyAlignment="1" applyFont="1" applyNumberFormat="1">
      <alignment vertical="center"/>
    </xf>
    <xf borderId="0" fillId="0" fontId="29" numFmtId="0" xfId="0" applyAlignment="1" applyFont="1">
      <alignment vertical="center"/>
    </xf>
    <xf borderId="2" fillId="3" fontId="4" numFmtId="0" xfId="0" applyAlignment="1" applyBorder="1" applyFont="1">
      <alignment horizontal="right" vertical="center"/>
    </xf>
    <xf borderId="1" fillId="3" fontId="28" numFmtId="0" xfId="0" applyAlignment="1" applyBorder="1" applyFont="1">
      <alignment vertical="center"/>
    </xf>
    <xf borderId="1" fillId="2" fontId="29" numFmtId="38" xfId="0" applyAlignment="1" applyBorder="1" applyFont="1" applyNumberFormat="1">
      <alignment vertical="center"/>
    </xf>
    <xf borderId="1" fillId="3" fontId="4" numFmtId="0" xfId="0" applyAlignment="1" applyBorder="1" applyFont="1">
      <alignment horizontal="center" vertical="center"/>
    </xf>
    <xf borderId="0" fillId="0" fontId="30" numFmtId="0" xfId="0" applyAlignment="1" applyFont="1">
      <alignment vertical="center"/>
    </xf>
    <xf borderId="0" fillId="0" fontId="7" numFmtId="168" xfId="0" applyAlignment="1" applyFont="1" applyNumberFormat="1">
      <alignment vertical="center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0" fillId="0" fontId="33" numFmtId="0" xfId="0" applyAlignment="1" applyFont="1">
      <alignment vertical="center"/>
    </xf>
    <xf borderId="1" fillId="2" fontId="34" numFmtId="0" xfId="0" applyAlignment="1" applyBorder="1" applyFont="1">
      <alignment vertical="center"/>
    </xf>
    <xf borderId="1" fillId="2" fontId="33" numFmtId="0" xfId="0" applyAlignment="1" applyBorder="1" applyFont="1">
      <alignment vertical="center"/>
    </xf>
    <xf borderId="2" fillId="2" fontId="35" numFmtId="169" xfId="0" applyAlignment="1" applyBorder="1" applyFont="1" applyNumberFormat="1">
      <alignment horizontal="left" vertical="center"/>
    </xf>
    <xf borderId="1" fillId="2" fontId="33" numFmtId="168" xfId="0" applyAlignment="1" applyBorder="1" applyFont="1" applyNumberFormat="1">
      <alignment vertical="center"/>
    </xf>
    <xf borderId="0" fillId="0" fontId="36" numFmtId="0" xfId="0" applyAlignment="1" applyFont="1">
      <alignment vertical="center"/>
    </xf>
    <xf borderId="0" fillId="0" fontId="37" numFmtId="0" xfId="0" applyAlignment="1" applyFont="1">
      <alignment vertical="center"/>
    </xf>
    <xf borderId="2" fillId="2" fontId="35" numFmtId="164" xfId="0" applyAlignment="1" applyBorder="1" applyFont="1" applyNumberFormat="1">
      <alignment vertical="center"/>
    </xf>
    <xf borderId="0" fillId="0" fontId="38" numFmtId="0" xfId="0" applyAlignment="1" applyFont="1">
      <alignment vertical="center"/>
    </xf>
    <xf borderId="0" fillId="0" fontId="39" numFmtId="0" xfId="0" applyAlignment="1" applyFont="1">
      <alignment vertical="center"/>
    </xf>
    <xf borderId="0" fillId="0" fontId="40" numFmtId="168" xfId="0" applyAlignment="1" applyFont="1" applyNumberFormat="1">
      <alignment vertical="center"/>
    </xf>
    <xf borderId="0" fillId="0" fontId="41" numFmtId="0" xfId="0" applyAlignment="1" applyFont="1">
      <alignment vertical="center"/>
    </xf>
    <xf borderId="0" fillId="0" fontId="42" numFmtId="0" xfId="0" applyAlignment="1" applyFont="1">
      <alignment vertical="center"/>
    </xf>
    <xf borderId="0" fillId="0" fontId="43" numFmtId="0" xfId="0" applyAlignment="1" applyFont="1">
      <alignment vertical="center"/>
    </xf>
    <xf quotePrefix="1" borderId="0" fillId="0" fontId="43" numFmtId="0" xfId="0" applyAlignment="1" applyFont="1">
      <alignment vertical="center"/>
    </xf>
    <xf borderId="0" fillId="0" fontId="43" numFmtId="0" xfId="0" applyAlignment="1" applyFont="1">
      <alignment horizontal="left" vertical="center"/>
    </xf>
    <xf borderId="0" fillId="0" fontId="33" numFmtId="168" xfId="0" applyAlignment="1" applyFont="1" applyNumberFormat="1">
      <alignment vertical="center"/>
    </xf>
    <xf borderId="0" fillId="0" fontId="38" numFmtId="0" xfId="0" applyAlignment="1" applyFont="1">
      <alignment horizontal="left" vertical="center"/>
    </xf>
    <xf borderId="0" fillId="0" fontId="28" numFmtId="168" xfId="0" applyAlignment="1" applyFont="1" applyNumberFormat="1">
      <alignment vertical="center"/>
    </xf>
    <xf borderId="17" fillId="0" fontId="39" numFmtId="0" xfId="0" applyAlignment="1" applyBorder="1" applyFont="1">
      <alignment horizontal="right" vertical="center"/>
    </xf>
    <xf borderId="18" fillId="5" fontId="28" numFmtId="0" xfId="0" applyAlignment="1" applyBorder="1" applyFill="1" applyFont="1">
      <alignment horizontal="center" vertical="center"/>
    </xf>
    <xf borderId="19" fillId="0" fontId="5" numFmtId="0" xfId="0" applyAlignment="1" applyBorder="1" applyFont="1">
      <alignment vertical="center"/>
    </xf>
    <xf borderId="20" fillId="5" fontId="28" numFmtId="0" xfId="0" applyAlignment="1" applyBorder="1" applyFont="1">
      <alignment horizontal="center" vertical="center"/>
    </xf>
    <xf borderId="18" fillId="5" fontId="38" numFmtId="0" xfId="0" applyAlignment="1" applyBorder="1" applyFont="1">
      <alignment horizontal="center" vertical="center"/>
    </xf>
    <xf borderId="21" fillId="0" fontId="5" numFmtId="0" xfId="0" applyAlignment="1" applyBorder="1" applyFont="1">
      <alignment vertical="center"/>
    </xf>
    <xf borderId="22" fillId="5" fontId="28" numFmtId="0" xfId="0" applyAlignment="1" applyBorder="1" applyFont="1">
      <alignment horizontal="center" vertical="center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25" fillId="0" fontId="5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borderId="18" fillId="0" fontId="29" numFmtId="0" xfId="0" applyAlignment="1" applyBorder="1" applyFont="1">
      <alignment horizontal="center" shrinkToFit="0" vertical="center" wrapText="1"/>
    </xf>
    <xf borderId="20" fillId="0" fontId="29" numFmtId="0" xfId="0" applyAlignment="1" applyBorder="1" applyFont="1">
      <alignment horizontal="center" vertical="center"/>
    </xf>
    <xf borderId="26" fillId="0" fontId="29" numFmtId="0" xfId="0" applyAlignment="1" applyBorder="1" applyFont="1">
      <alignment vertical="center"/>
    </xf>
    <xf borderId="27" fillId="0" fontId="29" numFmtId="0" xfId="0" applyAlignment="1" applyBorder="1" applyFont="1">
      <alignment vertical="center"/>
    </xf>
    <xf borderId="28" fillId="0" fontId="29" numFmtId="0" xfId="0" applyAlignment="1" applyBorder="1" applyFont="1">
      <alignment vertical="center"/>
    </xf>
    <xf borderId="22" fillId="0" fontId="29" numFmtId="38" xfId="0" applyAlignment="1" applyBorder="1" applyFont="1" applyNumberFormat="1">
      <alignment horizontal="right" vertical="center"/>
    </xf>
    <xf borderId="22" fillId="0" fontId="29" numFmtId="0" xfId="0" applyAlignment="1" applyBorder="1" applyFont="1">
      <alignment horizontal="center" vertical="center"/>
    </xf>
    <xf borderId="0" fillId="0" fontId="44" numFmtId="0" xfId="0" applyAlignment="1" applyFont="1">
      <alignment vertical="center"/>
    </xf>
    <xf borderId="29" fillId="0" fontId="5" numFmtId="0" xfId="0" applyAlignment="1" applyBorder="1" applyFont="1">
      <alignment vertical="center"/>
    </xf>
    <xf borderId="30" fillId="0" fontId="5" numFmtId="0" xfId="0" applyAlignment="1" applyBorder="1" applyFont="1">
      <alignment vertical="center"/>
    </xf>
    <xf borderId="31" fillId="0" fontId="5" numFmtId="0" xfId="0" applyAlignment="1" applyBorder="1" applyFont="1">
      <alignment vertical="center"/>
    </xf>
    <xf borderId="26" fillId="0" fontId="28" numFmtId="0" xfId="0" applyAlignment="1" applyBorder="1" applyFont="1">
      <alignment vertical="center"/>
    </xf>
    <xf borderId="27" fillId="0" fontId="28" numFmtId="0" xfId="0" applyAlignment="1" applyBorder="1" applyFont="1">
      <alignment vertical="center"/>
    </xf>
    <xf borderId="28" fillId="0" fontId="28" numFmtId="0" xfId="0" applyAlignment="1" applyBorder="1" applyFont="1">
      <alignment vertical="center"/>
    </xf>
    <xf borderId="22" fillId="0" fontId="28" numFmtId="38" xfId="0" applyAlignment="1" applyBorder="1" applyFont="1" applyNumberFormat="1">
      <alignment horizontal="right" vertical="center"/>
    </xf>
    <xf borderId="26" fillId="0" fontId="29" numFmtId="0" xfId="0" applyAlignment="1" applyBorder="1" applyFont="1">
      <alignment horizontal="left" vertical="center"/>
    </xf>
    <xf borderId="27" fillId="0" fontId="5" numFmtId="0" xfId="0" applyAlignment="1" applyBorder="1" applyFont="1">
      <alignment vertical="center"/>
    </xf>
    <xf borderId="28" fillId="0" fontId="5" numFmtId="0" xfId="0" applyAlignment="1" applyBorder="1" applyFont="1">
      <alignment vertical="center"/>
    </xf>
    <xf borderId="26" fillId="0" fontId="29" numFmtId="0" xfId="0" applyAlignment="1" applyBorder="1" applyFont="1">
      <alignment horizontal="left" shrinkToFit="0" vertical="center" wrapText="1"/>
    </xf>
    <xf borderId="0" fillId="0" fontId="45" numFmtId="0" xfId="0" applyAlignment="1" applyFont="1">
      <alignment vertical="center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left" vertical="center"/>
    </xf>
    <xf borderId="0" fillId="0" fontId="46" numFmtId="0" xfId="0" applyAlignment="1" applyFont="1">
      <alignment horizontal="left" vertical="center"/>
    </xf>
    <xf borderId="0" fillId="0" fontId="46" numFmtId="168" xfId="0" applyAlignment="1" applyFont="1" applyNumberFormat="1">
      <alignment vertical="center"/>
    </xf>
    <xf borderId="0" fillId="0" fontId="47" numFmtId="0" xfId="0" applyAlignment="1" applyFont="1">
      <alignment vertical="center"/>
    </xf>
    <xf borderId="1" fillId="2" fontId="48" numFmtId="0" xfId="0" applyAlignment="1" applyBorder="1" applyFont="1">
      <alignment vertical="center"/>
    </xf>
    <xf quotePrefix="1" borderId="0" fillId="0" fontId="43" numFmtId="0" xfId="0" applyAlignment="1" applyFont="1">
      <alignment horizontal="left" vertical="center"/>
    </xf>
    <xf borderId="1" fillId="2" fontId="34" numFmtId="168" xfId="0" applyAlignment="1" applyBorder="1" applyFont="1" applyNumberFormat="1">
      <alignment vertical="center"/>
    </xf>
    <xf borderId="1" fillId="2" fontId="49" numFmtId="0" xfId="0" applyAlignment="1" applyBorder="1" applyFont="1">
      <alignment vertical="center"/>
    </xf>
    <xf borderId="1" fillId="2" fontId="35" numFmtId="0" xfId="0" applyAlignment="1" applyBorder="1" applyFont="1">
      <alignment vertical="center"/>
    </xf>
    <xf borderId="1" fillId="2" fontId="29" numFmtId="168" xfId="0" applyAlignment="1" applyBorder="1" applyFont="1" applyNumberFormat="1">
      <alignment vertical="center"/>
    </xf>
    <xf borderId="20" fillId="4" fontId="28" numFmtId="0" xfId="0" applyAlignment="1" applyBorder="1" applyFont="1">
      <alignment horizontal="center" vertical="center"/>
    </xf>
    <xf borderId="26" fillId="4" fontId="28" numFmtId="0" xfId="0" applyAlignment="1" applyBorder="1" applyFont="1">
      <alignment horizontal="center" vertical="center"/>
    </xf>
    <xf borderId="20" fillId="4" fontId="28" numFmtId="0" xfId="0" applyAlignment="1" applyBorder="1" applyFont="1">
      <alignment horizontal="center" shrinkToFit="0" vertical="center" wrapText="1"/>
    </xf>
    <xf borderId="26" fillId="4" fontId="50" numFmtId="0" xfId="0" applyAlignment="1" applyBorder="1" applyFont="1">
      <alignment horizontal="center" vertical="center"/>
    </xf>
    <xf borderId="26" fillId="4" fontId="28" numFmtId="168" xfId="0" applyAlignment="1" applyBorder="1" applyFont="1" applyNumberFormat="1">
      <alignment horizontal="center" vertical="center"/>
    </xf>
    <xf borderId="1" fillId="2" fontId="44" numFmtId="0" xfId="0" applyAlignment="1" applyBorder="1" applyFont="1">
      <alignment vertical="center"/>
    </xf>
    <xf borderId="1" fillId="2" fontId="47" numFmtId="0" xfId="0" applyAlignment="1" applyBorder="1" applyFont="1">
      <alignment vertical="center"/>
    </xf>
    <xf borderId="22" fillId="4" fontId="28" numFmtId="0" xfId="0" applyAlignment="1" applyBorder="1" applyFont="1">
      <alignment horizontal="center" vertical="center"/>
    </xf>
    <xf borderId="22" fillId="4" fontId="28" numFmtId="168" xfId="0" applyAlignment="1" applyBorder="1" applyFont="1" applyNumberFormat="1">
      <alignment horizontal="center" vertical="center"/>
    </xf>
    <xf borderId="2" fillId="2" fontId="29" numFmtId="0" xfId="0" applyAlignment="1" applyBorder="1" applyFont="1">
      <alignment vertical="center"/>
    </xf>
    <xf borderId="22" fillId="0" fontId="29" numFmtId="168" xfId="0" applyAlignment="1" applyBorder="1" applyFont="1" applyNumberFormat="1">
      <alignment vertical="center"/>
    </xf>
    <xf borderId="22" fillId="2" fontId="29" numFmtId="38" xfId="0" applyAlignment="1" applyBorder="1" applyFont="1" applyNumberFormat="1">
      <alignment vertical="center"/>
    </xf>
    <xf borderId="22" fillId="0" fontId="28" numFmtId="168" xfId="0" applyAlignment="1" applyBorder="1" applyFont="1" applyNumberFormat="1">
      <alignment vertical="center"/>
    </xf>
    <xf borderId="1" fillId="2" fontId="47" numFmtId="168" xfId="0" applyAlignment="1" applyBorder="1" applyFont="1" applyNumberFormat="1">
      <alignment vertical="center"/>
    </xf>
    <xf borderId="22" fillId="3" fontId="29" numFmtId="0" xfId="0" applyAlignment="1" applyBorder="1" applyFont="1">
      <alignment horizontal="center" vertical="center"/>
    </xf>
    <xf borderId="22" fillId="3" fontId="29" numFmtId="168" xfId="0" applyAlignment="1" applyBorder="1" applyFont="1" applyNumberFormat="1">
      <alignment vertical="center"/>
    </xf>
    <xf borderId="20" fillId="3" fontId="33" numFmtId="0" xfId="0" applyAlignment="1" applyBorder="1" applyFont="1">
      <alignment horizontal="center" shrinkToFit="0" textRotation="90" vertical="center" wrapText="1"/>
    </xf>
    <xf borderId="32" fillId="2" fontId="29" numFmtId="0" xfId="0" applyAlignment="1" applyBorder="1" applyFont="1">
      <alignment vertical="center"/>
    </xf>
    <xf borderId="1" fillId="3" fontId="29" numFmtId="0" xfId="0" applyAlignment="1" applyBorder="1" applyFont="1">
      <alignment vertical="center"/>
    </xf>
    <xf borderId="1" fillId="3" fontId="33" numFmtId="0" xfId="0" applyAlignment="1" applyBorder="1" applyFont="1">
      <alignment horizontal="center" shrinkToFit="0" textRotation="90" vertical="center" wrapText="1"/>
    </xf>
    <xf borderId="1" fillId="3" fontId="29" numFmtId="0" xfId="0" applyAlignment="1" applyBorder="1" applyFont="1">
      <alignment horizontal="center" vertical="center"/>
    </xf>
    <xf borderId="1" fillId="3" fontId="29" numFmtId="168" xfId="0" applyAlignment="1" applyBorder="1" applyFont="1" applyNumberFormat="1">
      <alignment vertical="center"/>
    </xf>
    <xf borderId="1" fillId="3" fontId="47" numFmtId="168" xfId="0" applyAlignment="1" applyBorder="1" applyFont="1" applyNumberFormat="1">
      <alignment vertical="center"/>
    </xf>
    <xf borderId="1" fillId="3" fontId="28" numFmtId="168" xfId="0" applyAlignment="1" applyBorder="1" applyFont="1" applyNumberFormat="1">
      <alignment vertical="center"/>
    </xf>
    <xf borderId="1" fillId="3" fontId="44" numFmtId="0" xfId="0" applyAlignment="1" applyBorder="1" applyFont="1">
      <alignment vertical="center"/>
    </xf>
    <xf borderId="1" fillId="3" fontId="47" numFmtId="0" xfId="0" applyAlignment="1" applyBorder="1" applyFont="1">
      <alignment vertical="center"/>
    </xf>
    <xf borderId="1" fillId="3" fontId="34" numFmtId="0" xfId="0" applyAlignment="1" applyBorder="1" applyFont="1">
      <alignment vertical="center"/>
    </xf>
    <xf borderId="1" fillId="3" fontId="43" numFmtId="0" xfId="0" applyAlignment="1" applyBorder="1" applyFont="1">
      <alignment horizontal="left" vertical="center"/>
    </xf>
    <xf borderId="1" fillId="3" fontId="34" numFmtId="168" xfId="0" applyAlignment="1" applyBorder="1" applyFont="1" applyNumberFormat="1">
      <alignment vertical="center"/>
    </xf>
    <xf borderId="1" fillId="3" fontId="49" numFmtId="0" xfId="0" applyAlignment="1" applyBorder="1" applyFont="1">
      <alignment vertical="center"/>
    </xf>
    <xf borderId="1" fillId="3" fontId="35" numFmtId="0" xfId="0" applyAlignment="1" applyBorder="1" applyFont="1">
      <alignment vertical="center"/>
    </xf>
    <xf quotePrefix="1" borderId="1" fillId="3" fontId="43" numFmtId="0" xfId="0" applyAlignment="1" applyBorder="1" applyFont="1">
      <alignment horizontal="left" vertical="center"/>
    </xf>
    <xf borderId="1" fillId="3" fontId="38" numFmtId="0" xfId="0" applyAlignment="1" applyBorder="1" applyFont="1">
      <alignment vertical="center"/>
    </xf>
    <xf borderId="33" fillId="0" fontId="5" numFmtId="0" xfId="0" applyAlignment="1" applyBorder="1" applyFont="1">
      <alignment vertical="center"/>
    </xf>
    <xf borderId="20" fillId="3" fontId="33" numFmtId="0" xfId="0" applyAlignment="1" applyBorder="1" applyFont="1">
      <alignment horizontal="center" textRotation="90" vertical="center"/>
    </xf>
    <xf borderId="22" fillId="3" fontId="28" numFmtId="168" xfId="0" applyAlignment="1" applyBorder="1" applyFont="1" applyNumberFormat="1">
      <alignment vertical="center"/>
    </xf>
    <xf borderId="34" fillId="3" fontId="29" numFmtId="0" xfId="0" applyAlignment="1" applyBorder="1" applyFont="1">
      <alignment horizontal="center" vertical="center"/>
    </xf>
    <xf borderId="34" fillId="3" fontId="29" numFmtId="168" xfId="0" applyAlignment="1" applyBorder="1" applyFont="1" applyNumberFormat="1">
      <alignment vertical="center"/>
    </xf>
    <xf borderId="34" fillId="3" fontId="28" numFmtId="168" xfId="0" applyAlignment="1" applyBorder="1" applyFont="1" applyNumberFormat="1">
      <alignment vertical="center"/>
    </xf>
    <xf borderId="35" fillId="3" fontId="29" numFmtId="0" xfId="0" applyAlignment="1" applyBorder="1" applyFont="1">
      <alignment horizontal="center" vertical="center"/>
    </xf>
    <xf borderId="35" fillId="3" fontId="29" numFmtId="168" xfId="0" applyAlignment="1" applyBorder="1" applyFont="1" applyNumberFormat="1">
      <alignment vertical="center"/>
    </xf>
    <xf borderId="35" fillId="3" fontId="28" numFmtId="168" xfId="0" applyAlignment="1" applyBorder="1" applyFont="1" applyNumberFormat="1">
      <alignment vertical="center"/>
    </xf>
    <xf borderId="36" fillId="3" fontId="29" numFmtId="0" xfId="0" applyAlignment="1" applyBorder="1" applyFont="1">
      <alignment horizontal="center" vertical="center"/>
    </xf>
    <xf borderId="36" fillId="3" fontId="29" numFmtId="168" xfId="0" applyAlignment="1" applyBorder="1" applyFont="1" applyNumberFormat="1">
      <alignment vertical="center"/>
    </xf>
    <xf borderId="36" fillId="3" fontId="28" numFmtId="168" xfId="0" applyAlignment="1" applyBorder="1" applyFont="1" applyNumberFormat="1">
      <alignment vertical="center"/>
    </xf>
    <xf borderId="0" fillId="0" fontId="33" numFmtId="0" xfId="0" applyAlignment="1" applyFont="1">
      <alignment horizontal="center" shrinkToFit="0" textRotation="90" vertical="center" wrapText="1"/>
    </xf>
    <xf borderId="0" fillId="0" fontId="29" numFmtId="0" xfId="0" applyAlignment="1" applyFont="1">
      <alignment horizontal="center" vertical="center"/>
    </xf>
    <xf borderId="0" fillId="0" fontId="29" numFmtId="168" xfId="0" applyAlignment="1" applyFont="1" applyNumberFormat="1">
      <alignment vertical="center"/>
    </xf>
    <xf borderId="1" fillId="3" fontId="33" numFmtId="0" xfId="0" applyAlignment="1" applyBorder="1" applyFont="1">
      <alignment horizontal="left" vertical="center"/>
    </xf>
    <xf borderId="1" fillId="3" fontId="33" numFmtId="0" xfId="0" applyAlignment="1" applyBorder="1" applyFont="1">
      <alignment shrinkToFit="0" textRotation="90" vertical="center" wrapText="1"/>
    </xf>
    <xf quotePrefix="1" borderId="1" fillId="3" fontId="51" numFmtId="0" xfId="0" applyAlignment="1" applyBorder="1" applyFont="1">
      <alignment horizontal="right" vertical="bottom"/>
    </xf>
    <xf borderId="1" fillId="3" fontId="29" numFmtId="38" xfId="0" applyAlignment="1" applyBorder="1" applyFont="1" applyNumberFormat="1">
      <alignment vertical="center"/>
    </xf>
    <xf borderId="1" fillId="3" fontId="47" numFmtId="38" xfId="0" applyAlignment="1" applyBorder="1" applyFont="1" applyNumberFormat="1">
      <alignment vertical="center"/>
    </xf>
    <xf borderId="0" fillId="0" fontId="45" numFmtId="0" xfId="0" applyAlignment="1" applyFont="1">
      <alignment horizontal="right" vertical="center"/>
    </xf>
    <xf borderId="0" fillId="0" fontId="45" numFmtId="0" xfId="0" applyAlignment="1" applyFont="1">
      <alignment horizontal="left" vertical="center"/>
    </xf>
    <xf quotePrefix="1" borderId="0" fillId="0" fontId="51" numFmtId="0" xfId="0" applyAlignment="1" applyFont="1">
      <alignment horizontal="right" vertical="bottom"/>
    </xf>
    <xf borderId="0" fillId="0" fontId="47" numFmtId="38" xfId="0" applyAlignment="1" applyFont="1" applyNumberFormat="1">
      <alignment vertical="center"/>
    </xf>
    <xf borderId="0" fillId="0" fontId="49" numFmtId="0" xfId="0" applyAlignment="1" applyFont="1">
      <alignment vertical="center"/>
    </xf>
    <xf borderId="0" fillId="0" fontId="35" numFmtId="0" xfId="0" applyAlignment="1" applyFont="1">
      <alignment vertical="center"/>
    </xf>
    <xf borderId="0" fillId="0" fontId="48" numFmtId="0" xfId="0" applyAlignment="1" applyFont="1">
      <alignment vertical="center"/>
    </xf>
    <xf borderId="0" fillId="0" fontId="38" numFmtId="0" xfId="0" applyAlignment="1" applyFont="1">
      <alignment horizontal="right" vertical="center"/>
    </xf>
    <xf borderId="0" fillId="0" fontId="29" numFmtId="0" xfId="0" applyAlignment="1" applyFont="1">
      <alignment horizontal="left" vertical="center"/>
    </xf>
    <xf borderId="1" fillId="3" fontId="52" numFmtId="0" xfId="0" applyAlignment="1" applyBorder="1" applyFont="1">
      <alignment horizontal="left" vertical="center"/>
    </xf>
    <xf borderId="1" fillId="3" fontId="51" numFmtId="0" xfId="0" applyAlignment="1" applyBorder="1" applyFont="1">
      <alignment horizontal="right" vertical="bottom"/>
    </xf>
    <xf borderId="1" fillId="3" fontId="53" numFmtId="0" xfId="0" applyAlignment="1" applyBorder="1" applyFont="1">
      <alignment horizontal="left" vertical="center"/>
    </xf>
    <xf borderId="1" fillId="3" fontId="45" numFmtId="0" xfId="0" applyAlignment="1" applyBorder="1" applyFont="1">
      <alignment horizontal="left" vertical="center"/>
    </xf>
    <xf borderId="1" fillId="3" fontId="29" numFmtId="0" xfId="0" applyAlignment="1" applyBorder="1" applyFont="1">
      <alignment horizontal="left" vertical="center"/>
    </xf>
    <xf borderId="1" fillId="3" fontId="31" numFmtId="0" xfId="0" applyAlignment="1" applyBorder="1" applyFont="1">
      <alignment vertical="center"/>
    </xf>
    <xf borderId="1" fillId="3" fontId="32" numFmtId="0" xfId="0" applyAlignment="1" applyBorder="1" applyFont="1">
      <alignment vertical="center"/>
    </xf>
    <xf borderId="0" fillId="0" fontId="54" numFmtId="0" xfId="0" applyAlignment="1" applyFont="1">
      <alignment horizontal="left" vertical="center"/>
    </xf>
    <xf borderId="0" fillId="0" fontId="29" numFmtId="38" xfId="0" applyAlignment="1" applyFont="1" applyNumberFormat="1">
      <alignment horizontal="left" vertical="center"/>
    </xf>
    <xf borderId="0" fillId="0" fontId="29" numFmtId="168" xfId="0" applyAlignment="1" applyFont="1" applyNumberFormat="1">
      <alignment horizontal="left" vertical="center"/>
    </xf>
    <xf borderId="1" fillId="3" fontId="29" numFmtId="38" xfId="0" applyAlignment="1" applyBorder="1" applyFont="1" applyNumberFormat="1">
      <alignment horizontal="left" vertical="center"/>
    </xf>
    <xf borderId="0" fillId="0" fontId="51" numFmtId="0" xfId="0" applyAlignment="1" applyFont="1">
      <alignment horizontal="right" vertical="bottom"/>
    </xf>
    <xf quotePrefix="1" borderId="0" fillId="0" fontId="55" numFmtId="0" xfId="0" applyAlignment="1" applyFont="1">
      <alignment vertical="center"/>
    </xf>
    <xf borderId="0" fillId="0" fontId="46" numFmtId="38" xfId="0" applyAlignment="1" applyFont="1" applyNumberFormat="1">
      <alignment horizontal="left" vertical="center"/>
    </xf>
    <xf borderId="0" fillId="0" fontId="46" numFmtId="38" xfId="0" applyAlignment="1" applyFont="1" applyNumberFormat="1">
      <alignment vertical="center"/>
    </xf>
    <xf borderId="1" fillId="3" fontId="28" numFmtId="0" xfId="0" applyAlignment="1" applyBorder="1" applyFont="1">
      <alignment horizontal="center" vertical="center"/>
    </xf>
    <xf borderId="1" fillId="3" fontId="28" numFmtId="0" xfId="0" applyAlignment="1" applyBorder="1" applyFont="1">
      <alignment horizontal="left" vertical="center"/>
    </xf>
    <xf borderId="1" fillId="3" fontId="46" numFmtId="38" xfId="0" applyAlignment="1" applyBorder="1" applyFont="1" applyNumberFormat="1">
      <alignment horizontal="left" vertical="center"/>
    </xf>
    <xf borderId="1" fillId="3" fontId="46" numFmtId="168" xfId="0" applyAlignment="1" applyBorder="1" applyFont="1" applyNumberFormat="1">
      <alignment vertical="center"/>
    </xf>
    <xf borderId="1" fillId="3" fontId="46" numFmtId="38" xfId="0" applyAlignment="1" applyBorder="1" applyFont="1" applyNumberFormat="1">
      <alignment vertical="center"/>
    </xf>
    <xf borderId="0" fillId="0" fontId="31" numFmtId="0" xfId="0" applyAlignment="1" applyFont="1">
      <alignment shrinkToFit="0" vertical="center" wrapText="1"/>
    </xf>
    <xf borderId="0" fillId="0" fontId="56" numFmtId="0" xfId="0" applyAlignment="1" applyFont="1">
      <alignment horizontal="left" vertical="center"/>
    </xf>
    <xf quotePrefix="1" borderId="0" fillId="0" fontId="33" numFmtId="0" xfId="0" applyAlignment="1" applyFont="1">
      <alignment horizontal="right" vertical="bottom"/>
    </xf>
    <xf borderId="0" fillId="0" fontId="33" numFmtId="0" xfId="0" applyAlignment="1" applyFont="1">
      <alignment horizontal="right" vertical="bottom"/>
    </xf>
    <xf borderId="0" fillId="0" fontId="34" numFmtId="168" xfId="0" applyAlignment="1" applyFont="1" applyNumberFormat="1">
      <alignment vertical="center"/>
    </xf>
    <xf borderId="26" fillId="0" fontId="28" numFmtId="0" xfId="0" applyAlignment="1" applyBorder="1" applyFont="1">
      <alignment horizontal="center" vertical="center"/>
    </xf>
    <xf borderId="22" fillId="0" fontId="28" numFmtId="0" xfId="0" applyAlignment="1" applyBorder="1" applyFont="1">
      <alignment horizontal="center" vertical="center"/>
    </xf>
    <xf borderId="26" fillId="0" fontId="28" numFmtId="168" xfId="0" applyAlignment="1" applyBorder="1" applyFont="1" applyNumberFormat="1">
      <alignment horizontal="center" vertical="center"/>
    </xf>
    <xf borderId="18" fillId="0" fontId="29" numFmtId="0" xfId="0" applyAlignment="1" applyBorder="1" applyFont="1">
      <alignment horizontal="center" vertical="center"/>
    </xf>
    <xf borderId="22" fillId="0" fontId="29" numFmtId="38" xfId="0" applyAlignment="1" applyBorder="1" applyFont="1" applyNumberFormat="1">
      <alignment horizontal="center" vertical="center"/>
    </xf>
    <xf borderId="26" fillId="0" fontId="29" numFmtId="168" xfId="0" applyAlignment="1" applyBorder="1" applyFont="1" applyNumberFormat="1">
      <alignment horizontal="center" vertical="center"/>
    </xf>
    <xf borderId="26" fillId="0" fontId="29" numFmtId="0" xfId="0" applyAlignment="1" applyBorder="1" applyFont="1">
      <alignment horizontal="center" vertical="center"/>
    </xf>
    <xf borderId="0" fillId="6" fontId="57" numFmtId="0" xfId="0" applyAlignment="1" applyFill="1" applyFont="1">
      <alignment horizontal="center" readingOrder="0" shrinkToFit="0" vertical="center" wrapText="1"/>
    </xf>
    <xf borderId="0" fillId="0" fontId="58" numFmtId="0" xfId="0" applyAlignment="1" applyFont="1">
      <alignment readingOrder="0" shrinkToFit="0" vertical="center" wrapText="0"/>
    </xf>
    <xf borderId="0" fillId="0" fontId="58" numFmtId="0" xfId="0" applyAlignment="1" applyFont="1">
      <alignment shrinkToFit="0" vertical="center" wrapText="0"/>
    </xf>
    <xf borderId="0" fillId="0" fontId="58" numFmtId="3" xfId="0" applyAlignment="1" applyFont="1" applyNumberFormat="1">
      <alignment readingOrder="0" shrinkToFit="0" vertical="center" wrapText="0"/>
    </xf>
    <xf borderId="0" fillId="0" fontId="58" numFmtId="170" xfId="0" applyAlignment="1" applyFont="1" applyNumberFormat="1">
      <alignment readingOrder="0" shrinkToFit="0" vertical="center" wrapText="0"/>
    </xf>
    <xf borderId="0" fillId="0" fontId="58" numFmtId="170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2</xdr:row>
      <xdr:rowOff>95250</xdr:rowOff>
    </xdr:from>
    <xdr:ext cx="714375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</xdr:row>
      <xdr:rowOff>0</xdr:rowOff>
    </xdr:from>
    <xdr:ext cx="1752600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oc01@mbf.com.v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3.63"/>
    <col customWidth="1" min="3" max="8" width="2.63"/>
    <col customWidth="1" min="9" max="9" width="4.0"/>
    <col customWidth="1" min="10" max="22" width="2.63"/>
    <col customWidth="1" min="23" max="23" width="3.25"/>
    <col customWidth="1" min="24" max="24" width="3.5"/>
    <col customWidth="1" min="25" max="26" width="2.63"/>
    <col customWidth="1" min="27" max="27" width="4.5"/>
    <col customWidth="1" min="28" max="30" width="2.63"/>
    <col customWidth="1" min="31" max="33" width="2.88"/>
    <col customWidth="1" min="34" max="38" width="2.63"/>
    <col customWidth="1" min="39" max="39" width="2.0"/>
    <col customWidth="1" min="40" max="44" width="2.63"/>
    <col customWidth="1" min="45" max="45" width="7.25"/>
    <col customWidth="1" min="46" max="46" width="3.63"/>
    <col customWidth="1" min="47" max="60" width="9.0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2"/>
      <c r="AU1" s="2"/>
      <c r="AV1" s="2"/>
      <c r="AW1" s="3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15.75" customHeight="1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2"/>
      <c r="AU2" s="2"/>
      <c r="AV2" s="2"/>
      <c r="AW2" s="3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ht="15.7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6" t="s">
        <v>0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8"/>
      <c r="AT3" s="2"/>
      <c r="AU3" s="2"/>
      <c r="AV3" s="2"/>
      <c r="AW3" s="3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ht="15.75" customHeight="1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 t="s">
        <v>1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8"/>
      <c r="AT4" s="2"/>
      <c r="AU4" s="2"/>
      <c r="AV4" s="2"/>
      <c r="AW4" s="3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ht="15.75" customHeight="1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 t="s">
        <v>2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8"/>
      <c r="AT5" s="2"/>
      <c r="AU5" s="2"/>
      <c r="AV5" s="2"/>
      <c r="AW5" s="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</row>
    <row r="6" ht="15.75" customHeight="1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9"/>
      <c r="AE6" s="9"/>
      <c r="AF6" s="9"/>
      <c r="AG6" s="10"/>
      <c r="AH6" s="11"/>
      <c r="AI6" s="11"/>
      <c r="AJ6" s="11"/>
      <c r="AK6" s="11"/>
      <c r="AL6" s="11"/>
      <c r="AM6" s="11"/>
      <c r="AN6" s="6" t="s">
        <v>3</v>
      </c>
      <c r="AO6" s="7"/>
      <c r="AP6" s="7"/>
      <c r="AQ6" s="7"/>
      <c r="AR6" s="7"/>
      <c r="AS6" s="8"/>
      <c r="AT6" s="2"/>
      <c r="AU6" s="2"/>
      <c r="AV6" s="2"/>
      <c r="AW6" s="3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</row>
    <row r="7" ht="15.75" customHeight="1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2"/>
      <c r="AU7" s="2"/>
      <c r="AV7" s="2"/>
      <c r="AW7" s="3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</row>
    <row r="8" ht="12.0" customHeight="1">
      <c r="A8" s="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2"/>
      <c r="AU8" s="2"/>
      <c r="AV8" s="2"/>
      <c r="AW8" s="3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</row>
    <row r="9" ht="54.75" customHeight="1">
      <c r="A9" s="13"/>
      <c r="B9" s="14" t="s">
        <v>4</v>
      </c>
      <c r="C9" s="15"/>
      <c r="D9" s="16"/>
      <c r="E9" s="17" t="s">
        <v>5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4" t="s">
        <v>6</v>
      </c>
      <c r="AF9" s="15"/>
      <c r="AG9" s="16"/>
      <c r="AH9" s="18" t="s">
        <v>7</v>
      </c>
      <c r="AI9" s="15"/>
      <c r="AJ9" s="15"/>
      <c r="AK9" s="15"/>
      <c r="AL9" s="16"/>
      <c r="AM9" s="19" t="s">
        <v>8</v>
      </c>
      <c r="AN9" s="15"/>
      <c r="AO9" s="15"/>
      <c r="AP9" s="15"/>
      <c r="AQ9" s="15"/>
      <c r="AR9" s="15"/>
      <c r="AS9" s="16"/>
      <c r="AT9" s="20"/>
      <c r="AU9" s="20"/>
      <c r="AV9" s="20"/>
      <c r="AW9" s="20"/>
      <c r="AX9" s="20"/>
      <c r="AY9" s="13"/>
      <c r="AZ9" s="13"/>
      <c r="BA9" s="13"/>
      <c r="BB9" s="13"/>
      <c r="BC9" s="13"/>
      <c r="BD9" s="13"/>
      <c r="BE9" s="13"/>
      <c r="BF9" s="13"/>
      <c r="BG9" s="13"/>
      <c r="BH9" s="13"/>
    </row>
    <row r="10" ht="15.75" customHeight="1">
      <c r="A10" s="13"/>
      <c r="B10" s="21" t="s">
        <v>9</v>
      </c>
      <c r="C10" s="22"/>
      <c r="D10" s="23"/>
      <c r="E10" s="24" t="s">
        <v>10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4" t="s">
        <v>11</v>
      </c>
      <c r="AF10" s="15"/>
      <c r="AG10" s="16"/>
      <c r="AH10" s="25">
        <v>46132.0</v>
      </c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6"/>
      <c r="AT10" s="20"/>
      <c r="AU10" s="20"/>
      <c r="AV10" s="20"/>
      <c r="AW10" s="20"/>
      <c r="AX10" s="20"/>
      <c r="AY10" s="13"/>
      <c r="AZ10" s="13"/>
      <c r="BA10" s="13"/>
      <c r="BB10" s="13"/>
      <c r="BC10" s="13"/>
      <c r="BD10" s="13"/>
      <c r="BE10" s="13"/>
      <c r="BF10" s="13"/>
      <c r="BG10" s="13"/>
      <c r="BH10" s="13"/>
    </row>
    <row r="11" ht="15.75" customHeight="1">
      <c r="A11" s="13"/>
      <c r="B11" s="26"/>
      <c r="C11" s="27"/>
      <c r="D11" s="28"/>
      <c r="E11" s="29" t="s">
        <v>12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4" t="s">
        <v>13</v>
      </c>
      <c r="AF11" s="15"/>
      <c r="AG11" s="16"/>
      <c r="AH11" s="25">
        <v>46204.0</v>
      </c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6"/>
      <c r="AT11" s="20"/>
      <c r="AU11" s="20"/>
      <c r="AV11" s="20"/>
      <c r="AW11" s="20"/>
      <c r="AX11" s="20"/>
      <c r="AY11" s="13"/>
      <c r="AZ11" s="13"/>
      <c r="BA11" s="13"/>
      <c r="BB11" s="13"/>
      <c r="BC11" s="13"/>
      <c r="BD11" s="13"/>
      <c r="BE11" s="13"/>
      <c r="BF11" s="13"/>
      <c r="BG11" s="13"/>
      <c r="BH11" s="13"/>
    </row>
    <row r="12" ht="51.75" customHeight="1">
      <c r="A12" s="13"/>
      <c r="B12" s="14" t="s">
        <v>14</v>
      </c>
      <c r="C12" s="15"/>
      <c r="D12" s="16"/>
      <c r="E12" s="30" t="s">
        <v>15</v>
      </c>
      <c r="F12" s="15"/>
      <c r="G12" s="15"/>
      <c r="H12" s="15"/>
      <c r="I12" s="15"/>
      <c r="J12" s="15"/>
      <c r="K12" s="15"/>
      <c r="L12" s="15"/>
      <c r="M12" s="15"/>
      <c r="N12" s="15"/>
      <c r="O12" s="31"/>
      <c r="P12" s="15"/>
      <c r="Q12" s="15"/>
      <c r="R12" s="32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4" t="s">
        <v>16</v>
      </c>
      <c r="AF12" s="15"/>
      <c r="AG12" s="16"/>
      <c r="AH12" s="25">
        <v>46568.0</v>
      </c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6"/>
      <c r="AT12" s="20"/>
      <c r="AU12" s="20"/>
      <c r="AV12" s="20"/>
      <c r="AW12" s="20"/>
      <c r="AX12" s="20"/>
      <c r="AY12" s="13"/>
      <c r="AZ12" s="13"/>
      <c r="BA12" s="13"/>
      <c r="BB12" s="13"/>
      <c r="BC12" s="13"/>
      <c r="BD12" s="13"/>
      <c r="BE12" s="13"/>
      <c r="BF12" s="13"/>
      <c r="BG12" s="13"/>
      <c r="BH12" s="13"/>
    </row>
    <row r="13" ht="19.5" customHeight="1">
      <c r="A13" s="13"/>
      <c r="B13" s="14" t="s">
        <v>17</v>
      </c>
      <c r="C13" s="15"/>
      <c r="D13" s="16"/>
      <c r="E13" s="29" t="s">
        <v>18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21" t="s">
        <v>19</v>
      </c>
      <c r="AF13" s="22"/>
      <c r="AG13" s="23"/>
      <c r="AH13" s="29" t="s">
        <v>20</v>
      </c>
      <c r="AI13" s="15"/>
      <c r="AJ13" s="16"/>
      <c r="AK13" s="33" t="s">
        <v>21</v>
      </c>
      <c r="AL13" s="15"/>
      <c r="AM13" s="15"/>
      <c r="AN13" s="15"/>
      <c r="AO13" s="15"/>
      <c r="AP13" s="15"/>
      <c r="AQ13" s="15"/>
      <c r="AR13" s="15"/>
      <c r="AS13" s="16"/>
      <c r="AT13" s="34"/>
      <c r="AU13" s="34"/>
      <c r="AV13" s="34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</row>
    <row r="14" ht="22.5" customHeight="1">
      <c r="A14" s="13"/>
      <c r="B14" s="36" t="s">
        <v>22</v>
      </c>
      <c r="C14" s="22"/>
      <c r="D14" s="23"/>
      <c r="E14" s="37" t="s">
        <v>23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38"/>
      <c r="AG14" s="39"/>
      <c r="AH14" s="29" t="s">
        <v>24</v>
      </c>
      <c r="AI14" s="15"/>
      <c r="AJ14" s="16"/>
      <c r="AK14" s="40" t="s">
        <v>25</v>
      </c>
      <c r="AL14" s="15"/>
      <c r="AM14" s="15"/>
      <c r="AN14" s="15"/>
      <c r="AO14" s="15"/>
      <c r="AP14" s="15"/>
      <c r="AQ14" s="15"/>
      <c r="AR14" s="15"/>
      <c r="AS14" s="16"/>
      <c r="AT14" s="34"/>
      <c r="AU14" s="34"/>
      <c r="AV14" s="34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</row>
    <row r="15" ht="19.5" customHeight="1">
      <c r="A15" s="13"/>
      <c r="B15" s="26"/>
      <c r="C15" s="27"/>
      <c r="D15" s="28"/>
      <c r="E15" s="17" t="s">
        <v>26</v>
      </c>
      <c r="F15" s="15"/>
      <c r="G15" s="15"/>
      <c r="H15" s="15"/>
      <c r="I15" s="15"/>
      <c r="J15" s="15"/>
      <c r="K15" s="15"/>
      <c r="L15" s="15"/>
      <c r="M15" s="15"/>
      <c r="N15" s="15"/>
      <c r="O15" s="16"/>
      <c r="P15" s="17" t="s">
        <v>27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26"/>
      <c r="AF15" s="27"/>
      <c r="AG15" s="28"/>
      <c r="AH15" s="29" t="s">
        <v>28</v>
      </c>
      <c r="AI15" s="15"/>
      <c r="AJ15" s="16"/>
      <c r="AK15" s="41" t="s">
        <v>29</v>
      </c>
      <c r="AL15" s="15"/>
      <c r="AM15" s="15"/>
      <c r="AN15" s="15"/>
      <c r="AO15" s="15"/>
      <c r="AP15" s="15"/>
      <c r="AQ15" s="15"/>
      <c r="AR15" s="15"/>
      <c r="AS15" s="16"/>
      <c r="AT15" s="34"/>
      <c r="AU15" s="34"/>
      <c r="AV15" s="34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20"/>
      <c r="AU16" s="20"/>
      <c r="AV16" s="20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20"/>
      <c r="AU17" s="20"/>
      <c r="AV17" s="20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</row>
    <row r="18" ht="15.75" customHeight="1">
      <c r="A18" s="13"/>
      <c r="B18" s="35" t="s">
        <v>30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4"/>
      <c r="AU18" s="34"/>
      <c r="AV18" s="34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</row>
    <row r="19" ht="15.75" customHeight="1">
      <c r="A19" s="13"/>
      <c r="B19" s="35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4"/>
      <c r="AU19" s="34"/>
      <c r="AV19" s="34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</row>
    <row r="20" ht="15.75" customHeight="1">
      <c r="A20" s="43"/>
      <c r="B20" s="13" t="s">
        <v>31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34"/>
      <c r="AU20" s="34"/>
      <c r="AV20" s="34"/>
      <c r="AW20" s="35"/>
      <c r="AX20" s="35"/>
      <c r="AY20" s="35"/>
      <c r="AZ20" s="35"/>
      <c r="BA20" s="35"/>
      <c r="BB20" s="42"/>
      <c r="BC20" s="42"/>
      <c r="BD20" s="42"/>
      <c r="BE20" s="42"/>
      <c r="BF20" s="42"/>
      <c r="BG20" s="42"/>
      <c r="BH20" s="42"/>
    </row>
    <row r="21" ht="15.75" customHeight="1">
      <c r="A21" s="43"/>
      <c r="B21" s="13" t="s">
        <v>32</v>
      </c>
      <c r="C21" s="44"/>
      <c r="D21" s="44"/>
      <c r="E21" s="44"/>
      <c r="F21" s="45"/>
      <c r="G21" s="45"/>
      <c r="H21" s="45"/>
      <c r="I21" s="46"/>
      <c r="J21" s="44"/>
      <c r="K21" s="44"/>
      <c r="L21" s="44"/>
      <c r="M21" s="44"/>
      <c r="N21" s="44"/>
      <c r="O21" s="44"/>
      <c r="P21" s="47"/>
      <c r="Q21" s="47"/>
      <c r="R21" s="47"/>
      <c r="S21" s="47"/>
      <c r="T21" s="47"/>
      <c r="U21" s="47"/>
      <c r="V21" s="13"/>
      <c r="W21" s="48"/>
      <c r="X21" s="48"/>
      <c r="Y21" s="48"/>
      <c r="Z21" s="48"/>
      <c r="AA21" s="48"/>
      <c r="AB21" s="49"/>
      <c r="AC21" s="44"/>
      <c r="AD21" s="44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34"/>
      <c r="AU21" s="34"/>
      <c r="AV21" s="34"/>
      <c r="AW21" s="35"/>
      <c r="AX21" s="35"/>
      <c r="AY21" s="35"/>
      <c r="AZ21" s="35"/>
      <c r="BA21" s="35"/>
      <c r="BB21" s="42"/>
      <c r="BC21" s="42"/>
      <c r="BD21" s="42"/>
      <c r="BE21" s="42"/>
      <c r="BF21" s="42"/>
      <c r="BG21" s="42"/>
      <c r="BH21" s="42"/>
    </row>
    <row r="22" ht="15.75" customHeight="1">
      <c r="A22" s="43"/>
      <c r="B22" s="50"/>
      <c r="C22" s="51"/>
      <c r="D22" s="52"/>
      <c r="E22" s="53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4"/>
      <c r="U22" s="7"/>
      <c r="V22" s="7"/>
      <c r="W22" s="7"/>
      <c r="X22" s="7"/>
      <c r="Y22" s="7"/>
      <c r="Z22" s="7"/>
      <c r="AA22" s="7"/>
      <c r="AB22" s="7"/>
      <c r="AC22" s="7"/>
      <c r="AD22" s="8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34"/>
      <c r="AU22" s="34"/>
      <c r="AV22" s="34"/>
      <c r="AW22" s="35"/>
      <c r="AX22" s="35"/>
      <c r="AY22" s="35"/>
      <c r="AZ22" s="35"/>
      <c r="BA22" s="35"/>
      <c r="BB22" s="42"/>
      <c r="BC22" s="42"/>
      <c r="BD22" s="42"/>
      <c r="BE22" s="42"/>
      <c r="BF22" s="42"/>
      <c r="BG22" s="42"/>
      <c r="BH22" s="42"/>
    </row>
    <row r="23" ht="15.75" customHeight="1">
      <c r="A23" s="44"/>
      <c r="B23" s="55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20"/>
      <c r="AU23" s="20"/>
      <c r="AV23" s="20"/>
      <c r="AW23" s="13"/>
      <c r="AX23" s="13"/>
      <c r="AY23" s="13"/>
      <c r="AZ23" s="57"/>
      <c r="BA23" s="57"/>
      <c r="BB23" s="58"/>
      <c r="BC23" s="58"/>
      <c r="BD23" s="58"/>
      <c r="BE23" s="58"/>
      <c r="BF23" s="58"/>
      <c r="BG23" s="58"/>
      <c r="BH23" s="58"/>
    </row>
    <row r="24" ht="15.75" customHeight="1">
      <c r="A24" s="44"/>
      <c r="B24" s="55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20"/>
      <c r="AU24" s="20"/>
      <c r="AV24" s="20"/>
      <c r="AW24" s="13"/>
      <c r="AX24" s="13"/>
      <c r="AY24" s="13"/>
      <c r="AZ24" s="57"/>
      <c r="BA24" s="57"/>
      <c r="BB24" s="58"/>
      <c r="BC24" s="58"/>
      <c r="BD24" s="58"/>
      <c r="BE24" s="58"/>
      <c r="BF24" s="58"/>
      <c r="BG24" s="58"/>
      <c r="BH24" s="58"/>
    </row>
    <row r="25" ht="15.75" customHeight="1">
      <c r="A25" s="43"/>
      <c r="B25" s="50"/>
      <c r="C25" s="51"/>
      <c r="D25" s="52" t="s">
        <v>33</v>
      </c>
      <c r="E25" s="53" t="s">
        <v>34</v>
      </c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4" t="s">
        <v>35</v>
      </c>
      <c r="U25" s="7"/>
      <c r="V25" s="7"/>
      <c r="W25" s="7"/>
      <c r="X25" s="7"/>
      <c r="Y25" s="7"/>
      <c r="Z25" s="7"/>
      <c r="AA25" s="8"/>
      <c r="AB25" s="53"/>
      <c r="AC25" s="53"/>
      <c r="AD25" s="53"/>
      <c r="AE25" s="51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34"/>
      <c r="AU25" s="34"/>
      <c r="AV25" s="34"/>
      <c r="AW25" s="35"/>
      <c r="AX25" s="35"/>
      <c r="AY25" s="35"/>
      <c r="AZ25" s="35"/>
      <c r="BA25" s="35"/>
      <c r="BB25" s="42"/>
      <c r="BC25" s="42"/>
      <c r="BD25" s="42"/>
      <c r="BE25" s="42"/>
      <c r="BF25" s="42"/>
      <c r="BG25" s="42"/>
      <c r="BH25" s="42"/>
    </row>
    <row r="26" ht="15.75" customHeight="1">
      <c r="A26" s="43"/>
      <c r="B26" s="50"/>
      <c r="C26" s="51"/>
      <c r="D26" s="52" t="s">
        <v>33</v>
      </c>
      <c r="E26" s="53" t="s">
        <v>36</v>
      </c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9" t="s">
        <v>37</v>
      </c>
      <c r="U26" s="7"/>
      <c r="V26" s="7"/>
      <c r="W26" s="7"/>
      <c r="X26" s="7"/>
      <c r="Y26" s="7"/>
      <c r="Z26" s="7"/>
      <c r="AA26" s="8"/>
      <c r="AB26" s="50"/>
      <c r="AC26" s="50"/>
      <c r="AD26" s="50"/>
      <c r="AE26" s="51"/>
      <c r="AF26" s="51"/>
      <c r="AG26" s="51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34"/>
      <c r="AU26" s="34"/>
      <c r="AV26" s="34"/>
      <c r="AW26" s="35"/>
      <c r="AX26" s="35"/>
      <c r="AY26" s="35"/>
      <c r="AZ26" s="35"/>
      <c r="BA26" s="35"/>
      <c r="BB26" s="42"/>
      <c r="BC26" s="42"/>
      <c r="BD26" s="42"/>
      <c r="BE26" s="42"/>
      <c r="BF26" s="42"/>
      <c r="BG26" s="42"/>
      <c r="BH26" s="42"/>
    </row>
    <row r="27" ht="15.75" customHeight="1">
      <c r="A27" s="44"/>
      <c r="B27" s="60"/>
      <c r="C27" s="60"/>
      <c r="D27" s="61"/>
      <c r="E27" s="62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44"/>
      <c r="AQ27" s="44"/>
      <c r="AR27" s="44"/>
      <c r="AS27" s="44"/>
      <c r="AT27" s="64"/>
      <c r="AU27" s="64"/>
      <c r="AV27" s="64"/>
      <c r="AW27" s="46"/>
      <c r="AX27" s="46"/>
      <c r="AY27" s="46"/>
      <c r="AZ27" s="46"/>
      <c r="BA27" s="46"/>
      <c r="BB27" s="44"/>
      <c r="BC27" s="44"/>
      <c r="BD27" s="44"/>
      <c r="BE27" s="44"/>
      <c r="BF27" s="44"/>
      <c r="BG27" s="44"/>
      <c r="BH27" s="44"/>
    </row>
    <row r="28" ht="15.75" customHeight="1">
      <c r="A28" s="44"/>
      <c r="B28" s="60"/>
      <c r="C28" s="60"/>
      <c r="D28" s="61"/>
      <c r="E28" s="62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44"/>
      <c r="AQ28" s="44"/>
      <c r="AR28" s="44"/>
      <c r="AS28" s="44"/>
      <c r="AT28" s="64"/>
      <c r="AU28" s="64"/>
      <c r="AV28" s="64"/>
      <c r="AW28" s="46"/>
      <c r="AX28" s="46"/>
      <c r="AY28" s="46"/>
      <c r="AZ28" s="46"/>
      <c r="BA28" s="46"/>
      <c r="BB28" s="44"/>
      <c r="BC28" s="44"/>
      <c r="BD28" s="44"/>
      <c r="BE28" s="44"/>
      <c r="BF28" s="44"/>
      <c r="BG28" s="44"/>
      <c r="BH28" s="44"/>
    </row>
    <row r="29" ht="15.75" customHeight="1">
      <c r="A29" s="44"/>
      <c r="B29" s="60"/>
      <c r="C29" s="60"/>
      <c r="D29" s="61"/>
      <c r="E29" s="62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44"/>
      <c r="AQ29" s="44"/>
      <c r="AR29" s="44"/>
      <c r="AS29" s="44"/>
      <c r="AT29" s="64"/>
      <c r="AU29" s="64"/>
      <c r="AV29" s="64"/>
      <c r="AW29" s="46"/>
      <c r="AX29" s="46"/>
      <c r="AY29" s="46"/>
      <c r="AZ29" s="46"/>
      <c r="BA29" s="46"/>
      <c r="BB29" s="44"/>
      <c r="BC29" s="44"/>
      <c r="BD29" s="44"/>
      <c r="BE29" s="44"/>
      <c r="BF29" s="44"/>
      <c r="BG29" s="44"/>
      <c r="BH29" s="44"/>
    </row>
    <row r="30" ht="16.5" customHeight="1">
      <c r="A30" s="65"/>
      <c r="B30" s="66"/>
      <c r="C30" s="65"/>
      <c r="D30" s="61"/>
      <c r="E30" s="62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5"/>
      <c r="AT30" s="68"/>
      <c r="AU30" s="68"/>
      <c r="AV30" s="69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</row>
    <row r="31" ht="16.5" customHeight="1">
      <c r="A31" s="65"/>
      <c r="B31" s="66"/>
      <c r="C31" s="65"/>
      <c r="D31" s="70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71"/>
      <c r="AT31" s="72"/>
      <c r="AU31" s="72"/>
      <c r="AV31" s="73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</row>
    <row r="32" ht="16.5" customHeight="1">
      <c r="A32" s="65"/>
      <c r="B32" s="74" t="s">
        <v>38</v>
      </c>
      <c r="C32" s="65"/>
      <c r="D32" s="70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71"/>
      <c r="AT32" s="72"/>
      <c r="AU32" s="72"/>
      <c r="AV32" s="73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</row>
    <row r="33" ht="16.5" customHeight="1">
      <c r="A33" s="43"/>
      <c r="B33" s="35" t="s">
        <v>39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20"/>
      <c r="AU33" s="20"/>
      <c r="AV33" s="75"/>
      <c r="AW33" s="13"/>
      <c r="AX33" s="13"/>
      <c r="AY33" s="13"/>
      <c r="AZ33" s="42"/>
      <c r="BA33" s="42"/>
      <c r="BB33" s="42"/>
      <c r="BC33" s="42"/>
      <c r="BD33" s="42"/>
      <c r="BE33" s="42"/>
      <c r="BF33" s="42"/>
      <c r="BG33" s="42"/>
      <c r="BH33" s="42"/>
    </row>
    <row r="34" ht="16.5" customHeight="1">
      <c r="A34" s="43"/>
      <c r="B34" s="35" t="s">
        <v>40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20"/>
      <c r="AU34" s="20"/>
      <c r="AV34" s="75"/>
      <c r="AW34" s="13"/>
      <c r="AX34" s="13"/>
      <c r="AY34" s="13"/>
      <c r="AZ34" s="42"/>
      <c r="BA34" s="42"/>
      <c r="BB34" s="42"/>
      <c r="BC34" s="42"/>
      <c r="BD34" s="42"/>
      <c r="BE34" s="42"/>
      <c r="BF34" s="42"/>
      <c r="BG34" s="42"/>
      <c r="BH34" s="42"/>
    </row>
    <row r="35" ht="16.5" customHeight="1">
      <c r="A35" s="76"/>
      <c r="B35" s="77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9"/>
      <c r="AU35" s="79"/>
      <c r="AV35" s="80"/>
      <c r="AW35" s="81"/>
      <c r="AX35" s="81"/>
      <c r="AY35" s="81"/>
      <c r="AZ35" s="78"/>
      <c r="BA35" s="78"/>
      <c r="BB35" s="78"/>
      <c r="BC35" s="78"/>
      <c r="BD35" s="78"/>
      <c r="BE35" s="78"/>
      <c r="BF35" s="78"/>
      <c r="BG35" s="78"/>
      <c r="BH35" s="78"/>
    </row>
    <row r="36" ht="16.5" customHeight="1">
      <c r="A36" s="76"/>
      <c r="B36" s="77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9"/>
      <c r="AU36" s="79"/>
      <c r="AV36" s="80"/>
      <c r="AW36" s="81"/>
      <c r="AX36" s="81"/>
      <c r="AY36" s="81"/>
      <c r="AZ36" s="78"/>
      <c r="BA36" s="78"/>
      <c r="BB36" s="78"/>
      <c r="BC36" s="78"/>
      <c r="BD36" s="78"/>
      <c r="BE36" s="78"/>
      <c r="BF36" s="78"/>
      <c r="BG36" s="78"/>
      <c r="BH36" s="78"/>
    </row>
    <row r="37" ht="16.5" customHeight="1">
      <c r="A37" s="76"/>
      <c r="B37" s="77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9"/>
      <c r="AU37" s="79"/>
      <c r="AV37" s="80"/>
      <c r="AW37" s="81"/>
      <c r="AX37" s="81"/>
      <c r="AY37" s="81"/>
      <c r="AZ37" s="78"/>
      <c r="BA37" s="78"/>
      <c r="BB37" s="78"/>
      <c r="BC37" s="78"/>
      <c r="BD37" s="78"/>
      <c r="BE37" s="78"/>
      <c r="BF37" s="78"/>
      <c r="BG37" s="78"/>
      <c r="BH37" s="78"/>
    </row>
    <row r="38" ht="16.5" customHeight="1">
      <c r="A38" s="76"/>
      <c r="B38" s="77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9"/>
      <c r="AU38" s="79"/>
      <c r="AV38" s="80"/>
      <c r="AW38" s="81"/>
      <c r="AX38" s="81"/>
      <c r="AY38" s="81"/>
      <c r="AZ38" s="78"/>
      <c r="BA38" s="78"/>
      <c r="BB38" s="78"/>
      <c r="BC38" s="78"/>
      <c r="BD38" s="78"/>
      <c r="BE38" s="78"/>
      <c r="BF38" s="78"/>
      <c r="BG38" s="78"/>
      <c r="BH38" s="78"/>
    </row>
    <row r="39" ht="16.5" customHeight="1">
      <c r="A39" s="76"/>
      <c r="B39" s="77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9"/>
      <c r="AU39" s="79"/>
      <c r="AV39" s="80"/>
      <c r="AW39" s="81"/>
      <c r="AX39" s="81"/>
      <c r="AY39" s="81"/>
      <c r="AZ39" s="78"/>
      <c r="BA39" s="78"/>
      <c r="BB39" s="78"/>
      <c r="BC39" s="78"/>
      <c r="BD39" s="78"/>
      <c r="BE39" s="78"/>
      <c r="BF39" s="78"/>
      <c r="BG39" s="78"/>
      <c r="BH39" s="78"/>
    </row>
    <row r="40" ht="16.5" customHeight="1">
      <c r="A40" s="76"/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9"/>
      <c r="AU40" s="79"/>
      <c r="AV40" s="80"/>
      <c r="AW40" s="81"/>
      <c r="AX40" s="81"/>
      <c r="AY40" s="81"/>
      <c r="AZ40" s="78"/>
      <c r="BA40" s="78"/>
      <c r="BB40" s="78"/>
      <c r="BC40" s="78"/>
      <c r="BD40" s="78"/>
      <c r="BE40" s="78"/>
      <c r="BF40" s="78"/>
      <c r="BG40" s="78"/>
      <c r="BH40" s="78"/>
    </row>
    <row r="41" ht="16.5" customHeight="1">
      <c r="A41" s="76"/>
      <c r="B41" s="77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9"/>
      <c r="AU41" s="79"/>
      <c r="AV41" s="80"/>
      <c r="AW41" s="81"/>
      <c r="AX41" s="81"/>
      <c r="AY41" s="81"/>
      <c r="AZ41" s="78"/>
      <c r="BA41" s="78"/>
      <c r="BB41" s="78"/>
      <c r="BC41" s="78"/>
      <c r="BD41" s="78"/>
      <c r="BE41" s="78"/>
      <c r="BF41" s="78"/>
      <c r="BG41" s="78"/>
      <c r="BH41" s="78"/>
    </row>
    <row r="42" ht="16.5" customHeight="1">
      <c r="A42" s="76"/>
      <c r="B42" s="77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9"/>
      <c r="AU42" s="79"/>
      <c r="AV42" s="80"/>
      <c r="AW42" s="81"/>
      <c r="AX42" s="81"/>
      <c r="AY42" s="81"/>
      <c r="AZ42" s="78"/>
      <c r="BA42" s="78"/>
      <c r="BB42" s="78"/>
      <c r="BC42" s="78"/>
      <c r="BD42" s="78"/>
      <c r="BE42" s="78"/>
      <c r="BF42" s="78"/>
      <c r="BG42" s="78"/>
      <c r="BH42" s="78"/>
    </row>
    <row r="43" ht="16.5" customHeight="1">
      <c r="A43" s="76"/>
      <c r="B43" s="77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9"/>
      <c r="AU43" s="79"/>
      <c r="AV43" s="80"/>
      <c r="AW43" s="81"/>
      <c r="AX43" s="81"/>
      <c r="AY43" s="81"/>
      <c r="AZ43" s="78"/>
      <c r="BA43" s="78"/>
      <c r="BB43" s="78"/>
      <c r="BC43" s="78"/>
      <c r="BD43" s="78"/>
      <c r="BE43" s="78"/>
      <c r="BF43" s="78"/>
      <c r="BG43" s="78"/>
      <c r="BH43" s="78"/>
    </row>
    <row r="44" ht="16.5" customHeight="1">
      <c r="A44" s="76"/>
      <c r="B44" s="77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9"/>
      <c r="AU44" s="79"/>
      <c r="AV44" s="80"/>
      <c r="AW44" s="81"/>
      <c r="AX44" s="81"/>
      <c r="AY44" s="81"/>
      <c r="AZ44" s="78"/>
      <c r="BA44" s="78"/>
      <c r="BB44" s="78"/>
      <c r="BC44" s="78"/>
      <c r="BD44" s="78"/>
      <c r="BE44" s="78"/>
      <c r="BF44" s="78"/>
      <c r="BG44" s="78"/>
      <c r="BH44" s="78"/>
    </row>
    <row r="45" ht="16.5" customHeight="1">
      <c r="A45" s="76"/>
      <c r="B45" s="77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9"/>
      <c r="AU45" s="79"/>
      <c r="AV45" s="80"/>
      <c r="AW45" s="81"/>
      <c r="AX45" s="81"/>
      <c r="AY45" s="81"/>
      <c r="AZ45" s="78"/>
      <c r="BA45" s="78"/>
      <c r="BB45" s="78"/>
      <c r="BC45" s="78"/>
      <c r="BD45" s="78"/>
      <c r="BE45" s="78"/>
      <c r="BF45" s="78"/>
      <c r="BG45" s="78"/>
      <c r="BH45" s="78"/>
    </row>
    <row r="46" ht="16.5" customHeight="1">
      <c r="A46" s="76"/>
      <c r="B46" s="77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9"/>
      <c r="AU46" s="79"/>
      <c r="AV46" s="80"/>
      <c r="AW46" s="81"/>
      <c r="AX46" s="81"/>
      <c r="AY46" s="81"/>
      <c r="AZ46" s="78"/>
      <c r="BA46" s="78"/>
      <c r="BB46" s="78"/>
      <c r="BC46" s="78"/>
      <c r="BD46" s="78"/>
      <c r="BE46" s="78"/>
      <c r="BF46" s="78"/>
      <c r="BG46" s="78"/>
      <c r="BH46" s="78"/>
    </row>
    <row r="47" ht="16.5" customHeight="1">
      <c r="A47" s="76"/>
      <c r="B47" s="76"/>
      <c r="C47" s="43" t="s">
        <v>0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76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82" t="s">
        <v>41</v>
      </c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8"/>
      <c r="AR47" s="78"/>
      <c r="AS47" s="78"/>
      <c r="AT47" s="79"/>
      <c r="AU47" s="79"/>
      <c r="AV47" s="80"/>
      <c r="AW47" s="81"/>
      <c r="AX47" s="81"/>
      <c r="AY47" s="81"/>
      <c r="AZ47" s="78"/>
      <c r="BA47" s="78"/>
      <c r="BB47" s="78"/>
      <c r="BC47" s="78"/>
      <c r="BD47" s="78"/>
      <c r="BE47" s="78"/>
      <c r="BF47" s="78"/>
      <c r="BG47" s="78"/>
      <c r="BH47" s="78"/>
    </row>
    <row r="48" ht="16.5" customHeight="1">
      <c r="A48" s="76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76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9"/>
      <c r="AU48" s="79"/>
      <c r="AV48" s="80"/>
      <c r="AW48" s="81"/>
      <c r="AX48" s="81"/>
      <c r="AY48" s="81"/>
      <c r="AZ48" s="78"/>
      <c r="BA48" s="78"/>
      <c r="BB48" s="78"/>
      <c r="BC48" s="78"/>
      <c r="BD48" s="78"/>
      <c r="BE48" s="78"/>
      <c r="BF48" s="78"/>
      <c r="BG48" s="78"/>
      <c r="BH48" s="78"/>
    </row>
    <row r="49" ht="16.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79"/>
      <c r="AU49" s="79"/>
      <c r="AV49" s="80"/>
      <c r="AW49" s="81"/>
      <c r="AX49" s="81"/>
      <c r="AY49" s="81"/>
      <c r="AZ49" s="77"/>
      <c r="BA49" s="77"/>
      <c r="BB49" s="77"/>
      <c r="BC49" s="77"/>
      <c r="BD49" s="77"/>
      <c r="BE49" s="77"/>
      <c r="BF49" s="77"/>
      <c r="BG49" s="77"/>
      <c r="BH49" s="77"/>
    </row>
    <row r="50" ht="16.5" customHeight="1">
      <c r="A50" s="76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83"/>
      <c r="AE50" s="51"/>
      <c r="AF50" s="42"/>
      <c r="AG50" s="42"/>
      <c r="AH50" s="42"/>
      <c r="AI50" s="42"/>
      <c r="AJ50" s="42"/>
      <c r="AK50" s="42"/>
      <c r="AL50" s="42"/>
      <c r="AM50" s="42"/>
      <c r="AN50" s="78"/>
      <c r="AO50" s="78"/>
      <c r="AP50" s="78"/>
      <c r="AQ50" s="78"/>
      <c r="AR50" s="78"/>
      <c r="AS50" s="78"/>
      <c r="AT50" s="79"/>
      <c r="AU50" s="79"/>
      <c r="AV50" s="80"/>
      <c r="AW50" s="81"/>
      <c r="AX50" s="81"/>
      <c r="AY50" s="81"/>
      <c r="AZ50" s="78"/>
      <c r="BA50" s="78"/>
      <c r="BB50" s="78"/>
      <c r="BC50" s="78"/>
      <c r="BD50" s="78"/>
      <c r="BE50" s="78"/>
      <c r="BF50" s="78"/>
      <c r="BG50" s="78"/>
      <c r="BH50" s="78"/>
    </row>
    <row r="51" ht="16.5" customHeight="1">
      <c r="A51" s="77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35"/>
      <c r="AF51" s="35"/>
      <c r="AG51" s="35"/>
      <c r="AH51" s="35"/>
      <c r="AI51" s="35"/>
      <c r="AJ51" s="35"/>
      <c r="AK51" s="35"/>
      <c r="AL51" s="35"/>
      <c r="AM51" s="35"/>
      <c r="AN51" s="77"/>
      <c r="AO51" s="77"/>
      <c r="AP51" s="77"/>
      <c r="AQ51" s="77"/>
      <c r="AR51" s="77"/>
      <c r="AS51" s="77"/>
      <c r="AT51" s="84"/>
      <c r="AU51" s="84"/>
      <c r="AV51" s="84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</row>
    <row r="52" ht="16.5" customHeight="1">
      <c r="A52" s="77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35"/>
      <c r="AF52" s="35"/>
      <c r="AG52" s="35"/>
      <c r="AH52" s="35"/>
      <c r="AI52" s="35"/>
      <c r="AJ52" s="35"/>
      <c r="AK52" s="35"/>
      <c r="AL52" s="35"/>
      <c r="AM52" s="35"/>
      <c r="AN52" s="77"/>
      <c r="AO52" s="77"/>
      <c r="AP52" s="77"/>
      <c r="AQ52" s="77"/>
      <c r="AR52" s="77"/>
      <c r="AS52" s="77"/>
      <c r="AT52" s="84"/>
      <c r="AU52" s="84"/>
      <c r="AV52" s="84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</row>
    <row r="53" ht="16.5" customHeight="1">
      <c r="A53" s="77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35"/>
      <c r="AF53" s="35"/>
      <c r="AG53" s="35"/>
      <c r="AH53" s="35"/>
      <c r="AI53" s="35"/>
      <c r="AJ53" s="35"/>
      <c r="AK53" s="35"/>
      <c r="AL53" s="35"/>
      <c r="AM53" s="35"/>
      <c r="AN53" s="77"/>
      <c r="AO53" s="77"/>
      <c r="AP53" s="77"/>
      <c r="AQ53" s="77"/>
      <c r="AR53" s="77"/>
      <c r="AS53" s="77"/>
      <c r="AT53" s="84"/>
      <c r="AU53" s="84"/>
      <c r="AV53" s="84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</row>
    <row r="54" ht="16.5" customHeight="1">
      <c r="A54" s="77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35"/>
      <c r="AF54" s="35"/>
      <c r="AG54" s="35"/>
      <c r="AH54" s="35"/>
      <c r="AI54" s="35"/>
      <c r="AJ54" s="35"/>
      <c r="AK54" s="35"/>
      <c r="AL54" s="35"/>
      <c r="AM54" s="35"/>
      <c r="AN54" s="77"/>
      <c r="AO54" s="77"/>
      <c r="AP54" s="77"/>
      <c r="AQ54" s="77"/>
      <c r="AR54" s="77"/>
      <c r="AS54" s="77"/>
      <c r="AT54" s="84"/>
      <c r="AU54" s="84"/>
      <c r="AV54" s="84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</row>
    <row r="55" ht="16.5" customHeight="1">
      <c r="A55" s="77"/>
      <c r="B55" s="35"/>
      <c r="C55" s="35"/>
      <c r="D55" s="43" t="s">
        <v>42</v>
      </c>
      <c r="E55" s="43"/>
      <c r="F55" s="43"/>
      <c r="G55" s="43"/>
      <c r="H55" s="43"/>
      <c r="I55" s="43"/>
      <c r="J55" s="13"/>
      <c r="K55" s="81"/>
      <c r="L55" s="81"/>
      <c r="M55" s="81"/>
      <c r="N55" s="81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42"/>
      <c r="AF55" s="77"/>
      <c r="AG55" s="51"/>
      <c r="AH55" s="51"/>
      <c r="AI55" s="51"/>
      <c r="AJ55" s="51" t="s">
        <v>10</v>
      </c>
      <c r="AK55" s="51"/>
      <c r="AL55" s="51"/>
      <c r="AM55" s="51"/>
      <c r="AN55" s="51"/>
      <c r="AO55" s="51"/>
      <c r="AP55" s="51"/>
      <c r="AQ55" s="51"/>
      <c r="AR55" s="77"/>
      <c r="AS55" s="77"/>
      <c r="AT55" s="84"/>
      <c r="AU55" s="84"/>
      <c r="AV55" s="84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</row>
    <row r="56" ht="15.75" customHeight="1">
      <c r="A56" s="77"/>
      <c r="B56" s="35"/>
      <c r="C56" s="43"/>
      <c r="D56" s="35"/>
      <c r="E56" s="35"/>
      <c r="F56" s="43" t="s">
        <v>43</v>
      </c>
      <c r="G56" s="43"/>
      <c r="H56" s="43"/>
      <c r="I56" s="43"/>
      <c r="J56" s="13"/>
      <c r="K56" s="81"/>
      <c r="L56" s="81"/>
      <c r="M56" s="81"/>
      <c r="N56" s="81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51"/>
      <c r="AF56" s="51"/>
      <c r="AG56" s="77"/>
      <c r="AH56" s="77"/>
      <c r="AI56" s="10"/>
      <c r="AJ56" s="77"/>
      <c r="AK56" s="51"/>
      <c r="AL56" s="51"/>
      <c r="AM56" s="51"/>
      <c r="AN56" s="85" t="s">
        <v>12</v>
      </c>
      <c r="AO56" s="51"/>
      <c r="AP56" s="51"/>
      <c r="AQ56" s="51"/>
      <c r="AR56" s="51"/>
      <c r="AS56" s="51"/>
      <c r="AT56" s="84"/>
      <c r="AU56" s="84"/>
      <c r="AV56" s="84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2"/>
      <c r="AU57" s="2"/>
      <c r="AV57" s="2"/>
      <c r="AW57" s="3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2"/>
      <c r="AU58" s="2"/>
      <c r="AV58" s="2"/>
      <c r="AW58" s="3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2"/>
      <c r="AU59" s="2"/>
      <c r="AV59" s="2"/>
      <c r="AW59" s="3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2"/>
      <c r="AU60" s="2"/>
      <c r="AV60" s="2"/>
      <c r="AW60" s="3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2"/>
      <c r="AU61" s="2"/>
      <c r="AV61" s="2"/>
      <c r="AW61" s="3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2"/>
      <c r="AU62" s="2"/>
      <c r="AV62" s="2"/>
      <c r="AW62" s="3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2"/>
      <c r="AU63" s="2"/>
      <c r="AV63" s="2"/>
      <c r="AW63" s="3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2"/>
      <c r="AU64" s="2"/>
      <c r="AV64" s="2"/>
      <c r="AW64" s="3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2"/>
      <c r="AU65" s="2"/>
      <c r="AV65" s="2"/>
      <c r="AW65" s="3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2"/>
      <c r="AU66" s="2"/>
      <c r="AV66" s="2"/>
      <c r="AW66" s="3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2"/>
      <c r="AU67" s="2"/>
      <c r="AV67" s="2"/>
      <c r="AW67" s="3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2"/>
      <c r="AU68" s="2"/>
      <c r="AV68" s="2"/>
      <c r="AW68" s="3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2"/>
      <c r="AU69" s="2"/>
      <c r="AV69" s="2"/>
      <c r="AW69" s="3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2"/>
      <c r="AU70" s="2"/>
      <c r="AV70" s="2"/>
      <c r="AW70" s="3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2"/>
      <c r="AU71" s="2"/>
      <c r="AV71" s="2"/>
      <c r="AW71" s="3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2"/>
      <c r="AU72" s="2"/>
      <c r="AV72" s="2"/>
      <c r="AW72" s="3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2"/>
      <c r="AU73" s="2"/>
      <c r="AV73" s="2"/>
      <c r="AW73" s="3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2"/>
      <c r="AU74" s="2"/>
      <c r="AV74" s="2"/>
      <c r="AW74" s="3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2"/>
      <c r="AU75" s="2"/>
      <c r="AV75" s="2"/>
      <c r="AW75" s="3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2"/>
      <c r="AU76" s="2"/>
      <c r="AV76" s="2"/>
      <c r="AW76" s="3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2"/>
      <c r="AU77" s="2"/>
      <c r="AV77" s="2"/>
      <c r="AW77" s="3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2"/>
      <c r="AU78" s="2"/>
      <c r="AV78" s="2"/>
      <c r="AW78" s="3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2"/>
      <c r="AU79" s="2"/>
      <c r="AV79" s="2"/>
      <c r="AW79" s="3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2"/>
      <c r="AU80" s="2"/>
      <c r="AV80" s="2"/>
      <c r="AW80" s="3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2"/>
      <c r="AU81" s="2"/>
      <c r="AV81" s="2"/>
      <c r="AW81" s="3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2"/>
      <c r="AU82" s="2"/>
      <c r="AV82" s="2"/>
      <c r="AW82" s="3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2"/>
      <c r="AU83" s="2"/>
      <c r="AV83" s="2"/>
      <c r="AW83" s="3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2"/>
      <c r="AU84" s="2"/>
      <c r="AV84" s="2"/>
      <c r="AW84" s="3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2"/>
      <c r="AU85" s="2"/>
      <c r="AV85" s="2"/>
      <c r="AW85" s="3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2"/>
      <c r="AU86" s="2"/>
      <c r="AV86" s="2"/>
      <c r="AW86" s="3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2"/>
      <c r="AU87" s="2"/>
      <c r="AV87" s="2"/>
      <c r="AW87" s="3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2"/>
      <c r="AU88" s="2"/>
      <c r="AV88" s="2"/>
      <c r="AW88" s="3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2"/>
      <c r="AU89" s="2"/>
      <c r="AV89" s="2"/>
      <c r="AW89" s="3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2"/>
      <c r="AU90" s="2"/>
      <c r="AV90" s="2"/>
      <c r="AW90" s="3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2"/>
      <c r="AU91" s="2"/>
      <c r="AV91" s="2"/>
      <c r="AW91" s="3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2"/>
      <c r="AU92" s="2"/>
      <c r="AV92" s="2"/>
      <c r="AW92" s="3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2"/>
      <c r="AU93" s="2"/>
      <c r="AV93" s="2"/>
      <c r="AW93" s="3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2"/>
      <c r="AU94" s="2"/>
      <c r="AV94" s="2"/>
      <c r="AW94" s="3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2"/>
      <c r="AU95" s="2"/>
      <c r="AV95" s="2"/>
      <c r="AW95" s="3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2"/>
      <c r="AU96" s="2"/>
      <c r="AV96" s="2"/>
      <c r="AW96" s="3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2"/>
      <c r="AU97" s="2"/>
      <c r="AV97" s="2"/>
      <c r="AW97" s="3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2"/>
      <c r="AU98" s="2"/>
      <c r="AV98" s="2"/>
      <c r="AW98" s="3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2"/>
      <c r="AU99" s="2"/>
      <c r="AV99" s="2"/>
      <c r="AW99" s="3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2"/>
      <c r="AU100" s="2"/>
      <c r="AV100" s="2"/>
      <c r="AW100" s="3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2"/>
      <c r="AU101" s="2"/>
      <c r="AV101" s="2"/>
      <c r="AW101" s="3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2"/>
      <c r="AU102" s="2"/>
      <c r="AV102" s="2"/>
      <c r="AW102" s="3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2"/>
      <c r="AU103" s="2"/>
      <c r="AV103" s="2"/>
      <c r="AW103" s="3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2"/>
      <c r="AU104" s="2"/>
      <c r="AV104" s="2"/>
      <c r="AW104" s="3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2"/>
      <c r="AU105" s="2"/>
      <c r="AV105" s="2"/>
      <c r="AW105" s="3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2"/>
      <c r="AU106" s="2"/>
      <c r="AV106" s="2"/>
      <c r="AW106" s="3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2"/>
      <c r="AU107" s="2"/>
      <c r="AV107" s="2"/>
      <c r="AW107" s="3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2"/>
      <c r="AU108" s="2"/>
      <c r="AV108" s="2"/>
      <c r="AW108" s="3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2"/>
      <c r="AU109" s="2"/>
      <c r="AV109" s="2"/>
      <c r="AW109" s="3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2"/>
      <c r="AU110" s="2"/>
      <c r="AV110" s="2"/>
      <c r="AW110" s="3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2"/>
      <c r="AU111" s="2"/>
      <c r="AV111" s="2"/>
      <c r="AW111" s="3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2"/>
      <c r="AU112" s="2"/>
      <c r="AV112" s="2"/>
      <c r="AW112" s="3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2"/>
      <c r="AU113" s="2"/>
      <c r="AV113" s="2"/>
      <c r="AW113" s="3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2"/>
      <c r="AU114" s="2"/>
      <c r="AV114" s="2"/>
      <c r="AW114" s="3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2"/>
      <c r="AU115" s="2"/>
      <c r="AV115" s="2"/>
      <c r="AW115" s="3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2"/>
      <c r="AU116" s="2"/>
      <c r="AV116" s="2"/>
      <c r="AW116" s="3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2"/>
      <c r="AU117" s="2"/>
      <c r="AV117" s="2"/>
      <c r="AW117" s="3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2"/>
      <c r="AU118" s="2"/>
      <c r="AV118" s="2"/>
      <c r="AW118" s="3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2"/>
      <c r="AU119" s="2"/>
      <c r="AV119" s="2"/>
      <c r="AW119" s="3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2"/>
      <c r="AU120" s="2"/>
      <c r="AV120" s="2"/>
      <c r="AW120" s="3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2"/>
      <c r="AU121" s="2"/>
      <c r="AV121" s="2"/>
      <c r="AW121" s="3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2"/>
      <c r="AU122" s="2"/>
      <c r="AV122" s="2"/>
      <c r="AW122" s="3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2"/>
      <c r="AU123" s="2"/>
      <c r="AV123" s="2"/>
      <c r="AW123" s="3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2"/>
      <c r="AU124" s="2"/>
      <c r="AV124" s="2"/>
      <c r="AW124" s="3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2"/>
      <c r="AU125" s="2"/>
      <c r="AV125" s="2"/>
      <c r="AW125" s="3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2"/>
      <c r="AU126" s="2"/>
      <c r="AV126" s="2"/>
      <c r="AW126" s="3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2"/>
      <c r="AU127" s="2"/>
      <c r="AV127" s="2"/>
      <c r="AW127" s="3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2"/>
      <c r="AU128" s="2"/>
      <c r="AV128" s="2"/>
      <c r="AW128" s="3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2"/>
      <c r="AU129" s="2"/>
      <c r="AV129" s="2"/>
      <c r="AW129" s="3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2"/>
      <c r="AU130" s="2"/>
      <c r="AV130" s="2"/>
      <c r="AW130" s="3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2"/>
      <c r="AU131" s="2"/>
      <c r="AV131" s="2"/>
      <c r="AW131" s="3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2"/>
      <c r="AU132" s="2"/>
      <c r="AV132" s="2"/>
      <c r="AW132" s="3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2"/>
      <c r="AU133" s="2"/>
      <c r="AV133" s="2"/>
      <c r="AW133" s="3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2"/>
      <c r="AU134" s="2"/>
      <c r="AV134" s="2"/>
      <c r="AW134" s="3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2"/>
      <c r="AU135" s="2"/>
      <c r="AV135" s="2"/>
      <c r="AW135" s="3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2"/>
      <c r="AU136" s="2"/>
      <c r="AV136" s="2"/>
      <c r="AW136" s="3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2"/>
      <c r="AU137" s="2"/>
      <c r="AV137" s="2"/>
      <c r="AW137" s="3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2"/>
      <c r="AU138" s="2"/>
      <c r="AV138" s="2"/>
      <c r="AW138" s="3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2"/>
      <c r="AU139" s="2"/>
      <c r="AV139" s="2"/>
      <c r="AW139" s="3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2"/>
      <c r="AU140" s="2"/>
      <c r="AV140" s="2"/>
      <c r="AW140" s="3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2"/>
      <c r="AU141" s="2"/>
      <c r="AV141" s="2"/>
      <c r="AW141" s="3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2"/>
      <c r="AU142" s="2"/>
      <c r="AV142" s="2"/>
      <c r="AW142" s="3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2"/>
      <c r="AU143" s="2"/>
      <c r="AV143" s="2"/>
      <c r="AW143" s="3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2"/>
      <c r="AU144" s="2"/>
      <c r="AV144" s="2"/>
      <c r="AW144" s="3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2"/>
      <c r="AU145" s="2"/>
      <c r="AV145" s="2"/>
      <c r="AW145" s="3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2"/>
      <c r="AU146" s="2"/>
      <c r="AV146" s="2"/>
      <c r="AW146" s="3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2"/>
      <c r="AU147" s="2"/>
      <c r="AV147" s="2"/>
      <c r="AW147" s="3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2"/>
      <c r="AU148" s="2"/>
      <c r="AV148" s="2"/>
      <c r="AW148" s="3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2"/>
      <c r="AU149" s="2"/>
      <c r="AV149" s="2"/>
      <c r="AW149" s="3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2"/>
      <c r="AU150" s="2"/>
      <c r="AV150" s="2"/>
      <c r="AW150" s="3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2"/>
      <c r="AU151" s="2"/>
      <c r="AV151" s="2"/>
      <c r="AW151" s="3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2"/>
      <c r="AU152" s="2"/>
      <c r="AV152" s="2"/>
      <c r="AW152" s="3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2"/>
      <c r="AU153" s="2"/>
      <c r="AV153" s="2"/>
      <c r="AW153" s="3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2"/>
      <c r="AU154" s="2"/>
      <c r="AV154" s="2"/>
      <c r="AW154" s="3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2"/>
      <c r="AU155" s="2"/>
      <c r="AV155" s="2"/>
      <c r="AW155" s="3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2"/>
      <c r="AU156" s="2"/>
      <c r="AV156" s="2"/>
      <c r="AW156" s="3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2"/>
      <c r="AU157" s="2"/>
      <c r="AV157" s="2"/>
      <c r="AW157" s="3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2"/>
      <c r="AU158" s="2"/>
      <c r="AV158" s="2"/>
      <c r="AW158" s="3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2"/>
      <c r="AU159" s="2"/>
      <c r="AV159" s="2"/>
      <c r="AW159" s="3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2"/>
      <c r="AU160" s="2"/>
      <c r="AV160" s="2"/>
      <c r="AW160" s="3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2"/>
      <c r="AU161" s="2"/>
      <c r="AV161" s="2"/>
      <c r="AW161" s="3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2"/>
      <c r="AU162" s="2"/>
      <c r="AV162" s="2"/>
      <c r="AW162" s="3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2"/>
      <c r="AU163" s="2"/>
      <c r="AV163" s="2"/>
      <c r="AW163" s="3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2"/>
      <c r="AU164" s="2"/>
      <c r="AV164" s="2"/>
      <c r="AW164" s="3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2"/>
      <c r="AU165" s="2"/>
      <c r="AV165" s="2"/>
      <c r="AW165" s="3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2"/>
      <c r="AU166" s="2"/>
      <c r="AV166" s="2"/>
      <c r="AW166" s="3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2"/>
      <c r="AU167" s="2"/>
      <c r="AV167" s="2"/>
      <c r="AW167" s="3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2"/>
      <c r="AU168" s="2"/>
      <c r="AV168" s="2"/>
      <c r="AW168" s="3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2"/>
      <c r="AU169" s="2"/>
      <c r="AV169" s="2"/>
      <c r="AW169" s="3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2"/>
      <c r="AU170" s="2"/>
      <c r="AV170" s="2"/>
      <c r="AW170" s="3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2"/>
      <c r="AU171" s="2"/>
      <c r="AV171" s="2"/>
      <c r="AW171" s="3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2"/>
      <c r="AU172" s="2"/>
      <c r="AV172" s="2"/>
      <c r="AW172" s="3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2"/>
      <c r="AU173" s="2"/>
      <c r="AV173" s="2"/>
      <c r="AW173" s="3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2"/>
      <c r="AU174" s="2"/>
      <c r="AV174" s="2"/>
      <c r="AW174" s="3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2"/>
      <c r="AU175" s="2"/>
      <c r="AV175" s="2"/>
      <c r="AW175" s="3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2"/>
      <c r="AU176" s="2"/>
      <c r="AV176" s="2"/>
      <c r="AW176" s="3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2"/>
      <c r="AU177" s="2"/>
      <c r="AV177" s="2"/>
      <c r="AW177" s="3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2"/>
      <c r="AU178" s="2"/>
      <c r="AV178" s="2"/>
      <c r="AW178" s="3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2"/>
      <c r="AU179" s="2"/>
      <c r="AV179" s="2"/>
      <c r="AW179" s="3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2"/>
      <c r="AU180" s="2"/>
      <c r="AV180" s="2"/>
      <c r="AW180" s="3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2"/>
      <c r="AU181" s="2"/>
      <c r="AV181" s="2"/>
      <c r="AW181" s="3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2"/>
      <c r="AU182" s="2"/>
      <c r="AV182" s="2"/>
      <c r="AW182" s="3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2"/>
      <c r="AU183" s="2"/>
      <c r="AV183" s="2"/>
      <c r="AW183" s="3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2"/>
      <c r="AU184" s="2"/>
      <c r="AV184" s="2"/>
      <c r="AW184" s="3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2"/>
      <c r="AU185" s="2"/>
      <c r="AV185" s="2"/>
      <c r="AW185" s="3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2"/>
      <c r="AU186" s="2"/>
      <c r="AV186" s="2"/>
      <c r="AW186" s="3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2"/>
      <c r="AU187" s="2"/>
      <c r="AV187" s="2"/>
      <c r="AW187" s="3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2"/>
      <c r="AU188" s="2"/>
      <c r="AV188" s="2"/>
      <c r="AW188" s="3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2"/>
      <c r="AU189" s="2"/>
      <c r="AV189" s="2"/>
      <c r="AW189" s="3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2"/>
      <c r="AU190" s="2"/>
      <c r="AV190" s="2"/>
      <c r="AW190" s="3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2"/>
      <c r="AU191" s="2"/>
      <c r="AV191" s="2"/>
      <c r="AW191" s="3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2"/>
      <c r="AU192" s="2"/>
      <c r="AV192" s="2"/>
      <c r="AW192" s="3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2"/>
      <c r="AU193" s="2"/>
      <c r="AV193" s="2"/>
      <c r="AW193" s="3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2"/>
      <c r="AU194" s="2"/>
      <c r="AV194" s="2"/>
      <c r="AW194" s="3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2"/>
      <c r="AU195" s="2"/>
      <c r="AV195" s="2"/>
      <c r="AW195" s="3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2"/>
      <c r="AU196" s="2"/>
      <c r="AV196" s="2"/>
      <c r="AW196" s="3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2"/>
      <c r="AU197" s="2"/>
      <c r="AV197" s="2"/>
      <c r="AW197" s="3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2"/>
      <c r="AU198" s="2"/>
      <c r="AV198" s="2"/>
      <c r="AW198" s="3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2"/>
      <c r="AU199" s="2"/>
      <c r="AV199" s="2"/>
      <c r="AW199" s="3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2"/>
      <c r="AU200" s="2"/>
      <c r="AV200" s="2"/>
      <c r="AW200" s="3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2"/>
      <c r="AU201" s="2"/>
      <c r="AV201" s="2"/>
      <c r="AW201" s="3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2"/>
      <c r="AU202" s="2"/>
      <c r="AV202" s="2"/>
      <c r="AW202" s="3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2"/>
      <c r="AU203" s="2"/>
      <c r="AV203" s="2"/>
      <c r="AW203" s="3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2"/>
      <c r="AU204" s="2"/>
      <c r="AV204" s="2"/>
      <c r="AW204" s="3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2"/>
      <c r="AU205" s="2"/>
      <c r="AV205" s="2"/>
      <c r="AW205" s="3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2"/>
      <c r="AU206" s="2"/>
      <c r="AV206" s="2"/>
      <c r="AW206" s="3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2"/>
      <c r="AU207" s="2"/>
      <c r="AV207" s="2"/>
      <c r="AW207" s="3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2"/>
      <c r="AU208" s="2"/>
      <c r="AV208" s="2"/>
      <c r="AW208" s="3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2"/>
      <c r="AU209" s="2"/>
      <c r="AV209" s="2"/>
      <c r="AW209" s="3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2"/>
      <c r="AU210" s="2"/>
      <c r="AV210" s="2"/>
      <c r="AW210" s="3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2"/>
      <c r="AU211" s="2"/>
      <c r="AV211" s="2"/>
      <c r="AW211" s="3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2"/>
      <c r="AU212" s="2"/>
      <c r="AV212" s="2"/>
      <c r="AW212" s="3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2"/>
      <c r="AU213" s="2"/>
      <c r="AV213" s="2"/>
      <c r="AW213" s="3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2"/>
      <c r="AU214" s="2"/>
      <c r="AV214" s="2"/>
      <c r="AW214" s="3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2"/>
      <c r="AU215" s="2"/>
      <c r="AV215" s="2"/>
      <c r="AW215" s="3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2"/>
      <c r="AU216" s="2"/>
      <c r="AV216" s="2"/>
      <c r="AW216" s="3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2"/>
      <c r="AU217" s="2"/>
      <c r="AV217" s="2"/>
      <c r="AW217" s="3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2"/>
      <c r="AU218" s="2"/>
      <c r="AV218" s="2"/>
      <c r="AW218" s="3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2"/>
      <c r="AU219" s="2"/>
      <c r="AV219" s="2"/>
      <c r="AW219" s="3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2"/>
      <c r="AU220" s="2"/>
      <c r="AV220" s="2"/>
      <c r="AW220" s="3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2"/>
      <c r="AU221" s="2"/>
      <c r="AV221" s="2"/>
      <c r="AW221" s="3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2"/>
      <c r="AU222" s="2"/>
      <c r="AV222" s="2"/>
      <c r="AW222" s="3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2"/>
      <c r="AU223" s="2"/>
      <c r="AV223" s="2"/>
      <c r="AW223" s="3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2"/>
      <c r="AU224" s="2"/>
      <c r="AV224" s="2"/>
      <c r="AW224" s="3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2"/>
      <c r="AU225" s="2"/>
      <c r="AV225" s="2"/>
      <c r="AW225" s="3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2"/>
      <c r="AU226" s="2"/>
      <c r="AV226" s="2"/>
      <c r="AW226" s="3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2"/>
      <c r="AU227" s="2"/>
      <c r="AV227" s="2"/>
      <c r="AW227" s="3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2"/>
      <c r="AU228" s="2"/>
      <c r="AV228" s="2"/>
      <c r="AW228" s="3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2"/>
      <c r="AU229" s="2"/>
      <c r="AV229" s="2"/>
      <c r="AW229" s="3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2"/>
      <c r="AU230" s="2"/>
      <c r="AV230" s="2"/>
      <c r="AW230" s="3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2"/>
      <c r="AU231" s="2"/>
      <c r="AV231" s="2"/>
      <c r="AW231" s="3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2"/>
      <c r="AU232" s="2"/>
      <c r="AV232" s="2"/>
      <c r="AW232" s="3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2"/>
      <c r="AU233" s="2"/>
      <c r="AV233" s="2"/>
      <c r="AW233" s="3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2"/>
      <c r="AU234" s="2"/>
      <c r="AV234" s="2"/>
      <c r="AW234" s="3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2"/>
      <c r="AU235" s="2"/>
      <c r="AV235" s="2"/>
      <c r="AW235" s="3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2"/>
      <c r="AU236" s="2"/>
      <c r="AV236" s="2"/>
      <c r="AW236" s="3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2"/>
      <c r="AU237" s="2"/>
      <c r="AV237" s="2"/>
      <c r="AW237" s="3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2"/>
      <c r="AU238" s="2"/>
      <c r="AV238" s="2"/>
      <c r="AW238" s="3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2"/>
      <c r="AU239" s="2"/>
      <c r="AV239" s="2"/>
      <c r="AW239" s="3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2"/>
      <c r="AU240" s="2"/>
      <c r="AV240" s="2"/>
      <c r="AW240" s="3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2"/>
      <c r="AU241" s="2"/>
      <c r="AV241" s="2"/>
      <c r="AW241" s="3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2"/>
      <c r="AU242" s="2"/>
      <c r="AV242" s="2"/>
      <c r="AW242" s="3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2"/>
      <c r="AU243" s="2"/>
      <c r="AV243" s="2"/>
      <c r="AW243" s="3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2"/>
      <c r="AU244" s="2"/>
      <c r="AV244" s="2"/>
      <c r="AW244" s="3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2"/>
      <c r="AU245" s="2"/>
      <c r="AV245" s="2"/>
      <c r="AW245" s="3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2"/>
      <c r="AU246" s="2"/>
      <c r="AV246" s="2"/>
      <c r="AW246" s="3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2"/>
      <c r="AU247" s="2"/>
      <c r="AV247" s="2"/>
      <c r="AW247" s="3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2"/>
      <c r="AU248" s="2"/>
      <c r="AV248" s="2"/>
      <c r="AW248" s="3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2"/>
      <c r="AU249" s="2"/>
      <c r="AV249" s="2"/>
      <c r="AW249" s="3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2"/>
      <c r="AU250" s="2"/>
      <c r="AV250" s="2"/>
      <c r="AW250" s="3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2"/>
      <c r="AU251" s="2"/>
      <c r="AV251" s="2"/>
      <c r="AW251" s="3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2"/>
      <c r="AU252" s="2"/>
      <c r="AV252" s="2"/>
      <c r="AW252" s="3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2"/>
      <c r="AU253" s="2"/>
      <c r="AV253" s="2"/>
      <c r="AW253" s="3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2"/>
      <c r="AU254" s="2"/>
      <c r="AV254" s="2"/>
      <c r="AW254" s="3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2"/>
      <c r="AU255" s="2"/>
      <c r="AV255" s="2"/>
      <c r="AW255" s="3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2"/>
      <c r="AU256" s="2"/>
      <c r="AV256" s="2"/>
      <c r="AW256" s="3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2"/>
      <c r="AU257" s="2"/>
      <c r="AV257" s="2"/>
      <c r="AW257" s="3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2"/>
      <c r="AU258" s="2"/>
      <c r="AV258" s="2"/>
      <c r="AW258" s="3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2"/>
      <c r="AU259" s="2"/>
      <c r="AV259" s="2"/>
      <c r="AW259" s="3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2"/>
      <c r="AU260" s="2"/>
      <c r="AV260" s="2"/>
      <c r="AW260" s="3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2"/>
      <c r="AU261" s="2"/>
      <c r="AV261" s="2"/>
      <c r="AW261" s="3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2"/>
      <c r="AU262" s="2"/>
      <c r="AV262" s="2"/>
      <c r="AW262" s="3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2"/>
      <c r="AU263" s="2"/>
      <c r="AV263" s="2"/>
      <c r="AW263" s="3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2"/>
      <c r="AU264" s="2"/>
      <c r="AV264" s="2"/>
      <c r="AW264" s="3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2"/>
      <c r="AU265" s="2"/>
      <c r="AV265" s="2"/>
      <c r="AW265" s="3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2"/>
      <c r="AU266" s="2"/>
      <c r="AV266" s="2"/>
      <c r="AW266" s="3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2"/>
      <c r="AU267" s="2"/>
      <c r="AV267" s="2"/>
      <c r="AW267" s="3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2"/>
      <c r="AU268" s="2"/>
      <c r="AV268" s="2"/>
      <c r="AW268" s="3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2"/>
      <c r="AU269" s="2"/>
      <c r="AV269" s="2"/>
      <c r="AW269" s="3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2"/>
      <c r="AU270" s="2"/>
      <c r="AV270" s="2"/>
      <c r="AW270" s="3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2"/>
      <c r="AU271" s="2"/>
      <c r="AV271" s="2"/>
      <c r="AW271" s="3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2"/>
      <c r="AU272" s="2"/>
      <c r="AV272" s="2"/>
      <c r="AW272" s="3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2"/>
      <c r="AU273" s="2"/>
      <c r="AV273" s="2"/>
      <c r="AW273" s="3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2"/>
      <c r="AU274" s="2"/>
      <c r="AV274" s="2"/>
      <c r="AW274" s="3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2"/>
      <c r="AU275" s="2"/>
      <c r="AV275" s="2"/>
      <c r="AW275" s="3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2"/>
      <c r="AU276" s="2"/>
      <c r="AV276" s="2"/>
      <c r="AW276" s="3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2"/>
      <c r="AU277" s="2"/>
      <c r="AV277" s="2"/>
      <c r="AW277" s="3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2"/>
      <c r="AU278" s="2"/>
      <c r="AV278" s="2"/>
      <c r="AW278" s="3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2"/>
      <c r="AU279" s="2"/>
      <c r="AV279" s="2"/>
      <c r="AW279" s="3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2"/>
      <c r="AU280" s="2"/>
      <c r="AV280" s="2"/>
      <c r="AW280" s="3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2"/>
      <c r="AU281" s="2"/>
      <c r="AV281" s="2"/>
      <c r="AW281" s="3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2"/>
      <c r="AU282" s="2"/>
      <c r="AV282" s="2"/>
      <c r="AW282" s="3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2"/>
      <c r="AU283" s="2"/>
      <c r="AV283" s="2"/>
      <c r="AW283" s="3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2"/>
      <c r="AU284" s="2"/>
      <c r="AV284" s="2"/>
      <c r="AW284" s="3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2"/>
      <c r="AU285" s="2"/>
      <c r="AV285" s="2"/>
      <c r="AW285" s="3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2"/>
      <c r="AU286" s="2"/>
      <c r="AV286" s="2"/>
      <c r="AW286" s="3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2"/>
      <c r="AU287" s="2"/>
      <c r="AV287" s="2"/>
      <c r="AW287" s="3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2"/>
      <c r="AU288" s="2"/>
      <c r="AV288" s="2"/>
      <c r="AW288" s="3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2"/>
      <c r="AU289" s="2"/>
      <c r="AV289" s="2"/>
      <c r="AW289" s="3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2"/>
      <c r="AU290" s="2"/>
      <c r="AV290" s="2"/>
      <c r="AW290" s="3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2"/>
      <c r="AU291" s="2"/>
      <c r="AV291" s="2"/>
      <c r="AW291" s="3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2"/>
      <c r="AU292" s="2"/>
      <c r="AV292" s="2"/>
      <c r="AW292" s="3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2"/>
      <c r="AU293" s="2"/>
      <c r="AV293" s="2"/>
      <c r="AW293" s="3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2"/>
      <c r="AU294" s="2"/>
      <c r="AV294" s="2"/>
      <c r="AW294" s="3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2"/>
      <c r="AU295" s="2"/>
      <c r="AV295" s="2"/>
      <c r="AW295" s="3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2"/>
      <c r="AU296" s="2"/>
      <c r="AV296" s="2"/>
      <c r="AW296" s="3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2"/>
      <c r="AU297" s="2"/>
      <c r="AV297" s="2"/>
      <c r="AW297" s="3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2"/>
      <c r="AU298" s="2"/>
      <c r="AV298" s="2"/>
      <c r="AW298" s="3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2"/>
      <c r="AU299" s="2"/>
      <c r="AV299" s="2"/>
      <c r="AW299" s="3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2"/>
      <c r="AU300" s="2"/>
      <c r="AV300" s="2"/>
      <c r="AW300" s="3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2"/>
      <c r="AU301" s="2"/>
      <c r="AV301" s="2"/>
      <c r="AW301" s="3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2"/>
      <c r="AU302" s="2"/>
      <c r="AV302" s="2"/>
      <c r="AW302" s="3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2"/>
      <c r="AU303" s="2"/>
      <c r="AV303" s="2"/>
      <c r="AW303" s="3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2"/>
      <c r="AU304" s="2"/>
      <c r="AV304" s="2"/>
      <c r="AW304" s="3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2"/>
      <c r="AU305" s="2"/>
      <c r="AV305" s="2"/>
      <c r="AW305" s="3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2"/>
      <c r="AU306" s="2"/>
      <c r="AV306" s="2"/>
      <c r="AW306" s="3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2"/>
      <c r="AU307" s="2"/>
      <c r="AV307" s="2"/>
      <c r="AW307" s="3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2"/>
      <c r="AU308" s="2"/>
      <c r="AV308" s="2"/>
      <c r="AW308" s="3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2"/>
      <c r="AU309" s="2"/>
      <c r="AV309" s="2"/>
      <c r="AW309" s="3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2"/>
      <c r="AU310" s="2"/>
      <c r="AV310" s="2"/>
      <c r="AW310" s="3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2"/>
      <c r="AU311" s="2"/>
      <c r="AV311" s="2"/>
      <c r="AW311" s="3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2"/>
      <c r="AU312" s="2"/>
      <c r="AV312" s="2"/>
      <c r="AW312" s="3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2"/>
      <c r="AU313" s="2"/>
      <c r="AV313" s="2"/>
      <c r="AW313" s="3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2"/>
      <c r="AU314" s="2"/>
      <c r="AV314" s="2"/>
      <c r="AW314" s="3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2"/>
      <c r="AU315" s="2"/>
      <c r="AV315" s="2"/>
      <c r="AW315" s="3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2"/>
      <c r="AU316" s="2"/>
      <c r="AV316" s="2"/>
      <c r="AW316" s="3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2"/>
      <c r="AU317" s="2"/>
      <c r="AV317" s="2"/>
      <c r="AW317" s="3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2"/>
      <c r="AU318" s="2"/>
      <c r="AV318" s="2"/>
      <c r="AW318" s="3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2"/>
      <c r="AU319" s="2"/>
      <c r="AV319" s="2"/>
      <c r="AW319" s="3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2"/>
      <c r="AU320" s="2"/>
      <c r="AV320" s="2"/>
      <c r="AW320" s="3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2"/>
      <c r="AU321" s="2"/>
      <c r="AV321" s="2"/>
      <c r="AW321" s="3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2"/>
      <c r="AU322" s="2"/>
      <c r="AV322" s="2"/>
      <c r="AW322" s="3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2"/>
      <c r="AU323" s="2"/>
      <c r="AV323" s="2"/>
      <c r="AW323" s="3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2"/>
      <c r="AU324" s="2"/>
      <c r="AV324" s="2"/>
      <c r="AW324" s="3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2"/>
      <c r="AU325" s="2"/>
      <c r="AV325" s="2"/>
      <c r="AW325" s="3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2"/>
      <c r="AU326" s="2"/>
      <c r="AV326" s="2"/>
      <c r="AW326" s="3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2"/>
      <c r="AU327" s="2"/>
      <c r="AV327" s="2"/>
      <c r="AW327" s="3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2"/>
      <c r="AU328" s="2"/>
      <c r="AV328" s="2"/>
      <c r="AW328" s="3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2"/>
      <c r="AU329" s="2"/>
      <c r="AV329" s="2"/>
      <c r="AW329" s="3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2"/>
      <c r="AU330" s="2"/>
      <c r="AV330" s="2"/>
      <c r="AW330" s="3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2"/>
      <c r="AU331" s="2"/>
      <c r="AV331" s="2"/>
      <c r="AW331" s="3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2"/>
      <c r="AU332" s="2"/>
      <c r="AV332" s="2"/>
      <c r="AW332" s="3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2"/>
      <c r="AU333" s="2"/>
      <c r="AV333" s="2"/>
      <c r="AW333" s="3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2"/>
      <c r="AU334" s="2"/>
      <c r="AV334" s="2"/>
      <c r="AW334" s="3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2"/>
      <c r="AU335" s="2"/>
      <c r="AV335" s="2"/>
      <c r="AW335" s="3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2"/>
      <c r="AU336" s="2"/>
      <c r="AV336" s="2"/>
      <c r="AW336" s="3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2"/>
      <c r="AU337" s="2"/>
      <c r="AV337" s="2"/>
      <c r="AW337" s="3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2"/>
      <c r="AU338" s="2"/>
      <c r="AV338" s="2"/>
      <c r="AW338" s="3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2"/>
      <c r="AU339" s="2"/>
      <c r="AV339" s="2"/>
      <c r="AW339" s="3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2"/>
      <c r="AU340" s="2"/>
      <c r="AV340" s="2"/>
      <c r="AW340" s="3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2"/>
      <c r="AU341" s="2"/>
      <c r="AV341" s="2"/>
      <c r="AW341" s="3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2"/>
      <c r="AU342" s="2"/>
      <c r="AV342" s="2"/>
      <c r="AW342" s="3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2"/>
      <c r="AU343" s="2"/>
      <c r="AV343" s="2"/>
      <c r="AW343" s="3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2"/>
      <c r="AU344" s="2"/>
      <c r="AV344" s="2"/>
      <c r="AW344" s="3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2"/>
      <c r="AU345" s="2"/>
      <c r="AV345" s="2"/>
      <c r="AW345" s="3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2"/>
      <c r="AU346" s="2"/>
      <c r="AV346" s="2"/>
      <c r="AW346" s="3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2"/>
      <c r="AU347" s="2"/>
      <c r="AV347" s="2"/>
      <c r="AW347" s="3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2"/>
      <c r="AU348" s="2"/>
      <c r="AV348" s="2"/>
      <c r="AW348" s="3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2"/>
      <c r="AU349" s="2"/>
      <c r="AV349" s="2"/>
      <c r="AW349" s="3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2"/>
      <c r="AU350" s="2"/>
      <c r="AV350" s="2"/>
      <c r="AW350" s="3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2"/>
      <c r="AU351" s="2"/>
      <c r="AV351" s="2"/>
      <c r="AW351" s="3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2"/>
      <c r="AU352" s="2"/>
      <c r="AV352" s="2"/>
      <c r="AW352" s="3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2"/>
      <c r="AU353" s="2"/>
      <c r="AV353" s="2"/>
      <c r="AW353" s="3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2"/>
      <c r="AU354" s="2"/>
      <c r="AV354" s="2"/>
      <c r="AW354" s="3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2"/>
      <c r="AU355" s="2"/>
      <c r="AV355" s="2"/>
      <c r="AW355" s="3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2"/>
      <c r="AU356" s="2"/>
      <c r="AV356" s="2"/>
      <c r="AW356" s="3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2"/>
      <c r="AU357" s="2"/>
      <c r="AV357" s="2"/>
      <c r="AW357" s="3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2"/>
      <c r="AU358" s="2"/>
      <c r="AV358" s="2"/>
      <c r="AW358" s="3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2"/>
      <c r="AU359" s="2"/>
      <c r="AV359" s="2"/>
      <c r="AW359" s="3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2"/>
      <c r="AU360" s="2"/>
      <c r="AV360" s="2"/>
      <c r="AW360" s="3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2"/>
      <c r="AU361" s="2"/>
      <c r="AV361" s="2"/>
      <c r="AW361" s="3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2"/>
      <c r="AU362" s="2"/>
      <c r="AV362" s="2"/>
      <c r="AW362" s="3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2"/>
      <c r="AU363" s="2"/>
      <c r="AV363" s="2"/>
      <c r="AW363" s="3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2"/>
      <c r="AU364" s="2"/>
      <c r="AV364" s="2"/>
      <c r="AW364" s="3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2"/>
      <c r="AU365" s="2"/>
      <c r="AV365" s="2"/>
      <c r="AW365" s="3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2"/>
      <c r="AU366" s="2"/>
      <c r="AV366" s="2"/>
      <c r="AW366" s="3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2"/>
      <c r="AU367" s="2"/>
      <c r="AV367" s="2"/>
      <c r="AW367" s="3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2"/>
      <c r="AU368" s="2"/>
      <c r="AV368" s="2"/>
      <c r="AW368" s="3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2"/>
      <c r="AU369" s="2"/>
      <c r="AV369" s="2"/>
      <c r="AW369" s="3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2"/>
      <c r="AU370" s="2"/>
      <c r="AV370" s="2"/>
      <c r="AW370" s="3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2"/>
      <c r="AU371" s="2"/>
      <c r="AV371" s="2"/>
      <c r="AW371" s="3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2"/>
      <c r="AU372" s="2"/>
      <c r="AV372" s="2"/>
      <c r="AW372" s="3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2"/>
      <c r="AU373" s="2"/>
      <c r="AV373" s="2"/>
      <c r="AW373" s="3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2"/>
      <c r="AU374" s="2"/>
      <c r="AV374" s="2"/>
      <c r="AW374" s="3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2"/>
      <c r="AU375" s="2"/>
      <c r="AV375" s="2"/>
      <c r="AW375" s="3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2"/>
      <c r="AU376" s="2"/>
      <c r="AV376" s="2"/>
      <c r="AW376" s="3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2"/>
      <c r="AU377" s="2"/>
      <c r="AV377" s="2"/>
      <c r="AW377" s="3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2"/>
      <c r="AU378" s="2"/>
      <c r="AV378" s="2"/>
      <c r="AW378" s="3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2"/>
      <c r="AU379" s="2"/>
      <c r="AV379" s="2"/>
      <c r="AW379" s="3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2"/>
      <c r="AU380" s="2"/>
      <c r="AV380" s="2"/>
      <c r="AW380" s="3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2"/>
      <c r="AU381" s="2"/>
      <c r="AV381" s="2"/>
      <c r="AW381" s="3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2"/>
      <c r="AU382" s="2"/>
      <c r="AV382" s="2"/>
      <c r="AW382" s="3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2"/>
      <c r="AU383" s="2"/>
      <c r="AV383" s="2"/>
      <c r="AW383" s="3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2"/>
      <c r="AU384" s="2"/>
      <c r="AV384" s="2"/>
      <c r="AW384" s="3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2"/>
      <c r="AU385" s="2"/>
      <c r="AV385" s="2"/>
      <c r="AW385" s="3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2"/>
      <c r="AU386" s="2"/>
      <c r="AV386" s="2"/>
      <c r="AW386" s="3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2"/>
      <c r="AU387" s="2"/>
      <c r="AV387" s="2"/>
      <c r="AW387" s="3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2"/>
      <c r="AU388" s="2"/>
      <c r="AV388" s="2"/>
      <c r="AW388" s="3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2"/>
      <c r="AU389" s="2"/>
      <c r="AV389" s="2"/>
      <c r="AW389" s="3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2"/>
      <c r="AU390" s="2"/>
      <c r="AV390" s="2"/>
      <c r="AW390" s="3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2"/>
      <c r="AU391" s="2"/>
      <c r="AV391" s="2"/>
      <c r="AW391" s="3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2"/>
      <c r="AU392" s="2"/>
      <c r="AV392" s="2"/>
      <c r="AW392" s="3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2"/>
      <c r="AU393" s="2"/>
      <c r="AV393" s="2"/>
      <c r="AW393" s="3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2"/>
      <c r="AU394" s="2"/>
      <c r="AV394" s="2"/>
      <c r="AW394" s="3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2"/>
      <c r="AU395" s="2"/>
      <c r="AV395" s="2"/>
      <c r="AW395" s="3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2"/>
      <c r="AU396" s="2"/>
      <c r="AV396" s="2"/>
      <c r="AW396" s="3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2"/>
      <c r="AU397" s="2"/>
      <c r="AV397" s="2"/>
      <c r="AW397" s="3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2"/>
      <c r="AU398" s="2"/>
      <c r="AV398" s="2"/>
      <c r="AW398" s="3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2"/>
      <c r="AU399" s="2"/>
      <c r="AV399" s="2"/>
      <c r="AW399" s="3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2"/>
      <c r="AU400" s="2"/>
      <c r="AV400" s="2"/>
      <c r="AW400" s="3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2"/>
      <c r="AU401" s="2"/>
      <c r="AV401" s="2"/>
      <c r="AW401" s="3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2"/>
      <c r="AU402" s="2"/>
      <c r="AV402" s="2"/>
      <c r="AW402" s="3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2"/>
      <c r="AU403" s="2"/>
      <c r="AV403" s="2"/>
      <c r="AW403" s="3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2"/>
      <c r="AU404" s="2"/>
      <c r="AV404" s="2"/>
      <c r="AW404" s="3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2"/>
      <c r="AU405" s="2"/>
      <c r="AV405" s="2"/>
      <c r="AW405" s="3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2"/>
      <c r="AU406" s="2"/>
      <c r="AV406" s="2"/>
      <c r="AW406" s="3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2"/>
      <c r="AU407" s="2"/>
      <c r="AV407" s="2"/>
      <c r="AW407" s="3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2"/>
      <c r="AU408" s="2"/>
      <c r="AV408" s="2"/>
      <c r="AW408" s="3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2"/>
      <c r="AU409" s="2"/>
      <c r="AV409" s="2"/>
      <c r="AW409" s="3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2"/>
      <c r="AU410" s="2"/>
      <c r="AV410" s="2"/>
      <c r="AW410" s="3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2"/>
      <c r="AU411" s="2"/>
      <c r="AV411" s="2"/>
      <c r="AW411" s="3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2"/>
      <c r="AU412" s="2"/>
      <c r="AV412" s="2"/>
      <c r="AW412" s="3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2"/>
      <c r="AU413" s="2"/>
      <c r="AV413" s="2"/>
      <c r="AW413" s="3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2"/>
      <c r="AU414" s="2"/>
      <c r="AV414" s="2"/>
      <c r="AW414" s="3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2"/>
      <c r="AU415" s="2"/>
      <c r="AV415" s="2"/>
      <c r="AW415" s="3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2"/>
      <c r="AU416" s="2"/>
      <c r="AV416" s="2"/>
      <c r="AW416" s="3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2"/>
      <c r="AU417" s="2"/>
      <c r="AV417" s="2"/>
      <c r="AW417" s="3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2"/>
      <c r="AU418" s="2"/>
      <c r="AV418" s="2"/>
      <c r="AW418" s="3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2"/>
      <c r="AU419" s="2"/>
      <c r="AV419" s="2"/>
      <c r="AW419" s="3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2"/>
      <c r="AU420" s="2"/>
      <c r="AV420" s="2"/>
      <c r="AW420" s="3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2"/>
      <c r="AU421" s="2"/>
      <c r="AV421" s="2"/>
      <c r="AW421" s="3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2"/>
      <c r="AU422" s="2"/>
      <c r="AV422" s="2"/>
      <c r="AW422" s="3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2"/>
      <c r="AU423" s="2"/>
      <c r="AV423" s="2"/>
      <c r="AW423" s="3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2"/>
      <c r="AU424" s="2"/>
      <c r="AV424" s="2"/>
      <c r="AW424" s="3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2"/>
      <c r="AU425" s="2"/>
      <c r="AV425" s="2"/>
      <c r="AW425" s="3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2"/>
      <c r="AU426" s="2"/>
      <c r="AV426" s="2"/>
      <c r="AW426" s="3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2"/>
      <c r="AU427" s="2"/>
      <c r="AV427" s="2"/>
      <c r="AW427" s="3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2"/>
      <c r="AU428" s="2"/>
      <c r="AV428" s="2"/>
      <c r="AW428" s="3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2"/>
      <c r="AU429" s="2"/>
      <c r="AV429" s="2"/>
      <c r="AW429" s="3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2"/>
      <c r="AU430" s="2"/>
      <c r="AV430" s="2"/>
      <c r="AW430" s="3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2"/>
      <c r="AU431" s="2"/>
      <c r="AV431" s="2"/>
      <c r="AW431" s="3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2"/>
      <c r="AU432" s="2"/>
      <c r="AV432" s="2"/>
      <c r="AW432" s="3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2"/>
      <c r="AU433" s="2"/>
      <c r="AV433" s="2"/>
      <c r="AW433" s="3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2"/>
      <c r="AU434" s="2"/>
      <c r="AV434" s="2"/>
      <c r="AW434" s="3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2"/>
      <c r="AU435" s="2"/>
      <c r="AV435" s="2"/>
      <c r="AW435" s="3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2"/>
      <c r="AU436" s="2"/>
      <c r="AV436" s="2"/>
      <c r="AW436" s="3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2"/>
      <c r="AU437" s="2"/>
      <c r="AV437" s="2"/>
      <c r="AW437" s="3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2"/>
      <c r="AU438" s="2"/>
      <c r="AV438" s="2"/>
      <c r="AW438" s="3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2"/>
      <c r="AU439" s="2"/>
      <c r="AV439" s="2"/>
      <c r="AW439" s="3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2"/>
      <c r="AU440" s="2"/>
      <c r="AV440" s="2"/>
      <c r="AW440" s="3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2"/>
      <c r="AU441" s="2"/>
      <c r="AV441" s="2"/>
      <c r="AW441" s="3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2"/>
      <c r="AU442" s="2"/>
      <c r="AV442" s="2"/>
      <c r="AW442" s="3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2"/>
      <c r="AU443" s="2"/>
      <c r="AV443" s="2"/>
      <c r="AW443" s="3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2"/>
      <c r="AU444" s="2"/>
      <c r="AV444" s="2"/>
      <c r="AW444" s="3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2"/>
      <c r="AU445" s="2"/>
      <c r="AV445" s="2"/>
      <c r="AW445" s="3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2"/>
      <c r="AU446" s="2"/>
      <c r="AV446" s="2"/>
      <c r="AW446" s="3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2"/>
      <c r="AU447" s="2"/>
      <c r="AV447" s="2"/>
      <c r="AW447" s="3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2"/>
      <c r="AU448" s="2"/>
      <c r="AV448" s="2"/>
      <c r="AW448" s="3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2"/>
      <c r="AU449" s="2"/>
      <c r="AV449" s="2"/>
      <c r="AW449" s="3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2"/>
      <c r="AU450" s="2"/>
      <c r="AV450" s="2"/>
      <c r="AW450" s="3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2"/>
      <c r="AU451" s="2"/>
      <c r="AV451" s="2"/>
      <c r="AW451" s="3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2"/>
      <c r="AU452" s="2"/>
      <c r="AV452" s="2"/>
      <c r="AW452" s="3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2"/>
      <c r="AU453" s="2"/>
      <c r="AV453" s="2"/>
      <c r="AW453" s="3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2"/>
      <c r="AU454" s="2"/>
      <c r="AV454" s="2"/>
      <c r="AW454" s="3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2"/>
      <c r="AU455" s="2"/>
      <c r="AV455" s="2"/>
      <c r="AW455" s="3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2"/>
      <c r="AU456" s="2"/>
      <c r="AV456" s="2"/>
      <c r="AW456" s="3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2"/>
      <c r="AU457" s="2"/>
      <c r="AV457" s="2"/>
      <c r="AW457" s="3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2"/>
      <c r="AU458" s="2"/>
      <c r="AV458" s="2"/>
      <c r="AW458" s="3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2"/>
      <c r="AU459" s="2"/>
      <c r="AV459" s="2"/>
      <c r="AW459" s="3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2"/>
      <c r="AU460" s="2"/>
      <c r="AV460" s="2"/>
      <c r="AW460" s="3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2"/>
      <c r="AU461" s="2"/>
      <c r="AV461" s="2"/>
      <c r="AW461" s="3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2"/>
      <c r="AU462" s="2"/>
      <c r="AV462" s="2"/>
      <c r="AW462" s="3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2"/>
      <c r="AU463" s="2"/>
      <c r="AV463" s="2"/>
      <c r="AW463" s="3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2"/>
      <c r="AU464" s="2"/>
      <c r="AV464" s="2"/>
      <c r="AW464" s="3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2"/>
      <c r="AU465" s="2"/>
      <c r="AV465" s="2"/>
      <c r="AW465" s="3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2"/>
      <c r="AU466" s="2"/>
      <c r="AV466" s="2"/>
      <c r="AW466" s="3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2"/>
      <c r="AU467" s="2"/>
      <c r="AV467" s="2"/>
      <c r="AW467" s="3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2"/>
      <c r="AU468" s="2"/>
      <c r="AV468" s="2"/>
      <c r="AW468" s="3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2"/>
      <c r="AU469" s="2"/>
      <c r="AV469" s="2"/>
      <c r="AW469" s="3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2"/>
      <c r="AU470" s="2"/>
      <c r="AV470" s="2"/>
      <c r="AW470" s="3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2"/>
      <c r="AU471" s="2"/>
      <c r="AV471" s="2"/>
      <c r="AW471" s="3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2"/>
      <c r="AU472" s="2"/>
      <c r="AV472" s="2"/>
      <c r="AW472" s="3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2"/>
      <c r="AU473" s="2"/>
      <c r="AV473" s="2"/>
      <c r="AW473" s="3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2"/>
      <c r="AU474" s="2"/>
      <c r="AV474" s="2"/>
      <c r="AW474" s="3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2"/>
      <c r="AU475" s="2"/>
      <c r="AV475" s="2"/>
      <c r="AW475" s="3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2"/>
      <c r="AU476" s="2"/>
      <c r="AV476" s="2"/>
      <c r="AW476" s="3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2"/>
      <c r="AU477" s="2"/>
      <c r="AV477" s="2"/>
      <c r="AW477" s="3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2"/>
      <c r="AU478" s="2"/>
      <c r="AV478" s="2"/>
      <c r="AW478" s="3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2"/>
      <c r="AU479" s="2"/>
      <c r="AV479" s="2"/>
      <c r="AW479" s="3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2"/>
      <c r="AU480" s="2"/>
      <c r="AV480" s="2"/>
      <c r="AW480" s="3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2"/>
      <c r="AU481" s="2"/>
      <c r="AV481" s="2"/>
      <c r="AW481" s="3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2"/>
      <c r="AU482" s="2"/>
      <c r="AV482" s="2"/>
      <c r="AW482" s="3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2"/>
      <c r="AU483" s="2"/>
      <c r="AV483" s="2"/>
      <c r="AW483" s="3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2"/>
      <c r="AU484" s="2"/>
      <c r="AV484" s="2"/>
      <c r="AW484" s="3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2"/>
      <c r="AU485" s="2"/>
      <c r="AV485" s="2"/>
      <c r="AW485" s="3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2"/>
      <c r="AU486" s="2"/>
      <c r="AV486" s="2"/>
      <c r="AW486" s="3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2"/>
      <c r="AU487" s="2"/>
      <c r="AV487" s="2"/>
      <c r="AW487" s="3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2"/>
      <c r="AU488" s="2"/>
      <c r="AV488" s="2"/>
      <c r="AW488" s="3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2"/>
      <c r="AU489" s="2"/>
      <c r="AV489" s="2"/>
      <c r="AW489" s="3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2"/>
      <c r="AU490" s="2"/>
      <c r="AV490" s="2"/>
      <c r="AW490" s="3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2"/>
      <c r="AU491" s="2"/>
      <c r="AV491" s="2"/>
      <c r="AW491" s="3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2"/>
      <c r="AU492" s="2"/>
      <c r="AV492" s="2"/>
      <c r="AW492" s="3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2"/>
      <c r="AU493" s="2"/>
      <c r="AV493" s="2"/>
      <c r="AW493" s="3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2"/>
      <c r="AU494" s="2"/>
      <c r="AV494" s="2"/>
      <c r="AW494" s="3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2"/>
      <c r="AU495" s="2"/>
      <c r="AV495" s="2"/>
      <c r="AW495" s="3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2"/>
      <c r="AU496" s="2"/>
      <c r="AV496" s="2"/>
      <c r="AW496" s="3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2"/>
      <c r="AU497" s="2"/>
      <c r="AV497" s="2"/>
      <c r="AW497" s="3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2"/>
      <c r="AU498" s="2"/>
      <c r="AV498" s="2"/>
      <c r="AW498" s="3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2"/>
      <c r="AU499" s="2"/>
      <c r="AV499" s="2"/>
      <c r="AW499" s="3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2"/>
      <c r="AU500" s="2"/>
      <c r="AV500" s="2"/>
      <c r="AW500" s="3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2"/>
      <c r="AU501" s="2"/>
      <c r="AV501" s="2"/>
      <c r="AW501" s="3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2"/>
      <c r="AU502" s="2"/>
      <c r="AV502" s="2"/>
      <c r="AW502" s="3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2"/>
      <c r="AU503" s="2"/>
      <c r="AV503" s="2"/>
      <c r="AW503" s="3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2"/>
      <c r="AU504" s="2"/>
      <c r="AV504" s="2"/>
      <c r="AW504" s="3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2"/>
      <c r="AU505" s="2"/>
      <c r="AV505" s="2"/>
      <c r="AW505" s="3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2"/>
      <c r="AU506" s="2"/>
      <c r="AV506" s="2"/>
      <c r="AW506" s="3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2"/>
      <c r="AU507" s="2"/>
      <c r="AV507" s="2"/>
      <c r="AW507" s="3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2"/>
      <c r="AU508" s="2"/>
      <c r="AV508" s="2"/>
      <c r="AW508" s="3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2"/>
      <c r="AU509" s="2"/>
      <c r="AV509" s="2"/>
      <c r="AW509" s="3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2"/>
      <c r="AU510" s="2"/>
      <c r="AV510" s="2"/>
      <c r="AW510" s="3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2"/>
      <c r="AU511" s="2"/>
      <c r="AV511" s="2"/>
      <c r="AW511" s="3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2"/>
      <c r="AU512" s="2"/>
      <c r="AV512" s="2"/>
      <c r="AW512" s="3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2"/>
      <c r="AU513" s="2"/>
      <c r="AV513" s="2"/>
      <c r="AW513" s="3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2"/>
      <c r="AU514" s="2"/>
      <c r="AV514" s="2"/>
      <c r="AW514" s="3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2"/>
      <c r="AU515" s="2"/>
      <c r="AV515" s="2"/>
      <c r="AW515" s="3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2"/>
      <c r="AU516" s="2"/>
      <c r="AV516" s="2"/>
      <c r="AW516" s="3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2"/>
      <c r="AU517" s="2"/>
      <c r="AV517" s="2"/>
      <c r="AW517" s="3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2"/>
      <c r="AU518" s="2"/>
      <c r="AV518" s="2"/>
      <c r="AW518" s="3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2"/>
      <c r="AU519" s="2"/>
      <c r="AV519" s="2"/>
      <c r="AW519" s="3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2"/>
      <c r="AU520" s="2"/>
      <c r="AV520" s="2"/>
      <c r="AW520" s="3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2"/>
      <c r="AU521" s="2"/>
      <c r="AV521" s="2"/>
      <c r="AW521" s="3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2"/>
      <c r="AU522" s="2"/>
      <c r="AV522" s="2"/>
      <c r="AW522" s="3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2"/>
      <c r="AU523" s="2"/>
      <c r="AV523" s="2"/>
      <c r="AW523" s="3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2"/>
      <c r="AU524" s="2"/>
      <c r="AV524" s="2"/>
      <c r="AW524" s="3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2"/>
      <c r="AU525" s="2"/>
      <c r="AV525" s="2"/>
      <c r="AW525" s="3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2"/>
      <c r="AU526" s="2"/>
      <c r="AV526" s="2"/>
      <c r="AW526" s="3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2"/>
      <c r="AU527" s="2"/>
      <c r="AV527" s="2"/>
      <c r="AW527" s="3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2"/>
      <c r="AU528" s="2"/>
      <c r="AV528" s="2"/>
      <c r="AW528" s="3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2"/>
      <c r="AU529" s="2"/>
      <c r="AV529" s="2"/>
      <c r="AW529" s="3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2"/>
      <c r="AU530" s="2"/>
      <c r="AV530" s="2"/>
      <c r="AW530" s="3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2"/>
      <c r="AU531" s="2"/>
      <c r="AV531" s="2"/>
      <c r="AW531" s="3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2"/>
      <c r="AU532" s="2"/>
      <c r="AV532" s="2"/>
      <c r="AW532" s="3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2"/>
      <c r="AU533" s="2"/>
      <c r="AV533" s="2"/>
      <c r="AW533" s="3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2"/>
      <c r="AU534" s="2"/>
      <c r="AV534" s="2"/>
      <c r="AW534" s="3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2"/>
      <c r="AU535" s="2"/>
      <c r="AV535" s="2"/>
      <c r="AW535" s="3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2"/>
      <c r="AU536" s="2"/>
      <c r="AV536" s="2"/>
      <c r="AW536" s="3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2"/>
      <c r="AU537" s="2"/>
      <c r="AV537" s="2"/>
      <c r="AW537" s="3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2"/>
      <c r="AU538" s="2"/>
      <c r="AV538" s="2"/>
      <c r="AW538" s="3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2"/>
      <c r="AU539" s="2"/>
      <c r="AV539" s="2"/>
      <c r="AW539" s="3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2"/>
      <c r="AU540" s="2"/>
      <c r="AV540" s="2"/>
      <c r="AW540" s="3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2"/>
      <c r="AU541" s="2"/>
      <c r="AV541" s="2"/>
      <c r="AW541" s="3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2"/>
      <c r="AU542" s="2"/>
      <c r="AV542" s="2"/>
      <c r="AW542" s="3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2"/>
      <c r="AU543" s="2"/>
      <c r="AV543" s="2"/>
      <c r="AW543" s="3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2"/>
      <c r="AU544" s="2"/>
      <c r="AV544" s="2"/>
      <c r="AW544" s="3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2"/>
      <c r="AU545" s="2"/>
      <c r="AV545" s="2"/>
      <c r="AW545" s="3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2"/>
      <c r="AU546" s="2"/>
      <c r="AV546" s="2"/>
      <c r="AW546" s="3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2"/>
      <c r="AU547" s="2"/>
      <c r="AV547" s="2"/>
      <c r="AW547" s="3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2"/>
      <c r="AU548" s="2"/>
      <c r="AV548" s="2"/>
      <c r="AW548" s="3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2"/>
      <c r="AU549" s="2"/>
      <c r="AV549" s="2"/>
      <c r="AW549" s="3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2"/>
      <c r="AU550" s="2"/>
      <c r="AV550" s="2"/>
      <c r="AW550" s="3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2"/>
      <c r="AU551" s="2"/>
      <c r="AV551" s="2"/>
      <c r="AW551" s="3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2"/>
      <c r="AU552" s="2"/>
      <c r="AV552" s="2"/>
      <c r="AW552" s="3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2"/>
      <c r="AU553" s="2"/>
      <c r="AV553" s="2"/>
      <c r="AW553" s="3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2"/>
      <c r="AU554" s="2"/>
      <c r="AV554" s="2"/>
      <c r="AW554" s="3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2"/>
      <c r="AU555" s="2"/>
      <c r="AV555" s="2"/>
      <c r="AW555" s="3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2"/>
      <c r="AU556" s="2"/>
      <c r="AV556" s="2"/>
      <c r="AW556" s="3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2"/>
      <c r="AU557" s="2"/>
      <c r="AV557" s="2"/>
      <c r="AW557" s="3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2"/>
      <c r="AU558" s="2"/>
      <c r="AV558" s="2"/>
      <c r="AW558" s="3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2"/>
      <c r="AU559" s="2"/>
      <c r="AV559" s="2"/>
      <c r="AW559" s="3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2"/>
      <c r="AU560" s="2"/>
      <c r="AV560" s="2"/>
      <c r="AW560" s="3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2"/>
      <c r="AU561" s="2"/>
      <c r="AV561" s="2"/>
      <c r="AW561" s="3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2"/>
      <c r="AU562" s="2"/>
      <c r="AV562" s="2"/>
      <c r="AW562" s="3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2"/>
      <c r="AU563" s="2"/>
      <c r="AV563" s="2"/>
      <c r="AW563" s="3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2"/>
      <c r="AU564" s="2"/>
      <c r="AV564" s="2"/>
      <c r="AW564" s="3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2"/>
      <c r="AU565" s="2"/>
      <c r="AV565" s="2"/>
      <c r="AW565" s="3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2"/>
      <c r="AU566" s="2"/>
      <c r="AV566" s="2"/>
      <c r="AW566" s="3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2"/>
      <c r="AU567" s="2"/>
      <c r="AV567" s="2"/>
      <c r="AW567" s="3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2"/>
      <c r="AU568" s="2"/>
      <c r="AV568" s="2"/>
      <c r="AW568" s="3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2"/>
      <c r="AU569" s="2"/>
      <c r="AV569" s="2"/>
      <c r="AW569" s="3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2"/>
      <c r="AU570" s="2"/>
      <c r="AV570" s="2"/>
      <c r="AW570" s="3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2"/>
      <c r="AU571" s="2"/>
      <c r="AV571" s="2"/>
      <c r="AW571" s="3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2"/>
      <c r="AU572" s="2"/>
      <c r="AV572" s="2"/>
      <c r="AW572" s="3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2"/>
      <c r="AU573" s="2"/>
      <c r="AV573" s="2"/>
      <c r="AW573" s="3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2"/>
      <c r="AU574" s="2"/>
      <c r="AV574" s="2"/>
      <c r="AW574" s="3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2"/>
      <c r="AU575" s="2"/>
      <c r="AV575" s="2"/>
      <c r="AW575" s="3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2"/>
      <c r="AU576" s="2"/>
      <c r="AV576" s="2"/>
      <c r="AW576" s="3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2"/>
      <c r="AU577" s="2"/>
      <c r="AV577" s="2"/>
      <c r="AW577" s="3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2"/>
      <c r="AU578" s="2"/>
      <c r="AV578" s="2"/>
      <c r="AW578" s="3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2"/>
      <c r="AU579" s="2"/>
      <c r="AV579" s="2"/>
      <c r="AW579" s="3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2"/>
      <c r="AU580" s="2"/>
      <c r="AV580" s="2"/>
      <c r="AW580" s="3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2"/>
      <c r="AU581" s="2"/>
      <c r="AV581" s="2"/>
      <c r="AW581" s="3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2"/>
      <c r="AU582" s="2"/>
      <c r="AV582" s="2"/>
      <c r="AW582" s="3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2"/>
      <c r="AU583" s="2"/>
      <c r="AV583" s="2"/>
      <c r="AW583" s="3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2"/>
      <c r="AU584" s="2"/>
      <c r="AV584" s="2"/>
      <c r="AW584" s="3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2"/>
      <c r="AU585" s="2"/>
      <c r="AV585" s="2"/>
      <c r="AW585" s="3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2"/>
      <c r="AU586" s="2"/>
      <c r="AV586" s="2"/>
      <c r="AW586" s="3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2"/>
      <c r="AU587" s="2"/>
      <c r="AV587" s="2"/>
      <c r="AW587" s="3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2"/>
      <c r="AU588" s="2"/>
      <c r="AV588" s="2"/>
      <c r="AW588" s="3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2"/>
      <c r="AU589" s="2"/>
      <c r="AV589" s="2"/>
      <c r="AW589" s="3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2"/>
      <c r="AU590" s="2"/>
      <c r="AV590" s="2"/>
      <c r="AW590" s="3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2"/>
      <c r="AU591" s="2"/>
      <c r="AV591" s="2"/>
      <c r="AW591" s="3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2"/>
      <c r="AU592" s="2"/>
      <c r="AV592" s="2"/>
      <c r="AW592" s="3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2"/>
      <c r="AU593" s="2"/>
      <c r="AV593" s="2"/>
      <c r="AW593" s="3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2"/>
      <c r="AU594" s="2"/>
      <c r="AV594" s="2"/>
      <c r="AW594" s="3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2"/>
      <c r="AU595" s="2"/>
      <c r="AV595" s="2"/>
      <c r="AW595" s="3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2"/>
      <c r="AU596" s="2"/>
      <c r="AV596" s="2"/>
      <c r="AW596" s="3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2"/>
      <c r="AU597" s="2"/>
      <c r="AV597" s="2"/>
      <c r="AW597" s="3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2"/>
      <c r="AU598" s="2"/>
      <c r="AV598" s="2"/>
      <c r="AW598" s="3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2"/>
      <c r="AU599" s="2"/>
      <c r="AV599" s="2"/>
      <c r="AW599" s="3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2"/>
      <c r="AU600" s="2"/>
      <c r="AV600" s="2"/>
      <c r="AW600" s="3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2"/>
      <c r="AU601" s="2"/>
      <c r="AV601" s="2"/>
      <c r="AW601" s="3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2"/>
      <c r="AU602" s="2"/>
      <c r="AV602" s="2"/>
      <c r="AW602" s="3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2"/>
      <c r="AU603" s="2"/>
      <c r="AV603" s="2"/>
      <c r="AW603" s="3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2"/>
      <c r="AU604" s="2"/>
      <c r="AV604" s="2"/>
      <c r="AW604" s="3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2"/>
      <c r="AU605" s="2"/>
      <c r="AV605" s="2"/>
      <c r="AW605" s="3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2"/>
      <c r="AU606" s="2"/>
      <c r="AV606" s="2"/>
      <c r="AW606" s="3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2"/>
      <c r="AU607" s="2"/>
      <c r="AV607" s="2"/>
      <c r="AW607" s="3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2"/>
      <c r="AU608" s="2"/>
      <c r="AV608" s="2"/>
      <c r="AW608" s="3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2"/>
      <c r="AU609" s="2"/>
      <c r="AV609" s="2"/>
      <c r="AW609" s="3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2"/>
      <c r="AU610" s="2"/>
      <c r="AV610" s="2"/>
      <c r="AW610" s="3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2"/>
      <c r="AU611" s="2"/>
      <c r="AV611" s="2"/>
      <c r="AW611" s="3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2"/>
      <c r="AU612" s="2"/>
      <c r="AV612" s="2"/>
      <c r="AW612" s="3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2"/>
      <c r="AU613" s="2"/>
      <c r="AV613" s="2"/>
      <c r="AW613" s="3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2"/>
      <c r="AU614" s="2"/>
      <c r="AV614" s="2"/>
      <c r="AW614" s="3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2"/>
      <c r="AU615" s="2"/>
      <c r="AV615" s="2"/>
      <c r="AW615" s="3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2"/>
      <c r="AU616" s="2"/>
      <c r="AV616" s="2"/>
      <c r="AW616" s="3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2"/>
      <c r="AU617" s="2"/>
      <c r="AV617" s="2"/>
      <c r="AW617" s="3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2"/>
      <c r="AU618" s="2"/>
      <c r="AV618" s="2"/>
      <c r="AW618" s="3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2"/>
      <c r="AU619" s="2"/>
      <c r="AV619" s="2"/>
      <c r="AW619" s="3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2"/>
      <c r="AU620" s="2"/>
      <c r="AV620" s="2"/>
      <c r="AW620" s="3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2"/>
      <c r="AU621" s="2"/>
      <c r="AV621" s="2"/>
      <c r="AW621" s="3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2"/>
      <c r="AU622" s="2"/>
      <c r="AV622" s="2"/>
      <c r="AW622" s="3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2"/>
      <c r="AU623" s="2"/>
      <c r="AV623" s="2"/>
      <c r="AW623" s="3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2"/>
      <c r="AU624" s="2"/>
      <c r="AV624" s="2"/>
      <c r="AW624" s="3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2"/>
      <c r="AU625" s="2"/>
      <c r="AV625" s="2"/>
      <c r="AW625" s="3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2"/>
      <c r="AU626" s="2"/>
      <c r="AV626" s="2"/>
      <c r="AW626" s="3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2"/>
      <c r="AU627" s="2"/>
      <c r="AV627" s="2"/>
      <c r="AW627" s="3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2"/>
      <c r="AU628" s="2"/>
      <c r="AV628" s="2"/>
      <c r="AW628" s="3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2"/>
      <c r="AU629" s="2"/>
      <c r="AV629" s="2"/>
      <c r="AW629" s="3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2"/>
      <c r="AU630" s="2"/>
      <c r="AV630" s="2"/>
      <c r="AW630" s="3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2"/>
      <c r="AU631" s="2"/>
      <c r="AV631" s="2"/>
      <c r="AW631" s="3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2"/>
      <c r="AU632" s="2"/>
      <c r="AV632" s="2"/>
      <c r="AW632" s="3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2"/>
      <c r="AU633" s="2"/>
      <c r="AV633" s="2"/>
      <c r="AW633" s="3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2"/>
      <c r="AU634" s="2"/>
      <c r="AV634" s="2"/>
      <c r="AW634" s="3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2"/>
      <c r="AU635" s="2"/>
      <c r="AV635" s="2"/>
      <c r="AW635" s="3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2"/>
      <c r="AU636" s="2"/>
      <c r="AV636" s="2"/>
      <c r="AW636" s="3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2"/>
      <c r="AU637" s="2"/>
      <c r="AV637" s="2"/>
      <c r="AW637" s="3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2"/>
      <c r="AU638" s="2"/>
      <c r="AV638" s="2"/>
      <c r="AW638" s="3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2"/>
      <c r="AU639" s="2"/>
      <c r="AV639" s="2"/>
      <c r="AW639" s="3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2"/>
      <c r="AU640" s="2"/>
      <c r="AV640" s="2"/>
      <c r="AW640" s="3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2"/>
      <c r="AU641" s="2"/>
      <c r="AV641" s="2"/>
      <c r="AW641" s="3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2"/>
      <c r="AU642" s="2"/>
      <c r="AV642" s="2"/>
      <c r="AW642" s="3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2"/>
      <c r="AU643" s="2"/>
      <c r="AV643" s="2"/>
      <c r="AW643" s="3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2"/>
      <c r="AU644" s="2"/>
      <c r="AV644" s="2"/>
      <c r="AW644" s="3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2"/>
      <c r="AU645" s="2"/>
      <c r="AV645" s="2"/>
      <c r="AW645" s="3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2"/>
      <c r="AU646" s="2"/>
      <c r="AV646" s="2"/>
      <c r="AW646" s="3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2"/>
      <c r="AU647" s="2"/>
      <c r="AV647" s="2"/>
      <c r="AW647" s="3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2"/>
      <c r="AU648" s="2"/>
      <c r="AV648" s="2"/>
      <c r="AW648" s="3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2"/>
      <c r="AU649" s="2"/>
      <c r="AV649" s="2"/>
      <c r="AW649" s="3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2"/>
      <c r="AU650" s="2"/>
      <c r="AV650" s="2"/>
      <c r="AW650" s="3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2"/>
      <c r="AU651" s="2"/>
      <c r="AV651" s="2"/>
      <c r="AW651" s="3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2"/>
      <c r="AU652" s="2"/>
      <c r="AV652" s="2"/>
      <c r="AW652" s="3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2"/>
      <c r="AU653" s="2"/>
      <c r="AV653" s="2"/>
      <c r="AW653" s="3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2"/>
      <c r="AU654" s="2"/>
      <c r="AV654" s="2"/>
      <c r="AW654" s="3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2"/>
      <c r="AU655" s="2"/>
      <c r="AV655" s="2"/>
      <c r="AW655" s="3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2"/>
      <c r="AU656" s="2"/>
      <c r="AV656" s="2"/>
      <c r="AW656" s="3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2"/>
      <c r="AU657" s="2"/>
      <c r="AV657" s="2"/>
      <c r="AW657" s="3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2"/>
      <c r="AU658" s="2"/>
      <c r="AV658" s="2"/>
      <c r="AW658" s="3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2"/>
      <c r="AU659" s="2"/>
      <c r="AV659" s="2"/>
      <c r="AW659" s="3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2"/>
      <c r="AU660" s="2"/>
      <c r="AV660" s="2"/>
      <c r="AW660" s="3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2"/>
      <c r="AU661" s="2"/>
      <c r="AV661" s="2"/>
      <c r="AW661" s="3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2"/>
      <c r="AU662" s="2"/>
      <c r="AV662" s="2"/>
      <c r="AW662" s="3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2"/>
      <c r="AU663" s="2"/>
      <c r="AV663" s="2"/>
      <c r="AW663" s="3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2"/>
      <c r="AU664" s="2"/>
      <c r="AV664" s="2"/>
      <c r="AW664" s="3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2"/>
      <c r="AU665" s="2"/>
      <c r="AV665" s="2"/>
      <c r="AW665" s="3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2"/>
      <c r="AU666" s="2"/>
      <c r="AV666" s="2"/>
      <c r="AW666" s="3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2"/>
      <c r="AU667" s="2"/>
      <c r="AV667" s="2"/>
      <c r="AW667" s="3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2"/>
      <c r="AU668" s="2"/>
      <c r="AV668" s="2"/>
      <c r="AW668" s="3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2"/>
      <c r="AU669" s="2"/>
      <c r="AV669" s="2"/>
      <c r="AW669" s="3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2"/>
      <c r="AU670" s="2"/>
      <c r="AV670" s="2"/>
      <c r="AW670" s="3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2"/>
      <c r="AU671" s="2"/>
      <c r="AV671" s="2"/>
      <c r="AW671" s="3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2"/>
      <c r="AU672" s="2"/>
      <c r="AV672" s="2"/>
      <c r="AW672" s="3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2"/>
      <c r="AU673" s="2"/>
      <c r="AV673" s="2"/>
      <c r="AW673" s="3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2"/>
      <c r="AU674" s="2"/>
      <c r="AV674" s="2"/>
      <c r="AW674" s="3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2"/>
      <c r="AU675" s="2"/>
      <c r="AV675" s="2"/>
      <c r="AW675" s="3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2"/>
      <c r="AU676" s="2"/>
      <c r="AV676" s="2"/>
      <c r="AW676" s="3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2"/>
      <c r="AU677" s="2"/>
      <c r="AV677" s="2"/>
      <c r="AW677" s="3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2"/>
      <c r="AU678" s="2"/>
      <c r="AV678" s="2"/>
      <c r="AW678" s="3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2"/>
      <c r="AU679" s="2"/>
      <c r="AV679" s="2"/>
      <c r="AW679" s="3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2"/>
      <c r="AU680" s="2"/>
      <c r="AV680" s="2"/>
      <c r="AW680" s="3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2"/>
      <c r="AU681" s="2"/>
      <c r="AV681" s="2"/>
      <c r="AW681" s="3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2"/>
      <c r="AU682" s="2"/>
      <c r="AV682" s="2"/>
      <c r="AW682" s="3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2"/>
      <c r="AU683" s="2"/>
      <c r="AV683" s="2"/>
      <c r="AW683" s="3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2"/>
      <c r="AU684" s="2"/>
      <c r="AV684" s="2"/>
      <c r="AW684" s="3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2"/>
      <c r="AU685" s="2"/>
      <c r="AV685" s="2"/>
      <c r="AW685" s="3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2"/>
      <c r="AU686" s="2"/>
      <c r="AV686" s="2"/>
      <c r="AW686" s="3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2"/>
      <c r="AU687" s="2"/>
      <c r="AV687" s="2"/>
      <c r="AW687" s="3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2"/>
      <c r="AU688" s="2"/>
      <c r="AV688" s="2"/>
      <c r="AW688" s="3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2"/>
      <c r="AU689" s="2"/>
      <c r="AV689" s="2"/>
      <c r="AW689" s="3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2"/>
      <c r="AU690" s="2"/>
      <c r="AV690" s="2"/>
      <c r="AW690" s="3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2"/>
      <c r="AU691" s="2"/>
      <c r="AV691" s="2"/>
      <c r="AW691" s="3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2"/>
      <c r="AU692" s="2"/>
      <c r="AV692" s="2"/>
      <c r="AW692" s="3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2"/>
      <c r="AU693" s="2"/>
      <c r="AV693" s="2"/>
      <c r="AW693" s="3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2"/>
      <c r="AU694" s="2"/>
      <c r="AV694" s="2"/>
      <c r="AW694" s="3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2"/>
      <c r="AU695" s="2"/>
      <c r="AV695" s="2"/>
      <c r="AW695" s="3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2"/>
      <c r="AU696" s="2"/>
      <c r="AV696" s="2"/>
      <c r="AW696" s="3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2"/>
      <c r="AU697" s="2"/>
      <c r="AV697" s="2"/>
      <c r="AW697" s="3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2"/>
      <c r="AU698" s="2"/>
      <c r="AV698" s="2"/>
      <c r="AW698" s="3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2"/>
      <c r="AU699" s="2"/>
      <c r="AV699" s="2"/>
      <c r="AW699" s="3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2"/>
      <c r="AU700" s="2"/>
      <c r="AV700" s="2"/>
      <c r="AW700" s="3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2"/>
      <c r="AU701" s="2"/>
      <c r="AV701" s="2"/>
      <c r="AW701" s="3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2"/>
      <c r="AU702" s="2"/>
      <c r="AV702" s="2"/>
      <c r="AW702" s="3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2"/>
      <c r="AU703" s="2"/>
      <c r="AV703" s="2"/>
      <c r="AW703" s="3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2"/>
      <c r="AU704" s="2"/>
      <c r="AV704" s="2"/>
      <c r="AW704" s="3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2"/>
      <c r="AU705" s="2"/>
      <c r="AV705" s="2"/>
      <c r="AW705" s="3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2"/>
      <c r="AU706" s="2"/>
      <c r="AV706" s="2"/>
      <c r="AW706" s="3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2"/>
      <c r="AU707" s="2"/>
      <c r="AV707" s="2"/>
      <c r="AW707" s="3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2"/>
      <c r="AU708" s="2"/>
      <c r="AV708" s="2"/>
      <c r="AW708" s="3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2"/>
      <c r="AU709" s="2"/>
      <c r="AV709" s="2"/>
      <c r="AW709" s="3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2"/>
      <c r="AU710" s="2"/>
      <c r="AV710" s="2"/>
      <c r="AW710" s="3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2"/>
      <c r="AU711" s="2"/>
      <c r="AV711" s="2"/>
      <c r="AW711" s="3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2"/>
      <c r="AU712" s="2"/>
      <c r="AV712" s="2"/>
      <c r="AW712" s="3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2"/>
      <c r="AU713" s="2"/>
      <c r="AV713" s="2"/>
      <c r="AW713" s="3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2"/>
      <c r="AU714" s="2"/>
      <c r="AV714" s="2"/>
      <c r="AW714" s="3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2"/>
      <c r="AU715" s="2"/>
      <c r="AV715" s="2"/>
      <c r="AW715" s="3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2"/>
      <c r="AU716" s="2"/>
      <c r="AV716" s="2"/>
      <c r="AW716" s="3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2"/>
      <c r="AU717" s="2"/>
      <c r="AV717" s="2"/>
      <c r="AW717" s="3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2"/>
      <c r="AU718" s="2"/>
      <c r="AV718" s="2"/>
      <c r="AW718" s="3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2"/>
      <c r="AU719" s="2"/>
      <c r="AV719" s="2"/>
      <c r="AW719" s="3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2"/>
      <c r="AU720" s="2"/>
      <c r="AV720" s="2"/>
      <c r="AW720" s="3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2"/>
      <c r="AU721" s="2"/>
      <c r="AV721" s="2"/>
      <c r="AW721" s="3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2"/>
      <c r="AU722" s="2"/>
      <c r="AV722" s="2"/>
      <c r="AW722" s="3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2"/>
      <c r="AU723" s="2"/>
      <c r="AV723" s="2"/>
      <c r="AW723" s="3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2"/>
      <c r="AU724" s="2"/>
      <c r="AV724" s="2"/>
      <c r="AW724" s="3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2"/>
      <c r="AU725" s="2"/>
      <c r="AV725" s="2"/>
      <c r="AW725" s="3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2"/>
      <c r="AU726" s="2"/>
      <c r="AV726" s="2"/>
      <c r="AW726" s="3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2"/>
      <c r="AU727" s="2"/>
      <c r="AV727" s="2"/>
      <c r="AW727" s="3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2"/>
      <c r="AU728" s="2"/>
      <c r="AV728" s="2"/>
      <c r="AW728" s="3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2"/>
      <c r="AU729" s="2"/>
      <c r="AV729" s="2"/>
      <c r="AW729" s="3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2"/>
      <c r="AU730" s="2"/>
      <c r="AV730" s="2"/>
      <c r="AW730" s="3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2"/>
      <c r="AU731" s="2"/>
      <c r="AV731" s="2"/>
      <c r="AW731" s="3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2"/>
      <c r="AU732" s="2"/>
      <c r="AV732" s="2"/>
      <c r="AW732" s="3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2"/>
      <c r="AU733" s="2"/>
      <c r="AV733" s="2"/>
      <c r="AW733" s="3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2"/>
      <c r="AU734" s="2"/>
      <c r="AV734" s="2"/>
      <c r="AW734" s="3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2"/>
      <c r="AU735" s="2"/>
      <c r="AV735" s="2"/>
      <c r="AW735" s="3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2"/>
      <c r="AU736" s="2"/>
      <c r="AV736" s="2"/>
      <c r="AW736" s="3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2"/>
      <c r="AU737" s="2"/>
      <c r="AV737" s="2"/>
      <c r="AW737" s="3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2"/>
      <c r="AU738" s="2"/>
      <c r="AV738" s="2"/>
      <c r="AW738" s="3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2"/>
      <c r="AU739" s="2"/>
      <c r="AV739" s="2"/>
      <c r="AW739" s="3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2"/>
      <c r="AU740" s="2"/>
      <c r="AV740" s="2"/>
      <c r="AW740" s="3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2"/>
      <c r="AU741" s="2"/>
      <c r="AV741" s="2"/>
      <c r="AW741" s="3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2"/>
      <c r="AU742" s="2"/>
      <c r="AV742" s="2"/>
      <c r="AW742" s="3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2"/>
      <c r="AU743" s="2"/>
      <c r="AV743" s="2"/>
      <c r="AW743" s="3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2"/>
      <c r="AU744" s="2"/>
      <c r="AV744" s="2"/>
      <c r="AW744" s="3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2"/>
      <c r="AU745" s="2"/>
      <c r="AV745" s="2"/>
      <c r="AW745" s="3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2"/>
      <c r="AU746" s="2"/>
      <c r="AV746" s="2"/>
      <c r="AW746" s="3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2"/>
      <c r="AU747" s="2"/>
      <c r="AV747" s="2"/>
      <c r="AW747" s="3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2"/>
      <c r="AU748" s="2"/>
      <c r="AV748" s="2"/>
      <c r="AW748" s="3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2"/>
      <c r="AU749" s="2"/>
      <c r="AV749" s="2"/>
      <c r="AW749" s="3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2"/>
      <c r="AU750" s="2"/>
      <c r="AV750" s="2"/>
      <c r="AW750" s="3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2"/>
      <c r="AU751" s="2"/>
      <c r="AV751" s="2"/>
      <c r="AW751" s="3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2"/>
      <c r="AU752" s="2"/>
      <c r="AV752" s="2"/>
      <c r="AW752" s="3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2"/>
      <c r="AU753" s="2"/>
      <c r="AV753" s="2"/>
      <c r="AW753" s="3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2"/>
      <c r="AU754" s="2"/>
      <c r="AV754" s="2"/>
      <c r="AW754" s="3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2"/>
      <c r="AU755" s="2"/>
      <c r="AV755" s="2"/>
      <c r="AW755" s="3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2"/>
      <c r="AU756" s="2"/>
      <c r="AV756" s="2"/>
      <c r="AW756" s="3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2"/>
      <c r="AU757" s="2"/>
      <c r="AV757" s="2"/>
      <c r="AW757" s="3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2"/>
      <c r="AU758" s="2"/>
      <c r="AV758" s="2"/>
      <c r="AW758" s="3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2"/>
      <c r="AU759" s="2"/>
      <c r="AV759" s="2"/>
      <c r="AW759" s="3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2"/>
      <c r="AU760" s="2"/>
      <c r="AV760" s="2"/>
      <c r="AW760" s="3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2"/>
      <c r="AU761" s="2"/>
      <c r="AV761" s="2"/>
      <c r="AW761" s="3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2"/>
      <c r="AU762" s="2"/>
      <c r="AV762" s="2"/>
      <c r="AW762" s="3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2"/>
      <c r="AU763" s="2"/>
      <c r="AV763" s="2"/>
      <c r="AW763" s="3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2"/>
      <c r="AU764" s="2"/>
      <c r="AV764" s="2"/>
      <c r="AW764" s="3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2"/>
      <c r="AU765" s="2"/>
      <c r="AV765" s="2"/>
      <c r="AW765" s="3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2"/>
      <c r="AU766" s="2"/>
      <c r="AV766" s="2"/>
      <c r="AW766" s="3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2"/>
      <c r="AU767" s="2"/>
      <c r="AV767" s="2"/>
      <c r="AW767" s="3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2"/>
      <c r="AU768" s="2"/>
      <c r="AV768" s="2"/>
      <c r="AW768" s="3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2"/>
      <c r="AU769" s="2"/>
      <c r="AV769" s="2"/>
      <c r="AW769" s="3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2"/>
      <c r="AU770" s="2"/>
      <c r="AV770" s="2"/>
      <c r="AW770" s="3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2"/>
      <c r="AU771" s="2"/>
      <c r="AV771" s="2"/>
      <c r="AW771" s="3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2"/>
      <c r="AU772" s="2"/>
      <c r="AV772" s="2"/>
      <c r="AW772" s="3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2"/>
      <c r="AU773" s="2"/>
      <c r="AV773" s="2"/>
      <c r="AW773" s="3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2"/>
      <c r="AU774" s="2"/>
      <c r="AV774" s="2"/>
      <c r="AW774" s="3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2"/>
      <c r="AU775" s="2"/>
      <c r="AV775" s="2"/>
      <c r="AW775" s="3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2"/>
      <c r="AU776" s="2"/>
      <c r="AV776" s="2"/>
      <c r="AW776" s="3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2"/>
      <c r="AU777" s="2"/>
      <c r="AV777" s="2"/>
      <c r="AW777" s="3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2"/>
      <c r="AU778" s="2"/>
      <c r="AV778" s="2"/>
      <c r="AW778" s="3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2"/>
      <c r="AU779" s="2"/>
      <c r="AV779" s="2"/>
      <c r="AW779" s="3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2"/>
      <c r="AU780" s="2"/>
      <c r="AV780" s="2"/>
      <c r="AW780" s="3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2"/>
      <c r="AU781" s="2"/>
      <c r="AV781" s="2"/>
      <c r="AW781" s="3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2"/>
      <c r="AU782" s="2"/>
      <c r="AV782" s="2"/>
      <c r="AW782" s="3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2"/>
      <c r="AU783" s="2"/>
      <c r="AV783" s="2"/>
      <c r="AW783" s="3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2"/>
      <c r="AU784" s="2"/>
      <c r="AV784" s="2"/>
      <c r="AW784" s="3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2"/>
      <c r="AU785" s="2"/>
      <c r="AV785" s="2"/>
      <c r="AW785" s="3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2"/>
      <c r="AU786" s="2"/>
      <c r="AV786" s="2"/>
      <c r="AW786" s="3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2"/>
      <c r="AU787" s="2"/>
      <c r="AV787" s="2"/>
      <c r="AW787" s="3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2"/>
      <c r="AU788" s="2"/>
      <c r="AV788" s="2"/>
      <c r="AW788" s="3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2"/>
      <c r="AU789" s="2"/>
      <c r="AV789" s="2"/>
      <c r="AW789" s="3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2"/>
      <c r="AU790" s="2"/>
      <c r="AV790" s="2"/>
      <c r="AW790" s="3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2"/>
      <c r="AU791" s="2"/>
      <c r="AV791" s="2"/>
      <c r="AW791" s="3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2"/>
      <c r="AU792" s="2"/>
      <c r="AV792" s="2"/>
      <c r="AW792" s="3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2"/>
      <c r="AU793" s="2"/>
      <c r="AV793" s="2"/>
      <c r="AW793" s="3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2"/>
      <c r="AU794" s="2"/>
      <c r="AV794" s="2"/>
      <c r="AW794" s="3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2"/>
      <c r="AU795" s="2"/>
      <c r="AV795" s="2"/>
      <c r="AW795" s="3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2"/>
      <c r="AU796" s="2"/>
      <c r="AV796" s="2"/>
      <c r="AW796" s="3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2"/>
      <c r="AU797" s="2"/>
      <c r="AV797" s="2"/>
      <c r="AW797" s="3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2"/>
      <c r="AU798" s="2"/>
      <c r="AV798" s="2"/>
      <c r="AW798" s="3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2"/>
      <c r="AU799" s="2"/>
      <c r="AV799" s="2"/>
      <c r="AW799" s="3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2"/>
      <c r="AU800" s="2"/>
      <c r="AV800" s="2"/>
      <c r="AW800" s="3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2"/>
      <c r="AU801" s="2"/>
      <c r="AV801" s="2"/>
      <c r="AW801" s="3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2"/>
      <c r="AU802" s="2"/>
      <c r="AV802" s="2"/>
      <c r="AW802" s="3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2"/>
      <c r="AU803" s="2"/>
      <c r="AV803" s="2"/>
      <c r="AW803" s="3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2"/>
      <c r="AU804" s="2"/>
      <c r="AV804" s="2"/>
      <c r="AW804" s="3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2"/>
      <c r="AU805" s="2"/>
      <c r="AV805" s="2"/>
      <c r="AW805" s="3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2"/>
      <c r="AU806" s="2"/>
      <c r="AV806" s="2"/>
      <c r="AW806" s="3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2"/>
      <c r="AU807" s="2"/>
      <c r="AV807" s="2"/>
      <c r="AW807" s="3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2"/>
      <c r="AU808" s="2"/>
      <c r="AV808" s="2"/>
      <c r="AW808" s="3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2"/>
      <c r="AU809" s="2"/>
      <c r="AV809" s="2"/>
      <c r="AW809" s="3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2"/>
      <c r="AU810" s="2"/>
      <c r="AV810" s="2"/>
      <c r="AW810" s="3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2"/>
      <c r="AU811" s="2"/>
      <c r="AV811" s="2"/>
      <c r="AW811" s="3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2"/>
      <c r="AU812" s="2"/>
      <c r="AV812" s="2"/>
      <c r="AW812" s="3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2"/>
      <c r="AU813" s="2"/>
      <c r="AV813" s="2"/>
      <c r="AW813" s="3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2"/>
      <c r="AU814" s="2"/>
      <c r="AV814" s="2"/>
      <c r="AW814" s="3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2"/>
      <c r="AU815" s="2"/>
      <c r="AV815" s="2"/>
      <c r="AW815" s="3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2"/>
      <c r="AU816" s="2"/>
      <c r="AV816" s="2"/>
      <c r="AW816" s="3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2"/>
      <c r="AU817" s="2"/>
      <c r="AV817" s="2"/>
      <c r="AW817" s="3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2"/>
      <c r="AU818" s="2"/>
      <c r="AV818" s="2"/>
      <c r="AW818" s="3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2"/>
      <c r="AU819" s="2"/>
      <c r="AV819" s="2"/>
      <c r="AW819" s="3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2"/>
      <c r="AU820" s="2"/>
      <c r="AV820" s="2"/>
      <c r="AW820" s="3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2"/>
      <c r="AU821" s="2"/>
      <c r="AV821" s="2"/>
      <c r="AW821" s="3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2"/>
      <c r="AU822" s="2"/>
      <c r="AV822" s="2"/>
      <c r="AW822" s="3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2"/>
      <c r="AU823" s="2"/>
      <c r="AV823" s="2"/>
      <c r="AW823" s="3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2"/>
      <c r="AU824" s="2"/>
      <c r="AV824" s="2"/>
      <c r="AW824" s="3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2"/>
      <c r="AU825" s="2"/>
      <c r="AV825" s="2"/>
      <c r="AW825" s="3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2"/>
      <c r="AU826" s="2"/>
      <c r="AV826" s="2"/>
      <c r="AW826" s="3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2"/>
      <c r="AU827" s="2"/>
      <c r="AV827" s="2"/>
      <c r="AW827" s="3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2"/>
      <c r="AU828" s="2"/>
      <c r="AV828" s="2"/>
      <c r="AW828" s="3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2"/>
      <c r="AU829" s="2"/>
      <c r="AV829" s="2"/>
      <c r="AW829" s="3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2"/>
      <c r="AU830" s="2"/>
      <c r="AV830" s="2"/>
      <c r="AW830" s="3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2"/>
      <c r="AU831" s="2"/>
      <c r="AV831" s="2"/>
      <c r="AW831" s="3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2"/>
      <c r="AU832" s="2"/>
      <c r="AV832" s="2"/>
      <c r="AW832" s="3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2"/>
      <c r="AU833" s="2"/>
      <c r="AV833" s="2"/>
      <c r="AW833" s="3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2"/>
      <c r="AU834" s="2"/>
      <c r="AV834" s="2"/>
      <c r="AW834" s="3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2"/>
      <c r="AU835" s="2"/>
      <c r="AV835" s="2"/>
      <c r="AW835" s="3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2"/>
      <c r="AU836" s="2"/>
      <c r="AV836" s="2"/>
      <c r="AW836" s="3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2"/>
      <c r="AU837" s="2"/>
      <c r="AV837" s="2"/>
      <c r="AW837" s="3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2"/>
      <c r="AU838" s="2"/>
      <c r="AV838" s="2"/>
      <c r="AW838" s="3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2"/>
      <c r="AU839" s="2"/>
      <c r="AV839" s="2"/>
      <c r="AW839" s="3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2"/>
      <c r="AU840" s="2"/>
      <c r="AV840" s="2"/>
      <c r="AW840" s="3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2"/>
      <c r="AU841" s="2"/>
      <c r="AV841" s="2"/>
      <c r="AW841" s="3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2"/>
      <c r="AU842" s="2"/>
      <c r="AV842" s="2"/>
      <c r="AW842" s="3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2"/>
      <c r="AU843" s="2"/>
      <c r="AV843" s="2"/>
      <c r="AW843" s="3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2"/>
      <c r="AU844" s="2"/>
      <c r="AV844" s="2"/>
      <c r="AW844" s="3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2"/>
      <c r="AU845" s="2"/>
      <c r="AV845" s="2"/>
      <c r="AW845" s="3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2"/>
      <c r="AU846" s="2"/>
      <c r="AV846" s="2"/>
      <c r="AW846" s="3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2"/>
      <c r="AU847" s="2"/>
      <c r="AV847" s="2"/>
      <c r="AW847" s="3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2"/>
      <c r="AU848" s="2"/>
      <c r="AV848" s="2"/>
      <c r="AW848" s="3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2"/>
      <c r="AU849" s="2"/>
      <c r="AV849" s="2"/>
      <c r="AW849" s="3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2"/>
      <c r="AU850" s="2"/>
      <c r="AV850" s="2"/>
      <c r="AW850" s="3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2"/>
      <c r="AU851" s="2"/>
      <c r="AV851" s="2"/>
      <c r="AW851" s="3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2"/>
      <c r="AU852" s="2"/>
      <c r="AV852" s="2"/>
      <c r="AW852" s="3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2"/>
      <c r="AU853" s="2"/>
      <c r="AV853" s="2"/>
      <c r="AW853" s="3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2"/>
      <c r="AU854" s="2"/>
      <c r="AV854" s="2"/>
      <c r="AW854" s="3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2"/>
      <c r="AU855" s="2"/>
      <c r="AV855" s="2"/>
      <c r="AW855" s="3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2"/>
      <c r="AU856" s="2"/>
      <c r="AV856" s="2"/>
      <c r="AW856" s="3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2"/>
      <c r="AU857" s="2"/>
      <c r="AV857" s="2"/>
      <c r="AW857" s="3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2"/>
      <c r="AU858" s="2"/>
      <c r="AV858" s="2"/>
      <c r="AW858" s="3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2"/>
      <c r="AU859" s="2"/>
      <c r="AV859" s="2"/>
      <c r="AW859" s="3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2"/>
      <c r="AU860" s="2"/>
      <c r="AV860" s="2"/>
      <c r="AW860" s="3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2"/>
      <c r="AU861" s="2"/>
      <c r="AV861" s="2"/>
      <c r="AW861" s="3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2"/>
      <c r="AU862" s="2"/>
      <c r="AV862" s="2"/>
      <c r="AW862" s="3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2"/>
      <c r="AU863" s="2"/>
      <c r="AV863" s="2"/>
      <c r="AW863" s="3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2"/>
      <c r="AU864" s="2"/>
      <c r="AV864" s="2"/>
      <c r="AW864" s="3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2"/>
      <c r="AU865" s="2"/>
      <c r="AV865" s="2"/>
      <c r="AW865" s="3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2"/>
      <c r="AU866" s="2"/>
      <c r="AV866" s="2"/>
      <c r="AW866" s="3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2"/>
      <c r="AU867" s="2"/>
      <c r="AV867" s="2"/>
      <c r="AW867" s="3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2"/>
      <c r="AU868" s="2"/>
      <c r="AV868" s="2"/>
      <c r="AW868" s="3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2"/>
      <c r="AU869" s="2"/>
      <c r="AV869" s="2"/>
      <c r="AW869" s="3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2"/>
      <c r="AU870" s="2"/>
      <c r="AV870" s="2"/>
      <c r="AW870" s="3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2"/>
      <c r="AU871" s="2"/>
      <c r="AV871" s="2"/>
      <c r="AW871" s="3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2"/>
      <c r="AU872" s="2"/>
      <c r="AV872" s="2"/>
      <c r="AW872" s="3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2"/>
      <c r="AU873" s="2"/>
      <c r="AV873" s="2"/>
      <c r="AW873" s="3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2"/>
      <c r="AU874" s="2"/>
      <c r="AV874" s="2"/>
      <c r="AW874" s="3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2"/>
      <c r="AU875" s="2"/>
      <c r="AV875" s="2"/>
      <c r="AW875" s="3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2"/>
      <c r="AU876" s="2"/>
      <c r="AV876" s="2"/>
      <c r="AW876" s="3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2"/>
      <c r="AU877" s="2"/>
      <c r="AV877" s="2"/>
      <c r="AW877" s="3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2"/>
      <c r="AU878" s="2"/>
      <c r="AV878" s="2"/>
      <c r="AW878" s="3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2"/>
      <c r="AU879" s="2"/>
      <c r="AV879" s="2"/>
      <c r="AW879" s="3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2"/>
      <c r="AU880" s="2"/>
      <c r="AV880" s="2"/>
      <c r="AW880" s="3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2"/>
      <c r="AU881" s="2"/>
      <c r="AV881" s="2"/>
      <c r="AW881" s="3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2"/>
      <c r="AU882" s="2"/>
      <c r="AV882" s="2"/>
      <c r="AW882" s="3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2"/>
      <c r="AU883" s="2"/>
      <c r="AV883" s="2"/>
      <c r="AW883" s="3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2"/>
      <c r="AU884" s="2"/>
      <c r="AV884" s="2"/>
      <c r="AW884" s="3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2"/>
      <c r="AU885" s="2"/>
      <c r="AV885" s="2"/>
      <c r="AW885" s="3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2"/>
      <c r="AU886" s="2"/>
      <c r="AV886" s="2"/>
      <c r="AW886" s="3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2"/>
      <c r="AU887" s="2"/>
      <c r="AV887" s="2"/>
      <c r="AW887" s="3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2"/>
      <c r="AU888" s="2"/>
      <c r="AV888" s="2"/>
      <c r="AW888" s="3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2"/>
      <c r="AU889" s="2"/>
      <c r="AV889" s="2"/>
      <c r="AW889" s="3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2"/>
      <c r="AU890" s="2"/>
      <c r="AV890" s="2"/>
      <c r="AW890" s="3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2"/>
      <c r="AU891" s="2"/>
      <c r="AV891" s="2"/>
      <c r="AW891" s="3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2"/>
      <c r="AU892" s="2"/>
      <c r="AV892" s="2"/>
      <c r="AW892" s="3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2"/>
      <c r="AU893" s="2"/>
      <c r="AV893" s="2"/>
      <c r="AW893" s="3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2"/>
      <c r="AU894" s="2"/>
      <c r="AV894" s="2"/>
      <c r="AW894" s="3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2"/>
      <c r="AU895" s="2"/>
      <c r="AV895" s="2"/>
      <c r="AW895" s="3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2"/>
      <c r="AU896" s="2"/>
      <c r="AV896" s="2"/>
      <c r="AW896" s="3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2"/>
      <c r="AU897" s="2"/>
      <c r="AV897" s="2"/>
      <c r="AW897" s="3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2"/>
      <c r="AU898" s="2"/>
      <c r="AV898" s="2"/>
      <c r="AW898" s="3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2"/>
      <c r="AU899" s="2"/>
      <c r="AV899" s="2"/>
      <c r="AW899" s="3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2"/>
      <c r="AU900" s="2"/>
      <c r="AV900" s="2"/>
      <c r="AW900" s="3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2"/>
      <c r="AU901" s="2"/>
      <c r="AV901" s="2"/>
      <c r="AW901" s="3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2"/>
      <c r="AU902" s="2"/>
      <c r="AV902" s="2"/>
      <c r="AW902" s="3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2"/>
      <c r="AU903" s="2"/>
      <c r="AV903" s="2"/>
      <c r="AW903" s="3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2"/>
      <c r="AU904" s="2"/>
      <c r="AV904" s="2"/>
      <c r="AW904" s="3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2"/>
      <c r="AU905" s="2"/>
      <c r="AV905" s="2"/>
      <c r="AW905" s="3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2"/>
      <c r="AU906" s="2"/>
      <c r="AV906" s="2"/>
      <c r="AW906" s="3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2"/>
      <c r="AU907" s="2"/>
      <c r="AV907" s="2"/>
      <c r="AW907" s="3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2"/>
      <c r="AU908" s="2"/>
      <c r="AV908" s="2"/>
      <c r="AW908" s="3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2"/>
      <c r="AU909" s="2"/>
      <c r="AV909" s="2"/>
      <c r="AW909" s="3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2"/>
      <c r="AU910" s="2"/>
      <c r="AV910" s="2"/>
      <c r="AW910" s="3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2"/>
      <c r="AU911" s="2"/>
      <c r="AV911" s="2"/>
      <c r="AW911" s="3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2"/>
      <c r="AU912" s="2"/>
      <c r="AV912" s="2"/>
      <c r="AW912" s="3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2"/>
      <c r="AU913" s="2"/>
      <c r="AV913" s="2"/>
      <c r="AW913" s="3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2"/>
      <c r="AU914" s="2"/>
      <c r="AV914" s="2"/>
      <c r="AW914" s="3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2"/>
      <c r="AU915" s="2"/>
      <c r="AV915" s="2"/>
      <c r="AW915" s="3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2"/>
      <c r="AU916" s="2"/>
      <c r="AV916" s="2"/>
      <c r="AW916" s="3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2"/>
      <c r="AU917" s="2"/>
      <c r="AV917" s="2"/>
      <c r="AW917" s="3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2"/>
      <c r="AU918" s="2"/>
      <c r="AV918" s="2"/>
      <c r="AW918" s="3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2"/>
      <c r="AU919" s="2"/>
      <c r="AV919" s="2"/>
      <c r="AW919" s="3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2"/>
      <c r="AU920" s="2"/>
      <c r="AV920" s="2"/>
      <c r="AW920" s="3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2"/>
      <c r="AU921" s="2"/>
      <c r="AV921" s="2"/>
      <c r="AW921" s="3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2"/>
      <c r="AU922" s="2"/>
      <c r="AV922" s="2"/>
      <c r="AW922" s="3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2"/>
      <c r="AU923" s="2"/>
      <c r="AV923" s="2"/>
      <c r="AW923" s="3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2"/>
      <c r="AU924" s="2"/>
      <c r="AV924" s="2"/>
      <c r="AW924" s="3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2"/>
      <c r="AU925" s="2"/>
      <c r="AV925" s="2"/>
      <c r="AW925" s="3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2"/>
      <c r="AU926" s="2"/>
      <c r="AV926" s="2"/>
      <c r="AW926" s="3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2"/>
      <c r="AU927" s="2"/>
      <c r="AV927" s="2"/>
      <c r="AW927" s="3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2"/>
      <c r="AU928" s="2"/>
      <c r="AV928" s="2"/>
      <c r="AW928" s="3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2"/>
      <c r="AU929" s="2"/>
      <c r="AV929" s="2"/>
      <c r="AW929" s="3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2"/>
      <c r="AU930" s="2"/>
      <c r="AV930" s="2"/>
      <c r="AW930" s="3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2"/>
      <c r="AU931" s="2"/>
      <c r="AV931" s="2"/>
      <c r="AW931" s="3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2"/>
      <c r="AU932" s="2"/>
      <c r="AV932" s="2"/>
      <c r="AW932" s="3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2"/>
      <c r="AU933" s="2"/>
      <c r="AV933" s="2"/>
      <c r="AW933" s="3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2"/>
      <c r="AU934" s="2"/>
      <c r="AV934" s="2"/>
      <c r="AW934" s="3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2"/>
      <c r="AU935" s="2"/>
      <c r="AV935" s="2"/>
      <c r="AW935" s="3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2"/>
      <c r="AU936" s="2"/>
      <c r="AV936" s="2"/>
      <c r="AW936" s="3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2"/>
      <c r="AU937" s="2"/>
      <c r="AV937" s="2"/>
      <c r="AW937" s="3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2"/>
      <c r="AU938" s="2"/>
      <c r="AV938" s="2"/>
      <c r="AW938" s="3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2"/>
      <c r="AU939" s="2"/>
      <c r="AV939" s="2"/>
      <c r="AW939" s="3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2"/>
      <c r="AU940" s="2"/>
      <c r="AV940" s="2"/>
      <c r="AW940" s="3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2"/>
      <c r="AU941" s="2"/>
      <c r="AV941" s="2"/>
      <c r="AW941" s="3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2"/>
      <c r="AU942" s="2"/>
      <c r="AV942" s="2"/>
      <c r="AW942" s="3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2"/>
      <c r="AU943" s="2"/>
      <c r="AV943" s="2"/>
      <c r="AW943" s="3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2"/>
      <c r="AU944" s="2"/>
      <c r="AV944" s="2"/>
      <c r="AW944" s="3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2"/>
      <c r="AU945" s="2"/>
      <c r="AV945" s="2"/>
      <c r="AW945" s="3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2"/>
      <c r="AU946" s="2"/>
      <c r="AV946" s="2"/>
      <c r="AW946" s="3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2"/>
      <c r="AU947" s="2"/>
      <c r="AV947" s="2"/>
      <c r="AW947" s="3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2"/>
      <c r="AU948" s="2"/>
      <c r="AV948" s="2"/>
      <c r="AW948" s="3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2"/>
      <c r="AU949" s="2"/>
      <c r="AV949" s="2"/>
      <c r="AW949" s="3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2"/>
      <c r="AU950" s="2"/>
      <c r="AV950" s="2"/>
      <c r="AW950" s="3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2"/>
      <c r="AU951" s="2"/>
      <c r="AV951" s="2"/>
      <c r="AW951" s="3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2"/>
      <c r="AU952" s="2"/>
      <c r="AV952" s="2"/>
      <c r="AW952" s="3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2"/>
      <c r="AU953" s="2"/>
      <c r="AV953" s="2"/>
      <c r="AW953" s="3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2"/>
      <c r="AU954" s="2"/>
      <c r="AV954" s="2"/>
      <c r="AW954" s="3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2"/>
      <c r="AU955" s="2"/>
      <c r="AV955" s="2"/>
      <c r="AW955" s="3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2"/>
      <c r="AU956" s="2"/>
      <c r="AV956" s="2"/>
      <c r="AW956" s="3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2"/>
      <c r="AU957" s="2"/>
      <c r="AV957" s="2"/>
      <c r="AW957" s="3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2"/>
      <c r="AU958" s="2"/>
      <c r="AV958" s="2"/>
      <c r="AW958" s="3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2"/>
      <c r="AU959" s="2"/>
      <c r="AV959" s="2"/>
      <c r="AW959" s="3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2"/>
      <c r="AU960" s="2"/>
      <c r="AV960" s="2"/>
      <c r="AW960" s="3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2"/>
      <c r="AU961" s="2"/>
      <c r="AV961" s="2"/>
      <c r="AW961" s="3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2"/>
      <c r="AU962" s="2"/>
      <c r="AV962" s="2"/>
      <c r="AW962" s="3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2"/>
      <c r="AU963" s="2"/>
      <c r="AV963" s="2"/>
      <c r="AW963" s="3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2"/>
      <c r="AU964" s="2"/>
      <c r="AV964" s="2"/>
      <c r="AW964" s="3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2"/>
      <c r="AU965" s="2"/>
      <c r="AV965" s="2"/>
      <c r="AW965" s="3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2"/>
      <c r="AU966" s="2"/>
      <c r="AV966" s="2"/>
      <c r="AW966" s="3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2"/>
      <c r="AU967" s="2"/>
      <c r="AV967" s="2"/>
      <c r="AW967" s="3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2"/>
      <c r="AU968" s="2"/>
      <c r="AV968" s="2"/>
      <c r="AW968" s="3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2"/>
      <c r="AU969" s="2"/>
      <c r="AV969" s="2"/>
      <c r="AW969" s="3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2"/>
      <c r="AU970" s="2"/>
      <c r="AV970" s="2"/>
      <c r="AW970" s="3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2"/>
      <c r="AU971" s="2"/>
      <c r="AV971" s="2"/>
      <c r="AW971" s="3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2"/>
      <c r="AU972" s="2"/>
      <c r="AV972" s="2"/>
      <c r="AW972" s="3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2"/>
      <c r="AU973" s="2"/>
      <c r="AV973" s="2"/>
      <c r="AW973" s="3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2"/>
      <c r="AU974" s="2"/>
      <c r="AV974" s="2"/>
      <c r="AW974" s="3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2"/>
      <c r="AU975" s="2"/>
      <c r="AV975" s="2"/>
      <c r="AW975" s="3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2"/>
      <c r="AU976" s="2"/>
      <c r="AV976" s="2"/>
      <c r="AW976" s="3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2"/>
      <c r="AU977" s="2"/>
      <c r="AV977" s="2"/>
      <c r="AW977" s="3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2"/>
      <c r="AU978" s="2"/>
      <c r="AV978" s="2"/>
      <c r="AW978" s="3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2"/>
      <c r="AU979" s="2"/>
      <c r="AV979" s="2"/>
      <c r="AW979" s="3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2"/>
      <c r="AU980" s="2"/>
      <c r="AV980" s="2"/>
      <c r="AW980" s="3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2"/>
      <c r="AU981" s="2"/>
      <c r="AV981" s="2"/>
      <c r="AW981" s="3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2"/>
      <c r="AU982" s="2"/>
      <c r="AV982" s="2"/>
      <c r="AW982" s="3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2"/>
      <c r="AU983" s="2"/>
      <c r="AV983" s="2"/>
      <c r="AW983" s="3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2"/>
      <c r="AU984" s="2"/>
      <c r="AV984" s="2"/>
      <c r="AW984" s="3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2"/>
      <c r="AU985" s="2"/>
      <c r="AV985" s="2"/>
      <c r="AW985" s="3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2"/>
      <c r="AU986" s="2"/>
      <c r="AV986" s="2"/>
      <c r="AW986" s="3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2"/>
      <c r="AU987" s="2"/>
      <c r="AV987" s="2"/>
      <c r="AW987" s="3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2"/>
      <c r="AU988" s="2"/>
      <c r="AV988" s="2"/>
      <c r="AW988" s="3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2"/>
      <c r="AU989" s="2"/>
      <c r="AV989" s="2"/>
      <c r="AW989" s="3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2"/>
      <c r="AU990" s="2"/>
      <c r="AV990" s="2"/>
      <c r="AW990" s="3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2"/>
      <c r="AU991" s="2"/>
      <c r="AV991" s="2"/>
      <c r="AW991" s="3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2"/>
      <c r="AU992" s="2"/>
      <c r="AV992" s="2"/>
      <c r="AW992" s="3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2"/>
      <c r="AU993" s="2"/>
      <c r="AV993" s="2"/>
      <c r="AW993" s="3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2"/>
      <c r="AU994" s="2"/>
      <c r="AV994" s="2"/>
      <c r="AW994" s="3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2"/>
      <c r="AU995" s="2"/>
      <c r="AV995" s="2"/>
      <c r="AW995" s="3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2"/>
      <c r="AU996" s="2"/>
      <c r="AV996" s="2"/>
      <c r="AW996" s="3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2"/>
      <c r="AU997" s="2"/>
      <c r="AV997" s="2"/>
      <c r="AW997" s="3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2"/>
      <c r="AU998" s="2"/>
      <c r="AV998" s="2"/>
      <c r="AW998" s="3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2"/>
      <c r="AU999" s="2"/>
      <c r="AV999" s="2"/>
      <c r="AW999" s="3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2"/>
      <c r="AU1000" s="2"/>
      <c r="AV1000" s="2"/>
      <c r="AW1000" s="3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</row>
  </sheetData>
  <mergeCells count="39">
    <mergeCell ref="AH9:AL9"/>
    <mergeCell ref="AM9:AS9"/>
    <mergeCell ref="E9:AD9"/>
    <mergeCell ref="E10:AD10"/>
    <mergeCell ref="AD3:AS3"/>
    <mergeCell ref="U4:AS4"/>
    <mergeCell ref="Z5:AS5"/>
    <mergeCell ref="AN6:AS6"/>
    <mergeCell ref="B9:D9"/>
    <mergeCell ref="AE9:AG9"/>
    <mergeCell ref="B10:D11"/>
    <mergeCell ref="AH11:AS11"/>
    <mergeCell ref="B12:D12"/>
    <mergeCell ref="B13:D13"/>
    <mergeCell ref="B14:D15"/>
    <mergeCell ref="E13:AD13"/>
    <mergeCell ref="E14:AD14"/>
    <mergeCell ref="E15:O15"/>
    <mergeCell ref="P15:AD15"/>
    <mergeCell ref="T22:AD22"/>
    <mergeCell ref="T25:AA25"/>
    <mergeCell ref="T26:AA26"/>
    <mergeCell ref="E11:AD11"/>
    <mergeCell ref="AE11:AG11"/>
    <mergeCell ref="E12:N12"/>
    <mergeCell ref="O12:Q12"/>
    <mergeCell ref="R12:AD12"/>
    <mergeCell ref="AE12:AG12"/>
    <mergeCell ref="AH12:AS12"/>
    <mergeCell ref="AH15:AJ15"/>
    <mergeCell ref="AK15:AS15"/>
    <mergeCell ref="AE10:AG10"/>
    <mergeCell ref="AH10:AS10"/>
    <mergeCell ref="AE13:AG15"/>
    <mergeCell ref="AH13:AJ13"/>
    <mergeCell ref="AK13:AS13"/>
    <mergeCell ref="AH14:AJ14"/>
    <mergeCell ref="AK14:AS14"/>
    <mergeCell ref="AE47:AQ47"/>
  </mergeCells>
  <hyperlinks>
    <hyperlink r:id="rId1" ref="AK15"/>
  </hyperlinks>
  <printOptions horizontalCentered="1"/>
  <pageMargins bottom="0.5" footer="0.0" header="0.0" left="0.5" right="0.5" top="0.23"/>
  <pageSetup paperSize="9" scale="74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7.75"/>
    <col customWidth="1" min="3" max="3" width="9.75"/>
    <col customWidth="1" min="4" max="4" width="19.38"/>
    <col customWidth="1" min="5" max="5" width="17.5"/>
    <col customWidth="1" min="6" max="6" width="10.63"/>
    <col customWidth="1" min="7" max="7" width="9.38"/>
    <col customWidth="1" min="8" max="8" width="10.63"/>
    <col customWidth="1" min="9" max="9" width="12.5"/>
    <col customWidth="1" min="10" max="10" width="18.75"/>
    <col customWidth="1" min="11" max="11" width="17.25"/>
    <col customWidth="1" min="12" max="13" width="16.38"/>
    <col customWidth="1" min="14" max="14" width="18.13"/>
    <col customWidth="1" min="15" max="15" width="21.75"/>
    <col customWidth="1" min="16" max="16" width="9.0"/>
    <col customWidth="1" min="17" max="18" width="10.13"/>
    <col customWidth="1" min="19" max="22" width="12.63"/>
    <col customWidth="1" min="23" max="29" width="9.0"/>
    <col customWidth="1" min="30" max="30" width="13.5"/>
    <col customWidth="1" min="31" max="32" width="12.25"/>
    <col customWidth="1" min="33" max="34" width="9.75"/>
    <col customWidth="1" min="35" max="42" width="9.0"/>
  </cols>
  <sheetData>
    <row r="1" ht="33.0" customHeight="1">
      <c r="A1" s="13"/>
      <c r="B1" s="43"/>
      <c r="C1" s="13"/>
      <c r="D1" s="13"/>
      <c r="E1" s="13"/>
      <c r="F1" s="86" t="s">
        <v>44</v>
      </c>
      <c r="G1" s="13"/>
      <c r="H1" s="13"/>
      <c r="I1" s="13"/>
      <c r="J1" s="13"/>
      <c r="K1" s="13"/>
      <c r="L1" s="87"/>
      <c r="M1" s="87"/>
      <c r="N1" s="13"/>
      <c r="O1" s="13"/>
      <c r="P1" s="13"/>
      <c r="Q1" s="88"/>
      <c r="R1" s="88"/>
      <c r="S1" s="88"/>
      <c r="T1" s="88"/>
      <c r="U1" s="88"/>
      <c r="V1" s="88"/>
      <c r="W1" s="89"/>
      <c r="X1" s="89"/>
      <c r="Y1" s="89"/>
      <c r="Z1" s="89"/>
      <c r="AA1" s="89"/>
      <c r="AB1" s="89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ht="24.75" customHeight="1">
      <c r="A2" s="90"/>
      <c r="B2" s="91" t="s">
        <v>45</v>
      </c>
      <c r="C2" s="92"/>
      <c r="D2" s="92"/>
      <c r="E2" s="92"/>
      <c r="F2" s="92"/>
      <c r="G2" s="92"/>
      <c r="H2" s="92"/>
      <c r="I2" s="93">
        <f>QUOTATION!AH10</f>
        <v>46132</v>
      </c>
      <c r="J2" s="8"/>
      <c r="K2" s="92"/>
      <c r="L2" s="94"/>
      <c r="M2" s="94"/>
      <c r="N2" s="92"/>
      <c r="O2" s="92"/>
      <c r="P2" s="90"/>
      <c r="Q2" s="95"/>
      <c r="R2" s="95"/>
      <c r="S2" s="95"/>
      <c r="T2" s="95"/>
      <c r="U2" s="95"/>
      <c r="V2" s="95"/>
      <c r="W2" s="96"/>
      <c r="X2" s="96"/>
      <c r="Y2" s="96"/>
      <c r="Z2" s="96"/>
      <c r="AA2" s="96"/>
      <c r="AB2" s="96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</row>
    <row r="3" ht="24.75" customHeight="1">
      <c r="A3" s="90"/>
      <c r="B3" s="91" t="s">
        <v>46</v>
      </c>
      <c r="C3" s="92"/>
      <c r="D3" s="92"/>
      <c r="E3" s="92"/>
      <c r="F3" s="92"/>
      <c r="G3" s="92"/>
      <c r="H3" s="92"/>
      <c r="I3" s="97" t="str">
        <f>+QUOTATION!AM9</f>
        <v>MBF-202607-00</v>
      </c>
      <c r="J3" s="8"/>
      <c r="K3" s="91" t="s">
        <v>47</v>
      </c>
      <c r="L3" s="93">
        <f>QUOTATION!AH11</f>
        <v>46204</v>
      </c>
      <c r="M3" s="8"/>
      <c r="N3" s="92"/>
      <c r="O3" s="92"/>
      <c r="P3" s="90"/>
      <c r="Q3" s="95"/>
      <c r="R3" s="95"/>
      <c r="S3" s="95"/>
      <c r="T3" s="95"/>
      <c r="U3" s="95"/>
      <c r="V3" s="95"/>
      <c r="W3" s="96"/>
      <c r="X3" s="96"/>
      <c r="Y3" s="96"/>
      <c r="Z3" s="96"/>
      <c r="AA3" s="96"/>
      <c r="AB3" s="96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</row>
    <row r="4" ht="9.0" customHeight="1">
      <c r="A4" s="98"/>
      <c r="B4" s="99"/>
      <c r="C4" s="99"/>
      <c r="D4" s="99"/>
      <c r="E4" s="99"/>
      <c r="F4" s="99"/>
      <c r="G4" s="99"/>
      <c r="H4" s="99"/>
      <c r="I4" s="99"/>
      <c r="J4" s="99"/>
      <c r="K4" s="99"/>
      <c r="L4" s="100"/>
      <c r="M4" s="100"/>
      <c r="N4" s="99"/>
      <c r="O4" s="99"/>
      <c r="P4" s="98"/>
      <c r="Q4" s="101"/>
      <c r="R4" s="101"/>
      <c r="S4" s="101"/>
      <c r="T4" s="101"/>
      <c r="U4" s="101"/>
      <c r="V4" s="101"/>
      <c r="W4" s="102"/>
      <c r="X4" s="102"/>
      <c r="Y4" s="102"/>
      <c r="Z4" s="102"/>
      <c r="AA4" s="102"/>
      <c r="AB4" s="102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ht="24.75" customHeight="1">
      <c r="A5" s="103"/>
      <c r="B5" s="104" t="s">
        <v>48</v>
      </c>
      <c r="C5" s="105" t="s">
        <v>49</v>
      </c>
      <c r="D5" s="103"/>
      <c r="E5" s="103"/>
      <c r="F5" s="103"/>
      <c r="G5" s="103"/>
      <c r="H5" s="103"/>
      <c r="I5" s="103"/>
      <c r="J5" s="103"/>
      <c r="K5" s="103"/>
      <c r="L5" s="106"/>
      <c r="M5" s="106"/>
      <c r="N5" s="103"/>
      <c r="O5" s="103"/>
      <c r="P5" s="103"/>
      <c r="Q5" s="95"/>
      <c r="R5" s="95"/>
      <c r="S5" s="95"/>
      <c r="T5" s="95"/>
      <c r="U5" s="95"/>
      <c r="V5" s="95"/>
      <c r="W5" s="96"/>
      <c r="X5" s="96"/>
      <c r="Y5" s="96"/>
      <c r="Z5" s="96"/>
      <c r="AA5" s="96"/>
      <c r="AB5" s="96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</row>
    <row r="6" ht="15.75" customHeight="1">
      <c r="A6" s="98"/>
      <c r="B6" s="107"/>
      <c r="C6" s="98"/>
      <c r="D6" s="98"/>
      <c r="E6" s="98"/>
      <c r="F6" s="98"/>
      <c r="G6" s="98"/>
      <c r="H6" s="98"/>
      <c r="I6" s="98"/>
      <c r="J6" s="98"/>
      <c r="K6" s="98"/>
      <c r="L6" s="108"/>
      <c r="M6" s="108"/>
      <c r="N6" s="109"/>
      <c r="O6" s="109"/>
      <c r="P6" s="98"/>
      <c r="Q6" s="101"/>
      <c r="R6" s="101"/>
      <c r="S6" s="101"/>
      <c r="T6" s="101"/>
      <c r="U6" s="101"/>
      <c r="V6" s="101"/>
      <c r="W6" s="102"/>
      <c r="X6" s="102"/>
      <c r="Y6" s="102"/>
      <c r="Z6" s="102"/>
      <c r="AA6" s="102"/>
      <c r="AB6" s="102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</row>
    <row r="7" ht="20.25" customHeight="1">
      <c r="A7" s="98"/>
      <c r="B7" s="98"/>
      <c r="C7" s="110" t="s">
        <v>50</v>
      </c>
      <c r="D7" s="111"/>
      <c r="E7" s="112" t="s">
        <v>51</v>
      </c>
      <c r="F7" s="113" t="s">
        <v>52</v>
      </c>
      <c r="G7" s="114"/>
      <c r="H7" s="114"/>
      <c r="I7" s="111"/>
      <c r="J7" s="115" t="s">
        <v>53</v>
      </c>
      <c r="K7" s="115" t="s">
        <v>54</v>
      </c>
      <c r="L7" s="115" t="s">
        <v>55</v>
      </c>
      <c r="M7" s="115" t="s">
        <v>56</v>
      </c>
      <c r="N7" s="115" t="s">
        <v>57</v>
      </c>
      <c r="O7" s="115" t="s">
        <v>58</v>
      </c>
      <c r="P7" s="98"/>
      <c r="Q7" s="101"/>
      <c r="R7" s="101"/>
      <c r="S7" s="101"/>
      <c r="T7" s="101"/>
      <c r="U7" s="101"/>
      <c r="V7" s="101"/>
      <c r="W7" s="102"/>
      <c r="X7" s="102"/>
      <c r="Y7" s="102"/>
      <c r="Z7" s="102"/>
      <c r="AA7" s="102"/>
      <c r="AB7" s="102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</row>
    <row r="8" ht="20.25" customHeight="1">
      <c r="A8" s="98"/>
      <c r="B8" s="98"/>
      <c r="C8" s="116"/>
      <c r="D8" s="117"/>
      <c r="E8" s="118"/>
      <c r="F8" s="116"/>
      <c r="G8" s="119"/>
      <c r="H8" s="119"/>
      <c r="I8" s="117"/>
      <c r="J8" s="115" t="s">
        <v>59</v>
      </c>
      <c r="K8" s="115" t="s">
        <v>59</v>
      </c>
      <c r="L8" s="115" t="s">
        <v>60</v>
      </c>
      <c r="M8" s="115" t="s">
        <v>60</v>
      </c>
      <c r="N8" s="115" t="s">
        <v>60</v>
      </c>
      <c r="O8" s="115"/>
      <c r="P8" s="98"/>
      <c r="Q8" s="101"/>
      <c r="R8" s="101"/>
      <c r="S8" s="101"/>
      <c r="T8" s="101"/>
      <c r="U8" s="101"/>
      <c r="V8" s="101"/>
      <c r="W8" s="102"/>
      <c r="X8" s="102"/>
      <c r="Y8" s="102"/>
      <c r="Z8" s="102"/>
      <c r="AA8" s="102"/>
      <c r="AB8" s="102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</row>
    <row r="9" ht="20.25" customHeight="1">
      <c r="A9" s="98"/>
      <c r="B9" s="98"/>
      <c r="C9" s="120" t="s">
        <v>61</v>
      </c>
      <c r="D9" s="111"/>
      <c r="E9" s="121" t="s">
        <v>62</v>
      </c>
      <c r="F9" s="122" t="s">
        <v>63</v>
      </c>
      <c r="G9" s="123"/>
      <c r="H9" s="123"/>
      <c r="I9" s="124"/>
      <c r="J9" s="125">
        <v>250000.0</v>
      </c>
      <c r="K9" s="125">
        <v>250000.0</v>
      </c>
      <c r="L9" s="125">
        <v>250000.0</v>
      </c>
      <c r="M9" s="125">
        <v>250000.0</v>
      </c>
      <c r="N9" s="125">
        <v>350000.0</v>
      </c>
      <c r="O9" s="126"/>
      <c r="P9" s="98"/>
      <c r="Q9" s="127"/>
      <c r="R9" s="127"/>
      <c r="S9" s="127"/>
      <c r="T9" s="127"/>
      <c r="U9" s="127"/>
      <c r="V9" s="101"/>
      <c r="W9" s="102"/>
      <c r="X9" s="102"/>
      <c r="Y9" s="102"/>
      <c r="Z9" s="102"/>
      <c r="AA9" s="102"/>
      <c r="AB9" s="102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</row>
    <row r="10" ht="20.25" customHeight="1">
      <c r="A10" s="98"/>
      <c r="B10" s="98"/>
      <c r="C10" s="128"/>
      <c r="D10" s="129"/>
      <c r="E10" s="130"/>
      <c r="F10" s="122" t="s">
        <v>64</v>
      </c>
      <c r="G10" s="123"/>
      <c r="H10" s="123"/>
      <c r="I10" s="124"/>
      <c r="J10" s="125">
        <v>200000.0</v>
      </c>
      <c r="K10" s="125">
        <v>200000.0</v>
      </c>
      <c r="L10" s="125">
        <v>200000.0</v>
      </c>
      <c r="M10" s="125">
        <v>200000.0</v>
      </c>
      <c r="N10" s="125">
        <v>0.0</v>
      </c>
      <c r="O10" s="126"/>
      <c r="P10" s="98"/>
      <c r="Q10" s="127"/>
      <c r="R10" s="127"/>
      <c r="S10" s="127"/>
      <c r="T10" s="127"/>
      <c r="U10" s="127"/>
      <c r="V10" s="101"/>
      <c r="W10" s="102"/>
      <c r="X10" s="102"/>
      <c r="Y10" s="102"/>
      <c r="Z10" s="102"/>
      <c r="AA10" s="102"/>
      <c r="AB10" s="102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</row>
    <row r="11" ht="20.25" customHeight="1">
      <c r="A11" s="98"/>
      <c r="B11" s="98"/>
      <c r="C11" s="116"/>
      <c r="D11" s="117"/>
      <c r="E11" s="118"/>
      <c r="F11" s="131" t="s">
        <v>65</v>
      </c>
      <c r="G11" s="132"/>
      <c r="H11" s="132"/>
      <c r="I11" s="133"/>
      <c r="J11" s="134">
        <f t="shared" ref="J11:N11" si="1">J9+J10</f>
        <v>450000</v>
      </c>
      <c r="K11" s="134">
        <f t="shared" si="1"/>
        <v>450000</v>
      </c>
      <c r="L11" s="134">
        <f t="shared" si="1"/>
        <v>450000</v>
      </c>
      <c r="M11" s="134">
        <f t="shared" si="1"/>
        <v>450000</v>
      </c>
      <c r="N11" s="134">
        <f t="shared" si="1"/>
        <v>350000</v>
      </c>
      <c r="O11" s="126"/>
      <c r="P11" s="98"/>
      <c r="Q11" s="127"/>
      <c r="R11" s="127"/>
      <c r="S11" s="127"/>
      <c r="T11" s="127"/>
      <c r="U11" s="127"/>
      <c r="V11" s="101"/>
      <c r="W11" s="102"/>
      <c r="X11" s="102"/>
      <c r="Y11" s="102"/>
      <c r="Z11" s="102"/>
      <c r="AA11" s="102"/>
      <c r="AB11" s="102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</row>
    <row r="12" ht="20.25" customHeight="1">
      <c r="A12" s="98"/>
      <c r="B12" s="98"/>
      <c r="C12" s="135" t="s">
        <v>66</v>
      </c>
      <c r="D12" s="136"/>
      <c r="E12" s="136"/>
      <c r="F12" s="136"/>
      <c r="G12" s="136"/>
      <c r="H12" s="136"/>
      <c r="I12" s="137"/>
      <c r="J12" s="125">
        <v>200000.0</v>
      </c>
      <c r="K12" s="125">
        <v>200000.0</v>
      </c>
      <c r="L12" s="125">
        <v>200000.0</v>
      </c>
      <c r="M12" s="125">
        <v>200000.0</v>
      </c>
      <c r="N12" s="125">
        <v>200000.0</v>
      </c>
      <c r="O12" s="126"/>
      <c r="P12" s="98"/>
      <c r="Q12" s="101"/>
      <c r="R12" s="101"/>
      <c r="S12" s="101"/>
      <c r="T12" s="101"/>
      <c r="U12" s="101"/>
      <c r="V12" s="101"/>
      <c r="W12" s="102"/>
      <c r="X12" s="102"/>
      <c r="Y12" s="102"/>
      <c r="Z12" s="102"/>
      <c r="AA12" s="102"/>
      <c r="AB12" s="102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</row>
    <row r="13" ht="40.5" customHeight="1">
      <c r="A13" s="98"/>
      <c r="B13" s="98"/>
      <c r="C13" s="138" t="s">
        <v>67</v>
      </c>
      <c r="D13" s="136"/>
      <c r="E13" s="136"/>
      <c r="F13" s="136"/>
      <c r="G13" s="136"/>
      <c r="H13" s="136"/>
      <c r="I13" s="137"/>
      <c r="J13" s="125">
        <v>250000.0</v>
      </c>
      <c r="K13" s="125">
        <v>250000.0</v>
      </c>
      <c r="L13" s="125" t="s">
        <v>68</v>
      </c>
      <c r="M13" s="125" t="s">
        <v>68</v>
      </c>
      <c r="N13" s="125" t="s">
        <v>68</v>
      </c>
      <c r="O13" s="126"/>
      <c r="P13" s="98"/>
      <c r="Q13" s="101"/>
      <c r="R13" s="101"/>
      <c r="S13" s="101"/>
      <c r="T13" s="101"/>
      <c r="U13" s="101"/>
      <c r="V13" s="101"/>
      <c r="W13" s="102"/>
      <c r="X13" s="102"/>
      <c r="Y13" s="102"/>
      <c r="Z13" s="102"/>
      <c r="AA13" s="102"/>
      <c r="AB13" s="102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</row>
    <row r="14" ht="20.25" customHeight="1">
      <c r="A14" s="98"/>
      <c r="B14" s="98"/>
      <c r="C14" s="135" t="s">
        <v>69</v>
      </c>
      <c r="D14" s="136"/>
      <c r="E14" s="136"/>
      <c r="F14" s="136"/>
      <c r="G14" s="136"/>
      <c r="H14" s="136"/>
      <c r="I14" s="137"/>
      <c r="J14" s="125">
        <v>250000.0</v>
      </c>
      <c r="K14" s="125">
        <v>250000.0</v>
      </c>
      <c r="L14" s="125" t="s">
        <v>68</v>
      </c>
      <c r="M14" s="125" t="s">
        <v>68</v>
      </c>
      <c r="N14" s="125" t="s">
        <v>68</v>
      </c>
      <c r="O14" s="126"/>
      <c r="P14" s="98"/>
      <c r="Q14" s="101"/>
      <c r="R14" s="101"/>
      <c r="S14" s="101"/>
      <c r="T14" s="101"/>
      <c r="U14" s="101"/>
      <c r="V14" s="101"/>
      <c r="W14" s="102"/>
      <c r="X14" s="102"/>
      <c r="Y14" s="102"/>
      <c r="Z14" s="102"/>
      <c r="AA14" s="102"/>
      <c r="AB14" s="102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</row>
    <row r="15" ht="22.5" customHeight="1">
      <c r="A15" s="139"/>
      <c r="B15" s="139"/>
      <c r="C15" s="140"/>
      <c r="D15" s="140"/>
      <c r="E15" s="141"/>
      <c r="F15" s="141"/>
      <c r="G15" s="141"/>
      <c r="H15" s="142"/>
      <c r="I15" s="142"/>
      <c r="J15" s="142"/>
      <c r="K15" s="142"/>
      <c r="L15" s="143"/>
      <c r="M15" s="143"/>
      <c r="N15" s="143"/>
      <c r="O15" s="143"/>
      <c r="P15" s="139"/>
      <c r="Q15" s="127"/>
      <c r="R15" s="127"/>
      <c r="S15" s="127"/>
      <c r="T15" s="127"/>
      <c r="U15" s="127"/>
      <c r="V15" s="127"/>
      <c r="W15" s="144"/>
      <c r="X15" s="144"/>
      <c r="Y15" s="144"/>
      <c r="Z15" s="144"/>
      <c r="AA15" s="144"/>
      <c r="AB15" s="144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</row>
    <row r="16" ht="24.75" customHeight="1">
      <c r="A16" s="145"/>
      <c r="B16" s="146" t="s">
        <v>70</v>
      </c>
      <c r="C16" s="105" t="s">
        <v>71</v>
      </c>
      <c r="D16" s="145"/>
      <c r="E16" s="145"/>
      <c r="F16" s="145"/>
      <c r="G16" s="145"/>
      <c r="H16" s="145"/>
      <c r="I16" s="145"/>
      <c r="J16" s="145"/>
      <c r="K16" s="145"/>
      <c r="L16" s="147"/>
      <c r="M16" s="147"/>
      <c r="N16" s="145"/>
      <c r="O16" s="145"/>
      <c r="P16" s="145"/>
      <c r="Q16" s="148"/>
      <c r="R16" s="148"/>
      <c r="S16" s="148"/>
      <c r="T16" s="148"/>
      <c r="U16" s="148"/>
      <c r="V16" s="148"/>
      <c r="W16" s="149"/>
      <c r="X16" s="149"/>
      <c r="Y16" s="149"/>
      <c r="Z16" s="149"/>
      <c r="AA16" s="149"/>
      <c r="AB16" s="149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</row>
    <row r="17" ht="24.75" customHeight="1">
      <c r="A17" s="77"/>
      <c r="B17" s="146" t="s">
        <v>72</v>
      </c>
      <c r="C17" s="105" t="s">
        <v>73</v>
      </c>
      <c r="D17" s="77"/>
      <c r="E17" s="77"/>
      <c r="F17" s="77"/>
      <c r="G17" s="77"/>
      <c r="H17" s="77"/>
      <c r="I17" s="77"/>
      <c r="J17" s="77"/>
      <c r="K17" s="77"/>
      <c r="L17" s="150"/>
      <c r="M17" s="150"/>
      <c r="N17" s="77"/>
      <c r="O17" s="77"/>
      <c r="P17" s="81"/>
      <c r="Q17" s="127"/>
      <c r="R17" s="127"/>
      <c r="S17" s="127"/>
      <c r="T17" s="127"/>
      <c r="U17" s="127"/>
      <c r="V17" s="127"/>
      <c r="W17" s="144"/>
      <c r="X17" s="144"/>
      <c r="Y17" s="144"/>
      <c r="Z17" s="144"/>
      <c r="AA17" s="144"/>
      <c r="AB17" s="144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</row>
    <row r="18" ht="24.75" customHeight="1">
      <c r="A18" s="91"/>
      <c r="B18" s="146" t="s">
        <v>74</v>
      </c>
      <c r="C18" s="105" t="s">
        <v>75</v>
      </c>
      <c r="D18" s="91"/>
      <c r="E18" s="91"/>
      <c r="F18" s="91"/>
      <c r="G18" s="91"/>
      <c r="H18" s="91"/>
      <c r="I18" s="91"/>
      <c r="J18" s="91"/>
      <c r="K18" s="91"/>
      <c r="L18" s="147"/>
      <c r="M18" s="147"/>
      <c r="N18" s="91"/>
      <c r="O18" s="91"/>
      <c r="P18" s="91"/>
      <c r="Q18" s="148"/>
      <c r="R18" s="148"/>
      <c r="S18" s="148"/>
      <c r="T18" s="148"/>
      <c r="U18" s="148"/>
      <c r="V18" s="148"/>
      <c r="W18" s="149"/>
      <c r="X18" s="149"/>
      <c r="Y18" s="149"/>
      <c r="Z18" s="149"/>
      <c r="AA18" s="149"/>
      <c r="AB18" s="149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</row>
    <row r="19" ht="8.25" customHeight="1">
      <c r="A19" s="91"/>
      <c r="B19" s="105"/>
      <c r="C19" s="105"/>
      <c r="D19" s="91"/>
      <c r="E19" s="91"/>
      <c r="F19" s="91"/>
      <c r="G19" s="91"/>
      <c r="H19" s="91"/>
      <c r="I19" s="91"/>
      <c r="J19" s="91"/>
      <c r="K19" s="91"/>
      <c r="L19" s="147"/>
      <c r="M19" s="147"/>
      <c r="N19" s="91"/>
      <c r="O19" s="91"/>
      <c r="P19" s="91"/>
      <c r="Q19" s="148"/>
      <c r="R19" s="148"/>
      <c r="S19" s="148"/>
      <c r="T19" s="148"/>
      <c r="U19" s="148"/>
      <c r="V19" s="148"/>
      <c r="W19" s="149"/>
      <c r="X19" s="149"/>
      <c r="Y19" s="149"/>
      <c r="Z19" s="149"/>
      <c r="AA19" s="149"/>
      <c r="AB19" s="149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</row>
    <row r="20" ht="24.0" customHeight="1">
      <c r="A20" s="77"/>
      <c r="B20" s="77"/>
      <c r="C20" s="151" t="s">
        <v>76</v>
      </c>
      <c r="D20" s="152" t="s">
        <v>77</v>
      </c>
      <c r="E20" s="136"/>
      <c r="F20" s="136"/>
      <c r="G20" s="136"/>
      <c r="H20" s="137"/>
      <c r="I20" s="153" t="s">
        <v>78</v>
      </c>
      <c r="J20" s="154" t="s">
        <v>79</v>
      </c>
      <c r="K20" s="137"/>
      <c r="L20" s="155" t="s">
        <v>80</v>
      </c>
      <c r="M20" s="137"/>
      <c r="N20" s="152" t="s">
        <v>65</v>
      </c>
      <c r="O20" s="137"/>
      <c r="P20" s="77"/>
      <c r="Q20" s="156"/>
      <c r="R20" s="156"/>
      <c r="S20" s="156"/>
      <c r="T20" s="156"/>
      <c r="U20" s="156"/>
      <c r="V20" s="156"/>
      <c r="W20" s="157"/>
      <c r="X20" s="157"/>
      <c r="Y20" s="157"/>
      <c r="Z20" s="157"/>
      <c r="AA20" s="157"/>
      <c r="AB20" s="15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</row>
    <row r="21" ht="24.0" customHeight="1">
      <c r="A21" s="77"/>
      <c r="B21" s="77"/>
      <c r="C21" s="118"/>
      <c r="D21" s="158" t="s">
        <v>81</v>
      </c>
      <c r="E21" s="158" t="s">
        <v>82</v>
      </c>
      <c r="F21" s="158" t="s">
        <v>82</v>
      </c>
      <c r="G21" s="158" t="s">
        <v>82</v>
      </c>
      <c r="H21" s="158" t="s">
        <v>82</v>
      </c>
      <c r="I21" s="118"/>
      <c r="J21" s="158" t="s">
        <v>53</v>
      </c>
      <c r="K21" s="158" t="s">
        <v>54</v>
      </c>
      <c r="L21" s="159" t="s">
        <v>53</v>
      </c>
      <c r="M21" s="159" t="s">
        <v>54</v>
      </c>
      <c r="N21" s="158" t="s">
        <v>53</v>
      </c>
      <c r="O21" s="158" t="s">
        <v>54</v>
      </c>
      <c r="P21" s="77"/>
      <c r="Q21" s="156"/>
      <c r="R21" s="156"/>
      <c r="S21" s="156"/>
      <c r="T21" s="156"/>
      <c r="U21" s="156"/>
      <c r="V21" s="156"/>
      <c r="W21" s="157"/>
      <c r="X21" s="157"/>
      <c r="Y21" s="157"/>
      <c r="Z21" s="157"/>
      <c r="AA21" s="157"/>
      <c r="AB21" s="15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</row>
    <row r="22" ht="28.5" customHeight="1">
      <c r="A22" s="77"/>
      <c r="B22" s="160"/>
      <c r="C22" s="160"/>
      <c r="D22" s="126" t="s">
        <v>83</v>
      </c>
      <c r="E22" s="126" t="s">
        <v>84</v>
      </c>
      <c r="F22" s="126"/>
      <c r="G22" s="126"/>
      <c r="H22" s="126" t="s">
        <v>83</v>
      </c>
      <c r="I22" s="126">
        <v>287.0</v>
      </c>
      <c r="J22" s="161">
        <v>3320000.0</v>
      </c>
      <c r="K22" s="161">
        <v>3320000.0</v>
      </c>
      <c r="L22" s="162">
        <v>2644533.0</v>
      </c>
      <c r="M22" s="162">
        <v>2644533.0</v>
      </c>
      <c r="N22" s="163">
        <f t="shared" ref="N22:O22" si="2">J22+L22</f>
        <v>5964533</v>
      </c>
      <c r="O22" s="163">
        <f t="shared" si="2"/>
        <v>5964533</v>
      </c>
      <c r="P22" s="77"/>
      <c r="Q22" s="156">
        <v>3320000.0</v>
      </c>
      <c r="R22" s="156">
        <v>3320000.0</v>
      </c>
      <c r="S22" s="156">
        <v>2644532.8000000003</v>
      </c>
      <c r="T22" s="156">
        <v>2644532.8000000003</v>
      </c>
      <c r="U22" s="156">
        <v>5964532.800000001</v>
      </c>
      <c r="V22" s="156">
        <v>5964532.800000001</v>
      </c>
      <c r="W22" s="164">
        <f t="shared" ref="W22:AB22" si="3">+J22-Q22</f>
        <v>0</v>
      </c>
      <c r="X22" s="164">
        <f t="shared" si="3"/>
        <v>0</v>
      </c>
      <c r="Y22" s="164">
        <f t="shared" si="3"/>
        <v>0.1999999997</v>
      </c>
      <c r="Z22" s="164">
        <f t="shared" si="3"/>
        <v>0.1999999997</v>
      </c>
      <c r="AA22" s="164">
        <f t="shared" si="3"/>
        <v>0.1999999993</v>
      </c>
      <c r="AB22" s="164">
        <f t="shared" si="3"/>
        <v>0.1999999993</v>
      </c>
      <c r="AC22" s="150"/>
      <c r="AD22" s="150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</row>
    <row r="23" ht="28.5" customHeight="1">
      <c r="A23" s="77"/>
      <c r="B23" s="160"/>
      <c r="C23" s="160"/>
      <c r="D23" s="126" t="s">
        <v>83</v>
      </c>
      <c r="E23" s="126" t="s">
        <v>85</v>
      </c>
      <c r="F23" s="126"/>
      <c r="G23" s="126"/>
      <c r="H23" s="126" t="s">
        <v>83</v>
      </c>
      <c r="I23" s="126">
        <v>266.0</v>
      </c>
      <c r="J23" s="161">
        <v>3000000.0</v>
      </c>
      <c r="K23" s="161">
        <v>3000000.0</v>
      </c>
      <c r="L23" s="162">
        <v>2451030.0</v>
      </c>
      <c r="M23" s="162">
        <v>2451030.0</v>
      </c>
      <c r="N23" s="163">
        <f t="shared" ref="N23:O23" si="4">J23+L23</f>
        <v>5451030</v>
      </c>
      <c r="O23" s="163">
        <f t="shared" si="4"/>
        <v>5451030</v>
      </c>
      <c r="P23" s="77"/>
      <c r="Q23" s="156">
        <v>3000000.0</v>
      </c>
      <c r="R23" s="156">
        <v>3000000.0</v>
      </c>
      <c r="S23" s="156">
        <v>2451030.4</v>
      </c>
      <c r="T23" s="156">
        <v>2451030.4</v>
      </c>
      <c r="U23" s="156">
        <v>5451030.4</v>
      </c>
      <c r="V23" s="156">
        <v>5451030.4</v>
      </c>
      <c r="W23" s="164">
        <f t="shared" ref="W23:AB23" si="5">+J23-Q23</f>
        <v>0</v>
      </c>
      <c r="X23" s="164">
        <f t="shared" si="5"/>
        <v>0</v>
      </c>
      <c r="Y23" s="164">
        <f t="shared" si="5"/>
        <v>-0.3999999999</v>
      </c>
      <c r="Z23" s="164">
        <f t="shared" si="5"/>
        <v>-0.3999999999</v>
      </c>
      <c r="AA23" s="164">
        <f t="shared" si="5"/>
        <v>-0.4000000004</v>
      </c>
      <c r="AB23" s="164">
        <f t="shared" si="5"/>
        <v>-0.4000000004</v>
      </c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</row>
    <row r="24" ht="28.5" customHeight="1">
      <c r="A24" s="77"/>
      <c r="B24" s="160"/>
      <c r="C24" s="160"/>
      <c r="D24" s="126" t="s">
        <v>83</v>
      </c>
      <c r="E24" s="126" t="s">
        <v>86</v>
      </c>
      <c r="F24" s="126"/>
      <c r="G24" s="126"/>
      <c r="H24" s="126" t="s">
        <v>83</v>
      </c>
      <c r="I24" s="126">
        <v>255.0</v>
      </c>
      <c r="J24" s="161">
        <v>3000000.0</v>
      </c>
      <c r="K24" s="161">
        <v>3000000.0</v>
      </c>
      <c r="L24" s="162">
        <v>2349672.0</v>
      </c>
      <c r="M24" s="162">
        <v>2349672.0</v>
      </c>
      <c r="N24" s="163">
        <f t="shared" ref="N24:O24" si="6">J24+L24</f>
        <v>5349672</v>
      </c>
      <c r="O24" s="163">
        <f t="shared" si="6"/>
        <v>5349672</v>
      </c>
      <c r="P24" s="77"/>
      <c r="Q24" s="156">
        <v>3000000.0</v>
      </c>
      <c r="R24" s="156">
        <v>3000000.0</v>
      </c>
      <c r="S24" s="156">
        <v>2349672.0</v>
      </c>
      <c r="T24" s="156">
        <v>2349672.0</v>
      </c>
      <c r="U24" s="156">
        <v>5349672.0</v>
      </c>
      <c r="V24" s="156">
        <v>5349672.0</v>
      </c>
      <c r="W24" s="164">
        <f t="shared" ref="W24:AB24" si="7">+J24-Q24</f>
        <v>0</v>
      </c>
      <c r="X24" s="164">
        <f t="shared" si="7"/>
        <v>0</v>
      </c>
      <c r="Y24" s="164">
        <f t="shared" si="7"/>
        <v>0</v>
      </c>
      <c r="Z24" s="164">
        <f t="shared" si="7"/>
        <v>0</v>
      </c>
      <c r="AA24" s="164">
        <f t="shared" si="7"/>
        <v>0</v>
      </c>
      <c r="AB24" s="164">
        <f t="shared" si="7"/>
        <v>0</v>
      </c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</row>
    <row r="25" ht="28.5" customHeight="1">
      <c r="A25" s="77"/>
      <c r="B25" s="160"/>
      <c r="C25" s="160"/>
      <c r="D25" s="126" t="s">
        <v>83</v>
      </c>
      <c r="E25" s="126" t="s">
        <v>84</v>
      </c>
      <c r="F25" s="126" t="s">
        <v>85</v>
      </c>
      <c r="G25" s="126"/>
      <c r="H25" s="126" t="s">
        <v>83</v>
      </c>
      <c r="I25" s="126">
        <v>312.0</v>
      </c>
      <c r="J25" s="161">
        <v>3800000.0</v>
      </c>
      <c r="K25" s="161">
        <v>3800000.0</v>
      </c>
      <c r="L25" s="162">
        <v>2874893.0</v>
      </c>
      <c r="M25" s="162">
        <v>2874893.0</v>
      </c>
      <c r="N25" s="163">
        <f t="shared" ref="N25:O25" si="8">J25+L25</f>
        <v>6674893</v>
      </c>
      <c r="O25" s="163">
        <f t="shared" si="8"/>
        <v>6674893</v>
      </c>
      <c r="P25" s="77"/>
      <c r="Q25" s="156">
        <v>3800000.0</v>
      </c>
      <c r="R25" s="156">
        <v>3800000.0</v>
      </c>
      <c r="S25" s="156">
        <v>2874892.8000000003</v>
      </c>
      <c r="T25" s="156">
        <v>2874892.8000000003</v>
      </c>
      <c r="U25" s="156">
        <v>6674892.800000001</v>
      </c>
      <c r="V25" s="156">
        <v>6674892.800000001</v>
      </c>
      <c r="W25" s="164">
        <f t="shared" ref="W25:AB25" si="9">+J25-Q25</f>
        <v>0</v>
      </c>
      <c r="X25" s="164">
        <f t="shared" si="9"/>
        <v>0</v>
      </c>
      <c r="Y25" s="164">
        <f t="shared" si="9"/>
        <v>0.1999999997</v>
      </c>
      <c r="Z25" s="164">
        <f t="shared" si="9"/>
        <v>0.1999999997</v>
      </c>
      <c r="AA25" s="164">
        <f t="shared" si="9"/>
        <v>0.1999999993</v>
      </c>
      <c r="AB25" s="164">
        <f t="shared" si="9"/>
        <v>0.1999999993</v>
      </c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</row>
    <row r="26" ht="28.5" customHeight="1">
      <c r="A26" s="77"/>
      <c r="B26" s="160"/>
      <c r="C26" s="160"/>
      <c r="D26" s="126" t="s">
        <v>83</v>
      </c>
      <c r="E26" s="126" t="s">
        <v>84</v>
      </c>
      <c r="F26" s="126" t="s">
        <v>86</v>
      </c>
      <c r="G26" s="126"/>
      <c r="H26" s="126" t="s">
        <v>83</v>
      </c>
      <c r="I26" s="126">
        <v>320.0</v>
      </c>
      <c r="J26" s="161">
        <v>3820000.0</v>
      </c>
      <c r="K26" s="161">
        <v>3820000.0</v>
      </c>
      <c r="L26" s="162">
        <v>2948608.0</v>
      </c>
      <c r="M26" s="162">
        <v>2948608.0</v>
      </c>
      <c r="N26" s="163">
        <f t="shared" ref="N26:O26" si="10">J26+L26</f>
        <v>6768608</v>
      </c>
      <c r="O26" s="163">
        <f t="shared" si="10"/>
        <v>6768608</v>
      </c>
      <c r="P26" s="77"/>
      <c r="Q26" s="156">
        <v>3820000.0</v>
      </c>
      <c r="R26" s="156">
        <v>3820000.0</v>
      </c>
      <c r="S26" s="156">
        <v>2948608.0</v>
      </c>
      <c r="T26" s="156">
        <v>2948608.0</v>
      </c>
      <c r="U26" s="156">
        <v>6768608.0</v>
      </c>
      <c r="V26" s="156">
        <v>6768608.0</v>
      </c>
      <c r="W26" s="164">
        <f t="shared" ref="W26:AB26" si="11">+J26-Q26</f>
        <v>0</v>
      </c>
      <c r="X26" s="164">
        <f t="shared" si="11"/>
        <v>0</v>
      </c>
      <c r="Y26" s="164">
        <f t="shared" si="11"/>
        <v>0</v>
      </c>
      <c r="Z26" s="164">
        <f t="shared" si="11"/>
        <v>0</v>
      </c>
      <c r="AA26" s="164">
        <f t="shared" si="11"/>
        <v>0</v>
      </c>
      <c r="AB26" s="164">
        <f t="shared" si="11"/>
        <v>0</v>
      </c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</row>
    <row r="27" ht="28.5" customHeight="1">
      <c r="A27" s="77"/>
      <c r="B27" s="160"/>
      <c r="C27" s="160"/>
      <c r="D27" s="126" t="s">
        <v>83</v>
      </c>
      <c r="E27" s="126" t="s">
        <v>85</v>
      </c>
      <c r="F27" s="126" t="s">
        <v>86</v>
      </c>
      <c r="G27" s="126"/>
      <c r="H27" s="126" t="s">
        <v>83</v>
      </c>
      <c r="I27" s="126">
        <v>280.0</v>
      </c>
      <c r="J27" s="161">
        <v>3390000.0</v>
      </c>
      <c r="K27" s="161">
        <v>3390000.0</v>
      </c>
      <c r="L27" s="162">
        <v>2580032.0</v>
      </c>
      <c r="M27" s="162">
        <v>2580032.0</v>
      </c>
      <c r="N27" s="163">
        <f t="shared" ref="N27:O27" si="12">J27+L27</f>
        <v>5970032</v>
      </c>
      <c r="O27" s="163">
        <f t="shared" si="12"/>
        <v>5970032</v>
      </c>
      <c r="P27" s="77"/>
      <c r="Q27" s="156">
        <v>3390000.0</v>
      </c>
      <c r="R27" s="156">
        <v>3390000.0</v>
      </c>
      <c r="S27" s="156">
        <v>2580032.0</v>
      </c>
      <c r="T27" s="156">
        <v>2580032.0</v>
      </c>
      <c r="U27" s="156">
        <v>5970032.0</v>
      </c>
      <c r="V27" s="156">
        <v>5970032.0</v>
      </c>
      <c r="W27" s="164">
        <f t="shared" ref="W27:AB27" si="13">+J27-Q27</f>
        <v>0</v>
      </c>
      <c r="X27" s="164">
        <f t="shared" si="13"/>
        <v>0</v>
      </c>
      <c r="Y27" s="164">
        <f t="shared" si="13"/>
        <v>0</v>
      </c>
      <c r="Z27" s="164">
        <f t="shared" si="13"/>
        <v>0</v>
      </c>
      <c r="AA27" s="164">
        <f t="shared" si="13"/>
        <v>0</v>
      </c>
      <c r="AB27" s="164">
        <f t="shared" si="13"/>
        <v>0</v>
      </c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</row>
    <row r="28" ht="28.5" customHeight="1">
      <c r="A28" s="77"/>
      <c r="B28" s="160"/>
      <c r="C28" s="160"/>
      <c r="D28" s="165" t="s">
        <v>83</v>
      </c>
      <c r="E28" s="165" t="s">
        <v>84</v>
      </c>
      <c r="F28" s="165" t="s">
        <v>85</v>
      </c>
      <c r="G28" s="165" t="s">
        <v>86</v>
      </c>
      <c r="H28" s="165" t="s">
        <v>83</v>
      </c>
      <c r="I28" s="165">
        <v>366.0</v>
      </c>
      <c r="J28" s="166">
        <v>4120000.0</v>
      </c>
      <c r="K28" s="166">
        <v>4120000.0</v>
      </c>
      <c r="L28" s="162">
        <v>3372470.0</v>
      </c>
      <c r="M28" s="162">
        <v>3372470.0</v>
      </c>
      <c r="N28" s="163">
        <f t="shared" ref="N28:O28" si="14">J28+L28</f>
        <v>7492470</v>
      </c>
      <c r="O28" s="163">
        <f t="shared" si="14"/>
        <v>7492470</v>
      </c>
      <c r="P28" s="77"/>
      <c r="Q28" s="156">
        <v>4120000.0</v>
      </c>
      <c r="R28" s="156">
        <v>4120000.0</v>
      </c>
      <c r="S28" s="156">
        <v>3372470.4</v>
      </c>
      <c r="T28" s="156">
        <v>3372470.4</v>
      </c>
      <c r="U28" s="156">
        <v>7492470.4</v>
      </c>
      <c r="V28" s="156">
        <v>7492470.4</v>
      </c>
      <c r="W28" s="164">
        <f t="shared" ref="W28:AB28" si="15">+J28-Q28</f>
        <v>0</v>
      </c>
      <c r="X28" s="164">
        <f t="shared" si="15"/>
        <v>0</v>
      </c>
      <c r="Y28" s="164">
        <f t="shared" si="15"/>
        <v>-0.3999999999</v>
      </c>
      <c r="Z28" s="164">
        <f t="shared" si="15"/>
        <v>-0.3999999999</v>
      </c>
      <c r="AA28" s="164">
        <f t="shared" si="15"/>
        <v>-0.4000000004</v>
      </c>
      <c r="AB28" s="164">
        <f t="shared" si="15"/>
        <v>-0.4000000004</v>
      </c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</row>
    <row r="29" ht="28.5" customHeight="1">
      <c r="A29" s="77"/>
      <c r="B29" s="160"/>
      <c r="C29" s="160"/>
      <c r="D29" s="165" t="s">
        <v>83</v>
      </c>
      <c r="E29" s="165" t="s">
        <v>87</v>
      </c>
      <c r="F29" s="165"/>
      <c r="G29" s="165"/>
      <c r="H29" s="165" t="s">
        <v>83</v>
      </c>
      <c r="I29" s="165">
        <v>195.0</v>
      </c>
      <c r="J29" s="166">
        <v>2720000.0</v>
      </c>
      <c r="K29" s="166">
        <v>2720000.0</v>
      </c>
      <c r="L29" s="162">
        <v>1796808.0</v>
      </c>
      <c r="M29" s="162">
        <v>1796808.0</v>
      </c>
      <c r="N29" s="163">
        <f t="shared" ref="N29:O29" si="16">J29+L29</f>
        <v>4516808</v>
      </c>
      <c r="O29" s="163">
        <f t="shared" si="16"/>
        <v>4516808</v>
      </c>
      <c r="P29" s="77"/>
      <c r="Q29" s="156">
        <v>2720000.0</v>
      </c>
      <c r="R29" s="156">
        <v>2720000.0</v>
      </c>
      <c r="S29" s="156">
        <v>1796808.0</v>
      </c>
      <c r="T29" s="156">
        <v>1796808.0</v>
      </c>
      <c r="U29" s="156">
        <v>4516808.0</v>
      </c>
      <c r="V29" s="156">
        <v>4516808.0</v>
      </c>
      <c r="W29" s="164">
        <f t="shared" ref="W29:AB29" si="17">+J29-Q29</f>
        <v>0</v>
      </c>
      <c r="X29" s="164">
        <f t="shared" si="17"/>
        <v>0</v>
      </c>
      <c r="Y29" s="164">
        <f t="shared" si="17"/>
        <v>0</v>
      </c>
      <c r="Z29" s="164">
        <f t="shared" si="17"/>
        <v>0</v>
      </c>
      <c r="AA29" s="164">
        <f t="shared" si="17"/>
        <v>0</v>
      </c>
      <c r="AB29" s="164">
        <f t="shared" si="17"/>
        <v>0</v>
      </c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</row>
    <row r="30" ht="28.5" customHeight="1">
      <c r="A30" s="77"/>
      <c r="B30" s="160"/>
      <c r="C30" s="160"/>
      <c r="D30" s="165" t="s">
        <v>83</v>
      </c>
      <c r="E30" s="165" t="s">
        <v>87</v>
      </c>
      <c r="F30" s="165" t="s">
        <v>84</v>
      </c>
      <c r="G30" s="165"/>
      <c r="H30" s="165" t="s">
        <v>83</v>
      </c>
      <c r="I30" s="165">
        <v>288.0</v>
      </c>
      <c r="J30" s="166">
        <v>3470000.0</v>
      </c>
      <c r="K30" s="166">
        <v>3470000.0</v>
      </c>
      <c r="L30" s="162">
        <v>2653747.0</v>
      </c>
      <c r="M30" s="162">
        <v>2653747.0</v>
      </c>
      <c r="N30" s="163">
        <f t="shared" ref="N30:O30" si="18">J30+L30</f>
        <v>6123747</v>
      </c>
      <c r="O30" s="163">
        <f t="shared" si="18"/>
        <v>6123747</v>
      </c>
      <c r="P30" s="77"/>
      <c r="Q30" s="156">
        <v>3470000.0</v>
      </c>
      <c r="R30" s="156">
        <v>3470000.0</v>
      </c>
      <c r="S30" s="156">
        <v>2653747.1999999997</v>
      </c>
      <c r="T30" s="156">
        <v>2653747.1999999997</v>
      </c>
      <c r="U30" s="156">
        <v>6123747.199999999</v>
      </c>
      <c r="V30" s="156">
        <v>6123747.199999999</v>
      </c>
      <c r="W30" s="164">
        <f t="shared" ref="W30:AB30" si="19">+J30-Q30</f>
        <v>0</v>
      </c>
      <c r="X30" s="164">
        <f t="shared" si="19"/>
        <v>0</v>
      </c>
      <c r="Y30" s="164">
        <f t="shared" si="19"/>
        <v>-0.1999999997</v>
      </c>
      <c r="Z30" s="164">
        <f t="shared" si="19"/>
        <v>-0.1999999997</v>
      </c>
      <c r="AA30" s="164">
        <f t="shared" si="19"/>
        <v>-0.1999999993</v>
      </c>
      <c r="AB30" s="164">
        <f t="shared" si="19"/>
        <v>-0.1999999993</v>
      </c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</row>
    <row r="31" ht="28.5" customHeight="1">
      <c r="A31" s="77"/>
      <c r="B31" s="160"/>
      <c r="C31" s="160"/>
      <c r="D31" s="165" t="s">
        <v>83</v>
      </c>
      <c r="E31" s="165" t="s">
        <v>87</v>
      </c>
      <c r="F31" s="165" t="s">
        <v>85</v>
      </c>
      <c r="G31" s="165"/>
      <c r="H31" s="165" t="s">
        <v>83</v>
      </c>
      <c r="I31" s="165">
        <v>276.0</v>
      </c>
      <c r="J31" s="166">
        <v>3430000.0</v>
      </c>
      <c r="K31" s="166">
        <v>3430000.0</v>
      </c>
      <c r="L31" s="162">
        <v>2543174.0</v>
      </c>
      <c r="M31" s="162">
        <v>2543174.0</v>
      </c>
      <c r="N31" s="163">
        <f t="shared" ref="N31:O31" si="20">J31+L31</f>
        <v>5973174</v>
      </c>
      <c r="O31" s="163">
        <f t="shared" si="20"/>
        <v>5973174</v>
      </c>
      <c r="P31" s="77"/>
      <c r="Q31" s="156">
        <v>3430000.0</v>
      </c>
      <c r="R31" s="156">
        <v>3430000.0</v>
      </c>
      <c r="S31" s="156">
        <v>2543174.4000000004</v>
      </c>
      <c r="T31" s="156">
        <v>2543174.4000000004</v>
      </c>
      <c r="U31" s="156">
        <v>5973174.4</v>
      </c>
      <c r="V31" s="156">
        <v>5973174.4</v>
      </c>
      <c r="W31" s="164">
        <f t="shared" ref="W31:AB31" si="21">+J31-Q31</f>
        <v>0</v>
      </c>
      <c r="X31" s="164">
        <f t="shared" si="21"/>
        <v>0</v>
      </c>
      <c r="Y31" s="164">
        <f t="shared" si="21"/>
        <v>-0.4000000004</v>
      </c>
      <c r="Z31" s="164">
        <f t="shared" si="21"/>
        <v>-0.4000000004</v>
      </c>
      <c r="AA31" s="164">
        <f t="shared" si="21"/>
        <v>-0.4000000004</v>
      </c>
      <c r="AB31" s="164">
        <f t="shared" si="21"/>
        <v>-0.4000000004</v>
      </c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</row>
    <row r="32" ht="28.5" customHeight="1">
      <c r="A32" s="77"/>
      <c r="B32" s="160"/>
      <c r="C32" s="160"/>
      <c r="D32" s="165" t="s">
        <v>83</v>
      </c>
      <c r="E32" s="165" t="s">
        <v>88</v>
      </c>
      <c r="F32" s="165"/>
      <c r="G32" s="165"/>
      <c r="H32" s="165" t="s">
        <v>83</v>
      </c>
      <c r="I32" s="165">
        <v>246.0</v>
      </c>
      <c r="J32" s="166">
        <v>3070000.0</v>
      </c>
      <c r="K32" s="166">
        <v>3070000.0</v>
      </c>
      <c r="L32" s="162">
        <v>2266742.0</v>
      </c>
      <c r="M32" s="162">
        <v>2266742.0</v>
      </c>
      <c r="N32" s="163">
        <f t="shared" ref="N32:O32" si="22">J32+L32</f>
        <v>5336742</v>
      </c>
      <c r="O32" s="163">
        <f t="shared" si="22"/>
        <v>5336742</v>
      </c>
      <c r="P32" s="77"/>
      <c r="Q32" s="156">
        <v>3070000.0</v>
      </c>
      <c r="R32" s="156">
        <v>3070000.0</v>
      </c>
      <c r="S32" s="156">
        <v>2266742.4</v>
      </c>
      <c r="T32" s="156">
        <v>2266742.4</v>
      </c>
      <c r="U32" s="156">
        <v>5336742.4</v>
      </c>
      <c r="V32" s="156">
        <v>5336742.4</v>
      </c>
      <c r="W32" s="164">
        <f t="shared" ref="W32:AB32" si="23">+J32-Q32</f>
        <v>0</v>
      </c>
      <c r="X32" s="164">
        <f t="shared" si="23"/>
        <v>0</v>
      </c>
      <c r="Y32" s="164">
        <f t="shared" si="23"/>
        <v>-0.3999999999</v>
      </c>
      <c r="Z32" s="164">
        <f t="shared" si="23"/>
        <v>-0.3999999999</v>
      </c>
      <c r="AA32" s="164">
        <f t="shared" si="23"/>
        <v>-0.4000000004</v>
      </c>
      <c r="AB32" s="164">
        <f t="shared" si="23"/>
        <v>-0.4000000004</v>
      </c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</row>
    <row r="33" ht="28.5" customHeight="1">
      <c r="A33" s="77"/>
      <c r="B33" s="160"/>
      <c r="C33" s="160"/>
      <c r="D33" s="165" t="s">
        <v>83</v>
      </c>
      <c r="E33" s="165" t="s">
        <v>88</v>
      </c>
      <c r="F33" s="165" t="s">
        <v>85</v>
      </c>
      <c r="G33" s="165"/>
      <c r="H33" s="165" t="s">
        <v>83</v>
      </c>
      <c r="I33" s="165">
        <v>266.0</v>
      </c>
      <c r="J33" s="166">
        <v>3400000.0</v>
      </c>
      <c r="K33" s="166">
        <v>3400000.0</v>
      </c>
      <c r="L33" s="162">
        <v>2451030.0</v>
      </c>
      <c r="M33" s="162">
        <v>2451030.0</v>
      </c>
      <c r="N33" s="163">
        <f t="shared" ref="N33:O33" si="24">J33+L33</f>
        <v>5851030</v>
      </c>
      <c r="O33" s="163">
        <f t="shared" si="24"/>
        <v>5851030</v>
      </c>
      <c r="P33" s="77"/>
      <c r="Q33" s="156">
        <v>3400000.0</v>
      </c>
      <c r="R33" s="156">
        <v>3400000.0</v>
      </c>
      <c r="S33" s="156">
        <v>2451030.4</v>
      </c>
      <c r="T33" s="156">
        <v>2451030.4</v>
      </c>
      <c r="U33" s="156">
        <v>5851030.4</v>
      </c>
      <c r="V33" s="156">
        <v>5851030.4</v>
      </c>
      <c r="W33" s="164">
        <f t="shared" ref="W33:AB33" si="25">+J33-Q33</f>
        <v>0</v>
      </c>
      <c r="X33" s="164">
        <f t="shared" si="25"/>
        <v>0</v>
      </c>
      <c r="Y33" s="164">
        <f t="shared" si="25"/>
        <v>-0.3999999999</v>
      </c>
      <c r="Z33" s="164">
        <f t="shared" si="25"/>
        <v>-0.3999999999</v>
      </c>
      <c r="AA33" s="164">
        <f t="shared" si="25"/>
        <v>-0.4000000004</v>
      </c>
      <c r="AB33" s="164">
        <f t="shared" si="25"/>
        <v>-0.4000000004</v>
      </c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</row>
    <row r="34" ht="28.5" customHeight="1">
      <c r="A34" s="77"/>
      <c r="B34" s="160"/>
      <c r="C34" s="160"/>
      <c r="D34" s="165" t="s">
        <v>83</v>
      </c>
      <c r="E34" s="165" t="s">
        <v>88</v>
      </c>
      <c r="F34" s="165" t="s">
        <v>86</v>
      </c>
      <c r="G34" s="165"/>
      <c r="H34" s="165" t="s">
        <v>83</v>
      </c>
      <c r="I34" s="165">
        <v>268.0</v>
      </c>
      <c r="J34" s="166">
        <v>3410000.0</v>
      </c>
      <c r="K34" s="166">
        <v>3410000.0</v>
      </c>
      <c r="L34" s="162">
        <v>2469459.0</v>
      </c>
      <c r="M34" s="162">
        <v>2469459.0</v>
      </c>
      <c r="N34" s="163">
        <f t="shared" ref="N34:O34" si="26">J34+L34</f>
        <v>5879459</v>
      </c>
      <c r="O34" s="163">
        <f t="shared" si="26"/>
        <v>5879459</v>
      </c>
      <c r="P34" s="77"/>
      <c r="Q34" s="156">
        <v>3410000.0</v>
      </c>
      <c r="R34" s="156">
        <v>3410000.0</v>
      </c>
      <c r="S34" s="156">
        <v>2469459.2</v>
      </c>
      <c r="T34" s="156">
        <v>2469459.2</v>
      </c>
      <c r="U34" s="156">
        <v>5879459.2</v>
      </c>
      <c r="V34" s="156">
        <v>5879459.2</v>
      </c>
      <c r="W34" s="164">
        <f t="shared" ref="W34:AB34" si="27">+J34-Q34</f>
        <v>0</v>
      </c>
      <c r="X34" s="164">
        <f t="shared" si="27"/>
        <v>0</v>
      </c>
      <c r="Y34" s="164">
        <f t="shared" si="27"/>
        <v>-0.2000000002</v>
      </c>
      <c r="Z34" s="164">
        <f t="shared" si="27"/>
        <v>-0.2000000002</v>
      </c>
      <c r="AA34" s="164">
        <f t="shared" si="27"/>
        <v>-0.2000000002</v>
      </c>
      <c r="AB34" s="164">
        <f t="shared" si="27"/>
        <v>-0.2000000002</v>
      </c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</row>
    <row r="35" ht="28.5" customHeight="1">
      <c r="A35" s="77"/>
      <c r="B35" s="160"/>
      <c r="C35" s="160"/>
      <c r="D35" s="165" t="s">
        <v>83</v>
      </c>
      <c r="E35" s="165" t="s">
        <v>88</v>
      </c>
      <c r="F35" s="165" t="s">
        <v>85</v>
      </c>
      <c r="G35" s="165" t="s">
        <v>86</v>
      </c>
      <c r="H35" s="165" t="s">
        <v>83</v>
      </c>
      <c r="I35" s="165">
        <v>288.0</v>
      </c>
      <c r="J35" s="166">
        <v>3620000.0</v>
      </c>
      <c r="K35" s="166">
        <v>3620000.0</v>
      </c>
      <c r="L35" s="162">
        <v>2653747.0</v>
      </c>
      <c r="M35" s="162">
        <v>2653747.0</v>
      </c>
      <c r="N35" s="163">
        <f t="shared" ref="N35:O35" si="28">J35+L35</f>
        <v>6273747</v>
      </c>
      <c r="O35" s="163">
        <f t="shared" si="28"/>
        <v>6273747</v>
      </c>
      <c r="P35" s="77"/>
      <c r="Q35" s="156">
        <v>3620000.0</v>
      </c>
      <c r="R35" s="156">
        <v>3620000.0</v>
      </c>
      <c r="S35" s="156">
        <v>2653747.1999999997</v>
      </c>
      <c r="T35" s="156">
        <v>2653747.1999999997</v>
      </c>
      <c r="U35" s="156">
        <v>6273747.199999999</v>
      </c>
      <c r="V35" s="156">
        <v>6273747.199999999</v>
      </c>
      <c r="W35" s="164">
        <f t="shared" ref="W35:AB35" si="29">+J35-Q35</f>
        <v>0</v>
      </c>
      <c r="X35" s="164">
        <f t="shared" si="29"/>
        <v>0</v>
      </c>
      <c r="Y35" s="164">
        <f t="shared" si="29"/>
        <v>-0.1999999997</v>
      </c>
      <c r="Z35" s="164">
        <f t="shared" si="29"/>
        <v>-0.1999999997</v>
      </c>
      <c r="AA35" s="164">
        <f t="shared" si="29"/>
        <v>-0.1999999993</v>
      </c>
      <c r="AB35" s="164">
        <f t="shared" si="29"/>
        <v>-0.1999999993</v>
      </c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</row>
    <row r="36" ht="28.5" customHeight="1">
      <c r="A36" s="77"/>
      <c r="B36" s="77"/>
      <c r="C36" s="167" t="s">
        <v>89</v>
      </c>
      <c r="D36" s="165" t="s">
        <v>90</v>
      </c>
      <c r="E36" s="165" t="s">
        <v>84</v>
      </c>
      <c r="F36" s="165"/>
      <c r="G36" s="165"/>
      <c r="H36" s="165" t="s">
        <v>83</v>
      </c>
      <c r="I36" s="165">
        <v>287.0</v>
      </c>
      <c r="J36" s="166">
        <v>3320000.0</v>
      </c>
      <c r="K36" s="166">
        <v>3320000.0</v>
      </c>
      <c r="L36" s="162">
        <v>2644533.0</v>
      </c>
      <c r="M36" s="162">
        <v>2644533.0</v>
      </c>
      <c r="N36" s="163">
        <f t="shared" ref="N36:O36" si="30">J36+L36</f>
        <v>5964533</v>
      </c>
      <c r="O36" s="163">
        <f t="shared" si="30"/>
        <v>5964533</v>
      </c>
      <c r="P36" s="77"/>
      <c r="Q36" s="156">
        <v>3320000.0</v>
      </c>
      <c r="R36" s="156">
        <v>3320000.0</v>
      </c>
      <c r="S36" s="156">
        <v>2644532.8000000003</v>
      </c>
      <c r="T36" s="156">
        <v>2644532.8000000003</v>
      </c>
      <c r="U36" s="156">
        <v>5964532.800000001</v>
      </c>
      <c r="V36" s="156">
        <v>5964532.800000001</v>
      </c>
      <c r="W36" s="164">
        <f t="shared" ref="W36:AB36" si="31">+J36-Q36</f>
        <v>0</v>
      </c>
      <c r="X36" s="164">
        <f t="shared" si="31"/>
        <v>0</v>
      </c>
      <c r="Y36" s="164">
        <f t="shared" si="31"/>
        <v>0.1999999997</v>
      </c>
      <c r="Z36" s="164">
        <f t="shared" si="31"/>
        <v>0.1999999997</v>
      </c>
      <c r="AA36" s="164">
        <f t="shared" si="31"/>
        <v>0.1999999993</v>
      </c>
      <c r="AB36" s="164">
        <f t="shared" si="31"/>
        <v>0.1999999993</v>
      </c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</row>
    <row r="37" ht="28.5" customHeight="1">
      <c r="A37" s="77"/>
      <c r="B37" s="77"/>
      <c r="C37" s="130"/>
      <c r="D37" s="165" t="s">
        <v>90</v>
      </c>
      <c r="E37" s="165" t="s">
        <v>85</v>
      </c>
      <c r="F37" s="165"/>
      <c r="G37" s="165"/>
      <c r="H37" s="165" t="s">
        <v>83</v>
      </c>
      <c r="I37" s="165">
        <v>266.0</v>
      </c>
      <c r="J37" s="166">
        <v>3050000.0</v>
      </c>
      <c r="K37" s="166">
        <v>3050000.0</v>
      </c>
      <c r="L37" s="162">
        <v>2451030.0</v>
      </c>
      <c r="M37" s="162">
        <v>2451030.0</v>
      </c>
      <c r="N37" s="163">
        <f t="shared" ref="N37:O37" si="32">J37+L37</f>
        <v>5501030</v>
      </c>
      <c r="O37" s="163">
        <f t="shared" si="32"/>
        <v>5501030</v>
      </c>
      <c r="P37" s="77"/>
      <c r="Q37" s="156">
        <v>3050000.0</v>
      </c>
      <c r="R37" s="156">
        <v>3050000.0</v>
      </c>
      <c r="S37" s="156">
        <v>2451030.4</v>
      </c>
      <c r="T37" s="156">
        <v>2451030.4</v>
      </c>
      <c r="U37" s="156">
        <v>5501030.4</v>
      </c>
      <c r="V37" s="156">
        <v>5501030.4</v>
      </c>
      <c r="W37" s="164">
        <f t="shared" ref="W37:AB37" si="33">+J37-Q37</f>
        <v>0</v>
      </c>
      <c r="X37" s="164">
        <f t="shared" si="33"/>
        <v>0</v>
      </c>
      <c r="Y37" s="164">
        <f t="shared" si="33"/>
        <v>-0.3999999999</v>
      </c>
      <c r="Z37" s="164">
        <f t="shared" si="33"/>
        <v>-0.3999999999</v>
      </c>
      <c r="AA37" s="164">
        <f t="shared" si="33"/>
        <v>-0.4000000004</v>
      </c>
      <c r="AB37" s="164">
        <f t="shared" si="33"/>
        <v>-0.4000000004</v>
      </c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</row>
    <row r="38" ht="28.5" customHeight="1">
      <c r="A38" s="77"/>
      <c r="B38" s="77"/>
      <c r="C38" s="130"/>
      <c r="D38" s="165" t="s">
        <v>90</v>
      </c>
      <c r="E38" s="165" t="s">
        <v>86</v>
      </c>
      <c r="F38" s="165"/>
      <c r="G38" s="165"/>
      <c r="H38" s="165" t="s">
        <v>83</v>
      </c>
      <c r="I38" s="165">
        <v>255.0</v>
      </c>
      <c r="J38" s="166">
        <v>3010000.0</v>
      </c>
      <c r="K38" s="166">
        <v>3010000.0</v>
      </c>
      <c r="L38" s="162">
        <v>2349672.0</v>
      </c>
      <c r="M38" s="162">
        <v>2349672.0</v>
      </c>
      <c r="N38" s="163">
        <f t="shared" ref="N38:O38" si="34">J38+L38</f>
        <v>5359672</v>
      </c>
      <c r="O38" s="163">
        <f t="shared" si="34"/>
        <v>5359672</v>
      </c>
      <c r="P38" s="77"/>
      <c r="Q38" s="156">
        <v>3010000.0</v>
      </c>
      <c r="R38" s="156">
        <v>3010000.0</v>
      </c>
      <c r="S38" s="156">
        <v>2349672.0</v>
      </c>
      <c r="T38" s="156">
        <v>2349672.0</v>
      </c>
      <c r="U38" s="156">
        <v>5359672.0</v>
      </c>
      <c r="V38" s="156">
        <v>5359672.0</v>
      </c>
      <c r="W38" s="164">
        <f t="shared" ref="W38:AB38" si="35">+J38-Q38</f>
        <v>0</v>
      </c>
      <c r="X38" s="164">
        <f t="shared" si="35"/>
        <v>0</v>
      </c>
      <c r="Y38" s="164">
        <f t="shared" si="35"/>
        <v>0</v>
      </c>
      <c r="Z38" s="164">
        <f t="shared" si="35"/>
        <v>0</v>
      </c>
      <c r="AA38" s="164">
        <f t="shared" si="35"/>
        <v>0</v>
      </c>
      <c r="AB38" s="164">
        <f t="shared" si="35"/>
        <v>0</v>
      </c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</row>
    <row r="39" ht="28.5" customHeight="1">
      <c r="A39" s="77"/>
      <c r="B39" s="77"/>
      <c r="C39" s="130"/>
      <c r="D39" s="165" t="s">
        <v>90</v>
      </c>
      <c r="E39" s="165" t="s">
        <v>84</v>
      </c>
      <c r="F39" s="165" t="s">
        <v>85</v>
      </c>
      <c r="G39" s="165"/>
      <c r="H39" s="165" t="s">
        <v>83</v>
      </c>
      <c r="I39" s="165">
        <v>312.0</v>
      </c>
      <c r="J39" s="166">
        <v>3800000.0</v>
      </c>
      <c r="K39" s="166">
        <v>3800000.0</v>
      </c>
      <c r="L39" s="162">
        <v>2874893.0</v>
      </c>
      <c r="M39" s="162">
        <v>2874893.0</v>
      </c>
      <c r="N39" s="163">
        <f t="shared" ref="N39:O39" si="36">J39+L39</f>
        <v>6674893</v>
      </c>
      <c r="O39" s="163">
        <f t="shared" si="36"/>
        <v>6674893</v>
      </c>
      <c r="P39" s="77"/>
      <c r="Q39" s="156">
        <v>3800000.0</v>
      </c>
      <c r="R39" s="156">
        <v>3800000.0</v>
      </c>
      <c r="S39" s="156">
        <v>2874892.8000000003</v>
      </c>
      <c r="T39" s="156">
        <v>2874892.8000000003</v>
      </c>
      <c r="U39" s="156">
        <v>6674892.800000001</v>
      </c>
      <c r="V39" s="156">
        <v>6674892.800000001</v>
      </c>
      <c r="W39" s="164">
        <f t="shared" ref="W39:AB39" si="37">+J39-Q39</f>
        <v>0</v>
      </c>
      <c r="X39" s="164">
        <f t="shared" si="37"/>
        <v>0</v>
      </c>
      <c r="Y39" s="164">
        <f t="shared" si="37"/>
        <v>0.1999999997</v>
      </c>
      <c r="Z39" s="164">
        <f t="shared" si="37"/>
        <v>0.1999999997</v>
      </c>
      <c r="AA39" s="164">
        <f t="shared" si="37"/>
        <v>0.1999999993</v>
      </c>
      <c r="AB39" s="164">
        <f t="shared" si="37"/>
        <v>0.1999999993</v>
      </c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</row>
    <row r="40" ht="28.5" customHeight="1">
      <c r="A40" s="77"/>
      <c r="B40" s="77"/>
      <c r="C40" s="130"/>
      <c r="D40" s="165" t="s">
        <v>90</v>
      </c>
      <c r="E40" s="165" t="s">
        <v>84</v>
      </c>
      <c r="F40" s="165" t="s">
        <v>86</v>
      </c>
      <c r="G40" s="165"/>
      <c r="H40" s="165" t="s">
        <v>83</v>
      </c>
      <c r="I40" s="165">
        <v>320.0</v>
      </c>
      <c r="J40" s="166">
        <v>3820000.0</v>
      </c>
      <c r="K40" s="166">
        <v>3820000.0</v>
      </c>
      <c r="L40" s="162">
        <v>2948608.0</v>
      </c>
      <c r="M40" s="162">
        <v>2948608.0</v>
      </c>
      <c r="N40" s="163">
        <f t="shared" ref="N40:O40" si="38">J40+L40</f>
        <v>6768608</v>
      </c>
      <c r="O40" s="163">
        <f t="shared" si="38"/>
        <v>6768608</v>
      </c>
      <c r="P40" s="77"/>
      <c r="Q40" s="156">
        <v>3820000.0</v>
      </c>
      <c r="R40" s="156">
        <v>3820000.0</v>
      </c>
      <c r="S40" s="156">
        <v>2948608.0</v>
      </c>
      <c r="T40" s="156">
        <v>2948608.0</v>
      </c>
      <c r="U40" s="156">
        <v>6768608.0</v>
      </c>
      <c r="V40" s="156">
        <v>6768608.0</v>
      </c>
      <c r="W40" s="164">
        <f t="shared" ref="W40:AB40" si="39">+J40-Q40</f>
        <v>0</v>
      </c>
      <c r="X40" s="164">
        <f t="shared" si="39"/>
        <v>0</v>
      </c>
      <c r="Y40" s="164">
        <f t="shared" si="39"/>
        <v>0</v>
      </c>
      <c r="Z40" s="164">
        <f t="shared" si="39"/>
        <v>0</v>
      </c>
      <c r="AA40" s="164">
        <f t="shared" si="39"/>
        <v>0</v>
      </c>
      <c r="AB40" s="164">
        <f t="shared" si="39"/>
        <v>0</v>
      </c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</row>
    <row r="41" ht="28.5" customHeight="1">
      <c r="A41" s="77"/>
      <c r="B41" s="77"/>
      <c r="C41" s="130"/>
      <c r="D41" s="165" t="s">
        <v>90</v>
      </c>
      <c r="E41" s="165" t="s">
        <v>85</v>
      </c>
      <c r="F41" s="165" t="s">
        <v>86</v>
      </c>
      <c r="G41" s="165"/>
      <c r="H41" s="165" t="s">
        <v>83</v>
      </c>
      <c r="I41" s="165">
        <v>280.0</v>
      </c>
      <c r="J41" s="166">
        <v>3390000.0</v>
      </c>
      <c r="K41" s="166">
        <v>3390000.0</v>
      </c>
      <c r="L41" s="162">
        <v>2580032.0</v>
      </c>
      <c r="M41" s="162">
        <v>2580032.0</v>
      </c>
      <c r="N41" s="163">
        <f t="shared" ref="N41:O41" si="40">J41+L41</f>
        <v>5970032</v>
      </c>
      <c r="O41" s="163">
        <f t="shared" si="40"/>
        <v>5970032</v>
      </c>
      <c r="P41" s="77"/>
      <c r="Q41" s="156">
        <v>3390000.0</v>
      </c>
      <c r="R41" s="156">
        <v>3390000.0</v>
      </c>
      <c r="S41" s="156">
        <v>2580032.0</v>
      </c>
      <c r="T41" s="156">
        <v>2580032.0</v>
      </c>
      <c r="U41" s="156">
        <v>5970032.0</v>
      </c>
      <c r="V41" s="156">
        <v>5970032.0</v>
      </c>
      <c r="W41" s="164">
        <f t="shared" ref="W41:AB41" si="41">+J41-Q41</f>
        <v>0</v>
      </c>
      <c r="X41" s="164">
        <f t="shared" si="41"/>
        <v>0</v>
      </c>
      <c r="Y41" s="164">
        <f t="shared" si="41"/>
        <v>0</v>
      </c>
      <c r="Z41" s="164">
        <f t="shared" si="41"/>
        <v>0</v>
      </c>
      <c r="AA41" s="164">
        <f t="shared" si="41"/>
        <v>0</v>
      </c>
      <c r="AB41" s="164">
        <f t="shared" si="41"/>
        <v>0</v>
      </c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</row>
    <row r="42" ht="28.5" customHeight="1">
      <c r="A42" s="77"/>
      <c r="B42" s="77"/>
      <c r="C42" s="130"/>
      <c r="D42" s="165" t="s">
        <v>90</v>
      </c>
      <c r="E42" s="165" t="s">
        <v>84</v>
      </c>
      <c r="F42" s="165" t="s">
        <v>85</v>
      </c>
      <c r="G42" s="165" t="s">
        <v>86</v>
      </c>
      <c r="H42" s="165" t="s">
        <v>83</v>
      </c>
      <c r="I42" s="165">
        <v>366.0</v>
      </c>
      <c r="J42" s="166">
        <v>4120000.0</v>
      </c>
      <c r="K42" s="166">
        <v>4120000.0</v>
      </c>
      <c r="L42" s="162">
        <v>3372470.0</v>
      </c>
      <c r="M42" s="162">
        <v>3372470.0</v>
      </c>
      <c r="N42" s="163">
        <f t="shared" ref="N42:O42" si="42">J42+L42</f>
        <v>7492470</v>
      </c>
      <c r="O42" s="163">
        <f t="shared" si="42"/>
        <v>7492470</v>
      </c>
      <c r="P42" s="77"/>
      <c r="Q42" s="156">
        <v>4120000.0</v>
      </c>
      <c r="R42" s="156">
        <v>4120000.0</v>
      </c>
      <c r="S42" s="156">
        <v>3372470.4</v>
      </c>
      <c r="T42" s="156">
        <v>3372470.4</v>
      </c>
      <c r="U42" s="156">
        <v>7492470.4</v>
      </c>
      <c r="V42" s="156">
        <v>7492470.4</v>
      </c>
      <c r="W42" s="164">
        <f t="shared" ref="W42:AB42" si="43">+J42-Q42</f>
        <v>0</v>
      </c>
      <c r="X42" s="164">
        <f t="shared" si="43"/>
        <v>0</v>
      </c>
      <c r="Y42" s="164">
        <f t="shared" si="43"/>
        <v>-0.3999999999</v>
      </c>
      <c r="Z42" s="164">
        <f t="shared" si="43"/>
        <v>-0.3999999999</v>
      </c>
      <c r="AA42" s="164">
        <f t="shared" si="43"/>
        <v>-0.4000000004</v>
      </c>
      <c r="AB42" s="164">
        <f t="shared" si="43"/>
        <v>-0.4000000004</v>
      </c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</row>
    <row r="43" ht="28.5" customHeight="1">
      <c r="A43" s="77"/>
      <c r="B43" s="77"/>
      <c r="C43" s="130"/>
      <c r="D43" s="165" t="s">
        <v>91</v>
      </c>
      <c r="E43" s="165" t="s">
        <v>84</v>
      </c>
      <c r="F43" s="165"/>
      <c r="G43" s="165"/>
      <c r="H43" s="165" t="s">
        <v>83</v>
      </c>
      <c r="I43" s="165">
        <v>287.0</v>
      </c>
      <c r="J43" s="166">
        <v>3320000.0</v>
      </c>
      <c r="K43" s="166">
        <v>3320000.0</v>
      </c>
      <c r="L43" s="162">
        <v>2644533.0</v>
      </c>
      <c r="M43" s="162">
        <v>2644533.0</v>
      </c>
      <c r="N43" s="163">
        <f t="shared" ref="N43:O43" si="44">J43+L43</f>
        <v>5964533</v>
      </c>
      <c r="O43" s="163">
        <f t="shared" si="44"/>
        <v>5964533</v>
      </c>
      <c r="P43" s="77"/>
      <c r="Q43" s="156">
        <v>3320000.0</v>
      </c>
      <c r="R43" s="156">
        <v>3320000.0</v>
      </c>
      <c r="S43" s="156">
        <v>2644532.8000000003</v>
      </c>
      <c r="T43" s="156">
        <v>2644532.8000000003</v>
      </c>
      <c r="U43" s="156">
        <v>5964532.800000001</v>
      </c>
      <c r="V43" s="156">
        <v>5964532.800000001</v>
      </c>
      <c r="W43" s="164">
        <f t="shared" ref="W43:AB43" si="45">+J43-Q43</f>
        <v>0</v>
      </c>
      <c r="X43" s="164">
        <f t="shared" si="45"/>
        <v>0</v>
      </c>
      <c r="Y43" s="164">
        <f t="shared" si="45"/>
        <v>0.1999999997</v>
      </c>
      <c r="Z43" s="164">
        <f t="shared" si="45"/>
        <v>0.1999999997</v>
      </c>
      <c r="AA43" s="164">
        <f t="shared" si="45"/>
        <v>0.1999999993</v>
      </c>
      <c r="AB43" s="164">
        <f t="shared" si="45"/>
        <v>0.1999999993</v>
      </c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</row>
    <row r="44" ht="28.5" customHeight="1">
      <c r="A44" s="77"/>
      <c r="B44" s="77"/>
      <c r="C44" s="130"/>
      <c r="D44" s="165" t="s">
        <v>91</v>
      </c>
      <c r="E44" s="165" t="s">
        <v>85</v>
      </c>
      <c r="F44" s="165"/>
      <c r="G44" s="165"/>
      <c r="H44" s="165" t="s">
        <v>83</v>
      </c>
      <c r="I44" s="165">
        <v>266.0</v>
      </c>
      <c r="J44" s="166">
        <v>3050000.0</v>
      </c>
      <c r="K44" s="166">
        <v>3050000.0</v>
      </c>
      <c r="L44" s="162">
        <v>2451030.0</v>
      </c>
      <c r="M44" s="162">
        <v>2451030.0</v>
      </c>
      <c r="N44" s="163">
        <f t="shared" ref="N44:O44" si="46">J44+L44</f>
        <v>5501030</v>
      </c>
      <c r="O44" s="163">
        <f t="shared" si="46"/>
        <v>5501030</v>
      </c>
      <c r="P44" s="77"/>
      <c r="Q44" s="156">
        <v>3050000.0</v>
      </c>
      <c r="R44" s="156">
        <v>3050000.0</v>
      </c>
      <c r="S44" s="156">
        <v>2451030.4</v>
      </c>
      <c r="T44" s="156">
        <v>2451030.4</v>
      </c>
      <c r="U44" s="156">
        <v>5501030.4</v>
      </c>
      <c r="V44" s="156">
        <v>5501030.4</v>
      </c>
      <c r="W44" s="164">
        <f t="shared" ref="W44:AB44" si="47">+J44-Q44</f>
        <v>0</v>
      </c>
      <c r="X44" s="164">
        <f t="shared" si="47"/>
        <v>0</v>
      </c>
      <c r="Y44" s="164">
        <f t="shared" si="47"/>
        <v>-0.3999999999</v>
      </c>
      <c r="Z44" s="164">
        <f t="shared" si="47"/>
        <v>-0.3999999999</v>
      </c>
      <c r="AA44" s="164">
        <f t="shared" si="47"/>
        <v>-0.4000000004</v>
      </c>
      <c r="AB44" s="164">
        <f t="shared" si="47"/>
        <v>-0.4000000004</v>
      </c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</row>
    <row r="45" ht="28.5" customHeight="1">
      <c r="A45" s="77"/>
      <c r="B45" s="77"/>
      <c r="C45" s="130"/>
      <c r="D45" s="165" t="s">
        <v>91</v>
      </c>
      <c r="E45" s="165" t="s">
        <v>86</v>
      </c>
      <c r="F45" s="165"/>
      <c r="G45" s="165"/>
      <c r="H45" s="165" t="s">
        <v>83</v>
      </c>
      <c r="I45" s="165">
        <v>255.0</v>
      </c>
      <c r="J45" s="166">
        <v>3010000.0</v>
      </c>
      <c r="K45" s="166">
        <v>3010000.0</v>
      </c>
      <c r="L45" s="162">
        <v>2349672.0</v>
      </c>
      <c r="M45" s="162">
        <v>2349672.0</v>
      </c>
      <c r="N45" s="163">
        <f t="shared" ref="N45:O45" si="48">J45+L45</f>
        <v>5359672</v>
      </c>
      <c r="O45" s="163">
        <f t="shared" si="48"/>
        <v>5359672</v>
      </c>
      <c r="P45" s="77"/>
      <c r="Q45" s="156">
        <v>3010000.0</v>
      </c>
      <c r="R45" s="156">
        <v>3010000.0</v>
      </c>
      <c r="S45" s="156">
        <v>2349672.0</v>
      </c>
      <c r="T45" s="156">
        <v>2349672.0</v>
      </c>
      <c r="U45" s="156">
        <v>5359672.0</v>
      </c>
      <c r="V45" s="156">
        <v>5359672.0</v>
      </c>
      <c r="W45" s="164">
        <f t="shared" ref="W45:AB45" si="49">+J45-Q45</f>
        <v>0</v>
      </c>
      <c r="X45" s="164">
        <f t="shared" si="49"/>
        <v>0</v>
      </c>
      <c r="Y45" s="164">
        <f t="shared" si="49"/>
        <v>0</v>
      </c>
      <c r="Z45" s="164">
        <f t="shared" si="49"/>
        <v>0</v>
      </c>
      <c r="AA45" s="164">
        <f t="shared" si="49"/>
        <v>0</v>
      </c>
      <c r="AB45" s="164">
        <f t="shared" si="49"/>
        <v>0</v>
      </c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</row>
    <row r="46" ht="28.5" customHeight="1">
      <c r="A46" s="77"/>
      <c r="B46" s="77"/>
      <c r="C46" s="130"/>
      <c r="D46" s="165" t="s">
        <v>91</v>
      </c>
      <c r="E46" s="165" t="s">
        <v>84</v>
      </c>
      <c r="F46" s="165" t="s">
        <v>85</v>
      </c>
      <c r="G46" s="165"/>
      <c r="H46" s="165" t="s">
        <v>83</v>
      </c>
      <c r="I46" s="165">
        <v>312.0</v>
      </c>
      <c r="J46" s="166">
        <v>3800000.0</v>
      </c>
      <c r="K46" s="166">
        <v>3800000.0</v>
      </c>
      <c r="L46" s="162">
        <v>2874893.0</v>
      </c>
      <c r="M46" s="162">
        <v>2874893.0</v>
      </c>
      <c r="N46" s="163">
        <f t="shared" ref="N46:O46" si="50">J46+L46</f>
        <v>6674893</v>
      </c>
      <c r="O46" s="163">
        <f t="shared" si="50"/>
        <v>6674893</v>
      </c>
      <c r="P46" s="77"/>
      <c r="Q46" s="156">
        <v>3800000.0</v>
      </c>
      <c r="R46" s="156">
        <v>3800000.0</v>
      </c>
      <c r="S46" s="156">
        <v>2874892.8000000003</v>
      </c>
      <c r="T46" s="156">
        <v>2874892.8000000003</v>
      </c>
      <c r="U46" s="156">
        <v>6674892.800000001</v>
      </c>
      <c r="V46" s="156">
        <v>6674892.800000001</v>
      </c>
      <c r="W46" s="164">
        <f t="shared" ref="W46:AB46" si="51">+J46-Q46</f>
        <v>0</v>
      </c>
      <c r="X46" s="164">
        <f t="shared" si="51"/>
        <v>0</v>
      </c>
      <c r="Y46" s="164">
        <f t="shared" si="51"/>
        <v>0.1999999997</v>
      </c>
      <c r="Z46" s="164">
        <f t="shared" si="51"/>
        <v>0.1999999997</v>
      </c>
      <c r="AA46" s="164">
        <f t="shared" si="51"/>
        <v>0.1999999993</v>
      </c>
      <c r="AB46" s="164">
        <f t="shared" si="51"/>
        <v>0.1999999993</v>
      </c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</row>
    <row r="47" ht="28.5" customHeight="1">
      <c r="A47" s="77"/>
      <c r="B47" s="77"/>
      <c r="C47" s="130"/>
      <c r="D47" s="165" t="s">
        <v>91</v>
      </c>
      <c r="E47" s="165" t="s">
        <v>84</v>
      </c>
      <c r="F47" s="165" t="s">
        <v>86</v>
      </c>
      <c r="G47" s="165"/>
      <c r="H47" s="165" t="s">
        <v>83</v>
      </c>
      <c r="I47" s="165">
        <v>320.0</v>
      </c>
      <c r="J47" s="166">
        <v>3820000.0</v>
      </c>
      <c r="K47" s="166">
        <v>3820000.0</v>
      </c>
      <c r="L47" s="162">
        <v>2948608.0</v>
      </c>
      <c r="M47" s="162">
        <v>2948608.0</v>
      </c>
      <c r="N47" s="163">
        <f t="shared" ref="N47:O47" si="52">J47+L47</f>
        <v>6768608</v>
      </c>
      <c r="O47" s="163">
        <f t="shared" si="52"/>
        <v>6768608</v>
      </c>
      <c r="P47" s="77"/>
      <c r="Q47" s="156">
        <v>3820000.0</v>
      </c>
      <c r="R47" s="156">
        <v>3820000.0</v>
      </c>
      <c r="S47" s="156">
        <v>2948608.0</v>
      </c>
      <c r="T47" s="156">
        <v>2948608.0</v>
      </c>
      <c r="U47" s="156">
        <v>6768608.0</v>
      </c>
      <c r="V47" s="156">
        <v>6768608.0</v>
      </c>
      <c r="W47" s="164">
        <f t="shared" ref="W47:AB47" si="53">+J47-Q47</f>
        <v>0</v>
      </c>
      <c r="X47" s="164">
        <f t="shared" si="53"/>
        <v>0</v>
      </c>
      <c r="Y47" s="164">
        <f t="shared" si="53"/>
        <v>0</v>
      </c>
      <c r="Z47" s="164">
        <f t="shared" si="53"/>
        <v>0</v>
      </c>
      <c r="AA47" s="164">
        <f t="shared" si="53"/>
        <v>0</v>
      </c>
      <c r="AB47" s="164">
        <f t="shared" si="53"/>
        <v>0</v>
      </c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</row>
    <row r="48" ht="28.5" customHeight="1">
      <c r="A48" s="77"/>
      <c r="B48" s="77"/>
      <c r="C48" s="130"/>
      <c r="D48" s="165" t="s">
        <v>91</v>
      </c>
      <c r="E48" s="165" t="s">
        <v>85</v>
      </c>
      <c r="F48" s="165" t="s">
        <v>86</v>
      </c>
      <c r="G48" s="165"/>
      <c r="H48" s="165" t="s">
        <v>83</v>
      </c>
      <c r="I48" s="165">
        <v>280.0</v>
      </c>
      <c r="J48" s="166">
        <v>3390000.0</v>
      </c>
      <c r="K48" s="166">
        <v>3390000.0</v>
      </c>
      <c r="L48" s="162">
        <v>2580032.0</v>
      </c>
      <c r="M48" s="162">
        <v>2580032.0</v>
      </c>
      <c r="N48" s="163">
        <f t="shared" ref="N48:O48" si="54">J48+L48</f>
        <v>5970032</v>
      </c>
      <c r="O48" s="163">
        <f t="shared" si="54"/>
        <v>5970032</v>
      </c>
      <c r="P48" s="77"/>
      <c r="Q48" s="156">
        <v>3390000.0</v>
      </c>
      <c r="R48" s="156">
        <v>3390000.0</v>
      </c>
      <c r="S48" s="156">
        <v>2580032.0</v>
      </c>
      <c r="T48" s="156">
        <v>2580032.0</v>
      </c>
      <c r="U48" s="156">
        <v>5970032.0</v>
      </c>
      <c r="V48" s="156">
        <v>5970032.0</v>
      </c>
      <c r="W48" s="164">
        <f t="shared" ref="W48:AB48" si="55">+J48-Q48</f>
        <v>0</v>
      </c>
      <c r="X48" s="164">
        <f t="shared" si="55"/>
        <v>0</v>
      </c>
      <c r="Y48" s="164">
        <f t="shared" si="55"/>
        <v>0</v>
      </c>
      <c r="Z48" s="164">
        <f t="shared" si="55"/>
        <v>0</v>
      </c>
      <c r="AA48" s="164">
        <f t="shared" si="55"/>
        <v>0</v>
      </c>
      <c r="AB48" s="164">
        <f t="shared" si="55"/>
        <v>0</v>
      </c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</row>
    <row r="49" ht="28.5" customHeight="1">
      <c r="A49" s="77"/>
      <c r="B49" s="77"/>
      <c r="C49" s="118"/>
      <c r="D49" s="165" t="s">
        <v>91</v>
      </c>
      <c r="E49" s="165" t="s">
        <v>84</v>
      </c>
      <c r="F49" s="165" t="s">
        <v>85</v>
      </c>
      <c r="G49" s="165" t="s">
        <v>86</v>
      </c>
      <c r="H49" s="165" t="s">
        <v>83</v>
      </c>
      <c r="I49" s="165">
        <v>366.0</v>
      </c>
      <c r="J49" s="166">
        <v>4120000.0</v>
      </c>
      <c r="K49" s="166">
        <v>4120000.0</v>
      </c>
      <c r="L49" s="162">
        <v>3372470.0</v>
      </c>
      <c r="M49" s="162">
        <v>3372470.0</v>
      </c>
      <c r="N49" s="163">
        <f t="shared" ref="N49:O49" si="56">J49+L49</f>
        <v>7492470</v>
      </c>
      <c r="O49" s="163">
        <f t="shared" si="56"/>
        <v>7492470</v>
      </c>
      <c r="P49" s="77"/>
      <c r="Q49" s="156">
        <v>4120000.0</v>
      </c>
      <c r="R49" s="156">
        <v>4120000.0</v>
      </c>
      <c r="S49" s="156">
        <v>3372470.4</v>
      </c>
      <c r="T49" s="156">
        <v>3372470.4</v>
      </c>
      <c r="U49" s="156">
        <v>7492470.4</v>
      </c>
      <c r="V49" s="156">
        <v>7492470.4</v>
      </c>
      <c r="W49" s="164">
        <f t="shared" ref="W49:AB49" si="57">+J49-Q49</f>
        <v>0</v>
      </c>
      <c r="X49" s="164">
        <f t="shared" si="57"/>
        <v>0</v>
      </c>
      <c r="Y49" s="164">
        <f t="shared" si="57"/>
        <v>-0.3999999999</v>
      </c>
      <c r="Z49" s="164">
        <f t="shared" si="57"/>
        <v>-0.3999999999</v>
      </c>
      <c r="AA49" s="164">
        <f t="shared" si="57"/>
        <v>-0.4000000004</v>
      </c>
      <c r="AB49" s="164">
        <f t="shared" si="57"/>
        <v>-0.4000000004</v>
      </c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</row>
    <row r="50" ht="28.5" customHeight="1">
      <c r="A50" s="77"/>
      <c r="B50" s="77"/>
      <c r="C50" s="167" t="s">
        <v>92</v>
      </c>
      <c r="D50" s="165" t="s">
        <v>83</v>
      </c>
      <c r="E50" s="165" t="s">
        <v>93</v>
      </c>
      <c r="F50" s="165"/>
      <c r="G50" s="165"/>
      <c r="H50" s="165"/>
      <c r="I50" s="165">
        <v>144.0</v>
      </c>
      <c r="J50" s="166">
        <v>2300000.0</v>
      </c>
      <c r="K50" s="166">
        <v>2300000.0</v>
      </c>
      <c r="L50" s="162">
        <v>1531008.0</v>
      </c>
      <c r="M50" s="162">
        <v>1531008.0</v>
      </c>
      <c r="N50" s="163">
        <f t="shared" ref="N50:O50" si="58">J50+L50</f>
        <v>3831008</v>
      </c>
      <c r="O50" s="163">
        <f t="shared" si="58"/>
        <v>3831008</v>
      </c>
      <c r="P50" s="77"/>
      <c r="Q50" s="156">
        <v>2300000.0</v>
      </c>
      <c r="R50" s="156">
        <v>2300000.0</v>
      </c>
      <c r="S50" s="156">
        <v>1531007.9999999998</v>
      </c>
      <c r="T50" s="156">
        <v>1531007.9999999998</v>
      </c>
      <c r="U50" s="156">
        <v>3831008.0</v>
      </c>
      <c r="V50" s="156">
        <v>3831008.0</v>
      </c>
      <c r="W50" s="164">
        <f t="shared" ref="W50:AB50" si="59">+J50-Q50</f>
        <v>0</v>
      </c>
      <c r="X50" s="164">
        <f t="shared" si="59"/>
        <v>0</v>
      </c>
      <c r="Y50" s="164">
        <f t="shared" si="59"/>
        <v>0.0000000002328306437</v>
      </c>
      <c r="Z50" s="164">
        <f t="shared" si="59"/>
        <v>0.0000000002328306437</v>
      </c>
      <c r="AA50" s="164">
        <f t="shared" si="59"/>
        <v>0</v>
      </c>
      <c r="AB50" s="164">
        <f t="shared" si="59"/>
        <v>0</v>
      </c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</row>
    <row r="51" ht="28.5" customHeight="1">
      <c r="A51" s="77"/>
      <c r="B51" s="77"/>
      <c r="C51" s="130"/>
      <c r="D51" s="165" t="s">
        <v>93</v>
      </c>
      <c r="E51" s="165" t="s">
        <v>84</v>
      </c>
      <c r="F51" s="165"/>
      <c r="G51" s="165"/>
      <c r="H51" s="165" t="s">
        <v>83</v>
      </c>
      <c r="I51" s="165">
        <v>144.0</v>
      </c>
      <c r="J51" s="166">
        <v>2300000.0</v>
      </c>
      <c r="K51" s="166">
        <v>2300000.0</v>
      </c>
      <c r="L51" s="162">
        <v>1531008.0</v>
      </c>
      <c r="M51" s="162">
        <v>1531008.0</v>
      </c>
      <c r="N51" s="163">
        <f t="shared" ref="N51:O51" si="60">J51+L51</f>
        <v>3831008</v>
      </c>
      <c r="O51" s="163">
        <f t="shared" si="60"/>
        <v>3831008</v>
      </c>
      <c r="P51" s="77"/>
      <c r="Q51" s="156">
        <v>2300000.0</v>
      </c>
      <c r="R51" s="156">
        <v>2300000.0</v>
      </c>
      <c r="S51" s="156">
        <v>1531007.9999999998</v>
      </c>
      <c r="T51" s="156">
        <v>1531007.9999999998</v>
      </c>
      <c r="U51" s="156">
        <v>3831008.0</v>
      </c>
      <c r="V51" s="156">
        <v>3831008.0</v>
      </c>
      <c r="W51" s="164">
        <f t="shared" ref="W51:AB51" si="61">+J51-Q51</f>
        <v>0</v>
      </c>
      <c r="X51" s="164">
        <f t="shared" si="61"/>
        <v>0</v>
      </c>
      <c r="Y51" s="164">
        <f t="shared" si="61"/>
        <v>0.0000000002328306437</v>
      </c>
      <c r="Z51" s="164">
        <f t="shared" si="61"/>
        <v>0.0000000002328306437</v>
      </c>
      <c r="AA51" s="164">
        <f t="shared" si="61"/>
        <v>0</v>
      </c>
      <c r="AB51" s="164">
        <f t="shared" si="61"/>
        <v>0</v>
      </c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</row>
    <row r="52" ht="28.5" customHeight="1">
      <c r="A52" s="81"/>
      <c r="B52" s="77"/>
      <c r="C52" s="130"/>
      <c r="D52" s="165" t="s">
        <v>83</v>
      </c>
      <c r="E52" s="165" t="s">
        <v>93</v>
      </c>
      <c r="F52" s="165"/>
      <c r="G52" s="165"/>
      <c r="H52" s="165"/>
      <c r="I52" s="165">
        <v>144.0</v>
      </c>
      <c r="J52" s="166">
        <v>2300000.0</v>
      </c>
      <c r="K52" s="166">
        <v>2300000.0</v>
      </c>
      <c r="L52" s="162">
        <v>1531008.0</v>
      </c>
      <c r="M52" s="162">
        <v>1531008.0</v>
      </c>
      <c r="N52" s="163">
        <f t="shared" ref="N52:O52" si="62">J52+L52</f>
        <v>3831008</v>
      </c>
      <c r="O52" s="163">
        <f t="shared" si="62"/>
        <v>3831008</v>
      </c>
      <c r="P52" s="81"/>
      <c r="Q52" s="127">
        <v>2300000.0</v>
      </c>
      <c r="R52" s="127">
        <v>2300000.0</v>
      </c>
      <c r="S52" s="127">
        <v>1531007.9999999998</v>
      </c>
      <c r="T52" s="127">
        <v>1531007.9999999998</v>
      </c>
      <c r="U52" s="127">
        <v>3831008.0</v>
      </c>
      <c r="V52" s="127">
        <v>3831008.0</v>
      </c>
      <c r="W52" s="164">
        <f t="shared" ref="W52:AB52" si="63">+J52-Q52</f>
        <v>0</v>
      </c>
      <c r="X52" s="164">
        <f t="shared" si="63"/>
        <v>0</v>
      </c>
      <c r="Y52" s="164">
        <f t="shared" si="63"/>
        <v>0.0000000002328306437</v>
      </c>
      <c r="Z52" s="164">
        <f t="shared" si="63"/>
        <v>0.0000000002328306437</v>
      </c>
      <c r="AA52" s="164">
        <f t="shared" si="63"/>
        <v>0</v>
      </c>
      <c r="AB52" s="164">
        <f t="shared" si="63"/>
        <v>0</v>
      </c>
      <c r="AC52" s="81"/>
      <c r="AD52" s="81"/>
      <c r="AE52" s="81"/>
      <c r="AF52" s="81"/>
      <c r="AG52" s="77"/>
      <c r="AH52" s="77"/>
      <c r="AI52" s="81"/>
      <c r="AJ52" s="81"/>
      <c r="AK52" s="81"/>
      <c r="AL52" s="81"/>
      <c r="AM52" s="81"/>
      <c r="AN52" s="81"/>
      <c r="AO52" s="81"/>
      <c r="AP52" s="81"/>
    </row>
    <row r="53" ht="28.5" customHeight="1">
      <c r="A53" s="81"/>
      <c r="B53" s="77"/>
      <c r="C53" s="130"/>
      <c r="D53" s="165" t="s">
        <v>93</v>
      </c>
      <c r="E53" s="165" t="s">
        <v>85</v>
      </c>
      <c r="F53" s="165"/>
      <c r="G53" s="165"/>
      <c r="H53" s="165" t="s">
        <v>83</v>
      </c>
      <c r="I53" s="165">
        <v>168.0</v>
      </c>
      <c r="J53" s="166">
        <v>2550000.0</v>
      </c>
      <c r="K53" s="166">
        <v>2550000.0</v>
      </c>
      <c r="L53" s="162">
        <v>1786176.0</v>
      </c>
      <c r="M53" s="162">
        <v>1786176.0</v>
      </c>
      <c r="N53" s="163">
        <f t="shared" ref="N53:O53" si="64">J53+L53</f>
        <v>4336176</v>
      </c>
      <c r="O53" s="163">
        <f t="shared" si="64"/>
        <v>4336176</v>
      </c>
      <c r="P53" s="81"/>
      <c r="Q53" s="127">
        <v>2550000.0</v>
      </c>
      <c r="R53" s="127">
        <v>2550000.0</v>
      </c>
      <c r="S53" s="127">
        <v>1786176.0</v>
      </c>
      <c r="T53" s="127">
        <v>1786176.0</v>
      </c>
      <c r="U53" s="127">
        <v>4336176.0</v>
      </c>
      <c r="V53" s="127">
        <v>4336176.0</v>
      </c>
      <c r="W53" s="164">
        <f t="shared" ref="W53:AB53" si="65">+J53-Q53</f>
        <v>0</v>
      </c>
      <c r="X53" s="164">
        <f t="shared" si="65"/>
        <v>0</v>
      </c>
      <c r="Y53" s="164">
        <f t="shared" si="65"/>
        <v>0</v>
      </c>
      <c r="Z53" s="164">
        <f t="shared" si="65"/>
        <v>0</v>
      </c>
      <c r="AA53" s="164">
        <f t="shared" si="65"/>
        <v>0</v>
      </c>
      <c r="AB53" s="164">
        <f t="shared" si="65"/>
        <v>0</v>
      </c>
      <c r="AC53" s="81"/>
      <c r="AD53" s="81"/>
      <c r="AE53" s="81"/>
      <c r="AF53" s="81"/>
      <c r="AG53" s="77"/>
      <c r="AH53" s="77"/>
      <c r="AI53" s="81"/>
      <c r="AJ53" s="81"/>
      <c r="AK53" s="81"/>
      <c r="AL53" s="81"/>
      <c r="AM53" s="81"/>
      <c r="AN53" s="81"/>
      <c r="AO53" s="81"/>
      <c r="AP53" s="81"/>
    </row>
    <row r="54" ht="28.5" customHeight="1">
      <c r="A54" s="81"/>
      <c r="B54" s="77"/>
      <c r="C54" s="130"/>
      <c r="D54" s="165" t="s">
        <v>83</v>
      </c>
      <c r="E54" s="165" t="s">
        <v>93</v>
      </c>
      <c r="F54" s="165"/>
      <c r="G54" s="165"/>
      <c r="H54" s="165"/>
      <c r="I54" s="165">
        <v>144.0</v>
      </c>
      <c r="J54" s="166">
        <v>2300000.0</v>
      </c>
      <c r="K54" s="166">
        <v>2300000.0</v>
      </c>
      <c r="L54" s="162">
        <v>1531008.0</v>
      </c>
      <c r="M54" s="162">
        <v>1531008.0</v>
      </c>
      <c r="N54" s="163">
        <f t="shared" ref="N54:O54" si="66">J54+L54</f>
        <v>3831008</v>
      </c>
      <c r="O54" s="163">
        <f t="shared" si="66"/>
        <v>3831008</v>
      </c>
      <c r="P54" s="81"/>
      <c r="Q54" s="127">
        <v>2300000.0</v>
      </c>
      <c r="R54" s="127">
        <v>2300000.0</v>
      </c>
      <c r="S54" s="127">
        <v>1531007.9999999998</v>
      </c>
      <c r="T54" s="127">
        <v>1531007.9999999998</v>
      </c>
      <c r="U54" s="127">
        <v>3831008.0</v>
      </c>
      <c r="V54" s="127">
        <v>3831008.0</v>
      </c>
      <c r="W54" s="164">
        <f t="shared" ref="W54:AB54" si="67">+J54-Q54</f>
        <v>0</v>
      </c>
      <c r="X54" s="164">
        <f t="shared" si="67"/>
        <v>0</v>
      </c>
      <c r="Y54" s="164">
        <f t="shared" si="67"/>
        <v>0.0000000002328306437</v>
      </c>
      <c r="Z54" s="164">
        <f t="shared" si="67"/>
        <v>0.0000000002328306437</v>
      </c>
      <c r="AA54" s="164">
        <f t="shared" si="67"/>
        <v>0</v>
      </c>
      <c r="AB54" s="164">
        <f t="shared" si="67"/>
        <v>0</v>
      </c>
      <c r="AC54" s="81"/>
      <c r="AD54" s="81"/>
      <c r="AE54" s="81"/>
      <c r="AF54" s="81"/>
      <c r="AG54" s="77"/>
      <c r="AH54" s="77"/>
      <c r="AI54" s="81"/>
      <c r="AJ54" s="81"/>
      <c r="AK54" s="81"/>
      <c r="AL54" s="81"/>
      <c r="AM54" s="81"/>
      <c r="AN54" s="81"/>
      <c r="AO54" s="81"/>
      <c r="AP54" s="81"/>
    </row>
    <row r="55" ht="28.5" customHeight="1">
      <c r="A55" s="81"/>
      <c r="B55" s="77"/>
      <c r="C55" s="130"/>
      <c r="D55" s="165" t="s">
        <v>93</v>
      </c>
      <c r="E55" s="165" t="s">
        <v>86</v>
      </c>
      <c r="F55" s="165"/>
      <c r="G55" s="165"/>
      <c r="H55" s="165" t="s">
        <v>83</v>
      </c>
      <c r="I55" s="165">
        <v>177.0</v>
      </c>
      <c r="J55" s="166">
        <v>2580000.0</v>
      </c>
      <c r="K55" s="166">
        <v>2580000.0</v>
      </c>
      <c r="L55" s="162">
        <v>1881864.0</v>
      </c>
      <c r="M55" s="162">
        <v>1881864.0</v>
      </c>
      <c r="N55" s="163">
        <f t="shared" ref="N55:O55" si="68">J55+L55</f>
        <v>4461864</v>
      </c>
      <c r="O55" s="163">
        <f t="shared" si="68"/>
        <v>4461864</v>
      </c>
      <c r="P55" s="81"/>
      <c r="Q55" s="127">
        <v>2580000.0</v>
      </c>
      <c r="R55" s="127">
        <v>2580000.0</v>
      </c>
      <c r="S55" s="127">
        <v>1881864.0</v>
      </c>
      <c r="T55" s="127">
        <v>1881864.0</v>
      </c>
      <c r="U55" s="127">
        <v>4461864.0</v>
      </c>
      <c r="V55" s="127">
        <v>4461864.0</v>
      </c>
      <c r="W55" s="164">
        <f t="shared" ref="W55:AB55" si="69">+J55-Q55</f>
        <v>0</v>
      </c>
      <c r="X55" s="164">
        <f t="shared" si="69"/>
        <v>0</v>
      </c>
      <c r="Y55" s="164">
        <f t="shared" si="69"/>
        <v>0</v>
      </c>
      <c r="Z55" s="164">
        <f t="shared" si="69"/>
        <v>0</v>
      </c>
      <c r="AA55" s="164">
        <f t="shared" si="69"/>
        <v>0</v>
      </c>
      <c r="AB55" s="164">
        <f t="shared" si="69"/>
        <v>0</v>
      </c>
      <c r="AC55" s="81"/>
      <c r="AD55" s="81"/>
      <c r="AE55" s="81"/>
      <c r="AF55" s="81"/>
      <c r="AG55" s="77"/>
      <c r="AH55" s="77"/>
      <c r="AI55" s="81"/>
      <c r="AJ55" s="81"/>
      <c r="AK55" s="81"/>
      <c r="AL55" s="81"/>
      <c r="AM55" s="81"/>
      <c r="AN55" s="81"/>
      <c r="AO55" s="81"/>
      <c r="AP55" s="81"/>
    </row>
    <row r="56" ht="28.5" customHeight="1">
      <c r="A56" s="81"/>
      <c r="B56" s="77"/>
      <c r="C56" s="130"/>
      <c r="D56" s="165" t="s">
        <v>83</v>
      </c>
      <c r="E56" s="165" t="s">
        <v>94</v>
      </c>
      <c r="F56" s="165"/>
      <c r="G56" s="165"/>
      <c r="H56" s="165"/>
      <c r="I56" s="165">
        <v>133.0</v>
      </c>
      <c r="J56" s="166">
        <v>2210000.0</v>
      </c>
      <c r="K56" s="166">
        <v>2210000.0</v>
      </c>
      <c r="L56" s="162">
        <v>1414056.0</v>
      </c>
      <c r="M56" s="162">
        <v>1414056.0</v>
      </c>
      <c r="N56" s="163">
        <f t="shared" ref="N56:O56" si="70">J56+L56</f>
        <v>3624056</v>
      </c>
      <c r="O56" s="163">
        <f t="shared" si="70"/>
        <v>3624056</v>
      </c>
      <c r="P56" s="81"/>
      <c r="Q56" s="127">
        <v>2210000.0</v>
      </c>
      <c r="R56" s="127">
        <v>2210000.0</v>
      </c>
      <c r="S56" s="127">
        <v>1414056.0</v>
      </c>
      <c r="T56" s="127">
        <v>1414056.0</v>
      </c>
      <c r="U56" s="127">
        <v>3624056.0</v>
      </c>
      <c r="V56" s="127">
        <v>3624056.0</v>
      </c>
      <c r="W56" s="164">
        <f t="shared" ref="W56:AB56" si="71">+J56-Q56</f>
        <v>0</v>
      </c>
      <c r="X56" s="164">
        <f t="shared" si="71"/>
        <v>0</v>
      </c>
      <c r="Y56" s="164">
        <f t="shared" si="71"/>
        <v>0</v>
      </c>
      <c r="Z56" s="164">
        <f t="shared" si="71"/>
        <v>0</v>
      </c>
      <c r="AA56" s="164">
        <f t="shared" si="71"/>
        <v>0</v>
      </c>
      <c r="AB56" s="164">
        <f t="shared" si="71"/>
        <v>0</v>
      </c>
      <c r="AC56" s="81"/>
      <c r="AD56" s="81"/>
      <c r="AE56" s="81"/>
      <c r="AF56" s="81"/>
      <c r="AG56" s="77"/>
      <c r="AH56" s="77"/>
      <c r="AI56" s="81"/>
      <c r="AJ56" s="81"/>
      <c r="AK56" s="81"/>
      <c r="AL56" s="81"/>
      <c r="AM56" s="81"/>
      <c r="AN56" s="81"/>
      <c r="AO56" s="81"/>
      <c r="AP56" s="81"/>
    </row>
    <row r="57" ht="28.5" customHeight="1">
      <c r="A57" s="81"/>
      <c r="B57" s="77"/>
      <c r="C57" s="130"/>
      <c r="D57" s="165" t="s">
        <v>94</v>
      </c>
      <c r="E57" s="165" t="s">
        <v>84</v>
      </c>
      <c r="F57" s="165"/>
      <c r="G57" s="165"/>
      <c r="H57" s="165" t="s">
        <v>83</v>
      </c>
      <c r="I57" s="165">
        <v>179.0</v>
      </c>
      <c r="J57" s="166">
        <v>2530000.0</v>
      </c>
      <c r="K57" s="166">
        <v>2530000.0</v>
      </c>
      <c r="L57" s="162">
        <v>1903128.0</v>
      </c>
      <c r="M57" s="162">
        <v>1903128.0</v>
      </c>
      <c r="N57" s="163">
        <f t="shared" ref="N57:O57" si="72">J57+L57</f>
        <v>4433128</v>
      </c>
      <c r="O57" s="163">
        <f t="shared" si="72"/>
        <v>4433128</v>
      </c>
      <c r="P57" s="81"/>
      <c r="Q57" s="127">
        <v>2530000.0</v>
      </c>
      <c r="R57" s="127">
        <v>2530000.0</v>
      </c>
      <c r="S57" s="127">
        <v>1903127.9999999998</v>
      </c>
      <c r="T57" s="127">
        <v>1903127.9999999998</v>
      </c>
      <c r="U57" s="127">
        <v>4433128.0</v>
      </c>
      <c r="V57" s="127">
        <v>4433128.0</v>
      </c>
      <c r="W57" s="164">
        <f t="shared" ref="W57:AB57" si="73">+J57-Q57</f>
        <v>0</v>
      </c>
      <c r="X57" s="164">
        <f t="shared" si="73"/>
        <v>0</v>
      </c>
      <c r="Y57" s="164">
        <f t="shared" si="73"/>
        <v>0.0000000002328306437</v>
      </c>
      <c r="Z57" s="164">
        <f t="shared" si="73"/>
        <v>0.0000000002328306437</v>
      </c>
      <c r="AA57" s="164">
        <f t="shared" si="73"/>
        <v>0</v>
      </c>
      <c r="AB57" s="164">
        <f t="shared" si="73"/>
        <v>0</v>
      </c>
      <c r="AC57" s="81"/>
      <c r="AD57" s="81"/>
      <c r="AE57" s="81"/>
      <c r="AF57" s="81"/>
      <c r="AG57" s="77"/>
      <c r="AH57" s="77"/>
      <c r="AI57" s="81"/>
      <c r="AJ57" s="81"/>
      <c r="AK57" s="81"/>
      <c r="AL57" s="81"/>
      <c r="AM57" s="81"/>
      <c r="AN57" s="81"/>
      <c r="AO57" s="81"/>
      <c r="AP57" s="81"/>
    </row>
    <row r="58" ht="28.5" customHeight="1">
      <c r="A58" s="81"/>
      <c r="B58" s="77"/>
      <c r="C58" s="130"/>
      <c r="D58" s="165" t="s">
        <v>83</v>
      </c>
      <c r="E58" s="165" t="s">
        <v>94</v>
      </c>
      <c r="F58" s="165"/>
      <c r="G58" s="165"/>
      <c r="H58" s="165"/>
      <c r="I58" s="165">
        <v>133.0</v>
      </c>
      <c r="J58" s="166">
        <v>2210000.0</v>
      </c>
      <c r="K58" s="166">
        <v>2210000.0</v>
      </c>
      <c r="L58" s="162">
        <v>1414056.0</v>
      </c>
      <c r="M58" s="162">
        <v>1414056.0</v>
      </c>
      <c r="N58" s="163">
        <f t="shared" ref="N58:O58" si="74">J58+L58</f>
        <v>3624056</v>
      </c>
      <c r="O58" s="163">
        <f t="shared" si="74"/>
        <v>3624056</v>
      </c>
      <c r="P58" s="81"/>
      <c r="Q58" s="127">
        <v>2210000.0</v>
      </c>
      <c r="R58" s="127">
        <v>2210000.0</v>
      </c>
      <c r="S58" s="127">
        <v>1414056.0</v>
      </c>
      <c r="T58" s="127">
        <v>1414056.0</v>
      </c>
      <c r="U58" s="127">
        <v>3624056.0</v>
      </c>
      <c r="V58" s="127">
        <v>3624056.0</v>
      </c>
      <c r="W58" s="164">
        <f t="shared" ref="W58:AB58" si="75">+J58-Q58</f>
        <v>0</v>
      </c>
      <c r="X58" s="164">
        <f t="shared" si="75"/>
        <v>0</v>
      </c>
      <c r="Y58" s="164">
        <f t="shared" si="75"/>
        <v>0</v>
      </c>
      <c r="Z58" s="164">
        <f t="shared" si="75"/>
        <v>0</v>
      </c>
      <c r="AA58" s="164">
        <f t="shared" si="75"/>
        <v>0</v>
      </c>
      <c r="AB58" s="164">
        <f t="shared" si="75"/>
        <v>0</v>
      </c>
      <c r="AC58" s="81"/>
      <c r="AD58" s="81"/>
      <c r="AE58" s="81"/>
      <c r="AF58" s="81"/>
      <c r="AG58" s="77"/>
      <c r="AH58" s="77"/>
      <c r="AI58" s="81"/>
      <c r="AJ58" s="81"/>
      <c r="AK58" s="81"/>
      <c r="AL58" s="81"/>
      <c r="AM58" s="81"/>
      <c r="AN58" s="81"/>
      <c r="AO58" s="81"/>
      <c r="AP58" s="81"/>
    </row>
    <row r="59" ht="28.5" customHeight="1">
      <c r="A59" s="81"/>
      <c r="B59" s="77"/>
      <c r="C59" s="130"/>
      <c r="D59" s="165" t="s">
        <v>94</v>
      </c>
      <c r="E59" s="165" t="s">
        <v>85</v>
      </c>
      <c r="F59" s="165"/>
      <c r="G59" s="165"/>
      <c r="H59" s="165" t="s">
        <v>83</v>
      </c>
      <c r="I59" s="165">
        <v>133.0</v>
      </c>
      <c r="J59" s="166">
        <v>2210000.0</v>
      </c>
      <c r="K59" s="166">
        <v>2210000.0</v>
      </c>
      <c r="L59" s="162">
        <v>1414056.0</v>
      </c>
      <c r="M59" s="162">
        <v>1414056.0</v>
      </c>
      <c r="N59" s="163">
        <f t="shared" ref="N59:O59" si="76">J59+L59</f>
        <v>3624056</v>
      </c>
      <c r="O59" s="163">
        <f t="shared" si="76"/>
        <v>3624056</v>
      </c>
      <c r="P59" s="81"/>
      <c r="Q59" s="127">
        <v>2210000.0</v>
      </c>
      <c r="R59" s="127">
        <v>2210000.0</v>
      </c>
      <c r="S59" s="127">
        <v>1414056.0</v>
      </c>
      <c r="T59" s="127">
        <v>1414056.0</v>
      </c>
      <c r="U59" s="127">
        <v>3624056.0</v>
      </c>
      <c r="V59" s="127">
        <v>3624056.0</v>
      </c>
      <c r="W59" s="164">
        <f t="shared" ref="W59:AB59" si="77">+J59-Q59</f>
        <v>0</v>
      </c>
      <c r="X59" s="164">
        <f t="shared" si="77"/>
        <v>0</v>
      </c>
      <c r="Y59" s="164">
        <f t="shared" si="77"/>
        <v>0</v>
      </c>
      <c r="Z59" s="164">
        <f t="shared" si="77"/>
        <v>0</v>
      </c>
      <c r="AA59" s="164">
        <f t="shared" si="77"/>
        <v>0</v>
      </c>
      <c r="AB59" s="164">
        <f t="shared" si="77"/>
        <v>0</v>
      </c>
      <c r="AC59" s="81"/>
      <c r="AD59" s="81"/>
      <c r="AE59" s="81"/>
      <c r="AF59" s="81"/>
      <c r="AG59" s="77"/>
      <c r="AH59" s="77"/>
      <c r="AI59" s="81"/>
      <c r="AJ59" s="81"/>
      <c r="AK59" s="81"/>
      <c r="AL59" s="81"/>
      <c r="AM59" s="81"/>
      <c r="AN59" s="81"/>
      <c r="AO59" s="81"/>
      <c r="AP59" s="81"/>
    </row>
    <row r="60" ht="28.5" customHeight="1">
      <c r="A60" s="81"/>
      <c r="B60" s="77"/>
      <c r="C60" s="130"/>
      <c r="D60" s="165" t="s">
        <v>83</v>
      </c>
      <c r="E60" s="165" t="s">
        <v>94</v>
      </c>
      <c r="F60" s="165"/>
      <c r="G60" s="165"/>
      <c r="H60" s="165"/>
      <c r="I60" s="165">
        <v>133.0</v>
      </c>
      <c r="J60" s="166">
        <v>2210000.0</v>
      </c>
      <c r="K60" s="166">
        <v>2210000.0</v>
      </c>
      <c r="L60" s="162">
        <v>1414056.0</v>
      </c>
      <c r="M60" s="162">
        <v>1414056.0</v>
      </c>
      <c r="N60" s="163">
        <f t="shared" ref="N60:O60" si="78">J60+L60</f>
        <v>3624056</v>
      </c>
      <c r="O60" s="163">
        <f t="shared" si="78"/>
        <v>3624056</v>
      </c>
      <c r="P60" s="81"/>
      <c r="Q60" s="127">
        <v>2210000.0</v>
      </c>
      <c r="R60" s="127">
        <v>2210000.0</v>
      </c>
      <c r="S60" s="127">
        <v>1414056.0</v>
      </c>
      <c r="T60" s="127">
        <v>1414056.0</v>
      </c>
      <c r="U60" s="127">
        <v>3624056.0</v>
      </c>
      <c r="V60" s="127">
        <v>3624056.0</v>
      </c>
      <c r="W60" s="164">
        <f t="shared" ref="W60:AB60" si="79">+J60-Q60</f>
        <v>0</v>
      </c>
      <c r="X60" s="164">
        <f t="shared" si="79"/>
        <v>0</v>
      </c>
      <c r="Y60" s="164">
        <f t="shared" si="79"/>
        <v>0</v>
      </c>
      <c r="Z60" s="164">
        <f t="shared" si="79"/>
        <v>0</v>
      </c>
      <c r="AA60" s="164">
        <f t="shared" si="79"/>
        <v>0</v>
      </c>
      <c r="AB60" s="164">
        <f t="shared" si="79"/>
        <v>0</v>
      </c>
      <c r="AC60" s="81"/>
      <c r="AD60" s="81"/>
      <c r="AE60" s="81"/>
      <c r="AF60" s="81"/>
      <c r="AG60" s="77"/>
      <c r="AH60" s="77"/>
      <c r="AI60" s="81"/>
      <c r="AJ60" s="81"/>
      <c r="AK60" s="81"/>
      <c r="AL60" s="81"/>
      <c r="AM60" s="81"/>
      <c r="AN60" s="81"/>
      <c r="AO60" s="81"/>
      <c r="AP60" s="81"/>
    </row>
    <row r="61" ht="28.5" customHeight="1">
      <c r="A61" s="81"/>
      <c r="B61" s="77"/>
      <c r="C61" s="130"/>
      <c r="D61" s="165" t="s">
        <v>94</v>
      </c>
      <c r="E61" s="165" t="s">
        <v>86</v>
      </c>
      <c r="F61" s="165"/>
      <c r="G61" s="165"/>
      <c r="H61" s="165" t="s">
        <v>83</v>
      </c>
      <c r="I61" s="165">
        <v>147.0</v>
      </c>
      <c r="J61" s="166">
        <v>2420000.0</v>
      </c>
      <c r="K61" s="166">
        <v>2420000.0</v>
      </c>
      <c r="L61" s="162">
        <v>1562904.0</v>
      </c>
      <c r="M61" s="162">
        <v>1562904.0</v>
      </c>
      <c r="N61" s="163">
        <f t="shared" ref="N61:O61" si="80">J61+L61</f>
        <v>3982904</v>
      </c>
      <c r="O61" s="163">
        <f t="shared" si="80"/>
        <v>3982904</v>
      </c>
      <c r="P61" s="81"/>
      <c r="Q61" s="127">
        <v>2420000.0</v>
      </c>
      <c r="R61" s="127">
        <v>2420000.0</v>
      </c>
      <c r="S61" s="127">
        <v>1562904.0</v>
      </c>
      <c r="T61" s="127">
        <v>1562904.0</v>
      </c>
      <c r="U61" s="127">
        <v>3982904.0</v>
      </c>
      <c r="V61" s="127">
        <v>3982904.0</v>
      </c>
      <c r="W61" s="164">
        <f t="shared" ref="W61:AB61" si="81">+J61-Q61</f>
        <v>0</v>
      </c>
      <c r="X61" s="164">
        <f t="shared" si="81"/>
        <v>0</v>
      </c>
      <c r="Y61" s="164">
        <f t="shared" si="81"/>
        <v>0</v>
      </c>
      <c r="Z61" s="164">
        <f t="shared" si="81"/>
        <v>0</v>
      </c>
      <c r="AA61" s="164">
        <f t="shared" si="81"/>
        <v>0</v>
      </c>
      <c r="AB61" s="164">
        <f t="shared" si="81"/>
        <v>0</v>
      </c>
      <c r="AC61" s="81"/>
      <c r="AD61" s="81"/>
      <c r="AE61" s="81"/>
      <c r="AF61" s="81"/>
      <c r="AG61" s="77"/>
      <c r="AH61" s="77"/>
      <c r="AI61" s="81"/>
      <c r="AJ61" s="81"/>
      <c r="AK61" s="81"/>
      <c r="AL61" s="81"/>
      <c r="AM61" s="81"/>
      <c r="AN61" s="81"/>
      <c r="AO61" s="81"/>
      <c r="AP61" s="81"/>
    </row>
    <row r="62" ht="28.5" customHeight="1">
      <c r="A62" s="81"/>
      <c r="B62" s="77"/>
      <c r="C62" s="130"/>
      <c r="D62" s="165" t="s">
        <v>83</v>
      </c>
      <c r="E62" s="165" t="s">
        <v>95</v>
      </c>
      <c r="F62" s="165"/>
      <c r="G62" s="165"/>
      <c r="H62" s="165"/>
      <c r="I62" s="165">
        <v>122.0</v>
      </c>
      <c r="J62" s="166">
        <v>2170000.0</v>
      </c>
      <c r="K62" s="166">
        <v>2170000.0</v>
      </c>
      <c r="L62" s="162">
        <v>1297104.0</v>
      </c>
      <c r="M62" s="162">
        <v>1297104.0</v>
      </c>
      <c r="N62" s="163">
        <f t="shared" ref="N62:O62" si="82">J62+L62</f>
        <v>3467104</v>
      </c>
      <c r="O62" s="163">
        <f t="shared" si="82"/>
        <v>3467104</v>
      </c>
      <c r="P62" s="81"/>
      <c r="Q62" s="127">
        <v>2170000.0</v>
      </c>
      <c r="R62" s="127">
        <v>2170000.0</v>
      </c>
      <c r="S62" s="127">
        <v>1297104.0</v>
      </c>
      <c r="T62" s="127">
        <v>1297104.0</v>
      </c>
      <c r="U62" s="127">
        <v>3467104.0</v>
      </c>
      <c r="V62" s="127">
        <v>3467104.0</v>
      </c>
      <c r="W62" s="164">
        <f t="shared" ref="W62:AB62" si="83">+J62-Q62</f>
        <v>0</v>
      </c>
      <c r="X62" s="164">
        <f t="shared" si="83"/>
        <v>0</v>
      </c>
      <c r="Y62" s="164">
        <f t="shared" si="83"/>
        <v>0</v>
      </c>
      <c r="Z62" s="164">
        <f t="shared" si="83"/>
        <v>0</v>
      </c>
      <c r="AA62" s="164">
        <f t="shared" si="83"/>
        <v>0</v>
      </c>
      <c r="AB62" s="164">
        <f t="shared" si="83"/>
        <v>0</v>
      </c>
      <c r="AC62" s="81"/>
      <c r="AD62" s="81"/>
      <c r="AE62" s="81"/>
      <c r="AF62" s="81"/>
      <c r="AG62" s="77"/>
      <c r="AH62" s="77"/>
      <c r="AI62" s="81"/>
      <c r="AJ62" s="81"/>
      <c r="AK62" s="81"/>
      <c r="AL62" s="81"/>
      <c r="AM62" s="81"/>
      <c r="AN62" s="81"/>
      <c r="AO62" s="81"/>
      <c r="AP62" s="81"/>
    </row>
    <row r="63" ht="28.5" customHeight="1">
      <c r="A63" s="81"/>
      <c r="B63" s="77"/>
      <c r="C63" s="130"/>
      <c r="D63" s="165" t="s">
        <v>95</v>
      </c>
      <c r="E63" s="165" t="s">
        <v>84</v>
      </c>
      <c r="F63" s="165"/>
      <c r="G63" s="165"/>
      <c r="H63" s="165" t="s">
        <v>83</v>
      </c>
      <c r="I63" s="165">
        <v>199.0</v>
      </c>
      <c r="J63" s="166">
        <v>2610000.0</v>
      </c>
      <c r="K63" s="166">
        <v>2610000.0</v>
      </c>
      <c r="L63" s="162">
        <v>2115768.0</v>
      </c>
      <c r="M63" s="162">
        <v>2115768.0</v>
      </c>
      <c r="N63" s="163">
        <f t="shared" ref="N63:O63" si="84">J63+L63</f>
        <v>4725768</v>
      </c>
      <c r="O63" s="163">
        <f t="shared" si="84"/>
        <v>4725768</v>
      </c>
      <c r="P63" s="81"/>
      <c r="Q63" s="127">
        <v>2610000.0</v>
      </c>
      <c r="R63" s="127">
        <v>2610000.0</v>
      </c>
      <c r="S63" s="127">
        <v>2115768.0</v>
      </c>
      <c r="T63" s="127">
        <v>2115768.0</v>
      </c>
      <c r="U63" s="127">
        <v>4725768.0</v>
      </c>
      <c r="V63" s="127">
        <v>4725768.0</v>
      </c>
      <c r="W63" s="164">
        <f t="shared" ref="W63:AB63" si="85">+J63-Q63</f>
        <v>0</v>
      </c>
      <c r="X63" s="164">
        <f t="shared" si="85"/>
        <v>0</v>
      </c>
      <c r="Y63" s="164">
        <f t="shared" si="85"/>
        <v>0</v>
      </c>
      <c r="Z63" s="164">
        <f t="shared" si="85"/>
        <v>0</v>
      </c>
      <c r="AA63" s="164">
        <f t="shared" si="85"/>
        <v>0</v>
      </c>
      <c r="AB63" s="164">
        <f t="shared" si="85"/>
        <v>0</v>
      </c>
      <c r="AC63" s="81"/>
      <c r="AD63" s="81"/>
      <c r="AE63" s="81"/>
      <c r="AF63" s="81"/>
      <c r="AG63" s="77"/>
      <c r="AH63" s="77"/>
      <c r="AI63" s="81"/>
      <c r="AJ63" s="81"/>
      <c r="AK63" s="81"/>
      <c r="AL63" s="81"/>
      <c r="AM63" s="81"/>
      <c r="AN63" s="81"/>
      <c r="AO63" s="81"/>
      <c r="AP63" s="81"/>
    </row>
    <row r="64" ht="28.5" customHeight="1">
      <c r="A64" s="81"/>
      <c r="B64" s="77"/>
      <c r="C64" s="130"/>
      <c r="D64" s="165" t="s">
        <v>83</v>
      </c>
      <c r="E64" s="165" t="s">
        <v>95</v>
      </c>
      <c r="F64" s="165"/>
      <c r="G64" s="165"/>
      <c r="H64" s="165"/>
      <c r="I64" s="165">
        <v>122.0</v>
      </c>
      <c r="J64" s="166">
        <v>2170000.0</v>
      </c>
      <c r="K64" s="166">
        <v>2170000.0</v>
      </c>
      <c r="L64" s="162">
        <v>1297104.0</v>
      </c>
      <c r="M64" s="162">
        <v>1297104.0</v>
      </c>
      <c r="N64" s="163">
        <f t="shared" ref="N64:O64" si="86">J64+L64</f>
        <v>3467104</v>
      </c>
      <c r="O64" s="163">
        <f t="shared" si="86"/>
        <v>3467104</v>
      </c>
      <c r="P64" s="81"/>
      <c r="Q64" s="127">
        <v>2170000.0</v>
      </c>
      <c r="R64" s="127">
        <v>2170000.0</v>
      </c>
      <c r="S64" s="127">
        <v>1297104.0</v>
      </c>
      <c r="T64" s="127">
        <v>1297104.0</v>
      </c>
      <c r="U64" s="127">
        <v>3467104.0</v>
      </c>
      <c r="V64" s="127">
        <v>3467104.0</v>
      </c>
      <c r="W64" s="164">
        <f t="shared" ref="W64:AB64" si="87">+J64-Q64</f>
        <v>0</v>
      </c>
      <c r="X64" s="164">
        <f t="shared" si="87"/>
        <v>0</v>
      </c>
      <c r="Y64" s="164">
        <f t="shared" si="87"/>
        <v>0</v>
      </c>
      <c r="Z64" s="164">
        <f t="shared" si="87"/>
        <v>0</v>
      </c>
      <c r="AA64" s="164">
        <f t="shared" si="87"/>
        <v>0</v>
      </c>
      <c r="AB64" s="164">
        <f t="shared" si="87"/>
        <v>0</v>
      </c>
      <c r="AC64" s="81"/>
      <c r="AD64" s="81"/>
      <c r="AE64" s="81"/>
      <c r="AF64" s="81"/>
      <c r="AG64" s="77"/>
      <c r="AH64" s="77"/>
      <c r="AI64" s="81"/>
      <c r="AJ64" s="81"/>
      <c r="AK64" s="81"/>
      <c r="AL64" s="81"/>
      <c r="AM64" s="81"/>
      <c r="AN64" s="81"/>
      <c r="AO64" s="81"/>
      <c r="AP64" s="81"/>
    </row>
    <row r="65" ht="28.5" customHeight="1">
      <c r="A65" s="81"/>
      <c r="B65" s="77"/>
      <c r="C65" s="130"/>
      <c r="D65" s="165" t="s">
        <v>95</v>
      </c>
      <c r="E65" s="165" t="s">
        <v>85</v>
      </c>
      <c r="F65" s="165"/>
      <c r="G65" s="165"/>
      <c r="H65" s="165" t="s">
        <v>83</v>
      </c>
      <c r="I65" s="165">
        <v>153.0</v>
      </c>
      <c r="J65" s="166">
        <v>2440000.0</v>
      </c>
      <c r="K65" s="166">
        <v>2440000.0</v>
      </c>
      <c r="L65" s="162">
        <v>1626696.0</v>
      </c>
      <c r="M65" s="162">
        <v>1626696.0</v>
      </c>
      <c r="N65" s="163">
        <f t="shared" ref="N65:O65" si="88">J65+L65</f>
        <v>4066696</v>
      </c>
      <c r="O65" s="163">
        <f t="shared" si="88"/>
        <v>4066696</v>
      </c>
      <c r="P65" s="81"/>
      <c r="Q65" s="127">
        <v>2440000.0</v>
      </c>
      <c r="R65" s="127">
        <v>2440000.0</v>
      </c>
      <c r="S65" s="127">
        <v>1626696.0</v>
      </c>
      <c r="T65" s="127">
        <v>1626696.0</v>
      </c>
      <c r="U65" s="127">
        <v>4066696.0</v>
      </c>
      <c r="V65" s="127">
        <v>4066696.0</v>
      </c>
      <c r="W65" s="164">
        <f t="shared" ref="W65:AB65" si="89">+J65-Q65</f>
        <v>0</v>
      </c>
      <c r="X65" s="164">
        <f t="shared" si="89"/>
        <v>0</v>
      </c>
      <c r="Y65" s="164">
        <f t="shared" si="89"/>
        <v>0</v>
      </c>
      <c r="Z65" s="164">
        <f t="shared" si="89"/>
        <v>0</v>
      </c>
      <c r="AA65" s="164">
        <f t="shared" si="89"/>
        <v>0</v>
      </c>
      <c r="AB65" s="164">
        <f t="shared" si="89"/>
        <v>0</v>
      </c>
      <c r="AC65" s="81"/>
      <c r="AD65" s="81"/>
      <c r="AE65" s="81"/>
      <c r="AF65" s="81"/>
      <c r="AG65" s="77"/>
      <c r="AH65" s="77"/>
      <c r="AI65" s="81"/>
      <c r="AJ65" s="81"/>
      <c r="AK65" s="81"/>
      <c r="AL65" s="81"/>
      <c r="AM65" s="81"/>
      <c r="AN65" s="81"/>
      <c r="AO65" s="81"/>
      <c r="AP65" s="81"/>
    </row>
    <row r="66" ht="28.5" customHeight="1">
      <c r="A66" s="81"/>
      <c r="B66" s="77"/>
      <c r="C66" s="130"/>
      <c r="D66" s="126" t="s">
        <v>83</v>
      </c>
      <c r="E66" s="126" t="s">
        <v>95</v>
      </c>
      <c r="F66" s="126"/>
      <c r="G66" s="126"/>
      <c r="H66" s="126"/>
      <c r="I66" s="126">
        <v>122.0</v>
      </c>
      <c r="J66" s="161">
        <v>2170000.0</v>
      </c>
      <c r="K66" s="161">
        <v>2170000.0</v>
      </c>
      <c r="L66" s="162">
        <v>1297104.0</v>
      </c>
      <c r="M66" s="162">
        <v>1297104.0</v>
      </c>
      <c r="N66" s="163">
        <f t="shared" ref="N66:O66" si="90">J66+L66</f>
        <v>3467104</v>
      </c>
      <c r="O66" s="163">
        <f t="shared" si="90"/>
        <v>3467104</v>
      </c>
      <c r="P66" s="81"/>
      <c r="Q66" s="127">
        <v>2170000.0</v>
      </c>
      <c r="R66" s="127">
        <v>2170000.0</v>
      </c>
      <c r="S66" s="127">
        <v>1297104.0</v>
      </c>
      <c r="T66" s="127">
        <v>1297104.0</v>
      </c>
      <c r="U66" s="127">
        <v>3467104.0</v>
      </c>
      <c r="V66" s="127">
        <v>3467104.0</v>
      </c>
      <c r="W66" s="164">
        <f t="shared" ref="W66:AB66" si="91">+J66-Q66</f>
        <v>0</v>
      </c>
      <c r="X66" s="164">
        <f t="shared" si="91"/>
        <v>0</v>
      </c>
      <c r="Y66" s="164">
        <f t="shared" si="91"/>
        <v>0</v>
      </c>
      <c r="Z66" s="164">
        <f t="shared" si="91"/>
        <v>0</v>
      </c>
      <c r="AA66" s="164">
        <f t="shared" si="91"/>
        <v>0</v>
      </c>
      <c r="AB66" s="164">
        <f t="shared" si="91"/>
        <v>0</v>
      </c>
      <c r="AC66" s="81"/>
      <c r="AD66" s="81"/>
      <c r="AE66" s="81"/>
      <c r="AF66" s="81"/>
      <c r="AG66" s="77"/>
      <c r="AH66" s="77"/>
      <c r="AI66" s="81"/>
      <c r="AJ66" s="81"/>
      <c r="AK66" s="81"/>
      <c r="AL66" s="81"/>
      <c r="AM66" s="81"/>
      <c r="AN66" s="81"/>
      <c r="AO66" s="81"/>
      <c r="AP66" s="81"/>
    </row>
    <row r="67" ht="28.5" customHeight="1">
      <c r="A67" s="81"/>
      <c r="B67" s="77"/>
      <c r="C67" s="118"/>
      <c r="D67" s="126" t="s">
        <v>95</v>
      </c>
      <c r="E67" s="126" t="s">
        <v>86</v>
      </c>
      <c r="F67" s="126"/>
      <c r="G67" s="126"/>
      <c r="H67" s="126" t="s">
        <v>83</v>
      </c>
      <c r="I67" s="126">
        <v>122.0</v>
      </c>
      <c r="J67" s="161">
        <v>2170000.0</v>
      </c>
      <c r="K67" s="161">
        <v>2170000.0</v>
      </c>
      <c r="L67" s="162">
        <v>1297104.0</v>
      </c>
      <c r="M67" s="162">
        <v>1297104.0</v>
      </c>
      <c r="N67" s="163">
        <f t="shared" ref="N67:O67" si="92">J67+L67</f>
        <v>3467104</v>
      </c>
      <c r="O67" s="163">
        <f t="shared" si="92"/>
        <v>3467104</v>
      </c>
      <c r="P67" s="81"/>
      <c r="Q67" s="127">
        <v>2170000.0</v>
      </c>
      <c r="R67" s="127">
        <v>2170000.0</v>
      </c>
      <c r="S67" s="127">
        <v>1297104.0</v>
      </c>
      <c r="T67" s="127">
        <v>1297104.0</v>
      </c>
      <c r="U67" s="127">
        <v>3467104.0</v>
      </c>
      <c r="V67" s="127">
        <v>3467104.0</v>
      </c>
      <c r="W67" s="164">
        <f t="shared" ref="W67:AB67" si="93">+J67-Q67</f>
        <v>0</v>
      </c>
      <c r="X67" s="164">
        <f t="shared" si="93"/>
        <v>0</v>
      </c>
      <c r="Y67" s="164">
        <f t="shared" si="93"/>
        <v>0</v>
      </c>
      <c r="Z67" s="164">
        <f t="shared" si="93"/>
        <v>0</v>
      </c>
      <c r="AA67" s="164">
        <f t="shared" si="93"/>
        <v>0</v>
      </c>
      <c r="AB67" s="164">
        <f t="shared" si="93"/>
        <v>0</v>
      </c>
      <c r="AC67" s="81"/>
      <c r="AD67" s="81"/>
      <c r="AE67" s="81"/>
      <c r="AF67" s="81"/>
      <c r="AG67" s="77"/>
      <c r="AH67" s="77"/>
      <c r="AI67" s="81"/>
      <c r="AJ67" s="81"/>
      <c r="AK67" s="81"/>
      <c r="AL67" s="81"/>
      <c r="AM67" s="81"/>
      <c r="AN67" s="81"/>
      <c r="AO67" s="81"/>
      <c r="AP67" s="81"/>
    </row>
    <row r="68" ht="28.5" customHeight="1">
      <c r="A68" s="81"/>
      <c r="B68" s="77"/>
      <c r="C68" s="167" t="s">
        <v>92</v>
      </c>
      <c r="D68" s="126" t="s">
        <v>90</v>
      </c>
      <c r="E68" s="126" t="s">
        <v>96</v>
      </c>
      <c r="F68" s="126"/>
      <c r="G68" s="126"/>
      <c r="H68" s="126"/>
      <c r="I68" s="126">
        <v>85.0</v>
      </c>
      <c r="J68" s="161">
        <v>1600000.0</v>
      </c>
      <c r="K68" s="161">
        <v>1600000.0</v>
      </c>
      <c r="L68" s="162">
        <v>903720.0</v>
      </c>
      <c r="M68" s="162">
        <v>903720.0</v>
      </c>
      <c r="N68" s="163">
        <f t="shared" ref="N68:O68" si="94">J68+L68</f>
        <v>2503720</v>
      </c>
      <c r="O68" s="163">
        <f t="shared" si="94"/>
        <v>2503720</v>
      </c>
      <c r="P68" s="81"/>
      <c r="Q68" s="127">
        <v>1600000.0</v>
      </c>
      <c r="R68" s="127">
        <v>1600000.0</v>
      </c>
      <c r="S68" s="127">
        <v>903720.0</v>
      </c>
      <c r="T68" s="127">
        <v>903720.0</v>
      </c>
      <c r="U68" s="127">
        <v>2503720.0</v>
      </c>
      <c r="V68" s="127">
        <v>2503720.0</v>
      </c>
      <c r="W68" s="164">
        <f t="shared" ref="W68:AB68" si="95">+J68-Q68</f>
        <v>0</v>
      </c>
      <c r="X68" s="164">
        <f t="shared" si="95"/>
        <v>0</v>
      </c>
      <c r="Y68" s="164">
        <f t="shared" si="95"/>
        <v>0</v>
      </c>
      <c r="Z68" s="164">
        <f t="shared" si="95"/>
        <v>0</v>
      </c>
      <c r="AA68" s="164">
        <f t="shared" si="95"/>
        <v>0</v>
      </c>
      <c r="AB68" s="164">
        <f t="shared" si="95"/>
        <v>0</v>
      </c>
      <c r="AC68" s="81"/>
      <c r="AD68" s="81"/>
      <c r="AE68" s="81"/>
      <c r="AF68" s="81"/>
      <c r="AG68" s="77"/>
      <c r="AH68" s="77"/>
      <c r="AI68" s="81"/>
      <c r="AJ68" s="81"/>
      <c r="AK68" s="81"/>
      <c r="AL68" s="81"/>
      <c r="AM68" s="81"/>
      <c r="AN68" s="81"/>
      <c r="AO68" s="81"/>
      <c r="AP68" s="81"/>
    </row>
    <row r="69" ht="28.5" customHeight="1">
      <c r="A69" s="81"/>
      <c r="B69" s="77"/>
      <c r="C69" s="130"/>
      <c r="D69" s="126" t="s">
        <v>96</v>
      </c>
      <c r="E69" s="126" t="s">
        <v>84</v>
      </c>
      <c r="F69" s="126"/>
      <c r="G69" s="126"/>
      <c r="H69" s="126" t="s">
        <v>83</v>
      </c>
      <c r="I69" s="126">
        <v>202.0</v>
      </c>
      <c r="J69" s="161">
        <v>3000000.0</v>
      </c>
      <c r="K69" s="161">
        <v>3000000.0</v>
      </c>
      <c r="L69" s="162">
        <v>2147664.0</v>
      </c>
      <c r="M69" s="162">
        <v>2147664.0</v>
      </c>
      <c r="N69" s="163">
        <f t="shared" ref="N69:O69" si="96">J69+L69</f>
        <v>5147664</v>
      </c>
      <c r="O69" s="163">
        <f t="shared" si="96"/>
        <v>5147664</v>
      </c>
      <c r="P69" s="81"/>
      <c r="Q69" s="127">
        <v>3000000.0</v>
      </c>
      <c r="R69" s="127">
        <v>3000000.0</v>
      </c>
      <c r="S69" s="127">
        <v>2147664.0</v>
      </c>
      <c r="T69" s="127">
        <v>2147664.0</v>
      </c>
      <c r="U69" s="127">
        <v>5147664.0</v>
      </c>
      <c r="V69" s="127">
        <v>5147664.0</v>
      </c>
      <c r="W69" s="164">
        <f t="shared" ref="W69:AB69" si="97">+J69-Q69</f>
        <v>0</v>
      </c>
      <c r="X69" s="164">
        <f t="shared" si="97"/>
        <v>0</v>
      </c>
      <c r="Y69" s="164">
        <f t="shared" si="97"/>
        <v>0</v>
      </c>
      <c r="Z69" s="164">
        <f t="shared" si="97"/>
        <v>0</v>
      </c>
      <c r="AA69" s="164">
        <f t="shared" si="97"/>
        <v>0</v>
      </c>
      <c r="AB69" s="164">
        <f t="shared" si="97"/>
        <v>0</v>
      </c>
      <c r="AC69" s="81"/>
      <c r="AD69" s="81"/>
      <c r="AE69" s="81"/>
      <c r="AF69" s="81"/>
      <c r="AG69" s="77"/>
      <c r="AH69" s="77"/>
      <c r="AI69" s="81"/>
      <c r="AJ69" s="81"/>
      <c r="AK69" s="81"/>
      <c r="AL69" s="81"/>
      <c r="AM69" s="81"/>
      <c r="AN69" s="81"/>
      <c r="AO69" s="81"/>
      <c r="AP69" s="81"/>
    </row>
    <row r="70" ht="28.5" customHeight="1">
      <c r="A70" s="81"/>
      <c r="B70" s="77"/>
      <c r="C70" s="130"/>
      <c r="D70" s="126" t="s">
        <v>90</v>
      </c>
      <c r="E70" s="126" t="s">
        <v>96</v>
      </c>
      <c r="F70" s="126"/>
      <c r="G70" s="126"/>
      <c r="H70" s="126"/>
      <c r="I70" s="126">
        <v>85.0</v>
      </c>
      <c r="J70" s="161">
        <v>1600000.0</v>
      </c>
      <c r="K70" s="161">
        <v>1600000.0</v>
      </c>
      <c r="L70" s="162">
        <v>903720.0</v>
      </c>
      <c r="M70" s="162">
        <v>903720.0</v>
      </c>
      <c r="N70" s="163">
        <f t="shared" ref="N70:O70" si="98">J70+L70</f>
        <v>2503720</v>
      </c>
      <c r="O70" s="163">
        <f t="shared" si="98"/>
        <v>2503720</v>
      </c>
      <c r="P70" s="81"/>
      <c r="Q70" s="127">
        <v>1600000.0</v>
      </c>
      <c r="R70" s="127">
        <v>1600000.0</v>
      </c>
      <c r="S70" s="127">
        <v>903720.0</v>
      </c>
      <c r="T70" s="127">
        <v>903720.0</v>
      </c>
      <c r="U70" s="127">
        <v>2503720.0</v>
      </c>
      <c r="V70" s="127">
        <v>2503720.0</v>
      </c>
      <c r="W70" s="164">
        <f t="shared" ref="W70:AB70" si="99">+J70-Q70</f>
        <v>0</v>
      </c>
      <c r="X70" s="164">
        <f t="shared" si="99"/>
        <v>0</v>
      </c>
      <c r="Y70" s="164">
        <f t="shared" si="99"/>
        <v>0</v>
      </c>
      <c r="Z70" s="164">
        <f t="shared" si="99"/>
        <v>0</v>
      </c>
      <c r="AA70" s="164">
        <f t="shared" si="99"/>
        <v>0</v>
      </c>
      <c r="AB70" s="164">
        <f t="shared" si="99"/>
        <v>0</v>
      </c>
      <c r="AC70" s="81"/>
      <c r="AD70" s="81"/>
      <c r="AE70" s="81"/>
      <c r="AF70" s="81"/>
      <c r="AG70" s="77"/>
      <c r="AH70" s="77"/>
      <c r="AI70" s="81"/>
      <c r="AJ70" s="81"/>
      <c r="AK70" s="81"/>
      <c r="AL70" s="81"/>
      <c r="AM70" s="81"/>
      <c r="AN70" s="81"/>
      <c r="AO70" s="81"/>
      <c r="AP70" s="81"/>
    </row>
    <row r="71" ht="41.25" customHeight="1">
      <c r="A71" s="81"/>
      <c r="B71" s="77"/>
      <c r="C71" s="130"/>
      <c r="D71" s="126" t="s">
        <v>96</v>
      </c>
      <c r="E71" s="126" t="s">
        <v>85</v>
      </c>
      <c r="F71" s="126"/>
      <c r="G71" s="126"/>
      <c r="H71" s="126" t="s">
        <v>83</v>
      </c>
      <c r="I71" s="126">
        <v>227.0</v>
      </c>
      <c r="J71" s="161">
        <v>3240000.0</v>
      </c>
      <c r="K71" s="161">
        <v>3240000.0</v>
      </c>
      <c r="L71" s="161">
        <v>2413464.0</v>
      </c>
      <c r="M71" s="161">
        <v>2413464.0</v>
      </c>
      <c r="N71" s="163">
        <f t="shared" ref="N71:O71" si="100">J71+L71</f>
        <v>5653464</v>
      </c>
      <c r="O71" s="163">
        <f t="shared" si="100"/>
        <v>5653464</v>
      </c>
      <c r="P71" s="81"/>
      <c r="Q71" s="127">
        <v>3240000.0</v>
      </c>
      <c r="R71" s="127">
        <v>3240000.0</v>
      </c>
      <c r="S71" s="127">
        <v>2413464.0</v>
      </c>
      <c r="T71" s="127">
        <v>2413464.0</v>
      </c>
      <c r="U71" s="127">
        <v>5653464.0</v>
      </c>
      <c r="V71" s="127">
        <v>5653464.0</v>
      </c>
      <c r="W71" s="164">
        <f t="shared" ref="W71:AB71" si="101">+J71-Q71</f>
        <v>0</v>
      </c>
      <c r="X71" s="164">
        <f t="shared" si="101"/>
        <v>0</v>
      </c>
      <c r="Y71" s="164">
        <f t="shared" si="101"/>
        <v>0</v>
      </c>
      <c r="Z71" s="164">
        <f t="shared" si="101"/>
        <v>0</v>
      </c>
      <c r="AA71" s="164">
        <f t="shared" si="101"/>
        <v>0</v>
      </c>
      <c r="AB71" s="164">
        <f t="shared" si="101"/>
        <v>0</v>
      </c>
      <c r="AC71" s="81"/>
      <c r="AD71" s="81"/>
      <c r="AE71" s="81"/>
      <c r="AF71" s="81"/>
      <c r="AG71" s="77"/>
      <c r="AH71" s="77"/>
      <c r="AI71" s="81"/>
      <c r="AJ71" s="81"/>
      <c r="AK71" s="81"/>
      <c r="AL71" s="81"/>
      <c r="AM71" s="81"/>
      <c r="AN71" s="81"/>
      <c r="AO71" s="81"/>
      <c r="AP71" s="81"/>
    </row>
    <row r="72" ht="41.25" customHeight="1">
      <c r="A72" s="81"/>
      <c r="B72" s="77"/>
      <c r="C72" s="130"/>
      <c r="D72" s="126" t="s">
        <v>90</v>
      </c>
      <c r="E72" s="126" t="s">
        <v>96</v>
      </c>
      <c r="F72" s="126"/>
      <c r="G72" s="126"/>
      <c r="H72" s="126"/>
      <c r="I72" s="126">
        <v>85.0</v>
      </c>
      <c r="J72" s="161">
        <v>1600000.0</v>
      </c>
      <c r="K72" s="161">
        <v>1600000.0</v>
      </c>
      <c r="L72" s="161">
        <v>903720.0</v>
      </c>
      <c r="M72" s="161">
        <v>903720.0</v>
      </c>
      <c r="N72" s="163">
        <f t="shared" ref="N72:O72" si="102">J72+L72</f>
        <v>2503720</v>
      </c>
      <c r="O72" s="163">
        <f t="shared" si="102"/>
        <v>2503720</v>
      </c>
      <c r="P72" s="81"/>
      <c r="Q72" s="127">
        <v>1600000.0</v>
      </c>
      <c r="R72" s="127">
        <v>1600000.0</v>
      </c>
      <c r="S72" s="127">
        <v>903720.0</v>
      </c>
      <c r="T72" s="127">
        <v>903720.0</v>
      </c>
      <c r="U72" s="127">
        <v>2503720.0</v>
      </c>
      <c r="V72" s="127">
        <v>2503720.0</v>
      </c>
      <c r="W72" s="164">
        <f t="shared" ref="W72:AB72" si="103">+J72-Q72</f>
        <v>0</v>
      </c>
      <c r="X72" s="164">
        <f t="shared" si="103"/>
        <v>0</v>
      </c>
      <c r="Y72" s="164">
        <f t="shared" si="103"/>
        <v>0</v>
      </c>
      <c r="Z72" s="164">
        <f t="shared" si="103"/>
        <v>0</v>
      </c>
      <c r="AA72" s="164">
        <f t="shared" si="103"/>
        <v>0</v>
      </c>
      <c r="AB72" s="164">
        <f t="shared" si="103"/>
        <v>0</v>
      </c>
      <c r="AC72" s="81"/>
      <c r="AD72" s="81"/>
      <c r="AE72" s="81"/>
      <c r="AF72" s="81"/>
      <c r="AG72" s="77"/>
      <c r="AH72" s="77"/>
      <c r="AI72" s="81"/>
      <c r="AJ72" s="81"/>
      <c r="AK72" s="81"/>
      <c r="AL72" s="81"/>
      <c r="AM72" s="81"/>
      <c r="AN72" s="81"/>
      <c r="AO72" s="81"/>
      <c r="AP72" s="81"/>
    </row>
    <row r="73" ht="41.25" customHeight="1">
      <c r="A73" s="81"/>
      <c r="B73" s="77"/>
      <c r="C73" s="130"/>
      <c r="D73" s="126" t="s">
        <v>96</v>
      </c>
      <c r="E73" s="126" t="s">
        <v>86</v>
      </c>
      <c r="F73" s="126"/>
      <c r="G73" s="126"/>
      <c r="H73" s="126" t="s">
        <v>83</v>
      </c>
      <c r="I73" s="126">
        <v>236.0</v>
      </c>
      <c r="J73" s="161">
        <v>3270000.0</v>
      </c>
      <c r="K73" s="161">
        <v>3270000.0</v>
      </c>
      <c r="L73" s="161">
        <v>2509152.0</v>
      </c>
      <c r="M73" s="161">
        <v>2509152.0</v>
      </c>
      <c r="N73" s="163">
        <f t="shared" ref="N73:O73" si="104">J73+L73</f>
        <v>5779152</v>
      </c>
      <c r="O73" s="163">
        <f t="shared" si="104"/>
        <v>5779152</v>
      </c>
      <c r="P73" s="81"/>
      <c r="Q73" s="127">
        <v>3270000.0</v>
      </c>
      <c r="R73" s="127">
        <v>3270000.0</v>
      </c>
      <c r="S73" s="127">
        <v>2509152.0</v>
      </c>
      <c r="T73" s="127">
        <v>2509152.0</v>
      </c>
      <c r="U73" s="127">
        <v>5779152.0</v>
      </c>
      <c r="V73" s="127">
        <v>5779152.0</v>
      </c>
      <c r="W73" s="164">
        <f t="shared" ref="W73:AB73" si="105">+J73-Q73</f>
        <v>0</v>
      </c>
      <c r="X73" s="164">
        <f t="shared" si="105"/>
        <v>0</v>
      </c>
      <c r="Y73" s="164">
        <f t="shared" si="105"/>
        <v>0</v>
      </c>
      <c r="Z73" s="164">
        <f t="shared" si="105"/>
        <v>0</v>
      </c>
      <c r="AA73" s="164">
        <f t="shared" si="105"/>
        <v>0</v>
      </c>
      <c r="AB73" s="164">
        <f t="shared" si="105"/>
        <v>0</v>
      </c>
      <c r="AC73" s="81"/>
      <c r="AD73" s="81"/>
      <c r="AE73" s="81"/>
      <c r="AF73" s="81"/>
      <c r="AG73" s="77"/>
      <c r="AH73" s="77"/>
      <c r="AI73" s="81"/>
      <c r="AJ73" s="81"/>
      <c r="AK73" s="81"/>
      <c r="AL73" s="81"/>
      <c r="AM73" s="81"/>
      <c r="AN73" s="81"/>
      <c r="AO73" s="81"/>
      <c r="AP73" s="81"/>
    </row>
    <row r="74" ht="41.25" customHeight="1">
      <c r="A74" s="81"/>
      <c r="B74" s="77"/>
      <c r="C74" s="130"/>
      <c r="D74" s="126" t="s">
        <v>90</v>
      </c>
      <c r="E74" s="126" t="s">
        <v>97</v>
      </c>
      <c r="F74" s="126"/>
      <c r="G74" s="126"/>
      <c r="H74" s="126"/>
      <c r="I74" s="126">
        <v>35.0</v>
      </c>
      <c r="J74" s="161">
        <v>1100000.0</v>
      </c>
      <c r="K74" s="161">
        <v>1100000.0</v>
      </c>
      <c r="L74" s="161">
        <v>372120.0</v>
      </c>
      <c r="M74" s="161">
        <v>372120.0</v>
      </c>
      <c r="N74" s="163">
        <f t="shared" ref="N74:O74" si="106">J74+L74</f>
        <v>1472120</v>
      </c>
      <c r="O74" s="163">
        <f t="shared" si="106"/>
        <v>1472120</v>
      </c>
      <c r="P74" s="81"/>
      <c r="Q74" s="127">
        <v>1100000.0</v>
      </c>
      <c r="R74" s="127">
        <v>1100000.0</v>
      </c>
      <c r="S74" s="127">
        <v>372120.0</v>
      </c>
      <c r="T74" s="127">
        <v>372120.0</v>
      </c>
      <c r="U74" s="127">
        <v>1472120.0</v>
      </c>
      <c r="V74" s="127">
        <v>1472120.0</v>
      </c>
      <c r="W74" s="164">
        <f t="shared" ref="W74:AB74" si="107">+J74-Q74</f>
        <v>0</v>
      </c>
      <c r="X74" s="164">
        <f t="shared" si="107"/>
        <v>0</v>
      </c>
      <c r="Y74" s="164">
        <f t="shared" si="107"/>
        <v>0</v>
      </c>
      <c r="Z74" s="164">
        <f t="shared" si="107"/>
        <v>0</v>
      </c>
      <c r="AA74" s="164">
        <f t="shared" si="107"/>
        <v>0</v>
      </c>
      <c r="AB74" s="164">
        <f t="shared" si="107"/>
        <v>0</v>
      </c>
      <c r="AC74" s="81"/>
      <c r="AD74" s="81"/>
      <c r="AE74" s="81"/>
      <c r="AF74" s="81"/>
      <c r="AG74" s="77"/>
      <c r="AH74" s="77"/>
      <c r="AI74" s="81"/>
      <c r="AJ74" s="81"/>
      <c r="AK74" s="81"/>
      <c r="AL74" s="81"/>
      <c r="AM74" s="81"/>
      <c r="AN74" s="81"/>
      <c r="AO74" s="81"/>
      <c r="AP74" s="81"/>
    </row>
    <row r="75" ht="41.25" customHeight="1">
      <c r="A75" s="81"/>
      <c r="B75" s="77"/>
      <c r="C75" s="130"/>
      <c r="D75" s="126" t="s">
        <v>97</v>
      </c>
      <c r="E75" s="126" t="s">
        <v>84</v>
      </c>
      <c r="F75" s="126"/>
      <c r="G75" s="126"/>
      <c r="H75" s="126" t="s">
        <v>83</v>
      </c>
      <c r="I75" s="126">
        <v>277.0</v>
      </c>
      <c r="J75" s="161">
        <v>3600000.0</v>
      </c>
      <c r="K75" s="161">
        <v>3600000.0</v>
      </c>
      <c r="L75" s="161">
        <v>2945064.0</v>
      </c>
      <c r="M75" s="161">
        <v>2945064.0</v>
      </c>
      <c r="N75" s="163">
        <f t="shared" ref="N75:O75" si="108">J75+L75</f>
        <v>6545064</v>
      </c>
      <c r="O75" s="163">
        <f t="shared" si="108"/>
        <v>6545064</v>
      </c>
      <c r="P75" s="81"/>
      <c r="Q75" s="127">
        <v>3600000.0</v>
      </c>
      <c r="R75" s="127">
        <v>3600000.0</v>
      </c>
      <c r="S75" s="127">
        <v>2945064.0</v>
      </c>
      <c r="T75" s="127">
        <v>2945064.0</v>
      </c>
      <c r="U75" s="127">
        <v>6545064.0</v>
      </c>
      <c r="V75" s="127">
        <v>6545064.0</v>
      </c>
      <c r="W75" s="164">
        <f t="shared" ref="W75:AB75" si="109">+J75-Q75</f>
        <v>0</v>
      </c>
      <c r="X75" s="164">
        <f t="shared" si="109"/>
        <v>0</v>
      </c>
      <c r="Y75" s="164">
        <f t="shared" si="109"/>
        <v>0</v>
      </c>
      <c r="Z75" s="164">
        <f t="shared" si="109"/>
        <v>0</v>
      </c>
      <c r="AA75" s="164">
        <f t="shared" si="109"/>
        <v>0</v>
      </c>
      <c r="AB75" s="164">
        <f t="shared" si="109"/>
        <v>0</v>
      </c>
      <c r="AC75" s="81"/>
      <c r="AD75" s="81"/>
      <c r="AE75" s="81"/>
      <c r="AF75" s="81"/>
      <c r="AG75" s="77"/>
      <c r="AH75" s="77"/>
      <c r="AI75" s="81"/>
      <c r="AJ75" s="81"/>
      <c r="AK75" s="81"/>
      <c r="AL75" s="81"/>
      <c r="AM75" s="81"/>
      <c r="AN75" s="81"/>
      <c r="AO75" s="81"/>
      <c r="AP75" s="81"/>
    </row>
    <row r="76" ht="41.25" customHeight="1">
      <c r="A76" s="81"/>
      <c r="B76" s="77"/>
      <c r="C76" s="130"/>
      <c r="D76" s="126" t="s">
        <v>90</v>
      </c>
      <c r="E76" s="126" t="s">
        <v>97</v>
      </c>
      <c r="F76" s="126"/>
      <c r="G76" s="126"/>
      <c r="H76" s="126"/>
      <c r="I76" s="126">
        <v>35.0</v>
      </c>
      <c r="J76" s="161">
        <v>1100000.0</v>
      </c>
      <c r="K76" s="161">
        <v>1100000.0</v>
      </c>
      <c r="L76" s="161">
        <v>372120.0</v>
      </c>
      <c r="M76" s="161">
        <v>372120.0</v>
      </c>
      <c r="N76" s="163">
        <f t="shared" ref="N76:O76" si="110">J76+L76</f>
        <v>1472120</v>
      </c>
      <c r="O76" s="163">
        <f t="shared" si="110"/>
        <v>1472120</v>
      </c>
      <c r="P76" s="81"/>
      <c r="Q76" s="127">
        <v>1100000.0</v>
      </c>
      <c r="R76" s="127">
        <v>1100000.0</v>
      </c>
      <c r="S76" s="127">
        <v>372120.0</v>
      </c>
      <c r="T76" s="127">
        <v>372120.0</v>
      </c>
      <c r="U76" s="127">
        <v>1472120.0</v>
      </c>
      <c r="V76" s="127">
        <v>1472120.0</v>
      </c>
      <c r="W76" s="164">
        <f t="shared" ref="W76:AB76" si="111">+J76-Q76</f>
        <v>0</v>
      </c>
      <c r="X76" s="164">
        <f t="shared" si="111"/>
        <v>0</v>
      </c>
      <c r="Y76" s="164">
        <f t="shared" si="111"/>
        <v>0</v>
      </c>
      <c r="Z76" s="164">
        <f t="shared" si="111"/>
        <v>0</v>
      </c>
      <c r="AA76" s="164">
        <f t="shared" si="111"/>
        <v>0</v>
      </c>
      <c r="AB76" s="164">
        <f t="shared" si="111"/>
        <v>0</v>
      </c>
      <c r="AC76" s="81"/>
      <c r="AD76" s="81"/>
      <c r="AE76" s="81"/>
      <c r="AF76" s="81"/>
      <c r="AG76" s="77"/>
      <c r="AH76" s="77"/>
      <c r="AI76" s="81"/>
      <c r="AJ76" s="81"/>
      <c r="AK76" s="81"/>
      <c r="AL76" s="81"/>
      <c r="AM76" s="81"/>
      <c r="AN76" s="81"/>
      <c r="AO76" s="81"/>
      <c r="AP76" s="81"/>
    </row>
    <row r="77" ht="41.25" customHeight="1">
      <c r="A77" s="81"/>
      <c r="B77" s="77"/>
      <c r="C77" s="130"/>
      <c r="D77" s="126" t="s">
        <v>97</v>
      </c>
      <c r="E77" s="126" t="s">
        <v>85</v>
      </c>
      <c r="F77" s="126"/>
      <c r="G77" s="126"/>
      <c r="H77" s="126" t="s">
        <v>83</v>
      </c>
      <c r="I77" s="126">
        <v>231.0</v>
      </c>
      <c r="J77" s="161">
        <v>3300000.0</v>
      </c>
      <c r="K77" s="161">
        <v>3300000.0</v>
      </c>
      <c r="L77" s="161">
        <v>2455992.0</v>
      </c>
      <c r="M77" s="161">
        <v>2455992.0</v>
      </c>
      <c r="N77" s="163">
        <f t="shared" ref="N77:O77" si="112">J77+L77</f>
        <v>5755992</v>
      </c>
      <c r="O77" s="163">
        <f t="shared" si="112"/>
        <v>5755992</v>
      </c>
      <c r="P77" s="81"/>
      <c r="Q77" s="127">
        <v>3300000.0</v>
      </c>
      <c r="R77" s="127">
        <v>3300000.0</v>
      </c>
      <c r="S77" s="127">
        <v>2455992.0</v>
      </c>
      <c r="T77" s="127">
        <v>2455992.0</v>
      </c>
      <c r="U77" s="127">
        <v>5755992.0</v>
      </c>
      <c r="V77" s="127">
        <v>5755992.0</v>
      </c>
      <c r="W77" s="164">
        <f t="shared" ref="W77:AB77" si="113">+J77-Q77</f>
        <v>0</v>
      </c>
      <c r="X77" s="164">
        <f t="shared" si="113"/>
        <v>0</v>
      </c>
      <c r="Y77" s="164">
        <f t="shared" si="113"/>
        <v>0</v>
      </c>
      <c r="Z77" s="164">
        <f t="shared" si="113"/>
        <v>0</v>
      </c>
      <c r="AA77" s="164">
        <f t="shared" si="113"/>
        <v>0</v>
      </c>
      <c r="AB77" s="164">
        <f t="shared" si="113"/>
        <v>0</v>
      </c>
      <c r="AC77" s="81"/>
      <c r="AD77" s="81"/>
      <c r="AE77" s="81"/>
      <c r="AF77" s="81"/>
      <c r="AG77" s="77"/>
      <c r="AH77" s="77"/>
      <c r="AI77" s="81"/>
      <c r="AJ77" s="81"/>
      <c r="AK77" s="81"/>
      <c r="AL77" s="81"/>
      <c r="AM77" s="81"/>
      <c r="AN77" s="81"/>
      <c r="AO77" s="81"/>
      <c r="AP77" s="81"/>
    </row>
    <row r="78" ht="41.25" customHeight="1">
      <c r="A78" s="81"/>
      <c r="B78" s="77"/>
      <c r="C78" s="130"/>
      <c r="D78" s="126" t="s">
        <v>90</v>
      </c>
      <c r="E78" s="126" t="s">
        <v>97</v>
      </c>
      <c r="F78" s="126"/>
      <c r="G78" s="126"/>
      <c r="H78" s="126"/>
      <c r="I78" s="126">
        <v>35.0</v>
      </c>
      <c r="J78" s="161">
        <v>1100000.0</v>
      </c>
      <c r="K78" s="161">
        <v>1100000.0</v>
      </c>
      <c r="L78" s="161">
        <v>372120.0</v>
      </c>
      <c r="M78" s="161">
        <v>372120.0</v>
      </c>
      <c r="N78" s="163">
        <f t="shared" ref="N78:O78" si="114">J78+L78</f>
        <v>1472120</v>
      </c>
      <c r="O78" s="163">
        <f t="shared" si="114"/>
        <v>1472120</v>
      </c>
      <c r="P78" s="81"/>
      <c r="Q78" s="127">
        <v>1100000.0</v>
      </c>
      <c r="R78" s="127">
        <v>1100000.0</v>
      </c>
      <c r="S78" s="127">
        <v>372120.0</v>
      </c>
      <c r="T78" s="127">
        <v>372120.0</v>
      </c>
      <c r="U78" s="127">
        <v>1472120.0</v>
      </c>
      <c r="V78" s="127">
        <v>1472120.0</v>
      </c>
      <c r="W78" s="164">
        <f t="shared" ref="W78:AB78" si="115">+J78-Q78</f>
        <v>0</v>
      </c>
      <c r="X78" s="164">
        <f t="shared" si="115"/>
        <v>0</v>
      </c>
      <c r="Y78" s="164">
        <f t="shared" si="115"/>
        <v>0</v>
      </c>
      <c r="Z78" s="164">
        <f t="shared" si="115"/>
        <v>0</v>
      </c>
      <c r="AA78" s="164">
        <f t="shared" si="115"/>
        <v>0</v>
      </c>
      <c r="AB78" s="164">
        <f t="shared" si="115"/>
        <v>0</v>
      </c>
      <c r="AC78" s="81"/>
      <c r="AD78" s="81"/>
      <c r="AE78" s="81"/>
      <c r="AF78" s="81"/>
      <c r="AG78" s="77"/>
      <c r="AH78" s="77"/>
      <c r="AI78" s="81"/>
      <c r="AJ78" s="81"/>
      <c r="AK78" s="81"/>
      <c r="AL78" s="81"/>
      <c r="AM78" s="81"/>
      <c r="AN78" s="81"/>
      <c r="AO78" s="81"/>
      <c r="AP78" s="81"/>
    </row>
    <row r="79" ht="41.25" customHeight="1">
      <c r="A79" s="81"/>
      <c r="B79" s="77"/>
      <c r="C79" s="130"/>
      <c r="D79" s="126" t="s">
        <v>97</v>
      </c>
      <c r="E79" s="126" t="s">
        <v>86</v>
      </c>
      <c r="F79" s="126"/>
      <c r="G79" s="126"/>
      <c r="H79" s="126" t="s">
        <v>83</v>
      </c>
      <c r="I79" s="126">
        <v>245.0</v>
      </c>
      <c r="J79" s="161">
        <v>3300000.0</v>
      </c>
      <c r="K79" s="161">
        <v>3300000.0</v>
      </c>
      <c r="L79" s="161">
        <v>2604840.0</v>
      </c>
      <c r="M79" s="161">
        <v>2604840.0</v>
      </c>
      <c r="N79" s="163">
        <f t="shared" ref="N79:O79" si="116">J79+L79</f>
        <v>5904840</v>
      </c>
      <c r="O79" s="163">
        <f t="shared" si="116"/>
        <v>5904840</v>
      </c>
      <c r="P79" s="81"/>
      <c r="Q79" s="127">
        <v>3300000.0</v>
      </c>
      <c r="R79" s="127">
        <v>3300000.0</v>
      </c>
      <c r="S79" s="127">
        <v>2604840.0</v>
      </c>
      <c r="T79" s="127">
        <v>2604840.0</v>
      </c>
      <c r="U79" s="127">
        <v>5904840.0</v>
      </c>
      <c r="V79" s="127">
        <v>5904840.0</v>
      </c>
      <c r="W79" s="164">
        <f t="shared" ref="W79:AB79" si="117">+J79-Q79</f>
        <v>0</v>
      </c>
      <c r="X79" s="164">
        <f t="shared" si="117"/>
        <v>0</v>
      </c>
      <c r="Y79" s="164">
        <f t="shared" si="117"/>
        <v>0</v>
      </c>
      <c r="Z79" s="164">
        <f t="shared" si="117"/>
        <v>0</v>
      </c>
      <c r="AA79" s="164">
        <f t="shared" si="117"/>
        <v>0</v>
      </c>
      <c r="AB79" s="164">
        <f t="shared" si="117"/>
        <v>0</v>
      </c>
      <c r="AC79" s="81"/>
      <c r="AD79" s="81"/>
      <c r="AE79" s="81"/>
      <c r="AF79" s="81"/>
      <c r="AG79" s="77"/>
      <c r="AH79" s="77"/>
      <c r="AI79" s="81"/>
      <c r="AJ79" s="81"/>
      <c r="AK79" s="81"/>
      <c r="AL79" s="81"/>
      <c r="AM79" s="81"/>
      <c r="AN79" s="81"/>
      <c r="AO79" s="81"/>
      <c r="AP79" s="81"/>
    </row>
    <row r="80" ht="41.25" customHeight="1">
      <c r="A80" s="81"/>
      <c r="B80" s="77"/>
      <c r="C80" s="130"/>
      <c r="D80" s="126" t="s">
        <v>90</v>
      </c>
      <c r="E80" s="126" t="s">
        <v>98</v>
      </c>
      <c r="F80" s="126"/>
      <c r="G80" s="126"/>
      <c r="H80" s="126"/>
      <c r="I80" s="126">
        <v>25.0</v>
      </c>
      <c r="J80" s="161">
        <v>1000000.0</v>
      </c>
      <c r="K80" s="161">
        <v>1000000.0</v>
      </c>
      <c r="L80" s="161">
        <v>265800.0</v>
      </c>
      <c r="M80" s="161">
        <v>265800.0</v>
      </c>
      <c r="N80" s="163">
        <f t="shared" ref="N80:O80" si="118">J80+L80</f>
        <v>1265800</v>
      </c>
      <c r="O80" s="163">
        <f t="shared" si="118"/>
        <v>1265800</v>
      </c>
      <c r="P80" s="81"/>
      <c r="Q80" s="127">
        <v>1000000.0</v>
      </c>
      <c r="R80" s="127">
        <v>1000000.0</v>
      </c>
      <c r="S80" s="127">
        <v>265800.0</v>
      </c>
      <c r="T80" s="127">
        <v>265800.0</v>
      </c>
      <c r="U80" s="127">
        <v>1265800.0</v>
      </c>
      <c r="V80" s="127">
        <v>1265800.0</v>
      </c>
      <c r="W80" s="164">
        <f t="shared" ref="W80:AB80" si="119">+J80-Q80</f>
        <v>0</v>
      </c>
      <c r="X80" s="164">
        <f t="shared" si="119"/>
        <v>0</v>
      </c>
      <c r="Y80" s="164">
        <f t="shared" si="119"/>
        <v>0</v>
      </c>
      <c r="Z80" s="164">
        <f t="shared" si="119"/>
        <v>0</v>
      </c>
      <c r="AA80" s="164">
        <f t="shared" si="119"/>
        <v>0</v>
      </c>
      <c r="AB80" s="164">
        <f t="shared" si="119"/>
        <v>0</v>
      </c>
      <c r="AC80" s="81"/>
      <c r="AD80" s="81"/>
      <c r="AE80" s="81"/>
      <c r="AF80" s="81"/>
      <c r="AG80" s="77"/>
      <c r="AH80" s="77"/>
      <c r="AI80" s="81"/>
      <c r="AJ80" s="81"/>
      <c r="AK80" s="81"/>
      <c r="AL80" s="81"/>
      <c r="AM80" s="81"/>
      <c r="AN80" s="81"/>
      <c r="AO80" s="81"/>
      <c r="AP80" s="81"/>
    </row>
    <row r="81" ht="41.25" customHeight="1">
      <c r="A81" s="81"/>
      <c r="B81" s="77"/>
      <c r="C81" s="130"/>
      <c r="D81" s="126" t="s">
        <v>98</v>
      </c>
      <c r="E81" s="126" t="s">
        <v>84</v>
      </c>
      <c r="F81" s="126"/>
      <c r="G81" s="126"/>
      <c r="H81" s="126" t="s">
        <v>83</v>
      </c>
      <c r="I81" s="126">
        <v>296.0</v>
      </c>
      <c r="J81" s="161">
        <v>3600000.0</v>
      </c>
      <c r="K81" s="161">
        <v>3600000.0</v>
      </c>
      <c r="L81" s="161">
        <v>3147072.0</v>
      </c>
      <c r="M81" s="161">
        <v>3147072.0</v>
      </c>
      <c r="N81" s="163">
        <f t="shared" ref="N81:O81" si="120">J81+L81</f>
        <v>6747072</v>
      </c>
      <c r="O81" s="163">
        <f t="shared" si="120"/>
        <v>6747072</v>
      </c>
      <c r="P81" s="81"/>
      <c r="Q81" s="127">
        <v>3600000.0</v>
      </c>
      <c r="R81" s="127">
        <v>3600000.0</v>
      </c>
      <c r="S81" s="127">
        <v>3147072.0</v>
      </c>
      <c r="T81" s="127">
        <v>3147072.0</v>
      </c>
      <c r="U81" s="127">
        <v>6747072.0</v>
      </c>
      <c r="V81" s="127">
        <v>6747072.0</v>
      </c>
      <c r="W81" s="164">
        <f t="shared" ref="W81:AB81" si="121">+J81-Q81</f>
        <v>0</v>
      </c>
      <c r="X81" s="164">
        <f t="shared" si="121"/>
        <v>0</v>
      </c>
      <c r="Y81" s="164">
        <f t="shared" si="121"/>
        <v>0</v>
      </c>
      <c r="Z81" s="164">
        <f t="shared" si="121"/>
        <v>0</v>
      </c>
      <c r="AA81" s="164">
        <f t="shared" si="121"/>
        <v>0</v>
      </c>
      <c r="AB81" s="164">
        <f t="shared" si="121"/>
        <v>0</v>
      </c>
      <c r="AC81" s="81"/>
      <c r="AD81" s="81"/>
      <c r="AE81" s="81"/>
      <c r="AF81" s="81"/>
      <c r="AG81" s="77"/>
      <c r="AH81" s="77"/>
      <c r="AI81" s="81"/>
      <c r="AJ81" s="81"/>
      <c r="AK81" s="81"/>
      <c r="AL81" s="81"/>
      <c r="AM81" s="81"/>
      <c r="AN81" s="81"/>
      <c r="AO81" s="81"/>
      <c r="AP81" s="81"/>
    </row>
    <row r="82" ht="41.25" customHeight="1">
      <c r="A82" s="81"/>
      <c r="B82" s="77"/>
      <c r="C82" s="130"/>
      <c r="D82" s="126" t="s">
        <v>90</v>
      </c>
      <c r="E82" s="126" t="s">
        <v>98</v>
      </c>
      <c r="F82" s="126"/>
      <c r="G82" s="126"/>
      <c r="H82" s="126"/>
      <c r="I82" s="126">
        <v>25.0</v>
      </c>
      <c r="J82" s="161">
        <v>1000000.0</v>
      </c>
      <c r="K82" s="161">
        <v>1000000.0</v>
      </c>
      <c r="L82" s="161">
        <v>265800.0</v>
      </c>
      <c r="M82" s="161">
        <v>265800.0</v>
      </c>
      <c r="N82" s="163">
        <f t="shared" ref="N82:O82" si="122">J82+L82</f>
        <v>1265800</v>
      </c>
      <c r="O82" s="163">
        <f t="shared" si="122"/>
        <v>1265800</v>
      </c>
      <c r="P82" s="81"/>
      <c r="Q82" s="127">
        <v>1000000.0</v>
      </c>
      <c r="R82" s="127">
        <v>1000000.0</v>
      </c>
      <c r="S82" s="127">
        <v>265800.0</v>
      </c>
      <c r="T82" s="127">
        <v>265800.0</v>
      </c>
      <c r="U82" s="127">
        <v>1265800.0</v>
      </c>
      <c r="V82" s="127">
        <v>1265800.0</v>
      </c>
      <c r="W82" s="164">
        <f t="shared" ref="W82:AB82" si="123">+J82-Q82</f>
        <v>0</v>
      </c>
      <c r="X82" s="164">
        <f t="shared" si="123"/>
        <v>0</v>
      </c>
      <c r="Y82" s="164">
        <f t="shared" si="123"/>
        <v>0</v>
      </c>
      <c r="Z82" s="164">
        <f t="shared" si="123"/>
        <v>0</v>
      </c>
      <c r="AA82" s="164">
        <f t="shared" si="123"/>
        <v>0</v>
      </c>
      <c r="AB82" s="164">
        <f t="shared" si="123"/>
        <v>0</v>
      </c>
      <c r="AC82" s="81"/>
      <c r="AD82" s="81"/>
      <c r="AE82" s="81"/>
      <c r="AF82" s="81"/>
      <c r="AG82" s="77"/>
      <c r="AH82" s="77"/>
      <c r="AI82" s="81"/>
      <c r="AJ82" s="81"/>
      <c r="AK82" s="81"/>
      <c r="AL82" s="81"/>
      <c r="AM82" s="81"/>
      <c r="AN82" s="81"/>
      <c r="AO82" s="81"/>
      <c r="AP82" s="81"/>
    </row>
    <row r="83" ht="41.25" customHeight="1">
      <c r="A83" s="81"/>
      <c r="B83" s="77"/>
      <c r="C83" s="130"/>
      <c r="D83" s="126" t="s">
        <v>98</v>
      </c>
      <c r="E83" s="126" t="s">
        <v>85</v>
      </c>
      <c r="F83" s="126"/>
      <c r="G83" s="126"/>
      <c r="H83" s="126" t="s">
        <v>83</v>
      </c>
      <c r="I83" s="126">
        <v>250.0</v>
      </c>
      <c r="J83" s="161">
        <v>3300000.0</v>
      </c>
      <c r="K83" s="161">
        <v>3300000.0</v>
      </c>
      <c r="L83" s="161">
        <v>2658000.0</v>
      </c>
      <c r="M83" s="161">
        <v>2658000.0</v>
      </c>
      <c r="N83" s="163">
        <f t="shared" ref="N83:O83" si="124">J83+L83</f>
        <v>5958000</v>
      </c>
      <c r="O83" s="163">
        <f t="shared" si="124"/>
        <v>5958000</v>
      </c>
      <c r="P83" s="81"/>
      <c r="Q83" s="127">
        <v>3300000.0</v>
      </c>
      <c r="R83" s="127">
        <v>3300000.0</v>
      </c>
      <c r="S83" s="127">
        <v>2658000.0</v>
      </c>
      <c r="T83" s="127">
        <v>2658000.0</v>
      </c>
      <c r="U83" s="127">
        <v>5958000.0</v>
      </c>
      <c r="V83" s="127">
        <v>5958000.0</v>
      </c>
      <c r="W83" s="164">
        <f t="shared" ref="W83:AB83" si="125">+J83-Q83</f>
        <v>0</v>
      </c>
      <c r="X83" s="164">
        <f t="shared" si="125"/>
        <v>0</v>
      </c>
      <c r="Y83" s="164">
        <f t="shared" si="125"/>
        <v>0</v>
      </c>
      <c r="Z83" s="164">
        <f t="shared" si="125"/>
        <v>0</v>
      </c>
      <c r="AA83" s="164">
        <f t="shared" si="125"/>
        <v>0</v>
      </c>
      <c r="AB83" s="164">
        <f t="shared" si="125"/>
        <v>0</v>
      </c>
      <c r="AC83" s="81"/>
      <c r="AD83" s="81"/>
      <c r="AE83" s="81"/>
      <c r="AF83" s="81"/>
      <c r="AG83" s="77"/>
      <c r="AH83" s="77"/>
      <c r="AI83" s="81"/>
      <c r="AJ83" s="81"/>
      <c r="AK83" s="81"/>
      <c r="AL83" s="81"/>
      <c r="AM83" s="81"/>
      <c r="AN83" s="81"/>
      <c r="AO83" s="81"/>
      <c r="AP83" s="81"/>
    </row>
    <row r="84" ht="41.25" customHeight="1">
      <c r="A84" s="81"/>
      <c r="B84" s="77"/>
      <c r="C84" s="130"/>
      <c r="D84" s="126" t="s">
        <v>90</v>
      </c>
      <c r="E84" s="126" t="s">
        <v>98</v>
      </c>
      <c r="F84" s="126"/>
      <c r="G84" s="126"/>
      <c r="H84" s="126"/>
      <c r="I84" s="126">
        <v>25.0</v>
      </c>
      <c r="J84" s="161">
        <v>1000000.0</v>
      </c>
      <c r="K84" s="161">
        <v>1000000.0</v>
      </c>
      <c r="L84" s="161">
        <v>265800.0</v>
      </c>
      <c r="M84" s="161">
        <v>265800.0</v>
      </c>
      <c r="N84" s="163">
        <f t="shared" ref="N84:O84" si="126">J84+L84</f>
        <v>1265800</v>
      </c>
      <c r="O84" s="163">
        <f t="shared" si="126"/>
        <v>1265800</v>
      </c>
      <c r="P84" s="81"/>
      <c r="Q84" s="127">
        <v>1000000.0</v>
      </c>
      <c r="R84" s="127">
        <v>1000000.0</v>
      </c>
      <c r="S84" s="127">
        <v>265800.0</v>
      </c>
      <c r="T84" s="127">
        <v>265800.0</v>
      </c>
      <c r="U84" s="127">
        <v>1265800.0</v>
      </c>
      <c r="V84" s="127">
        <v>1265800.0</v>
      </c>
      <c r="W84" s="164">
        <f t="shared" ref="W84:AB84" si="127">+J84-Q84</f>
        <v>0</v>
      </c>
      <c r="X84" s="164">
        <f t="shared" si="127"/>
        <v>0</v>
      </c>
      <c r="Y84" s="164">
        <f t="shared" si="127"/>
        <v>0</v>
      </c>
      <c r="Z84" s="164">
        <f t="shared" si="127"/>
        <v>0</v>
      </c>
      <c r="AA84" s="164">
        <f t="shared" si="127"/>
        <v>0</v>
      </c>
      <c r="AB84" s="164">
        <f t="shared" si="127"/>
        <v>0</v>
      </c>
      <c r="AC84" s="81"/>
      <c r="AD84" s="81"/>
      <c r="AE84" s="81"/>
      <c r="AF84" s="81"/>
      <c r="AG84" s="77"/>
      <c r="AH84" s="77"/>
      <c r="AI84" s="81"/>
      <c r="AJ84" s="81"/>
      <c r="AK84" s="81"/>
      <c r="AL84" s="81"/>
      <c r="AM84" s="81"/>
      <c r="AN84" s="81"/>
      <c r="AO84" s="81"/>
      <c r="AP84" s="81"/>
    </row>
    <row r="85" ht="41.25" customHeight="1">
      <c r="A85" s="81"/>
      <c r="B85" s="77"/>
      <c r="C85" s="118"/>
      <c r="D85" s="126" t="s">
        <v>98</v>
      </c>
      <c r="E85" s="126" t="s">
        <v>86</v>
      </c>
      <c r="F85" s="126"/>
      <c r="G85" s="126"/>
      <c r="H85" s="126" t="s">
        <v>83</v>
      </c>
      <c r="I85" s="126">
        <v>219.0</v>
      </c>
      <c r="J85" s="161">
        <v>3000000.0</v>
      </c>
      <c r="K85" s="161">
        <v>3000000.0</v>
      </c>
      <c r="L85" s="161">
        <v>2328408.0</v>
      </c>
      <c r="M85" s="161">
        <v>2328408.0</v>
      </c>
      <c r="N85" s="163">
        <f t="shared" ref="N85:O85" si="128">J85+L85</f>
        <v>5328408</v>
      </c>
      <c r="O85" s="163">
        <f t="shared" si="128"/>
        <v>5328408</v>
      </c>
      <c r="P85" s="81"/>
      <c r="Q85" s="127">
        <v>3000000.0</v>
      </c>
      <c r="R85" s="127">
        <v>3000000.0</v>
      </c>
      <c r="S85" s="127">
        <v>2328408.0</v>
      </c>
      <c r="T85" s="127">
        <v>2328408.0</v>
      </c>
      <c r="U85" s="127">
        <v>5328408.0</v>
      </c>
      <c r="V85" s="127">
        <v>5328408.0</v>
      </c>
      <c r="W85" s="164">
        <f t="shared" ref="W85:AB85" si="129">+J85-Q85</f>
        <v>0</v>
      </c>
      <c r="X85" s="164">
        <f t="shared" si="129"/>
        <v>0</v>
      </c>
      <c r="Y85" s="164">
        <f t="shared" si="129"/>
        <v>0</v>
      </c>
      <c r="Z85" s="164">
        <f t="shared" si="129"/>
        <v>0</v>
      </c>
      <c r="AA85" s="164">
        <f t="shared" si="129"/>
        <v>0</v>
      </c>
      <c r="AB85" s="164">
        <f t="shared" si="129"/>
        <v>0</v>
      </c>
      <c r="AC85" s="81"/>
      <c r="AD85" s="81"/>
      <c r="AE85" s="81"/>
      <c r="AF85" s="81"/>
      <c r="AG85" s="77"/>
      <c r="AH85" s="77"/>
      <c r="AI85" s="81"/>
      <c r="AJ85" s="81"/>
      <c r="AK85" s="81"/>
      <c r="AL85" s="81"/>
      <c r="AM85" s="81"/>
      <c r="AN85" s="81"/>
      <c r="AO85" s="81"/>
      <c r="AP85" s="81"/>
    </row>
    <row r="86" ht="41.25" customHeight="1">
      <c r="A86" s="81"/>
      <c r="B86" s="77"/>
      <c r="C86" s="167" t="s">
        <v>92</v>
      </c>
      <c r="D86" s="126" t="s">
        <v>91</v>
      </c>
      <c r="E86" s="126" t="s">
        <v>99</v>
      </c>
      <c r="F86" s="126"/>
      <c r="G86" s="126"/>
      <c r="H86" s="126"/>
      <c r="I86" s="126">
        <v>65.0</v>
      </c>
      <c r="J86" s="161">
        <v>1580000.0</v>
      </c>
      <c r="K86" s="161">
        <v>1580000.0</v>
      </c>
      <c r="L86" s="161">
        <v>691080.0</v>
      </c>
      <c r="M86" s="161">
        <v>691080.0</v>
      </c>
      <c r="N86" s="163">
        <f t="shared" ref="N86:O86" si="130">J86+L86</f>
        <v>2271080</v>
      </c>
      <c r="O86" s="163">
        <f t="shared" si="130"/>
        <v>2271080</v>
      </c>
      <c r="P86" s="81"/>
      <c r="Q86" s="127">
        <v>1580000.0</v>
      </c>
      <c r="R86" s="127">
        <v>1580000.0</v>
      </c>
      <c r="S86" s="127">
        <v>691080.0</v>
      </c>
      <c r="T86" s="127">
        <v>691080.0</v>
      </c>
      <c r="U86" s="127">
        <v>2271080.0</v>
      </c>
      <c r="V86" s="127">
        <v>2271080.0</v>
      </c>
      <c r="W86" s="164">
        <f t="shared" ref="W86:AB86" si="131">+J86-Q86</f>
        <v>0</v>
      </c>
      <c r="X86" s="164">
        <f t="shared" si="131"/>
        <v>0</v>
      </c>
      <c r="Y86" s="164">
        <f t="shared" si="131"/>
        <v>0</v>
      </c>
      <c r="Z86" s="164">
        <f t="shared" si="131"/>
        <v>0</v>
      </c>
      <c r="AA86" s="164">
        <f t="shared" si="131"/>
        <v>0</v>
      </c>
      <c r="AB86" s="164">
        <f t="shared" si="131"/>
        <v>0</v>
      </c>
      <c r="AC86" s="81"/>
      <c r="AD86" s="81"/>
      <c r="AE86" s="81"/>
      <c r="AF86" s="81"/>
      <c r="AG86" s="77"/>
      <c r="AH86" s="77"/>
      <c r="AI86" s="81"/>
      <c r="AJ86" s="81"/>
      <c r="AK86" s="81"/>
      <c r="AL86" s="81"/>
      <c r="AM86" s="81"/>
      <c r="AN86" s="81"/>
      <c r="AO86" s="81"/>
      <c r="AP86" s="81"/>
    </row>
    <row r="87" ht="41.25" customHeight="1">
      <c r="A87" s="81"/>
      <c r="B87" s="77"/>
      <c r="C87" s="130"/>
      <c r="D87" s="126" t="s">
        <v>99</v>
      </c>
      <c r="E87" s="126" t="s">
        <v>84</v>
      </c>
      <c r="F87" s="126"/>
      <c r="G87" s="126"/>
      <c r="H87" s="126" t="s">
        <v>83</v>
      </c>
      <c r="I87" s="126">
        <v>223.0</v>
      </c>
      <c r="J87" s="161">
        <v>3010000.0</v>
      </c>
      <c r="K87" s="161">
        <v>3010000.0</v>
      </c>
      <c r="L87" s="161">
        <v>2370936.0</v>
      </c>
      <c r="M87" s="161">
        <v>2370936.0</v>
      </c>
      <c r="N87" s="163">
        <f t="shared" ref="N87:O87" si="132">J87+L87</f>
        <v>5380936</v>
      </c>
      <c r="O87" s="163">
        <f t="shared" si="132"/>
        <v>5380936</v>
      </c>
      <c r="P87" s="81"/>
      <c r="Q87" s="127">
        <v>3010000.0</v>
      </c>
      <c r="R87" s="127">
        <v>3010000.0</v>
      </c>
      <c r="S87" s="127">
        <v>2370935.9999999995</v>
      </c>
      <c r="T87" s="127">
        <v>2370935.9999999995</v>
      </c>
      <c r="U87" s="127">
        <v>5380936.0</v>
      </c>
      <c r="V87" s="127">
        <v>5380936.0</v>
      </c>
      <c r="W87" s="164">
        <f t="shared" ref="W87:AB87" si="133">+J87-Q87</f>
        <v>0</v>
      </c>
      <c r="X87" s="164">
        <f t="shared" si="133"/>
        <v>0</v>
      </c>
      <c r="Y87" s="164">
        <f t="shared" si="133"/>
        <v>0.0000000004656612873</v>
      </c>
      <c r="Z87" s="164">
        <f t="shared" si="133"/>
        <v>0.0000000004656612873</v>
      </c>
      <c r="AA87" s="164">
        <f t="shared" si="133"/>
        <v>0</v>
      </c>
      <c r="AB87" s="164">
        <f t="shared" si="133"/>
        <v>0</v>
      </c>
      <c r="AC87" s="81"/>
      <c r="AD87" s="81"/>
      <c r="AE87" s="81"/>
      <c r="AF87" s="81"/>
      <c r="AG87" s="77"/>
      <c r="AH87" s="77"/>
      <c r="AI87" s="81"/>
      <c r="AJ87" s="81"/>
      <c r="AK87" s="81"/>
      <c r="AL87" s="81"/>
      <c r="AM87" s="81"/>
      <c r="AN87" s="81"/>
      <c r="AO87" s="81"/>
      <c r="AP87" s="81"/>
    </row>
    <row r="88" ht="41.25" customHeight="1">
      <c r="A88" s="81"/>
      <c r="B88" s="77"/>
      <c r="C88" s="130"/>
      <c r="D88" s="126" t="s">
        <v>91</v>
      </c>
      <c r="E88" s="126" t="s">
        <v>99</v>
      </c>
      <c r="F88" s="126"/>
      <c r="G88" s="126"/>
      <c r="H88" s="126"/>
      <c r="I88" s="126">
        <v>65.0</v>
      </c>
      <c r="J88" s="161">
        <v>1580000.0</v>
      </c>
      <c r="K88" s="161">
        <v>1580000.0</v>
      </c>
      <c r="L88" s="161">
        <v>691080.0</v>
      </c>
      <c r="M88" s="161">
        <v>691080.0</v>
      </c>
      <c r="N88" s="163">
        <f t="shared" ref="N88:O88" si="134">J88+L88</f>
        <v>2271080</v>
      </c>
      <c r="O88" s="163">
        <f t="shared" si="134"/>
        <v>2271080</v>
      </c>
      <c r="P88" s="81"/>
      <c r="Q88" s="127">
        <v>1580000.0</v>
      </c>
      <c r="R88" s="127">
        <v>1580000.0</v>
      </c>
      <c r="S88" s="127">
        <v>691080.0</v>
      </c>
      <c r="T88" s="127">
        <v>691080.0</v>
      </c>
      <c r="U88" s="127">
        <v>2271080.0</v>
      </c>
      <c r="V88" s="127">
        <v>2271080.0</v>
      </c>
      <c r="W88" s="164">
        <f t="shared" ref="W88:AB88" si="135">+J88-Q88</f>
        <v>0</v>
      </c>
      <c r="X88" s="164">
        <f t="shared" si="135"/>
        <v>0</v>
      </c>
      <c r="Y88" s="164">
        <f t="shared" si="135"/>
        <v>0</v>
      </c>
      <c r="Z88" s="164">
        <f t="shared" si="135"/>
        <v>0</v>
      </c>
      <c r="AA88" s="164">
        <f t="shared" si="135"/>
        <v>0</v>
      </c>
      <c r="AB88" s="164">
        <f t="shared" si="135"/>
        <v>0</v>
      </c>
      <c r="AC88" s="81"/>
      <c r="AD88" s="81"/>
      <c r="AE88" s="81"/>
      <c r="AF88" s="81"/>
      <c r="AG88" s="77"/>
      <c r="AH88" s="77"/>
      <c r="AI88" s="81"/>
      <c r="AJ88" s="81"/>
      <c r="AK88" s="81"/>
      <c r="AL88" s="81"/>
      <c r="AM88" s="81"/>
      <c r="AN88" s="81"/>
      <c r="AO88" s="81"/>
      <c r="AP88" s="81"/>
    </row>
    <row r="89" ht="41.25" customHeight="1">
      <c r="A89" s="81"/>
      <c r="B89" s="77"/>
      <c r="C89" s="130"/>
      <c r="D89" s="126" t="s">
        <v>99</v>
      </c>
      <c r="E89" s="126" t="s">
        <v>85</v>
      </c>
      <c r="F89" s="126"/>
      <c r="G89" s="126"/>
      <c r="H89" s="126" t="s">
        <v>83</v>
      </c>
      <c r="I89" s="126">
        <v>247.0</v>
      </c>
      <c r="J89" s="161">
        <v>3260000.0</v>
      </c>
      <c r="K89" s="161">
        <v>3260000.0</v>
      </c>
      <c r="L89" s="161">
        <v>2626104.0</v>
      </c>
      <c r="M89" s="161">
        <v>2626104.0</v>
      </c>
      <c r="N89" s="163">
        <f t="shared" ref="N89:O89" si="136">J89+L89</f>
        <v>5886104</v>
      </c>
      <c r="O89" s="163">
        <f t="shared" si="136"/>
        <v>5886104</v>
      </c>
      <c r="P89" s="81"/>
      <c r="Q89" s="127">
        <v>3260000.0</v>
      </c>
      <c r="R89" s="127">
        <v>3260000.0</v>
      </c>
      <c r="S89" s="127">
        <v>2626104.0</v>
      </c>
      <c r="T89" s="127">
        <v>2626104.0</v>
      </c>
      <c r="U89" s="127">
        <v>5886104.0</v>
      </c>
      <c r="V89" s="127">
        <v>5886104.0</v>
      </c>
      <c r="W89" s="164">
        <f t="shared" ref="W89:AB89" si="137">+J89-Q89</f>
        <v>0</v>
      </c>
      <c r="X89" s="164">
        <f t="shared" si="137"/>
        <v>0</v>
      </c>
      <c r="Y89" s="164">
        <f t="shared" si="137"/>
        <v>0</v>
      </c>
      <c r="Z89" s="164">
        <f t="shared" si="137"/>
        <v>0</v>
      </c>
      <c r="AA89" s="164">
        <f t="shared" si="137"/>
        <v>0</v>
      </c>
      <c r="AB89" s="164">
        <f t="shared" si="137"/>
        <v>0</v>
      </c>
      <c r="AC89" s="81"/>
      <c r="AD89" s="81"/>
      <c r="AE89" s="81"/>
      <c r="AF89" s="81"/>
      <c r="AG89" s="77"/>
      <c r="AH89" s="77"/>
      <c r="AI89" s="81"/>
      <c r="AJ89" s="81"/>
      <c r="AK89" s="81"/>
      <c r="AL89" s="81"/>
      <c r="AM89" s="81"/>
      <c r="AN89" s="81"/>
      <c r="AO89" s="81"/>
      <c r="AP89" s="81"/>
    </row>
    <row r="90" ht="41.25" customHeight="1">
      <c r="A90" s="81"/>
      <c r="B90" s="77"/>
      <c r="C90" s="130"/>
      <c r="D90" s="126" t="s">
        <v>91</v>
      </c>
      <c r="E90" s="126" t="s">
        <v>99</v>
      </c>
      <c r="F90" s="126"/>
      <c r="G90" s="126"/>
      <c r="H90" s="126"/>
      <c r="I90" s="126">
        <v>65.0</v>
      </c>
      <c r="J90" s="161">
        <v>1580000.0</v>
      </c>
      <c r="K90" s="161">
        <v>1580000.0</v>
      </c>
      <c r="L90" s="161">
        <v>691080.0</v>
      </c>
      <c r="M90" s="161">
        <v>691080.0</v>
      </c>
      <c r="N90" s="163">
        <f t="shared" ref="N90:O90" si="138">J90+L90</f>
        <v>2271080</v>
      </c>
      <c r="O90" s="163">
        <f t="shared" si="138"/>
        <v>2271080</v>
      </c>
      <c r="P90" s="81"/>
      <c r="Q90" s="127">
        <v>1580000.0</v>
      </c>
      <c r="R90" s="127">
        <v>1580000.0</v>
      </c>
      <c r="S90" s="127">
        <v>691080.0</v>
      </c>
      <c r="T90" s="127">
        <v>691080.0</v>
      </c>
      <c r="U90" s="127">
        <v>2271080.0</v>
      </c>
      <c r="V90" s="127">
        <v>2271080.0</v>
      </c>
      <c r="W90" s="164">
        <f t="shared" ref="W90:AB90" si="139">+J90-Q90</f>
        <v>0</v>
      </c>
      <c r="X90" s="164">
        <f t="shared" si="139"/>
        <v>0</v>
      </c>
      <c r="Y90" s="164">
        <f t="shared" si="139"/>
        <v>0</v>
      </c>
      <c r="Z90" s="164">
        <f t="shared" si="139"/>
        <v>0</v>
      </c>
      <c r="AA90" s="164">
        <f t="shared" si="139"/>
        <v>0</v>
      </c>
      <c r="AB90" s="164">
        <f t="shared" si="139"/>
        <v>0</v>
      </c>
      <c r="AC90" s="81"/>
      <c r="AD90" s="81"/>
      <c r="AE90" s="81"/>
      <c r="AF90" s="81"/>
      <c r="AG90" s="77"/>
      <c r="AH90" s="77"/>
      <c r="AI90" s="81"/>
      <c r="AJ90" s="81"/>
      <c r="AK90" s="81"/>
      <c r="AL90" s="81"/>
      <c r="AM90" s="81"/>
      <c r="AN90" s="81"/>
      <c r="AO90" s="81"/>
      <c r="AP90" s="81"/>
    </row>
    <row r="91" ht="41.25" customHeight="1">
      <c r="A91" s="81"/>
      <c r="B91" s="77"/>
      <c r="C91" s="130"/>
      <c r="D91" s="126" t="s">
        <v>99</v>
      </c>
      <c r="E91" s="126" t="s">
        <v>86</v>
      </c>
      <c r="F91" s="126"/>
      <c r="G91" s="126"/>
      <c r="H91" s="126" t="s">
        <v>83</v>
      </c>
      <c r="I91" s="126">
        <v>256.0</v>
      </c>
      <c r="J91" s="161">
        <v>3290000.0</v>
      </c>
      <c r="K91" s="161">
        <v>3290000.0</v>
      </c>
      <c r="L91" s="161">
        <v>2721792.0</v>
      </c>
      <c r="M91" s="161">
        <v>2721792.0</v>
      </c>
      <c r="N91" s="163">
        <f t="shared" ref="N91:O91" si="140">J91+L91</f>
        <v>6011792</v>
      </c>
      <c r="O91" s="163">
        <f t="shared" si="140"/>
        <v>6011792</v>
      </c>
      <c r="P91" s="81"/>
      <c r="Q91" s="127">
        <v>3290000.0</v>
      </c>
      <c r="R91" s="127">
        <v>3290000.0</v>
      </c>
      <c r="S91" s="127">
        <v>2721792.0</v>
      </c>
      <c r="T91" s="127">
        <v>2721792.0</v>
      </c>
      <c r="U91" s="127">
        <v>6011792.0</v>
      </c>
      <c r="V91" s="127">
        <v>6011792.0</v>
      </c>
      <c r="W91" s="164">
        <f t="shared" ref="W91:AB91" si="141">+J91-Q91</f>
        <v>0</v>
      </c>
      <c r="X91" s="164">
        <f t="shared" si="141"/>
        <v>0</v>
      </c>
      <c r="Y91" s="164">
        <f t="shared" si="141"/>
        <v>0</v>
      </c>
      <c r="Z91" s="164">
        <f t="shared" si="141"/>
        <v>0</v>
      </c>
      <c r="AA91" s="164">
        <f t="shared" si="141"/>
        <v>0</v>
      </c>
      <c r="AB91" s="164">
        <f t="shared" si="141"/>
        <v>0</v>
      </c>
      <c r="AC91" s="81"/>
      <c r="AD91" s="81"/>
      <c r="AE91" s="81"/>
      <c r="AF91" s="81"/>
      <c r="AG91" s="77"/>
      <c r="AH91" s="77"/>
      <c r="AI91" s="81"/>
      <c r="AJ91" s="81"/>
      <c r="AK91" s="81"/>
      <c r="AL91" s="81"/>
      <c r="AM91" s="81"/>
      <c r="AN91" s="81"/>
      <c r="AO91" s="81"/>
      <c r="AP91" s="81"/>
    </row>
    <row r="92" ht="41.25" customHeight="1">
      <c r="A92" s="81"/>
      <c r="B92" s="77"/>
      <c r="C92" s="130"/>
      <c r="D92" s="126" t="s">
        <v>91</v>
      </c>
      <c r="E92" s="126" t="s">
        <v>100</v>
      </c>
      <c r="F92" s="126"/>
      <c r="G92" s="126"/>
      <c r="H92" s="126"/>
      <c r="I92" s="126">
        <v>25.0</v>
      </c>
      <c r="J92" s="161">
        <v>1320000.0</v>
      </c>
      <c r="K92" s="161">
        <v>1320000.0</v>
      </c>
      <c r="L92" s="161">
        <v>265800.0</v>
      </c>
      <c r="M92" s="161">
        <v>265800.0</v>
      </c>
      <c r="N92" s="163">
        <f t="shared" ref="N92:O92" si="142">J92+L92</f>
        <v>1585800</v>
      </c>
      <c r="O92" s="163">
        <f t="shared" si="142"/>
        <v>1585800</v>
      </c>
      <c r="P92" s="81"/>
      <c r="Q92" s="127">
        <v>1320000.0</v>
      </c>
      <c r="R92" s="127">
        <v>1320000.0</v>
      </c>
      <c r="S92" s="127">
        <v>265800.0</v>
      </c>
      <c r="T92" s="127">
        <v>265800.0</v>
      </c>
      <c r="U92" s="127">
        <v>1585800.0</v>
      </c>
      <c r="V92" s="127">
        <v>1585800.0</v>
      </c>
      <c r="W92" s="164">
        <f t="shared" ref="W92:AB92" si="143">+J92-Q92</f>
        <v>0</v>
      </c>
      <c r="X92" s="164">
        <f t="shared" si="143"/>
        <v>0</v>
      </c>
      <c r="Y92" s="164">
        <f t="shared" si="143"/>
        <v>0</v>
      </c>
      <c r="Z92" s="164">
        <f t="shared" si="143"/>
        <v>0</v>
      </c>
      <c r="AA92" s="164">
        <f t="shared" si="143"/>
        <v>0</v>
      </c>
      <c r="AB92" s="164">
        <f t="shared" si="143"/>
        <v>0</v>
      </c>
      <c r="AC92" s="81"/>
      <c r="AD92" s="81"/>
      <c r="AE92" s="81"/>
      <c r="AF92" s="81"/>
      <c r="AG92" s="77"/>
      <c r="AH92" s="77"/>
      <c r="AI92" s="81"/>
      <c r="AJ92" s="81"/>
      <c r="AK92" s="81"/>
      <c r="AL92" s="81"/>
      <c r="AM92" s="81"/>
      <c r="AN92" s="81"/>
      <c r="AO92" s="81"/>
      <c r="AP92" s="81"/>
    </row>
    <row r="93" ht="41.25" customHeight="1">
      <c r="A93" s="81"/>
      <c r="B93" s="77"/>
      <c r="C93" s="130"/>
      <c r="D93" s="126" t="s">
        <v>100</v>
      </c>
      <c r="E93" s="126" t="s">
        <v>84</v>
      </c>
      <c r="F93" s="126"/>
      <c r="G93" s="126"/>
      <c r="H93" s="126" t="s">
        <v>83</v>
      </c>
      <c r="I93" s="126">
        <v>287.0</v>
      </c>
      <c r="J93" s="161">
        <v>3420000.0</v>
      </c>
      <c r="K93" s="161">
        <v>3420000.0</v>
      </c>
      <c r="L93" s="161">
        <v>3051384.0</v>
      </c>
      <c r="M93" s="161">
        <v>3051384.0</v>
      </c>
      <c r="N93" s="163">
        <f t="shared" ref="N93:O93" si="144">J93+L93</f>
        <v>6471384</v>
      </c>
      <c r="O93" s="163">
        <f t="shared" si="144"/>
        <v>6471384</v>
      </c>
      <c r="P93" s="81"/>
      <c r="Q93" s="127">
        <v>3420000.0</v>
      </c>
      <c r="R93" s="127">
        <v>3420000.0</v>
      </c>
      <c r="S93" s="127">
        <v>3051384.0</v>
      </c>
      <c r="T93" s="127">
        <v>3051384.0</v>
      </c>
      <c r="U93" s="127">
        <v>6471384.0</v>
      </c>
      <c r="V93" s="127">
        <v>6471384.0</v>
      </c>
      <c r="W93" s="164">
        <f t="shared" ref="W93:AB93" si="145">+J93-Q93</f>
        <v>0</v>
      </c>
      <c r="X93" s="164">
        <f t="shared" si="145"/>
        <v>0</v>
      </c>
      <c r="Y93" s="164">
        <f t="shared" si="145"/>
        <v>0</v>
      </c>
      <c r="Z93" s="164">
        <f t="shared" si="145"/>
        <v>0</v>
      </c>
      <c r="AA93" s="164">
        <f t="shared" si="145"/>
        <v>0</v>
      </c>
      <c r="AB93" s="164">
        <f t="shared" si="145"/>
        <v>0</v>
      </c>
      <c r="AC93" s="81"/>
      <c r="AD93" s="81"/>
      <c r="AE93" s="81"/>
      <c r="AF93" s="81"/>
      <c r="AG93" s="77"/>
      <c r="AH93" s="77"/>
      <c r="AI93" s="81"/>
      <c r="AJ93" s="81"/>
      <c r="AK93" s="81"/>
      <c r="AL93" s="81"/>
      <c r="AM93" s="81"/>
      <c r="AN93" s="81"/>
      <c r="AO93" s="81"/>
      <c r="AP93" s="81"/>
    </row>
    <row r="94" ht="41.25" customHeight="1">
      <c r="A94" s="81"/>
      <c r="B94" s="77"/>
      <c r="C94" s="130"/>
      <c r="D94" s="126" t="s">
        <v>91</v>
      </c>
      <c r="E94" s="126" t="s">
        <v>100</v>
      </c>
      <c r="F94" s="126"/>
      <c r="G94" s="126"/>
      <c r="H94" s="126"/>
      <c r="I94" s="126">
        <v>25.0</v>
      </c>
      <c r="J94" s="161">
        <v>1320000.0</v>
      </c>
      <c r="K94" s="161">
        <v>1320000.0</v>
      </c>
      <c r="L94" s="161">
        <v>265800.0</v>
      </c>
      <c r="M94" s="161">
        <v>265800.0</v>
      </c>
      <c r="N94" s="163">
        <f t="shared" ref="N94:O94" si="146">J94+L94</f>
        <v>1585800</v>
      </c>
      <c r="O94" s="163">
        <f t="shared" si="146"/>
        <v>1585800</v>
      </c>
      <c r="P94" s="81"/>
      <c r="Q94" s="127">
        <v>1320000.0</v>
      </c>
      <c r="R94" s="127">
        <v>1320000.0</v>
      </c>
      <c r="S94" s="127">
        <v>265800.0</v>
      </c>
      <c r="T94" s="127">
        <v>265800.0</v>
      </c>
      <c r="U94" s="127">
        <v>1585800.0</v>
      </c>
      <c r="V94" s="127">
        <v>1585800.0</v>
      </c>
      <c r="W94" s="164">
        <f t="shared" ref="W94:AB94" si="147">+J94-Q94</f>
        <v>0</v>
      </c>
      <c r="X94" s="164">
        <f t="shared" si="147"/>
        <v>0</v>
      </c>
      <c r="Y94" s="164">
        <f t="shared" si="147"/>
        <v>0</v>
      </c>
      <c r="Z94" s="164">
        <f t="shared" si="147"/>
        <v>0</v>
      </c>
      <c r="AA94" s="164">
        <f t="shared" si="147"/>
        <v>0</v>
      </c>
      <c r="AB94" s="164">
        <f t="shared" si="147"/>
        <v>0</v>
      </c>
      <c r="AC94" s="81"/>
      <c r="AD94" s="81"/>
      <c r="AE94" s="81"/>
      <c r="AF94" s="81"/>
      <c r="AG94" s="77"/>
      <c r="AH94" s="77"/>
      <c r="AI94" s="81"/>
      <c r="AJ94" s="81"/>
      <c r="AK94" s="81"/>
      <c r="AL94" s="81"/>
      <c r="AM94" s="81"/>
      <c r="AN94" s="81"/>
      <c r="AO94" s="81"/>
      <c r="AP94" s="81"/>
    </row>
    <row r="95" ht="41.25" customHeight="1">
      <c r="A95" s="81"/>
      <c r="B95" s="77"/>
      <c r="C95" s="130"/>
      <c r="D95" s="126" t="s">
        <v>100</v>
      </c>
      <c r="E95" s="126" t="s">
        <v>85</v>
      </c>
      <c r="F95" s="126"/>
      <c r="G95" s="126"/>
      <c r="H95" s="126" t="s">
        <v>83</v>
      </c>
      <c r="I95" s="126">
        <v>241.0</v>
      </c>
      <c r="J95" s="161">
        <v>3100000.0</v>
      </c>
      <c r="K95" s="161">
        <v>3100000.0</v>
      </c>
      <c r="L95" s="161">
        <v>2562312.0</v>
      </c>
      <c r="M95" s="161">
        <v>2562312.0</v>
      </c>
      <c r="N95" s="163">
        <f t="shared" ref="N95:O95" si="148">J95+L95</f>
        <v>5662312</v>
      </c>
      <c r="O95" s="163">
        <f t="shared" si="148"/>
        <v>5662312</v>
      </c>
      <c r="P95" s="81"/>
      <c r="Q95" s="127">
        <v>3100000.0</v>
      </c>
      <c r="R95" s="127">
        <v>3100000.0</v>
      </c>
      <c r="S95" s="127">
        <v>2562312.0</v>
      </c>
      <c r="T95" s="127">
        <v>2562312.0</v>
      </c>
      <c r="U95" s="127">
        <v>5662312.0</v>
      </c>
      <c r="V95" s="127">
        <v>5662312.0</v>
      </c>
      <c r="W95" s="164">
        <f t="shared" ref="W95:AB95" si="149">+J95-Q95</f>
        <v>0</v>
      </c>
      <c r="X95" s="164">
        <f t="shared" si="149"/>
        <v>0</v>
      </c>
      <c r="Y95" s="164">
        <f t="shared" si="149"/>
        <v>0</v>
      </c>
      <c r="Z95" s="164">
        <f t="shared" si="149"/>
        <v>0</v>
      </c>
      <c r="AA95" s="164">
        <f t="shared" si="149"/>
        <v>0</v>
      </c>
      <c r="AB95" s="164">
        <f t="shared" si="149"/>
        <v>0</v>
      </c>
      <c r="AC95" s="81"/>
      <c r="AD95" s="81"/>
      <c r="AE95" s="81"/>
      <c r="AF95" s="81"/>
      <c r="AG95" s="77"/>
      <c r="AH95" s="77"/>
      <c r="AI95" s="81"/>
      <c r="AJ95" s="81"/>
      <c r="AK95" s="81"/>
      <c r="AL95" s="81"/>
      <c r="AM95" s="81"/>
      <c r="AN95" s="81"/>
      <c r="AO95" s="81"/>
      <c r="AP95" s="81"/>
    </row>
    <row r="96" ht="41.25" customHeight="1">
      <c r="A96" s="81"/>
      <c r="B96" s="77"/>
      <c r="C96" s="130"/>
      <c r="D96" s="126" t="s">
        <v>91</v>
      </c>
      <c r="E96" s="126" t="s">
        <v>100</v>
      </c>
      <c r="F96" s="126"/>
      <c r="G96" s="126"/>
      <c r="H96" s="126"/>
      <c r="I96" s="126">
        <v>25.0</v>
      </c>
      <c r="J96" s="161">
        <v>1320000.0</v>
      </c>
      <c r="K96" s="161">
        <v>1320000.0</v>
      </c>
      <c r="L96" s="161">
        <v>265800.0</v>
      </c>
      <c r="M96" s="161">
        <v>265800.0</v>
      </c>
      <c r="N96" s="163">
        <f t="shared" ref="N96:O96" si="150">J96+L96</f>
        <v>1585800</v>
      </c>
      <c r="O96" s="163">
        <f t="shared" si="150"/>
        <v>1585800</v>
      </c>
      <c r="P96" s="81"/>
      <c r="Q96" s="127">
        <v>1320000.0</v>
      </c>
      <c r="R96" s="127">
        <v>1320000.0</v>
      </c>
      <c r="S96" s="127">
        <v>265800.0</v>
      </c>
      <c r="T96" s="127">
        <v>265800.0</v>
      </c>
      <c r="U96" s="127">
        <v>1585800.0</v>
      </c>
      <c r="V96" s="127">
        <v>1585800.0</v>
      </c>
      <c r="W96" s="164">
        <f t="shared" ref="W96:AB96" si="151">+J96-Q96</f>
        <v>0</v>
      </c>
      <c r="X96" s="164">
        <f t="shared" si="151"/>
        <v>0</v>
      </c>
      <c r="Y96" s="164">
        <f t="shared" si="151"/>
        <v>0</v>
      </c>
      <c r="Z96" s="164">
        <f t="shared" si="151"/>
        <v>0</v>
      </c>
      <c r="AA96" s="164">
        <f t="shared" si="151"/>
        <v>0</v>
      </c>
      <c r="AB96" s="164">
        <f t="shared" si="151"/>
        <v>0</v>
      </c>
      <c r="AC96" s="81"/>
      <c r="AD96" s="81"/>
      <c r="AE96" s="81"/>
      <c r="AF96" s="81"/>
      <c r="AG96" s="77"/>
      <c r="AH96" s="77"/>
      <c r="AI96" s="81"/>
      <c r="AJ96" s="81"/>
      <c r="AK96" s="81"/>
      <c r="AL96" s="81"/>
      <c r="AM96" s="81"/>
      <c r="AN96" s="81"/>
      <c r="AO96" s="81"/>
      <c r="AP96" s="81"/>
    </row>
    <row r="97" ht="41.25" customHeight="1">
      <c r="A97" s="81"/>
      <c r="B97" s="77"/>
      <c r="C97" s="130"/>
      <c r="D97" s="126" t="s">
        <v>100</v>
      </c>
      <c r="E97" s="126" t="s">
        <v>86</v>
      </c>
      <c r="F97" s="126"/>
      <c r="G97" s="126"/>
      <c r="H97" s="126" t="s">
        <v>83</v>
      </c>
      <c r="I97" s="126">
        <v>250.0</v>
      </c>
      <c r="J97" s="161">
        <v>3360000.0</v>
      </c>
      <c r="K97" s="161">
        <v>3360000.0</v>
      </c>
      <c r="L97" s="161">
        <v>2658000.0</v>
      </c>
      <c r="M97" s="161">
        <v>2658000.0</v>
      </c>
      <c r="N97" s="163">
        <f t="shared" ref="N97:O97" si="152">J97+L97</f>
        <v>6018000</v>
      </c>
      <c r="O97" s="163">
        <f t="shared" si="152"/>
        <v>6018000</v>
      </c>
      <c r="P97" s="81"/>
      <c r="Q97" s="127">
        <v>3360000.0</v>
      </c>
      <c r="R97" s="127">
        <v>3360000.0</v>
      </c>
      <c r="S97" s="127">
        <v>2658000.0</v>
      </c>
      <c r="T97" s="127">
        <v>2658000.0</v>
      </c>
      <c r="U97" s="127">
        <v>6018000.0</v>
      </c>
      <c r="V97" s="127">
        <v>6018000.0</v>
      </c>
      <c r="W97" s="164">
        <f t="shared" ref="W97:AB97" si="153">+J97-Q97</f>
        <v>0</v>
      </c>
      <c r="X97" s="164">
        <f t="shared" si="153"/>
        <v>0</v>
      </c>
      <c r="Y97" s="164">
        <f t="shared" si="153"/>
        <v>0</v>
      </c>
      <c r="Z97" s="164">
        <f t="shared" si="153"/>
        <v>0</v>
      </c>
      <c r="AA97" s="164">
        <f t="shared" si="153"/>
        <v>0</v>
      </c>
      <c r="AB97" s="164">
        <f t="shared" si="153"/>
        <v>0</v>
      </c>
      <c r="AC97" s="81"/>
      <c r="AD97" s="81"/>
      <c r="AE97" s="81"/>
      <c r="AF97" s="81"/>
      <c r="AG97" s="77"/>
      <c r="AH97" s="77"/>
      <c r="AI97" s="81"/>
      <c r="AJ97" s="81"/>
      <c r="AK97" s="81"/>
      <c r="AL97" s="81"/>
      <c r="AM97" s="81"/>
      <c r="AN97" s="81"/>
      <c r="AO97" s="81"/>
      <c r="AP97" s="81"/>
    </row>
    <row r="98" ht="41.25" customHeight="1">
      <c r="A98" s="81"/>
      <c r="B98" s="77"/>
      <c r="C98" s="130"/>
      <c r="D98" s="126" t="s">
        <v>91</v>
      </c>
      <c r="E98" s="126" t="s">
        <v>101</v>
      </c>
      <c r="F98" s="126"/>
      <c r="G98" s="126"/>
      <c r="H98" s="126"/>
      <c r="I98" s="126">
        <v>30.0</v>
      </c>
      <c r="J98" s="161">
        <v>1460000.0</v>
      </c>
      <c r="K98" s="161">
        <v>1460000.0</v>
      </c>
      <c r="L98" s="161">
        <v>318960.0</v>
      </c>
      <c r="M98" s="161">
        <v>318960.0</v>
      </c>
      <c r="N98" s="163">
        <f t="shared" ref="N98:O98" si="154">J98+L98</f>
        <v>1778960</v>
      </c>
      <c r="O98" s="163">
        <f t="shared" si="154"/>
        <v>1778960</v>
      </c>
      <c r="P98" s="81"/>
      <c r="Q98" s="127">
        <v>1460000.0</v>
      </c>
      <c r="R98" s="127">
        <v>1460000.0</v>
      </c>
      <c r="S98" s="127">
        <v>318960.0</v>
      </c>
      <c r="T98" s="127">
        <v>318960.0</v>
      </c>
      <c r="U98" s="127">
        <v>1778960.0</v>
      </c>
      <c r="V98" s="127">
        <v>1778960.0</v>
      </c>
      <c r="W98" s="164">
        <f t="shared" ref="W98:AB98" si="155">+J98-Q98</f>
        <v>0</v>
      </c>
      <c r="X98" s="164">
        <f t="shared" si="155"/>
        <v>0</v>
      </c>
      <c r="Y98" s="164">
        <f t="shared" si="155"/>
        <v>0</v>
      </c>
      <c r="Z98" s="164">
        <f t="shared" si="155"/>
        <v>0</v>
      </c>
      <c r="AA98" s="164">
        <f t="shared" si="155"/>
        <v>0</v>
      </c>
      <c r="AB98" s="164">
        <f t="shared" si="155"/>
        <v>0</v>
      </c>
      <c r="AC98" s="81"/>
      <c r="AD98" s="81"/>
      <c r="AE98" s="81"/>
      <c r="AF98" s="81"/>
      <c r="AG98" s="77"/>
      <c r="AH98" s="77"/>
      <c r="AI98" s="81"/>
      <c r="AJ98" s="81"/>
      <c r="AK98" s="81"/>
      <c r="AL98" s="81"/>
      <c r="AM98" s="81"/>
      <c r="AN98" s="81"/>
      <c r="AO98" s="81"/>
      <c r="AP98" s="81"/>
    </row>
    <row r="99" ht="41.25" customHeight="1">
      <c r="A99" s="81"/>
      <c r="B99" s="77"/>
      <c r="C99" s="130"/>
      <c r="D99" s="126" t="s">
        <v>101</v>
      </c>
      <c r="E99" s="126" t="s">
        <v>84</v>
      </c>
      <c r="F99" s="126"/>
      <c r="G99" s="126"/>
      <c r="H99" s="126" t="s">
        <v>83</v>
      </c>
      <c r="I99" s="126">
        <v>258.0</v>
      </c>
      <c r="J99" s="161">
        <v>3670000.0</v>
      </c>
      <c r="K99" s="161">
        <v>3670000.0</v>
      </c>
      <c r="L99" s="161">
        <v>2743056.0</v>
      </c>
      <c r="M99" s="161">
        <v>2743056.0</v>
      </c>
      <c r="N99" s="163">
        <f t="shared" ref="N99:O99" si="156">J99+L99</f>
        <v>6413056</v>
      </c>
      <c r="O99" s="163">
        <f t="shared" si="156"/>
        <v>6413056</v>
      </c>
      <c r="P99" s="81"/>
      <c r="Q99" s="127">
        <v>3670000.0</v>
      </c>
      <c r="R99" s="127">
        <v>3670000.0</v>
      </c>
      <c r="S99" s="127">
        <v>2743055.9999999995</v>
      </c>
      <c r="T99" s="127">
        <v>2743055.9999999995</v>
      </c>
      <c r="U99" s="127">
        <v>6413056.0</v>
      </c>
      <c r="V99" s="127">
        <v>6413056.0</v>
      </c>
      <c r="W99" s="164">
        <f t="shared" ref="W99:AB99" si="157">+J99-Q99</f>
        <v>0</v>
      </c>
      <c r="X99" s="164">
        <f t="shared" si="157"/>
        <v>0</v>
      </c>
      <c r="Y99" s="164">
        <f t="shared" si="157"/>
        <v>0.0000000004656612873</v>
      </c>
      <c r="Z99" s="164">
        <f t="shared" si="157"/>
        <v>0.0000000004656612873</v>
      </c>
      <c r="AA99" s="164">
        <f t="shared" si="157"/>
        <v>0</v>
      </c>
      <c r="AB99" s="164">
        <f t="shared" si="157"/>
        <v>0</v>
      </c>
      <c r="AC99" s="81"/>
      <c r="AD99" s="81"/>
      <c r="AE99" s="81"/>
      <c r="AF99" s="81"/>
      <c r="AG99" s="77"/>
      <c r="AH99" s="77"/>
      <c r="AI99" s="81"/>
      <c r="AJ99" s="81"/>
      <c r="AK99" s="81"/>
      <c r="AL99" s="81"/>
      <c r="AM99" s="81"/>
      <c r="AN99" s="81"/>
      <c r="AO99" s="81"/>
      <c r="AP99" s="81"/>
    </row>
    <row r="100" ht="41.25" customHeight="1">
      <c r="A100" s="81"/>
      <c r="B100" s="77"/>
      <c r="C100" s="130"/>
      <c r="D100" s="126" t="s">
        <v>91</v>
      </c>
      <c r="E100" s="126" t="s">
        <v>101</v>
      </c>
      <c r="F100" s="126"/>
      <c r="G100" s="126"/>
      <c r="H100" s="126"/>
      <c r="I100" s="126">
        <v>30.0</v>
      </c>
      <c r="J100" s="161">
        <v>1460000.0</v>
      </c>
      <c r="K100" s="161">
        <v>1460000.0</v>
      </c>
      <c r="L100" s="161">
        <v>318960.0</v>
      </c>
      <c r="M100" s="161">
        <v>318960.0</v>
      </c>
      <c r="N100" s="163">
        <f t="shared" ref="N100:O100" si="158">J100+L100</f>
        <v>1778960</v>
      </c>
      <c r="O100" s="163">
        <f t="shared" si="158"/>
        <v>1778960</v>
      </c>
      <c r="P100" s="81"/>
      <c r="Q100" s="127">
        <v>1460000.0</v>
      </c>
      <c r="R100" s="127">
        <v>1460000.0</v>
      </c>
      <c r="S100" s="127">
        <v>318960.0</v>
      </c>
      <c r="T100" s="127">
        <v>318960.0</v>
      </c>
      <c r="U100" s="127">
        <v>1778960.0</v>
      </c>
      <c r="V100" s="127">
        <v>1778960.0</v>
      </c>
      <c r="W100" s="164">
        <f t="shared" ref="W100:AB100" si="159">+J100-Q100</f>
        <v>0</v>
      </c>
      <c r="X100" s="164">
        <f t="shared" si="159"/>
        <v>0</v>
      </c>
      <c r="Y100" s="164">
        <f t="shared" si="159"/>
        <v>0</v>
      </c>
      <c r="Z100" s="164">
        <f t="shared" si="159"/>
        <v>0</v>
      </c>
      <c r="AA100" s="164">
        <f t="shared" si="159"/>
        <v>0</v>
      </c>
      <c r="AB100" s="164">
        <f t="shared" si="159"/>
        <v>0</v>
      </c>
      <c r="AC100" s="81"/>
      <c r="AD100" s="81"/>
      <c r="AE100" s="81"/>
      <c r="AF100" s="81"/>
      <c r="AG100" s="77"/>
      <c r="AH100" s="77"/>
      <c r="AI100" s="81"/>
      <c r="AJ100" s="81"/>
      <c r="AK100" s="81"/>
      <c r="AL100" s="81"/>
      <c r="AM100" s="81"/>
      <c r="AN100" s="81"/>
      <c r="AO100" s="81"/>
      <c r="AP100" s="81"/>
    </row>
    <row r="101" ht="41.25" customHeight="1">
      <c r="A101" s="81"/>
      <c r="B101" s="77"/>
      <c r="C101" s="130"/>
      <c r="D101" s="126" t="s">
        <v>101</v>
      </c>
      <c r="E101" s="126" t="s">
        <v>85</v>
      </c>
      <c r="F101" s="126"/>
      <c r="G101" s="126"/>
      <c r="H101" s="126" t="s">
        <v>83</v>
      </c>
      <c r="I101" s="126">
        <v>245.0</v>
      </c>
      <c r="J101" s="161">
        <v>3160000.0</v>
      </c>
      <c r="K101" s="161">
        <v>3160000.0</v>
      </c>
      <c r="L101" s="161">
        <v>2604840.0</v>
      </c>
      <c r="M101" s="161">
        <v>2604840.0</v>
      </c>
      <c r="N101" s="163">
        <f t="shared" ref="N101:O101" si="160">J101+L101</f>
        <v>5764840</v>
      </c>
      <c r="O101" s="163">
        <f t="shared" si="160"/>
        <v>5764840</v>
      </c>
      <c r="P101" s="81"/>
      <c r="Q101" s="127">
        <v>3160000.0</v>
      </c>
      <c r="R101" s="127">
        <v>3160000.0</v>
      </c>
      <c r="S101" s="127">
        <v>2604840.0</v>
      </c>
      <c r="T101" s="127">
        <v>2604840.0</v>
      </c>
      <c r="U101" s="127">
        <v>5764840.0</v>
      </c>
      <c r="V101" s="127">
        <v>5764840.0</v>
      </c>
      <c r="W101" s="164">
        <f t="shared" ref="W101:AB101" si="161">+J101-Q101</f>
        <v>0</v>
      </c>
      <c r="X101" s="164">
        <f t="shared" si="161"/>
        <v>0</v>
      </c>
      <c r="Y101" s="164">
        <f t="shared" si="161"/>
        <v>0</v>
      </c>
      <c r="Z101" s="164">
        <f t="shared" si="161"/>
        <v>0</v>
      </c>
      <c r="AA101" s="164">
        <f t="shared" si="161"/>
        <v>0</v>
      </c>
      <c r="AB101" s="164">
        <f t="shared" si="161"/>
        <v>0</v>
      </c>
      <c r="AC101" s="81"/>
      <c r="AD101" s="81"/>
      <c r="AE101" s="81"/>
      <c r="AF101" s="81"/>
      <c r="AG101" s="77"/>
      <c r="AH101" s="77"/>
      <c r="AI101" s="81"/>
      <c r="AJ101" s="81"/>
      <c r="AK101" s="81"/>
      <c r="AL101" s="81"/>
      <c r="AM101" s="81"/>
      <c r="AN101" s="81"/>
      <c r="AO101" s="81"/>
      <c r="AP101" s="81"/>
    </row>
    <row r="102" ht="41.25" customHeight="1">
      <c r="A102" s="81"/>
      <c r="B102" s="77"/>
      <c r="C102" s="130"/>
      <c r="D102" s="126" t="s">
        <v>91</v>
      </c>
      <c r="E102" s="126" t="s">
        <v>101</v>
      </c>
      <c r="F102" s="126"/>
      <c r="G102" s="126"/>
      <c r="H102" s="126"/>
      <c r="I102" s="126">
        <v>30.0</v>
      </c>
      <c r="J102" s="161">
        <v>1460000.0</v>
      </c>
      <c r="K102" s="161">
        <v>1460000.0</v>
      </c>
      <c r="L102" s="161">
        <v>318960.0</v>
      </c>
      <c r="M102" s="161">
        <v>318960.0</v>
      </c>
      <c r="N102" s="163">
        <f t="shared" ref="N102:O102" si="162">J102+L102</f>
        <v>1778960</v>
      </c>
      <c r="O102" s="163">
        <f t="shared" si="162"/>
        <v>1778960</v>
      </c>
      <c r="P102" s="81"/>
      <c r="Q102" s="127">
        <v>1460000.0</v>
      </c>
      <c r="R102" s="127">
        <v>1460000.0</v>
      </c>
      <c r="S102" s="127">
        <v>318960.0</v>
      </c>
      <c r="T102" s="127">
        <v>318960.0</v>
      </c>
      <c r="U102" s="127">
        <v>1778960.0</v>
      </c>
      <c r="V102" s="127">
        <v>1778960.0</v>
      </c>
      <c r="W102" s="164">
        <f t="shared" ref="W102:AB102" si="163">+J102-Q102</f>
        <v>0</v>
      </c>
      <c r="X102" s="164">
        <f t="shared" si="163"/>
        <v>0</v>
      </c>
      <c r="Y102" s="164">
        <f t="shared" si="163"/>
        <v>0</v>
      </c>
      <c r="Z102" s="164">
        <f t="shared" si="163"/>
        <v>0</v>
      </c>
      <c r="AA102" s="164">
        <f t="shared" si="163"/>
        <v>0</v>
      </c>
      <c r="AB102" s="164">
        <f t="shared" si="163"/>
        <v>0</v>
      </c>
      <c r="AC102" s="81"/>
      <c r="AD102" s="81"/>
      <c r="AE102" s="81"/>
      <c r="AF102" s="81"/>
      <c r="AG102" s="77"/>
      <c r="AH102" s="77"/>
      <c r="AI102" s="81"/>
      <c r="AJ102" s="81"/>
      <c r="AK102" s="81"/>
      <c r="AL102" s="81"/>
      <c r="AM102" s="81"/>
      <c r="AN102" s="81"/>
      <c r="AO102" s="81"/>
      <c r="AP102" s="81"/>
    </row>
    <row r="103" ht="41.25" customHeight="1">
      <c r="A103" s="81"/>
      <c r="B103" s="77"/>
      <c r="C103" s="118"/>
      <c r="D103" s="126" t="s">
        <v>101</v>
      </c>
      <c r="E103" s="126" t="s">
        <v>86</v>
      </c>
      <c r="F103" s="126"/>
      <c r="G103" s="126"/>
      <c r="H103" s="126" t="s">
        <v>83</v>
      </c>
      <c r="I103" s="126">
        <v>214.0</v>
      </c>
      <c r="J103" s="161">
        <v>2890000.0</v>
      </c>
      <c r="K103" s="161">
        <v>2890000.0</v>
      </c>
      <c r="L103" s="161">
        <v>2275248.0</v>
      </c>
      <c r="M103" s="161">
        <v>2275248.0</v>
      </c>
      <c r="N103" s="163">
        <f t="shared" ref="N103:O103" si="164">J103+L103</f>
        <v>5165248</v>
      </c>
      <c r="O103" s="163">
        <f t="shared" si="164"/>
        <v>5165248</v>
      </c>
      <c r="P103" s="81"/>
      <c r="Q103" s="127">
        <v>2890000.0</v>
      </c>
      <c r="R103" s="127">
        <v>2890000.0</v>
      </c>
      <c r="S103" s="127">
        <v>2275248.0</v>
      </c>
      <c r="T103" s="127">
        <v>2275248.0</v>
      </c>
      <c r="U103" s="127">
        <v>5165248.0</v>
      </c>
      <c r="V103" s="127">
        <v>5165248.0</v>
      </c>
      <c r="W103" s="164">
        <f t="shared" ref="W103:AB103" si="165">+J103-Q103</f>
        <v>0</v>
      </c>
      <c r="X103" s="164">
        <f t="shared" si="165"/>
        <v>0</v>
      </c>
      <c r="Y103" s="164">
        <f t="shared" si="165"/>
        <v>0</v>
      </c>
      <c r="Z103" s="164">
        <f t="shared" si="165"/>
        <v>0</v>
      </c>
      <c r="AA103" s="164">
        <f t="shared" si="165"/>
        <v>0</v>
      </c>
      <c r="AB103" s="164">
        <f t="shared" si="165"/>
        <v>0</v>
      </c>
      <c r="AC103" s="81"/>
      <c r="AD103" s="81"/>
      <c r="AE103" s="81"/>
      <c r="AF103" s="81"/>
      <c r="AG103" s="77"/>
      <c r="AH103" s="77"/>
      <c r="AI103" s="81"/>
      <c r="AJ103" s="81"/>
      <c r="AK103" s="81"/>
      <c r="AL103" s="81"/>
      <c r="AM103" s="81"/>
      <c r="AN103" s="81"/>
      <c r="AO103" s="81"/>
      <c r="AP103" s="81"/>
    </row>
    <row r="104" ht="41.25" customHeight="1">
      <c r="A104" s="81"/>
      <c r="B104" s="77"/>
      <c r="C104" s="167" t="s">
        <v>102</v>
      </c>
      <c r="D104" s="126" t="s">
        <v>103</v>
      </c>
      <c r="E104" s="126" t="s">
        <v>84</v>
      </c>
      <c r="F104" s="126"/>
      <c r="G104" s="126"/>
      <c r="H104" s="126" t="s">
        <v>83</v>
      </c>
      <c r="I104" s="126">
        <v>195.0</v>
      </c>
      <c r="J104" s="161">
        <v>2750000.0</v>
      </c>
      <c r="K104" s="161">
        <v>2750000.0</v>
      </c>
      <c r="L104" s="161">
        <v>2073240.0</v>
      </c>
      <c r="M104" s="161">
        <v>2073240.0</v>
      </c>
      <c r="N104" s="163">
        <f t="shared" ref="N104:O104" si="166">J104+L104</f>
        <v>4823240</v>
      </c>
      <c r="O104" s="163">
        <f t="shared" si="166"/>
        <v>4823240</v>
      </c>
      <c r="P104" s="81"/>
      <c r="Q104" s="127">
        <v>2750000.0</v>
      </c>
      <c r="R104" s="127">
        <v>2750000.0</v>
      </c>
      <c r="S104" s="127">
        <v>2073240.0</v>
      </c>
      <c r="T104" s="127">
        <v>2073240.0</v>
      </c>
      <c r="U104" s="127">
        <v>4823240.0</v>
      </c>
      <c r="V104" s="127">
        <v>4823240.0</v>
      </c>
      <c r="W104" s="164">
        <f t="shared" ref="W104:AB104" si="167">+J104-Q104</f>
        <v>0</v>
      </c>
      <c r="X104" s="164">
        <f t="shared" si="167"/>
        <v>0</v>
      </c>
      <c r="Y104" s="164">
        <f t="shared" si="167"/>
        <v>0</v>
      </c>
      <c r="Z104" s="164">
        <f t="shared" si="167"/>
        <v>0</v>
      </c>
      <c r="AA104" s="164">
        <f t="shared" si="167"/>
        <v>0</v>
      </c>
      <c r="AB104" s="164">
        <f t="shared" si="167"/>
        <v>0</v>
      </c>
      <c r="AC104" s="81"/>
      <c r="AD104" s="81"/>
      <c r="AE104" s="81"/>
      <c r="AF104" s="81"/>
      <c r="AG104" s="77"/>
      <c r="AH104" s="77"/>
      <c r="AI104" s="81"/>
      <c r="AJ104" s="81"/>
      <c r="AK104" s="81"/>
      <c r="AL104" s="81"/>
      <c r="AM104" s="81"/>
      <c r="AN104" s="81"/>
      <c r="AO104" s="81"/>
      <c r="AP104" s="81"/>
    </row>
    <row r="105" ht="41.25" customHeight="1">
      <c r="A105" s="81"/>
      <c r="B105" s="77"/>
      <c r="C105" s="130"/>
      <c r="D105" s="126" t="s">
        <v>103</v>
      </c>
      <c r="E105" s="126" t="s">
        <v>85</v>
      </c>
      <c r="F105" s="126"/>
      <c r="G105" s="126"/>
      <c r="H105" s="126" t="s">
        <v>83</v>
      </c>
      <c r="I105" s="126">
        <v>183.0</v>
      </c>
      <c r="J105" s="161">
        <v>2750000.0</v>
      </c>
      <c r="K105" s="161">
        <v>2750000.0</v>
      </c>
      <c r="L105" s="161">
        <v>1945656.0</v>
      </c>
      <c r="M105" s="161">
        <v>1945656.0</v>
      </c>
      <c r="N105" s="163">
        <f t="shared" ref="N105:O105" si="168">J105+L105</f>
        <v>4695656</v>
      </c>
      <c r="O105" s="163">
        <f t="shared" si="168"/>
        <v>4695656</v>
      </c>
      <c r="P105" s="81"/>
      <c r="Q105" s="127">
        <v>2750000.0</v>
      </c>
      <c r="R105" s="127">
        <v>2750000.0</v>
      </c>
      <c r="S105" s="127">
        <v>1945656.0</v>
      </c>
      <c r="T105" s="127">
        <v>1945656.0</v>
      </c>
      <c r="U105" s="127">
        <v>4695656.0</v>
      </c>
      <c r="V105" s="127">
        <v>4695656.0</v>
      </c>
      <c r="W105" s="164">
        <f t="shared" ref="W105:AB105" si="169">+J105-Q105</f>
        <v>0</v>
      </c>
      <c r="X105" s="164">
        <f t="shared" si="169"/>
        <v>0</v>
      </c>
      <c r="Y105" s="164">
        <f t="shared" si="169"/>
        <v>0</v>
      </c>
      <c r="Z105" s="164">
        <f t="shared" si="169"/>
        <v>0</v>
      </c>
      <c r="AA105" s="164">
        <f t="shared" si="169"/>
        <v>0</v>
      </c>
      <c r="AB105" s="164">
        <f t="shared" si="169"/>
        <v>0</v>
      </c>
      <c r="AC105" s="81"/>
      <c r="AD105" s="81"/>
      <c r="AE105" s="81"/>
      <c r="AF105" s="81"/>
      <c r="AG105" s="77"/>
      <c r="AH105" s="77"/>
      <c r="AI105" s="81"/>
      <c r="AJ105" s="81"/>
      <c r="AK105" s="81"/>
      <c r="AL105" s="81"/>
      <c r="AM105" s="81"/>
      <c r="AN105" s="81"/>
      <c r="AO105" s="81"/>
      <c r="AP105" s="81"/>
    </row>
    <row r="106" ht="41.25" customHeight="1">
      <c r="A106" s="81"/>
      <c r="B106" s="77"/>
      <c r="C106" s="130"/>
      <c r="D106" s="126" t="s">
        <v>103</v>
      </c>
      <c r="E106" s="126" t="s">
        <v>86</v>
      </c>
      <c r="F106" s="126"/>
      <c r="G106" s="126"/>
      <c r="H106" s="126" t="s">
        <v>83</v>
      </c>
      <c r="I106" s="126">
        <v>190.0</v>
      </c>
      <c r="J106" s="161">
        <v>2770000.0</v>
      </c>
      <c r="K106" s="161">
        <v>2770000.0</v>
      </c>
      <c r="L106" s="161">
        <v>2020080.0</v>
      </c>
      <c r="M106" s="161">
        <v>2020080.0</v>
      </c>
      <c r="N106" s="163">
        <f t="shared" ref="N106:O106" si="170">J106+L106</f>
        <v>4790080</v>
      </c>
      <c r="O106" s="163">
        <f t="shared" si="170"/>
        <v>4790080</v>
      </c>
      <c r="P106" s="81"/>
      <c r="Q106" s="127">
        <v>2770000.0</v>
      </c>
      <c r="R106" s="127">
        <v>2770000.0</v>
      </c>
      <c r="S106" s="127">
        <v>2020080.0</v>
      </c>
      <c r="T106" s="127">
        <v>2020080.0</v>
      </c>
      <c r="U106" s="127">
        <v>4790080.0</v>
      </c>
      <c r="V106" s="127">
        <v>4790080.0</v>
      </c>
      <c r="W106" s="164">
        <f t="shared" ref="W106:AB106" si="171">+J106-Q106</f>
        <v>0</v>
      </c>
      <c r="X106" s="164">
        <f t="shared" si="171"/>
        <v>0</v>
      </c>
      <c r="Y106" s="164">
        <f t="shared" si="171"/>
        <v>0</v>
      </c>
      <c r="Z106" s="164">
        <f t="shared" si="171"/>
        <v>0</v>
      </c>
      <c r="AA106" s="164">
        <f t="shared" si="171"/>
        <v>0</v>
      </c>
      <c r="AB106" s="164">
        <f t="shared" si="171"/>
        <v>0</v>
      </c>
      <c r="AC106" s="81"/>
      <c r="AD106" s="81"/>
      <c r="AE106" s="81"/>
      <c r="AF106" s="81"/>
      <c r="AG106" s="77"/>
      <c r="AH106" s="77"/>
      <c r="AI106" s="81"/>
      <c r="AJ106" s="81"/>
      <c r="AK106" s="81"/>
      <c r="AL106" s="81"/>
      <c r="AM106" s="81"/>
      <c r="AN106" s="81"/>
      <c r="AO106" s="81"/>
      <c r="AP106" s="81"/>
    </row>
    <row r="107" ht="41.25" customHeight="1">
      <c r="A107" s="81"/>
      <c r="B107" s="77"/>
      <c r="C107" s="130"/>
      <c r="D107" s="126" t="s">
        <v>104</v>
      </c>
      <c r="E107" s="126" t="s">
        <v>84</v>
      </c>
      <c r="F107" s="126"/>
      <c r="G107" s="126"/>
      <c r="H107" s="126" t="s">
        <v>83</v>
      </c>
      <c r="I107" s="126">
        <v>214.0</v>
      </c>
      <c r="J107" s="161">
        <v>3620000.0</v>
      </c>
      <c r="K107" s="161">
        <v>3620000.0</v>
      </c>
      <c r="L107" s="161">
        <v>2275248.0</v>
      </c>
      <c r="M107" s="161">
        <v>2275248.0</v>
      </c>
      <c r="N107" s="163">
        <f t="shared" ref="N107:O107" si="172">J107+L107</f>
        <v>5895248</v>
      </c>
      <c r="O107" s="163">
        <f t="shared" si="172"/>
        <v>5895248</v>
      </c>
      <c r="P107" s="81"/>
      <c r="Q107" s="127">
        <v>3620000.0</v>
      </c>
      <c r="R107" s="127">
        <v>3620000.0</v>
      </c>
      <c r="S107" s="127">
        <v>2275248.0</v>
      </c>
      <c r="T107" s="127">
        <v>2275248.0</v>
      </c>
      <c r="U107" s="127">
        <v>5895248.0</v>
      </c>
      <c r="V107" s="127">
        <v>5895248.0</v>
      </c>
      <c r="W107" s="164">
        <f t="shared" ref="W107:AB107" si="173">+J107-Q107</f>
        <v>0</v>
      </c>
      <c r="X107" s="164">
        <f t="shared" si="173"/>
        <v>0</v>
      </c>
      <c r="Y107" s="164">
        <f t="shared" si="173"/>
        <v>0</v>
      </c>
      <c r="Z107" s="164">
        <f t="shared" si="173"/>
        <v>0</v>
      </c>
      <c r="AA107" s="164">
        <f t="shared" si="173"/>
        <v>0</v>
      </c>
      <c r="AB107" s="164">
        <f t="shared" si="173"/>
        <v>0</v>
      </c>
      <c r="AC107" s="81"/>
      <c r="AD107" s="81"/>
      <c r="AE107" s="81"/>
      <c r="AF107" s="81"/>
      <c r="AG107" s="77"/>
      <c r="AH107" s="77"/>
      <c r="AI107" s="81"/>
      <c r="AJ107" s="81"/>
      <c r="AK107" s="81"/>
      <c r="AL107" s="81"/>
      <c r="AM107" s="81"/>
      <c r="AN107" s="81"/>
      <c r="AO107" s="81"/>
      <c r="AP107" s="81"/>
    </row>
    <row r="108" ht="41.25" customHeight="1">
      <c r="A108" s="81"/>
      <c r="B108" s="77"/>
      <c r="C108" s="130"/>
      <c r="D108" s="126" t="s">
        <v>104</v>
      </c>
      <c r="E108" s="126" t="s">
        <v>85</v>
      </c>
      <c r="F108" s="126"/>
      <c r="G108" s="126"/>
      <c r="H108" s="126" t="s">
        <v>83</v>
      </c>
      <c r="I108" s="126">
        <v>168.0</v>
      </c>
      <c r="J108" s="161">
        <v>3290000.0</v>
      </c>
      <c r="K108" s="161">
        <v>3290000.0</v>
      </c>
      <c r="L108" s="161">
        <v>1786176.0</v>
      </c>
      <c r="M108" s="161">
        <v>1786176.0</v>
      </c>
      <c r="N108" s="163">
        <f t="shared" ref="N108:O108" si="174">J108+L108</f>
        <v>5076176</v>
      </c>
      <c r="O108" s="163">
        <f t="shared" si="174"/>
        <v>5076176</v>
      </c>
      <c r="P108" s="81"/>
      <c r="Q108" s="127">
        <v>3290000.0</v>
      </c>
      <c r="R108" s="127">
        <v>3290000.0</v>
      </c>
      <c r="S108" s="127">
        <v>1786176.0</v>
      </c>
      <c r="T108" s="127">
        <v>1786176.0</v>
      </c>
      <c r="U108" s="127">
        <v>5076176.0</v>
      </c>
      <c r="V108" s="127">
        <v>5076176.0</v>
      </c>
      <c r="W108" s="164">
        <f t="shared" ref="W108:AB108" si="175">+J108-Q108</f>
        <v>0</v>
      </c>
      <c r="X108" s="164">
        <f t="shared" si="175"/>
        <v>0</v>
      </c>
      <c r="Y108" s="164">
        <f t="shared" si="175"/>
        <v>0</v>
      </c>
      <c r="Z108" s="164">
        <f t="shared" si="175"/>
        <v>0</v>
      </c>
      <c r="AA108" s="164">
        <f t="shared" si="175"/>
        <v>0</v>
      </c>
      <c r="AB108" s="164">
        <f t="shared" si="175"/>
        <v>0</v>
      </c>
      <c r="AC108" s="81"/>
      <c r="AD108" s="81"/>
      <c r="AE108" s="81"/>
      <c r="AF108" s="81"/>
      <c r="AG108" s="77"/>
      <c r="AH108" s="77"/>
      <c r="AI108" s="81"/>
      <c r="AJ108" s="81"/>
      <c r="AK108" s="81"/>
      <c r="AL108" s="81"/>
      <c r="AM108" s="81"/>
      <c r="AN108" s="81"/>
      <c r="AO108" s="81"/>
      <c r="AP108" s="81"/>
    </row>
    <row r="109" ht="41.25" customHeight="1">
      <c r="A109" s="81"/>
      <c r="B109" s="77"/>
      <c r="C109" s="130"/>
      <c r="D109" s="126" t="s">
        <v>104</v>
      </c>
      <c r="E109" s="126" t="s">
        <v>86</v>
      </c>
      <c r="F109" s="126"/>
      <c r="G109" s="126"/>
      <c r="H109" s="126" t="s">
        <v>83</v>
      </c>
      <c r="I109" s="126">
        <v>147.0</v>
      </c>
      <c r="J109" s="161">
        <v>3230000.0</v>
      </c>
      <c r="K109" s="161">
        <v>3230000.0</v>
      </c>
      <c r="L109" s="161">
        <v>1562904.0</v>
      </c>
      <c r="M109" s="161">
        <v>1562904.0</v>
      </c>
      <c r="N109" s="163">
        <f t="shared" ref="N109:O109" si="176">J109+L109</f>
        <v>4792904</v>
      </c>
      <c r="O109" s="163">
        <f t="shared" si="176"/>
        <v>4792904</v>
      </c>
      <c r="P109" s="81"/>
      <c r="Q109" s="127">
        <v>3230000.0</v>
      </c>
      <c r="R109" s="127">
        <v>3230000.0</v>
      </c>
      <c r="S109" s="127">
        <v>1562904.0</v>
      </c>
      <c r="T109" s="127">
        <v>1562904.0</v>
      </c>
      <c r="U109" s="127">
        <v>4792904.0</v>
      </c>
      <c r="V109" s="127">
        <v>4792904.0</v>
      </c>
      <c r="W109" s="164">
        <f t="shared" ref="W109:AB109" si="177">+J109-Q109</f>
        <v>0</v>
      </c>
      <c r="X109" s="164">
        <f t="shared" si="177"/>
        <v>0</v>
      </c>
      <c r="Y109" s="164">
        <f t="shared" si="177"/>
        <v>0</v>
      </c>
      <c r="Z109" s="164">
        <f t="shared" si="177"/>
        <v>0</v>
      </c>
      <c r="AA109" s="164">
        <f t="shared" si="177"/>
        <v>0</v>
      </c>
      <c r="AB109" s="164">
        <f t="shared" si="177"/>
        <v>0</v>
      </c>
      <c r="AC109" s="81"/>
      <c r="AD109" s="81"/>
      <c r="AE109" s="81"/>
      <c r="AF109" s="81"/>
      <c r="AG109" s="77"/>
      <c r="AH109" s="77"/>
      <c r="AI109" s="81"/>
      <c r="AJ109" s="81"/>
      <c r="AK109" s="81"/>
      <c r="AL109" s="81"/>
      <c r="AM109" s="81"/>
      <c r="AN109" s="81"/>
      <c r="AO109" s="81"/>
      <c r="AP109" s="81"/>
    </row>
    <row r="110" ht="41.25" customHeight="1">
      <c r="A110" s="81"/>
      <c r="B110" s="168"/>
      <c r="C110" s="130"/>
      <c r="D110" s="126" t="s">
        <v>105</v>
      </c>
      <c r="E110" s="126" t="s">
        <v>84</v>
      </c>
      <c r="F110" s="126"/>
      <c r="G110" s="126"/>
      <c r="H110" s="126" t="s">
        <v>83</v>
      </c>
      <c r="I110" s="126">
        <v>184.0</v>
      </c>
      <c r="J110" s="161">
        <v>2700000.0</v>
      </c>
      <c r="K110" s="161">
        <v>2700000.0</v>
      </c>
      <c r="L110" s="161">
        <v>1956288.0</v>
      </c>
      <c r="M110" s="161">
        <v>1956288.0</v>
      </c>
      <c r="N110" s="163">
        <f t="shared" ref="N110:O110" si="178">J110+L110</f>
        <v>4656288</v>
      </c>
      <c r="O110" s="163">
        <f t="shared" si="178"/>
        <v>4656288</v>
      </c>
      <c r="P110" s="81"/>
      <c r="Q110" s="127">
        <v>2700000.0</v>
      </c>
      <c r="R110" s="127">
        <v>2700000.0</v>
      </c>
      <c r="S110" s="127">
        <v>1956287.9999999998</v>
      </c>
      <c r="T110" s="127">
        <v>1956287.9999999998</v>
      </c>
      <c r="U110" s="127">
        <v>4656288.0</v>
      </c>
      <c r="V110" s="127">
        <v>4656288.0</v>
      </c>
      <c r="W110" s="164">
        <f t="shared" ref="W110:AB110" si="179">+J110-Q110</f>
        <v>0</v>
      </c>
      <c r="X110" s="164">
        <f t="shared" si="179"/>
        <v>0</v>
      </c>
      <c r="Y110" s="164">
        <f t="shared" si="179"/>
        <v>0.0000000002328306437</v>
      </c>
      <c r="Z110" s="164">
        <f t="shared" si="179"/>
        <v>0.0000000002328306437</v>
      </c>
      <c r="AA110" s="164">
        <f t="shared" si="179"/>
        <v>0</v>
      </c>
      <c r="AB110" s="164">
        <f t="shared" si="179"/>
        <v>0</v>
      </c>
      <c r="AC110" s="81"/>
      <c r="AD110" s="81"/>
      <c r="AE110" s="81"/>
      <c r="AF110" s="81"/>
      <c r="AG110" s="77"/>
      <c r="AH110" s="77"/>
      <c r="AI110" s="81"/>
      <c r="AJ110" s="81"/>
      <c r="AK110" s="81"/>
      <c r="AL110" s="81"/>
      <c r="AM110" s="81"/>
      <c r="AN110" s="81"/>
      <c r="AO110" s="81"/>
      <c r="AP110" s="81"/>
    </row>
    <row r="111" ht="41.25" customHeight="1">
      <c r="A111" s="81"/>
      <c r="B111" s="168"/>
      <c r="C111" s="130"/>
      <c r="D111" s="126" t="s">
        <v>105</v>
      </c>
      <c r="E111" s="126" t="s">
        <v>85</v>
      </c>
      <c r="F111" s="126"/>
      <c r="G111" s="126"/>
      <c r="H111" s="126" t="s">
        <v>83</v>
      </c>
      <c r="I111" s="126">
        <v>163.0</v>
      </c>
      <c r="J111" s="161">
        <v>2650000.0</v>
      </c>
      <c r="K111" s="161">
        <v>2650000.0</v>
      </c>
      <c r="L111" s="161">
        <v>1733016.0</v>
      </c>
      <c r="M111" s="161">
        <v>1733016.0</v>
      </c>
      <c r="N111" s="163">
        <f t="shared" ref="N111:O111" si="180">J111+L111</f>
        <v>4383016</v>
      </c>
      <c r="O111" s="163">
        <f t="shared" si="180"/>
        <v>4383016</v>
      </c>
      <c r="P111" s="81"/>
      <c r="Q111" s="127">
        <v>2650000.0</v>
      </c>
      <c r="R111" s="127">
        <v>2650000.0</v>
      </c>
      <c r="S111" s="127">
        <v>1733016.0</v>
      </c>
      <c r="T111" s="127">
        <v>1733016.0</v>
      </c>
      <c r="U111" s="127">
        <v>4383016.0</v>
      </c>
      <c r="V111" s="127">
        <v>4383016.0</v>
      </c>
      <c r="W111" s="164">
        <f t="shared" ref="W111:AB111" si="181">+J111-Q111</f>
        <v>0</v>
      </c>
      <c r="X111" s="164">
        <f t="shared" si="181"/>
        <v>0</v>
      </c>
      <c r="Y111" s="164">
        <f t="shared" si="181"/>
        <v>0</v>
      </c>
      <c r="Z111" s="164">
        <f t="shared" si="181"/>
        <v>0</v>
      </c>
      <c r="AA111" s="164">
        <f t="shared" si="181"/>
        <v>0</v>
      </c>
      <c r="AB111" s="164">
        <f t="shared" si="181"/>
        <v>0</v>
      </c>
      <c r="AC111" s="81"/>
      <c r="AD111" s="81"/>
      <c r="AE111" s="81"/>
      <c r="AF111" s="81"/>
      <c r="AG111" s="77"/>
      <c r="AH111" s="77"/>
      <c r="AI111" s="81"/>
      <c r="AJ111" s="81"/>
      <c r="AK111" s="81"/>
      <c r="AL111" s="81"/>
      <c r="AM111" s="81"/>
      <c r="AN111" s="81"/>
      <c r="AO111" s="81"/>
      <c r="AP111" s="81"/>
    </row>
    <row r="112" ht="41.25" customHeight="1">
      <c r="A112" s="81"/>
      <c r="B112" s="168"/>
      <c r="C112" s="118"/>
      <c r="D112" s="126" t="s">
        <v>105</v>
      </c>
      <c r="E112" s="126" t="s">
        <v>86</v>
      </c>
      <c r="F112" s="126"/>
      <c r="G112" s="126"/>
      <c r="H112" s="126" t="s">
        <v>83</v>
      </c>
      <c r="I112" s="126">
        <v>177.0</v>
      </c>
      <c r="J112" s="161">
        <v>2700000.0</v>
      </c>
      <c r="K112" s="161">
        <v>2700000.0</v>
      </c>
      <c r="L112" s="161">
        <v>1881864.0</v>
      </c>
      <c r="M112" s="161">
        <v>1881864.0</v>
      </c>
      <c r="N112" s="163">
        <f t="shared" ref="N112:O112" si="182">J112+L112</f>
        <v>4581864</v>
      </c>
      <c r="O112" s="163">
        <f t="shared" si="182"/>
        <v>4581864</v>
      </c>
      <c r="P112" s="81"/>
      <c r="Q112" s="127">
        <v>2700000.0</v>
      </c>
      <c r="R112" s="127">
        <v>2700000.0</v>
      </c>
      <c r="S112" s="127">
        <v>1881864.0</v>
      </c>
      <c r="T112" s="127">
        <v>1881864.0</v>
      </c>
      <c r="U112" s="127">
        <v>4581864.0</v>
      </c>
      <c r="V112" s="127">
        <v>4581864.0</v>
      </c>
      <c r="W112" s="164">
        <f t="shared" ref="W112:AB112" si="183">+J112-Q112</f>
        <v>0</v>
      </c>
      <c r="X112" s="164">
        <f t="shared" si="183"/>
        <v>0</v>
      </c>
      <c r="Y112" s="164">
        <f t="shared" si="183"/>
        <v>0</v>
      </c>
      <c r="Z112" s="164">
        <f t="shared" si="183"/>
        <v>0</v>
      </c>
      <c r="AA112" s="164">
        <f t="shared" si="183"/>
        <v>0</v>
      </c>
      <c r="AB112" s="164">
        <f t="shared" si="183"/>
        <v>0</v>
      </c>
      <c r="AC112" s="81"/>
      <c r="AD112" s="81"/>
      <c r="AE112" s="81"/>
      <c r="AF112" s="81"/>
      <c r="AG112" s="77"/>
      <c r="AH112" s="77"/>
      <c r="AI112" s="81"/>
      <c r="AJ112" s="81"/>
      <c r="AK112" s="81"/>
      <c r="AL112" s="81"/>
      <c r="AM112" s="81"/>
      <c r="AN112" s="81"/>
      <c r="AO112" s="81"/>
      <c r="AP112" s="81"/>
    </row>
    <row r="113" ht="15.0" customHeight="1">
      <c r="A113" s="169"/>
      <c r="B113" s="169"/>
      <c r="C113" s="170"/>
      <c r="D113" s="171"/>
      <c r="E113" s="171"/>
      <c r="F113" s="171"/>
      <c r="G113" s="171"/>
      <c r="H113" s="171"/>
      <c r="I113" s="171"/>
      <c r="J113" s="172"/>
      <c r="K113" s="172"/>
      <c r="L113" s="173"/>
      <c r="M113" s="173"/>
      <c r="N113" s="174"/>
      <c r="O113" s="174"/>
      <c r="P113" s="169"/>
      <c r="Q113" s="175"/>
      <c r="R113" s="175"/>
      <c r="S113" s="175"/>
      <c r="T113" s="175"/>
      <c r="U113" s="175"/>
      <c r="V113" s="175"/>
      <c r="W113" s="176"/>
      <c r="X113" s="176"/>
      <c r="Y113" s="176"/>
      <c r="Z113" s="176"/>
      <c r="AA113" s="176"/>
      <c r="AB113" s="176"/>
      <c r="AC113" s="169"/>
      <c r="AD113" s="169"/>
      <c r="AE113" s="169"/>
      <c r="AF113" s="169"/>
      <c r="AG113" s="77"/>
      <c r="AH113" s="77"/>
      <c r="AI113" s="169"/>
      <c r="AJ113" s="169"/>
      <c r="AK113" s="169"/>
      <c r="AL113" s="169"/>
      <c r="AM113" s="169"/>
      <c r="AN113" s="169"/>
      <c r="AO113" s="169"/>
      <c r="AP113" s="169"/>
    </row>
    <row r="114" ht="14.2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72"/>
      <c r="M114" s="172"/>
      <c r="N114" s="169"/>
      <c r="O114" s="169"/>
      <c r="P114" s="169"/>
      <c r="Q114" s="175"/>
      <c r="R114" s="175"/>
      <c r="S114" s="175"/>
      <c r="T114" s="175"/>
      <c r="U114" s="175"/>
      <c r="V114" s="175"/>
      <c r="W114" s="176"/>
      <c r="X114" s="176"/>
      <c r="Y114" s="176"/>
      <c r="Z114" s="176"/>
      <c r="AA114" s="176"/>
      <c r="AB114" s="176"/>
      <c r="AC114" s="169"/>
      <c r="AD114" s="169"/>
      <c r="AE114" s="169"/>
      <c r="AF114" s="169"/>
      <c r="AG114" s="77"/>
      <c r="AH114" s="77"/>
      <c r="AI114" s="169"/>
      <c r="AJ114" s="169"/>
      <c r="AK114" s="169"/>
      <c r="AL114" s="169"/>
      <c r="AM114" s="169"/>
      <c r="AN114" s="169"/>
      <c r="AO114" s="169"/>
      <c r="AP114" s="169"/>
    </row>
    <row r="115" ht="24.75" customHeight="1">
      <c r="A115" s="177"/>
      <c r="B115" s="178" t="s">
        <v>106</v>
      </c>
      <c r="C115" s="178" t="s">
        <v>107</v>
      </c>
      <c r="D115" s="169"/>
      <c r="E115" s="169"/>
      <c r="F115" s="177"/>
      <c r="G115" s="177"/>
      <c r="H115" s="177"/>
      <c r="I115" s="177"/>
      <c r="J115" s="177"/>
      <c r="K115" s="177"/>
      <c r="L115" s="179"/>
      <c r="M115" s="179"/>
      <c r="N115" s="177"/>
      <c r="O115" s="177"/>
      <c r="P115" s="177"/>
      <c r="Q115" s="180"/>
      <c r="R115" s="180"/>
      <c r="S115" s="180"/>
      <c r="T115" s="180"/>
      <c r="U115" s="180"/>
      <c r="V115" s="180"/>
      <c r="W115" s="181"/>
      <c r="X115" s="181"/>
      <c r="Y115" s="181"/>
      <c r="Z115" s="181"/>
      <c r="AA115" s="181"/>
      <c r="AB115" s="181"/>
      <c r="AC115" s="177"/>
      <c r="AD115" s="177"/>
      <c r="AE115" s="177"/>
      <c r="AF115" s="177"/>
      <c r="AG115" s="77"/>
      <c r="AH115" s="77"/>
      <c r="AI115" s="177"/>
      <c r="AJ115" s="177"/>
      <c r="AK115" s="177"/>
      <c r="AL115" s="177"/>
      <c r="AM115" s="177"/>
      <c r="AN115" s="177"/>
      <c r="AO115" s="177"/>
      <c r="AP115" s="177"/>
    </row>
    <row r="116" ht="9.75" customHeight="1">
      <c r="A116" s="177"/>
      <c r="B116" s="178"/>
      <c r="C116" s="178"/>
      <c r="D116" s="169"/>
      <c r="E116" s="169"/>
      <c r="F116" s="177"/>
      <c r="G116" s="177"/>
      <c r="H116" s="177"/>
      <c r="I116" s="177"/>
      <c r="J116" s="177"/>
      <c r="K116" s="177"/>
      <c r="L116" s="179"/>
      <c r="M116" s="179"/>
      <c r="N116" s="177"/>
      <c r="O116" s="177"/>
      <c r="P116" s="177"/>
      <c r="Q116" s="180"/>
      <c r="R116" s="180"/>
      <c r="S116" s="180"/>
      <c r="T116" s="180"/>
      <c r="U116" s="180"/>
      <c r="V116" s="180"/>
      <c r="W116" s="181"/>
      <c r="X116" s="181"/>
      <c r="Y116" s="181"/>
      <c r="Z116" s="181"/>
      <c r="AA116" s="181"/>
      <c r="AB116" s="181"/>
      <c r="AC116" s="177"/>
      <c r="AD116" s="177"/>
      <c r="AE116" s="177"/>
      <c r="AF116" s="177"/>
      <c r="AG116" s="77"/>
      <c r="AH116" s="77"/>
      <c r="AI116" s="177"/>
      <c r="AJ116" s="177"/>
      <c r="AK116" s="177"/>
      <c r="AL116" s="177"/>
      <c r="AM116" s="177"/>
      <c r="AN116" s="177"/>
      <c r="AO116" s="177"/>
      <c r="AP116" s="177"/>
    </row>
    <row r="117" ht="20.25" customHeight="1">
      <c r="A117" s="169"/>
      <c r="B117" s="169"/>
      <c r="C117" s="151" t="s">
        <v>76</v>
      </c>
      <c r="D117" s="152" t="s">
        <v>77</v>
      </c>
      <c r="E117" s="136"/>
      <c r="F117" s="136"/>
      <c r="G117" s="136"/>
      <c r="H117" s="137"/>
      <c r="I117" s="153" t="s">
        <v>78</v>
      </c>
      <c r="J117" s="154" t="s">
        <v>79</v>
      </c>
      <c r="K117" s="137"/>
      <c r="L117" s="155" t="s">
        <v>80</v>
      </c>
      <c r="M117" s="137"/>
      <c r="N117" s="152" t="s">
        <v>65</v>
      </c>
      <c r="O117" s="137"/>
      <c r="P117" s="169"/>
      <c r="Q117" s="175"/>
      <c r="R117" s="175"/>
      <c r="S117" s="175"/>
      <c r="T117" s="175"/>
      <c r="U117" s="175"/>
      <c r="V117" s="175"/>
      <c r="W117" s="176"/>
      <c r="X117" s="176"/>
      <c r="Y117" s="176"/>
      <c r="Z117" s="176"/>
      <c r="AA117" s="176"/>
      <c r="AB117" s="176"/>
      <c r="AC117" s="169"/>
      <c r="AD117" s="169"/>
      <c r="AE117" s="169"/>
      <c r="AF117" s="169"/>
      <c r="AG117" s="77"/>
      <c r="AH117" s="77"/>
      <c r="AI117" s="169"/>
      <c r="AJ117" s="169"/>
      <c r="AK117" s="169"/>
      <c r="AL117" s="169"/>
      <c r="AM117" s="169"/>
      <c r="AN117" s="169"/>
      <c r="AO117" s="169"/>
      <c r="AP117" s="169"/>
    </row>
    <row r="118" ht="20.25" customHeight="1">
      <c r="A118" s="169"/>
      <c r="B118" s="169"/>
      <c r="C118" s="118"/>
      <c r="D118" s="158" t="s">
        <v>81</v>
      </c>
      <c r="E118" s="158" t="s">
        <v>82</v>
      </c>
      <c r="F118" s="158" t="s">
        <v>82</v>
      </c>
      <c r="G118" s="158" t="s">
        <v>82</v>
      </c>
      <c r="H118" s="158" t="s">
        <v>82</v>
      </c>
      <c r="I118" s="118"/>
      <c r="J118" s="158" t="s">
        <v>53</v>
      </c>
      <c r="K118" s="158" t="s">
        <v>54</v>
      </c>
      <c r="L118" s="159" t="s">
        <v>53</v>
      </c>
      <c r="M118" s="159" t="s">
        <v>54</v>
      </c>
      <c r="N118" s="158" t="s">
        <v>53</v>
      </c>
      <c r="O118" s="158" t="s">
        <v>54</v>
      </c>
      <c r="P118" s="169"/>
      <c r="Q118" s="175"/>
      <c r="R118" s="175"/>
      <c r="S118" s="175"/>
      <c r="T118" s="175"/>
      <c r="U118" s="175"/>
      <c r="V118" s="175"/>
      <c r="W118" s="176"/>
      <c r="X118" s="176"/>
      <c r="Y118" s="176"/>
      <c r="Z118" s="176"/>
      <c r="AA118" s="176"/>
      <c r="AB118" s="176"/>
      <c r="AC118" s="169"/>
      <c r="AD118" s="169"/>
      <c r="AE118" s="169"/>
      <c r="AF118" s="169"/>
      <c r="AG118" s="77"/>
      <c r="AH118" s="77"/>
      <c r="AI118" s="169"/>
      <c r="AJ118" s="169"/>
      <c r="AK118" s="169"/>
      <c r="AL118" s="169"/>
      <c r="AM118" s="169"/>
      <c r="AN118" s="169"/>
      <c r="AO118" s="169"/>
      <c r="AP118" s="169"/>
    </row>
    <row r="119" ht="32.25" customHeight="1">
      <c r="A119" s="169"/>
      <c r="B119" s="169"/>
      <c r="C119" s="167" t="s">
        <v>89</v>
      </c>
      <c r="D119" s="165" t="s">
        <v>83</v>
      </c>
      <c r="E119" s="165" t="s">
        <v>84</v>
      </c>
      <c r="F119" s="165"/>
      <c r="G119" s="165"/>
      <c r="H119" s="165" t="s">
        <v>83</v>
      </c>
      <c r="I119" s="165">
        <v>287.0</v>
      </c>
      <c r="J119" s="166">
        <v>3670000.0</v>
      </c>
      <c r="K119" s="166">
        <v>3670000.0</v>
      </c>
      <c r="L119" s="161">
        <v>2644533.0</v>
      </c>
      <c r="M119" s="161">
        <v>2644533.0</v>
      </c>
      <c r="N119" s="163">
        <f t="shared" ref="N119:O119" si="184">J119+L119</f>
        <v>6314533</v>
      </c>
      <c r="O119" s="163">
        <f t="shared" si="184"/>
        <v>6314533</v>
      </c>
      <c r="P119" s="169"/>
      <c r="Q119" s="175">
        <v>3670000.0</v>
      </c>
      <c r="R119" s="175">
        <v>3670000.0</v>
      </c>
      <c r="S119" s="175">
        <v>2644532.8000000003</v>
      </c>
      <c r="T119" s="175">
        <v>2644532.8000000003</v>
      </c>
      <c r="U119" s="175">
        <v>6314532.800000001</v>
      </c>
      <c r="V119" s="175">
        <v>6314532.800000001</v>
      </c>
      <c r="W119" s="164">
        <f t="shared" ref="W119:AB119" si="185">+J119-Q119</f>
        <v>0</v>
      </c>
      <c r="X119" s="164">
        <f t="shared" si="185"/>
        <v>0</v>
      </c>
      <c r="Y119" s="164">
        <f t="shared" si="185"/>
        <v>0.1999999997</v>
      </c>
      <c r="Z119" s="164">
        <f t="shared" si="185"/>
        <v>0.1999999997</v>
      </c>
      <c r="AA119" s="164">
        <f t="shared" si="185"/>
        <v>0.1999999993</v>
      </c>
      <c r="AB119" s="164">
        <f t="shared" si="185"/>
        <v>0.1999999993</v>
      </c>
      <c r="AC119" s="169"/>
      <c r="AD119" s="169"/>
      <c r="AE119" s="169"/>
      <c r="AF119" s="169"/>
      <c r="AG119" s="77"/>
      <c r="AH119" s="77"/>
      <c r="AI119" s="169"/>
      <c r="AJ119" s="169"/>
      <c r="AK119" s="169"/>
      <c r="AL119" s="169"/>
      <c r="AM119" s="169"/>
      <c r="AN119" s="169"/>
      <c r="AO119" s="169"/>
      <c r="AP119" s="169"/>
    </row>
    <row r="120" ht="32.25" customHeight="1">
      <c r="A120" s="169"/>
      <c r="B120" s="169"/>
      <c r="C120" s="130"/>
      <c r="D120" s="165" t="s">
        <v>83</v>
      </c>
      <c r="E120" s="165" t="s">
        <v>85</v>
      </c>
      <c r="F120" s="165"/>
      <c r="G120" s="165"/>
      <c r="H120" s="165" t="s">
        <v>83</v>
      </c>
      <c r="I120" s="165">
        <v>266.0</v>
      </c>
      <c r="J120" s="166">
        <v>3350000.0</v>
      </c>
      <c r="K120" s="166">
        <v>3350000.0</v>
      </c>
      <c r="L120" s="161">
        <v>2451030.0</v>
      </c>
      <c r="M120" s="161">
        <v>2451030.0</v>
      </c>
      <c r="N120" s="163">
        <f t="shared" ref="N120:O120" si="186">J120+L120</f>
        <v>5801030</v>
      </c>
      <c r="O120" s="163">
        <f t="shared" si="186"/>
        <v>5801030</v>
      </c>
      <c r="P120" s="169"/>
      <c r="Q120" s="175">
        <v>3350000.0</v>
      </c>
      <c r="R120" s="175">
        <v>3350000.0</v>
      </c>
      <c r="S120" s="175">
        <v>2451030.4</v>
      </c>
      <c r="T120" s="175">
        <v>2451030.4</v>
      </c>
      <c r="U120" s="175">
        <v>5801030.4</v>
      </c>
      <c r="V120" s="175">
        <v>5801030.4</v>
      </c>
      <c r="W120" s="164">
        <f t="shared" ref="W120:AB120" si="187">+J120-Q120</f>
        <v>0</v>
      </c>
      <c r="X120" s="164">
        <f t="shared" si="187"/>
        <v>0</v>
      </c>
      <c r="Y120" s="164">
        <f t="shared" si="187"/>
        <v>-0.3999999999</v>
      </c>
      <c r="Z120" s="164">
        <f t="shared" si="187"/>
        <v>-0.3999999999</v>
      </c>
      <c r="AA120" s="164">
        <f t="shared" si="187"/>
        <v>-0.4000000004</v>
      </c>
      <c r="AB120" s="164">
        <f t="shared" si="187"/>
        <v>-0.4000000004</v>
      </c>
      <c r="AC120" s="169"/>
      <c r="AD120" s="169"/>
      <c r="AE120" s="169"/>
      <c r="AF120" s="169"/>
      <c r="AG120" s="77"/>
      <c r="AH120" s="77"/>
      <c r="AI120" s="169"/>
      <c r="AJ120" s="169"/>
      <c r="AK120" s="169"/>
      <c r="AL120" s="169"/>
      <c r="AM120" s="169"/>
      <c r="AN120" s="169"/>
      <c r="AO120" s="169"/>
      <c r="AP120" s="169"/>
    </row>
    <row r="121" ht="32.25" customHeight="1">
      <c r="A121" s="169"/>
      <c r="B121" s="169"/>
      <c r="C121" s="130"/>
      <c r="D121" s="165" t="s">
        <v>83</v>
      </c>
      <c r="E121" s="165" t="s">
        <v>86</v>
      </c>
      <c r="F121" s="165"/>
      <c r="G121" s="165"/>
      <c r="H121" s="165" t="s">
        <v>83</v>
      </c>
      <c r="I121" s="165">
        <v>255.0</v>
      </c>
      <c r="J121" s="166">
        <v>3350000.0</v>
      </c>
      <c r="K121" s="166">
        <v>3350000.0</v>
      </c>
      <c r="L121" s="161">
        <v>2349672.0</v>
      </c>
      <c r="M121" s="161">
        <v>2349672.0</v>
      </c>
      <c r="N121" s="163">
        <f t="shared" ref="N121:O121" si="188">J121+L121</f>
        <v>5699672</v>
      </c>
      <c r="O121" s="163">
        <f t="shared" si="188"/>
        <v>5699672</v>
      </c>
      <c r="P121" s="169"/>
      <c r="Q121" s="175">
        <v>3350000.0</v>
      </c>
      <c r="R121" s="175">
        <v>3350000.0</v>
      </c>
      <c r="S121" s="175">
        <v>2349672.0</v>
      </c>
      <c r="T121" s="175">
        <v>2349672.0</v>
      </c>
      <c r="U121" s="175">
        <v>5699672.0</v>
      </c>
      <c r="V121" s="175">
        <v>5699672.0</v>
      </c>
      <c r="W121" s="164">
        <f t="shared" ref="W121:AB121" si="189">+J121-Q121</f>
        <v>0</v>
      </c>
      <c r="X121" s="164">
        <f t="shared" si="189"/>
        <v>0</v>
      </c>
      <c r="Y121" s="164">
        <f t="shared" si="189"/>
        <v>0</v>
      </c>
      <c r="Z121" s="164">
        <f t="shared" si="189"/>
        <v>0</v>
      </c>
      <c r="AA121" s="164">
        <f t="shared" si="189"/>
        <v>0</v>
      </c>
      <c r="AB121" s="164">
        <f t="shared" si="189"/>
        <v>0</v>
      </c>
      <c r="AC121" s="169"/>
      <c r="AD121" s="169"/>
      <c r="AE121" s="169"/>
      <c r="AF121" s="169"/>
      <c r="AG121" s="77"/>
      <c r="AH121" s="77"/>
      <c r="AI121" s="169"/>
      <c r="AJ121" s="169"/>
      <c r="AK121" s="169"/>
      <c r="AL121" s="169"/>
      <c r="AM121" s="169"/>
      <c r="AN121" s="169"/>
      <c r="AO121" s="169"/>
      <c r="AP121" s="169"/>
    </row>
    <row r="122" ht="32.25" customHeight="1">
      <c r="A122" s="169"/>
      <c r="B122" s="169"/>
      <c r="C122" s="130"/>
      <c r="D122" s="165" t="s">
        <v>83</v>
      </c>
      <c r="E122" s="165" t="s">
        <v>84</v>
      </c>
      <c r="F122" s="165" t="s">
        <v>85</v>
      </c>
      <c r="G122" s="165"/>
      <c r="H122" s="165" t="s">
        <v>83</v>
      </c>
      <c r="I122" s="165">
        <v>312.0</v>
      </c>
      <c r="J122" s="166">
        <v>4150000.0</v>
      </c>
      <c r="K122" s="166">
        <v>4150000.0</v>
      </c>
      <c r="L122" s="161">
        <v>2874893.0</v>
      </c>
      <c r="M122" s="161">
        <v>2874893.0</v>
      </c>
      <c r="N122" s="163">
        <f t="shared" ref="N122:O122" si="190">J122+L122</f>
        <v>7024893</v>
      </c>
      <c r="O122" s="163">
        <f t="shared" si="190"/>
        <v>7024893</v>
      </c>
      <c r="P122" s="169"/>
      <c r="Q122" s="175">
        <v>4150000.0</v>
      </c>
      <c r="R122" s="175">
        <v>4150000.0</v>
      </c>
      <c r="S122" s="175">
        <v>2874892.8000000003</v>
      </c>
      <c r="T122" s="175">
        <v>2874892.8000000003</v>
      </c>
      <c r="U122" s="175">
        <v>7024892.800000001</v>
      </c>
      <c r="V122" s="175">
        <v>7024892.800000001</v>
      </c>
      <c r="W122" s="164">
        <f t="shared" ref="W122:AB122" si="191">+J122-Q122</f>
        <v>0</v>
      </c>
      <c r="X122" s="164">
        <f t="shared" si="191"/>
        <v>0</v>
      </c>
      <c r="Y122" s="164">
        <f t="shared" si="191"/>
        <v>0.1999999997</v>
      </c>
      <c r="Z122" s="164">
        <f t="shared" si="191"/>
        <v>0.1999999997</v>
      </c>
      <c r="AA122" s="164">
        <f t="shared" si="191"/>
        <v>0.1999999993</v>
      </c>
      <c r="AB122" s="164">
        <f t="shared" si="191"/>
        <v>0.1999999993</v>
      </c>
      <c r="AC122" s="169"/>
      <c r="AD122" s="169"/>
      <c r="AE122" s="169"/>
      <c r="AF122" s="169"/>
      <c r="AG122" s="77"/>
      <c r="AH122" s="77"/>
      <c r="AI122" s="169"/>
      <c r="AJ122" s="169"/>
      <c r="AK122" s="169"/>
      <c r="AL122" s="169"/>
      <c r="AM122" s="169"/>
      <c r="AN122" s="169"/>
      <c r="AO122" s="169"/>
      <c r="AP122" s="169"/>
    </row>
    <row r="123" ht="32.25" customHeight="1">
      <c r="A123" s="169"/>
      <c r="B123" s="169"/>
      <c r="C123" s="130"/>
      <c r="D123" s="165" t="s">
        <v>83</v>
      </c>
      <c r="E123" s="165" t="s">
        <v>84</v>
      </c>
      <c r="F123" s="165" t="s">
        <v>86</v>
      </c>
      <c r="G123" s="165"/>
      <c r="H123" s="165" t="s">
        <v>83</v>
      </c>
      <c r="I123" s="165">
        <v>320.0</v>
      </c>
      <c r="J123" s="166">
        <v>4170000.0</v>
      </c>
      <c r="K123" s="166">
        <v>4170000.0</v>
      </c>
      <c r="L123" s="161">
        <v>2948608.0</v>
      </c>
      <c r="M123" s="161">
        <v>2948608.0</v>
      </c>
      <c r="N123" s="163">
        <f t="shared" ref="N123:O123" si="192">J123+L123</f>
        <v>7118608</v>
      </c>
      <c r="O123" s="163">
        <f t="shared" si="192"/>
        <v>7118608</v>
      </c>
      <c r="P123" s="169"/>
      <c r="Q123" s="175">
        <v>4170000.0</v>
      </c>
      <c r="R123" s="175">
        <v>4170000.0</v>
      </c>
      <c r="S123" s="175">
        <v>2948608.0</v>
      </c>
      <c r="T123" s="175">
        <v>2948608.0</v>
      </c>
      <c r="U123" s="175">
        <v>7118608.0</v>
      </c>
      <c r="V123" s="175">
        <v>7118608.0</v>
      </c>
      <c r="W123" s="164">
        <f t="shared" ref="W123:AB123" si="193">+J123-Q123</f>
        <v>0</v>
      </c>
      <c r="X123" s="164">
        <f t="shared" si="193"/>
        <v>0</v>
      </c>
      <c r="Y123" s="164">
        <f t="shared" si="193"/>
        <v>0</v>
      </c>
      <c r="Z123" s="164">
        <f t="shared" si="193"/>
        <v>0</v>
      </c>
      <c r="AA123" s="164">
        <f t="shared" si="193"/>
        <v>0</v>
      </c>
      <c r="AB123" s="164">
        <f t="shared" si="193"/>
        <v>0</v>
      </c>
      <c r="AC123" s="169"/>
      <c r="AD123" s="169"/>
      <c r="AE123" s="169"/>
      <c r="AF123" s="169"/>
      <c r="AG123" s="77"/>
      <c r="AH123" s="77"/>
      <c r="AI123" s="169"/>
      <c r="AJ123" s="169"/>
      <c r="AK123" s="169"/>
      <c r="AL123" s="169"/>
      <c r="AM123" s="169"/>
      <c r="AN123" s="169"/>
      <c r="AO123" s="169"/>
      <c r="AP123" s="169"/>
    </row>
    <row r="124" ht="32.25" customHeight="1">
      <c r="A124" s="169"/>
      <c r="B124" s="169"/>
      <c r="C124" s="130"/>
      <c r="D124" s="165" t="s">
        <v>83</v>
      </c>
      <c r="E124" s="165" t="s">
        <v>85</v>
      </c>
      <c r="F124" s="165" t="s">
        <v>86</v>
      </c>
      <c r="G124" s="165"/>
      <c r="H124" s="165" t="s">
        <v>83</v>
      </c>
      <c r="I124" s="165">
        <v>280.0</v>
      </c>
      <c r="J124" s="166">
        <v>3740000.0</v>
      </c>
      <c r="K124" s="166">
        <v>3740000.0</v>
      </c>
      <c r="L124" s="161">
        <v>2580032.0</v>
      </c>
      <c r="M124" s="161">
        <v>2580032.0</v>
      </c>
      <c r="N124" s="163">
        <f t="shared" ref="N124:O124" si="194">J124+L124</f>
        <v>6320032</v>
      </c>
      <c r="O124" s="163">
        <f t="shared" si="194"/>
        <v>6320032</v>
      </c>
      <c r="P124" s="169"/>
      <c r="Q124" s="175">
        <v>3740000.0</v>
      </c>
      <c r="R124" s="175">
        <v>3740000.0</v>
      </c>
      <c r="S124" s="175">
        <v>2580032.0</v>
      </c>
      <c r="T124" s="175">
        <v>2580032.0</v>
      </c>
      <c r="U124" s="175">
        <v>6320032.0</v>
      </c>
      <c r="V124" s="175">
        <v>6320032.0</v>
      </c>
      <c r="W124" s="164">
        <f t="shared" ref="W124:AB124" si="195">+J124-Q124</f>
        <v>0</v>
      </c>
      <c r="X124" s="164">
        <f t="shared" si="195"/>
        <v>0</v>
      </c>
      <c r="Y124" s="164">
        <f t="shared" si="195"/>
        <v>0</v>
      </c>
      <c r="Z124" s="164">
        <f t="shared" si="195"/>
        <v>0</v>
      </c>
      <c r="AA124" s="164">
        <f t="shared" si="195"/>
        <v>0</v>
      </c>
      <c r="AB124" s="164">
        <f t="shared" si="195"/>
        <v>0</v>
      </c>
      <c r="AC124" s="169"/>
      <c r="AD124" s="169"/>
      <c r="AE124" s="169"/>
      <c r="AF124" s="169"/>
      <c r="AG124" s="77"/>
      <c r="AH124" s="77"/>
      <c r="AI124" s="169"/>
      <c r="AJ124" s="169"/>
      <c r="AK124" s="169"/>
      <c r="AL124" s="169"/>
      <c r="AM124" s="169"/>
      <c r="AN124" s="169"/>
      <c r="AO124" s="169"/>
      <c r="AP124" s="169"/>
    </row>
    <row r="125" ht="32.25" customHeight="1">
      <c r="A125" s="169"/>
      <c r="B125" s="169"/>
      <c r="C125" s="130"/>
      <c r="D125" s="165" t="s">
        <v>83</v>
      </c>
      <c r="E125" s="165" t="s">
        <v>84</v>
      </c>
      <c r="F125" s="165" t="s">
        <v>85</v>
      </c>
      <c r="G125" s="165" t="s">
        <v>86</v>
      </c>
      <c r="H125" s="165" t="s">
        <v>83</v>
      </c>
      <c r="I125" s="165">
        <v>366.0</v>
      </c>
      <c r="J125" s="166">
        <v>4470000.0</v>
      </c>
      <c r="K125" s="166">
        <v>4470000.0</v>
      </c>
      <c r="L125" s="161">
        <v>3372470.0</v>
      </c>
      <c r="M125" s="161">
        <v>3372470.0</v>
      </c>
      <c r="N125" s="163">
        <f t="shared" ref="N125:O125" si="196">J125+L125</f>
        <v>7842470</v>
      </c>
      <c r="O125" s="163">
        <f t="shared" si="196"/>
        <v>7842470</v>
      </c>
      <c r="P125" s="169"/>
      <c r="Q125" s="175">
        <v>4470000.0</v>
      </c>
      <c r="R125" s="175">
        <v>4470000.0</v>
      </c>
      <c r="S125" s="175">
        <v>3372470.4</v>
      </c>
      <c r="T125" s="175">
        <v>3372470.4</v>
      </c>
      <c r="U125" s="175">
        <v>7842470.4</v>
      </c>
      <c r="V125" s="175">
        <v>7842470.4</v>
      </c>
      <c r="W125" s="164">
        <f t="shared" ref="W125:AB125" si="197">+J125-Q125</f>
        <v>0</v>
      </c>
      <c r="X125" s="164">
        <f t="shared" si="197"/>
        <v>0</v>
      </c>
      <c r="Y125" s="164">
        <f t="shared" si="197"/>
        <v>-0.3999999999</v>
      </c>
      <c r="Z125" s="164">
        <f t="shared" si="197"/>
        <v>-0.3999999999</v>
      </c>
      <c r="AA125" s="164">
        <f t="shared" si="197"/>
        <v>-0.4000000004</v>
      </c>
      <c r="AB125" s="164">
        <f t="shared" si="197"/>
        <v>-0.4000000004</v>
      </c>
      <c r="AC125" s="169"/>
      <c r="AD125" s="169"/>
      <c r="AE125" s="169"/>
      <c r="AF125" s="169"/>
      <c r="AG125" s="77"/>
      <c r="AH125" s="77"/>
      <c r="AI125" s="169"/>
      <c r="AJ125" s="169"/>
      <c r="AK125" s="169"/>
      <c r="AL125" s="169"/>
      <c r="AM125" s="169"/>
      <c r="AN125" s="169"/>
      <c r="AO125" s="169"/>
      <c r="AP125" s="169"/>
    </row>
    <row r="126" ht="32.25" customHeight="1">
      <c r="A126" s="169"/>
      <c r="B126" s="169"/>
      <c r="C126" s="130"/>
      <c r="D126" s="165" t="s">
        <v>83</v>
      </c>
      <c r="E126" s="165" t="s">
        <v>87</v>
      </c>
      <c r="F126" s="165"/>
      <c r="G126" s="165"/>
      <c r="H126" s="165" t="s">
        <v>83</v>
      </c>
      <c r="I126" s="165">
        <v>195.0</v>
      </c>
      <c r="J126" s="166">
        <v>3070000.0</v>
      </c>
      <c r="K126" s="166">
        <v>3070000.0</v>
      </c>
      <c r="L126" s="161">
        <v>1796808.0</v>
      </c>
      <c r="M126" s="161">
        <v>1796808.0</v>
      </c>
      <c r="N126" s="163">
        <f t="shared" ref="N126:O126" si="198">J126+L126</f>
        <v>4866808</v>
      </c>
      <c r="O126" s="163">
        <f t="shared" si="198"/>
        <v>4866808</v>
      </c>
      <c r="P126" s="169"/>
      <c r="Q126" s="175">
        <v>3070000.0</v>
      </c>
      <c r="R126" s="175">
        <v>3070000.0</v>
      </c>
      <c r="S126" s="175">
        <v>1796808.0</v>
      </c>
      <c r="T126" s="175">
        <v>1796808.0</v>
      </c>
      <c r="U126" s="175">
        <v>4866808.0</v>
      </c>
      <c r="V126" s="175">
        <v>4866808.0</v>
      </c>
      <c r="W126" s="164">
        <f t="shared" ref="W126:AB126" si="199">+J126-Q126</f>
        <v>0</v>
      </c>
      <c r="X126" s="164">
        <f t="shared" si="199"/>
        <v>0</v>
      </c>
      <c r="Y126" s="164">
        <f t="shared" si="199"/>
        <v>0</v>
      </c>
      <c r="Z126" s="164">
        <f t="shared" si="199"/>
        <v>0</v>
      </c>
      <c r="AA126" s="164">
        <f t="shared" si="199"/>
        <v>0</v>
      </c>
      <c r="AB126" s="164">
        <f t="shared" si="199"/>
        <v>0</v>
      </c>
      <c r="AC126" s="169"/>
      <c r="AD126" s="169"/>
      <c r="AE126" s="169"/>
      <c r="AF126" s="169"/>
      <c r="AG126" s="77"/>
      <c r="AH126" s="77"/>
      <c r="AI126" s="169"/>
      <c r="AJ126" s="169"/>
      <c r="AK126" s="169"/>
      <c r="AL126" s="169"/>
      <c r="AM126" s="169"/>
      <c r="AN126" s="169"/>
      <c r="AO126" s="169"/>
      <c r="AP126" s="169"/>
    </row>
    <row r="127" ht="32.25" customHeight="1">
      <c r="A127" s="169"/>
      <c r="B127" s="169"/>
      <c r="C127" s="130"/>
      <c r="D127" s="165" t="s">
        <v>83</v>
      </c>
      <c r="E127" s="165" t="s">
        <v>87</v>
      </c>
      <c r="F127" s="165" t="s">
        <v>84</v>
      </c>
      <c r="G127" s="165"/>
      <c r="H127" s="165" t="s">
        <v>83</v>
      </c>
      <c r="I127" s="165">
        <v>288.0</v>
      </c>
      <c r="J127" s="166">
        <v>3820000.0</v>
      </c>
      <c r="K127" s="166">
        <v>3820000.0</v>
      </c>
      <c r="L127" s="161">
        <v>2653747.0</v>
      </c>
      <c r="M127" s="161">
        <v>2653747.0</v>
      </c>
      <c r="N127" s="163">
        <f t="shared" ref="N127:O127" si="200">J127+L127</f>
        <v>6473747</v>
      </c>
      <c r="O127" s="163">
        <f t="shared" si="200"/>
        <v>6473747</v>
      </c>
      <c r="P127" s="169"/>
      <c r="Q127" s="175">
        <v>3820000.0</v>
      </c>
      <c r="R127" s="175">
        <v>3820000.0</v>
      </c>
      <c r="S127" s="175">
        <v>2653747.1999999997</v>
      </c>
      <c r="T127" s="175">
        <v>2653747.1999999997</v>
      </c>
      <c r="U127" s="175">
        <v>6473747.199999999</v>
      </c>
      <c r="V127" s="175">
        <v>6473747.199999999</v>
      </c>
      <c r="W127" s="164">
        <f t="shared" ref="W127:AB127" si="201">+J127-Q127</f>
        <v>0</v>
      </c>
      <c r="X127" s="164">
        <f t="shared" si="201"/>
        <v>0</v>
      </c>
      <c r="Y127" s="164">
        <f t="shared" si="201"/>
        <v>-0.1999999997</v>
      </c>
      <c r="Z127" s="164">
        <f t="shared" si="201"/>
        <v>-0.1999999997</v>
      </c>
      <c r="AA127" s="164">
        <f t="shared" si="201"/>
        <v>-0.1999999993</v>
      </c>
      <c r="AB127" s="164">
        <f t="shared" si="201"/>
        <v>-0.1999999993</v>
      </c>
      <c r="AC127" s="169"/>
      <c r="AD127" s="169"/>
      <c r="AE127" s="169"/>
      <c r="AF127" s="169"/>
      <c r="AG127" s="77"/>
      <c r="AH127" s="77"/>
      <c r="AI127" s="169"/>
      <c r="AJ127" s="169"/>
      <c r="AK127" s="169"/>
      <c r="AL127" s="169"/>
      <c r="AM127" s="169"/>
      <c r="AN127" s="169"/>
      <c r="AO127" s="169"/>
      <c r="AP127" s="169"/>
    </row>
    <row r="128" ht="32.25" customHeight="1">
      <c r="A128" s="169"/>
      <c r="B128" s="169"/>
      <c r="C128" s="130"/>
      <c r="D128" s="165" t="s">
        <v>83</v>
      </c>
      <c r="E128" s="165" t="s">
        <v>87</v>
      </c>
      <c r="F128" s="165" t="s">
        <v>85</v>
      </c>
      <c r="G128" s="165"/>
      <c r="H128" s="165" t="s">
        <v>83</v>
      </c>
      <c r="I128" s="165">
        <v>276.0</v>
      </c>
      <c r="J128" s="166">
        <v>3780000.0</v>
      </c>
      <c r="K128" s="166">
        <v>3780000.0</v>
      </c>
      <c r="L128" s="161">
        <v>2543174.0</v>
      </c>
      <c r="M128" s="161">
        <v>2543174.0</v>
      </c>
      <c r="N128" s="163">
        <f t="shared" ref="N128:O128" si="202">J128+L128</f>
        <v>6323174</v>
      </c>
      <c r="O128" s="163">
        <f t="shared" si="202"/>
        <v>6323174</v>
      </c>
      <c r="P128" s="169"/>
      <c r="Q128" s="175">
        <v>3780000.0</v>
      </c>
      <c r="R128" s="175">
        <v>3780000.0</v>
      </c>
      <c r="S128" s="175">
        <v>2543174.4000000004</v>
      </c>
      <c r="T128" s="175">
        <v>2543174.4000000004</v>
      </c>
      <c r="U128" s="175">
        <v>6323174.4</v>
      </c>
      <c r="V128" s="175">
        <v>6323174.4</v>
      </c>
      <c r="W128" s="164">
        <f t="shared" ref="W128:AB128" si="203">+J128-Q128</f>
        <v>0</v>
      </c>
      <c r="X128" s="164">
        <f t="shared" si="203"/>
        <v>0</v>
      </c>
      <c r="Y128" s="164">
        <f t="shared" si="203"/>
        <v>-0.4000000004</v>
      </c>
      <c r="Z128" s="164">
        <f t="shared" si="203"/>
        <v>-0.4000000004</v>
      </c>
      <c r="AA128" s="164">
        <f t="shared" si="203"/>
        <v>-0.4000000004</v>
      </c>
      <c r="AB128" s="164">
        <f t="shared" si="203"/>
        <v>-0.4000000004</v>
      </c>
      <c r="AC128" s="169"/>
      <c r="AD128" s="169"/>
      <c r="AE128" s="169"/>
      <c r="AF128" s="169"/>
      <c r="AG128" s="77"/>
      <c r="AH128" s="77"/>
      <c r="AI128" s="169"/>
      <c r="AJ128" s="169"/>
      <c r="AK128" s="169"/>
      <c r="AL128" s="169"/>
      <c r="AM128" s="169"/>
      <c r="AN128" s="169"/>
      <c r="AO128" s="169"/>
      <c r="AP128" s="169"/>
    </row>
    <row r="129" ht="32.25" customHeight="1">
      <c r="A129" s="169"/>
      <c r="B129" s="169"/>
      <c r="C129" s="130"/>
      <c r="D129" s="165" t="s">
        <v>83</v>
      </c>
      <c r="E129" s="165" t="s">
        <v>88</v>
      </c>
      <c r="F129" s="165"/>
      <c r="G129" s="165"/>
      <c r="H129" s="165" t="s">
        <v>83</v>
      </c>
      <c r="I129" s="165">
        <v>246.0</v>
      </c>
      <c r="J129" s="166">
        <v>3420000.0</v>
      </c>
      <c r="K129" s="166">
        <v>3420000.0</v>
      </c>
      <c r="L129" s="161">
        <v>2266742.0</v>
      </c>
      <c r="M129" s="161">
        <v>2266742.0</v>
      </c>
      <c r="N129" s="163">
        <f t="shared" ref="N129:O129" si="204">J129+L129</f>
        <v>5686742</v>
      </c>
      <c r="O129" s="163">
        <f t="shared" si="204"/>
        <v>5686742</v>
      </c>
      <c r="P129" s="169"/>
      <c r="Q129" s="175">
        <v>3420000.0</v>
      </c>
      <c r="R129" s="175">
        <v>3420000.0</v>
      </c>
      <c r="S129" s="175">
        <v>2266742.4</v>
      </c>
      <c r="T129" s="175">
        <v>2266742.4</v>
      </c>
      <c r="U129" s="175">
        <v>5686742.4</v>
      </c>
      <c r="V129" s="175">
        <v>5686742.4</v>
      </c>
      <c r="W129" s="164">
        <f t="shared" ref="W129:AB129" si="205">+J129-Q129</f>
        <v>0</v>
      </c>
      <c r="X129" s="164">
        <f t="shared" si="205"/>
        <v>0</v>
      </c>
      <c r="Y129" s="164">
        <f t="shared" si="205"/>
        <v>-0.3999999999</v>
      </c>
      <c r="Z129" s="164">
        <f t="shared" si="205"/>
        <v>-0.3999999999</v>
      </c>
      <c r="AA129" s="164">
        <f t="shared" si="205"/>
        <v>-0.4000000004</v>
      </c>
      <c r="AB129" s="164">
        <f t="shared" si="205"/>
        <v>-0.4000000004</v>
      </c>
      <c r="AC129" s="169"/>
      <c r="AD129" s="169"/>
      <c r="AE129" s="169"/>
      <c r="AF129" s="169"/>
      <c r="AG129" s="77"/>
      <c r="AH129" s="77"/>
      <c r="AI129" s="169"/>
      <c r="AJ129" s="169"/>
      <c r="AK129" s="169"/>
      <c r="AL129" s="169"/>
      <c r="AM129" s="169"/>
      <c r="AN129" s="169"/>
      <c r="AO129" s="169"/>
      <c r="AP129" s="169"/>
    </row>
    <row r="130" ht="32.25" customHeight="1">
      <c r="A130" s="169"/>
      <c r="B130" s="169"/>
      <c r="C130" s="130"/>
      <c r="D130" s="165" t="s">
        <v>83</v>
      </c>
      <c r="E130" s="165" t="s">
        <v>88</v>
      </c>
      <c r="F130" s="165" t="s">
        <v>85</v>
      </c>
      <c r="G130" s="165"/>
      <c r="H130" s="165" t="s">
        <v>83</v>
      </c>
      <c r="I130" s="165">
        <v>266.0</v>
      </c>
      <c r="J130" s="166">
        <v>3750000.0</v>
      </c>
      <c r="K130" s="166">
        <v>3750000.0</v>
      </c>
      <c r="L130" s="161">
        <v>2451030.0</v>
      </c>
      <c r="M130" s="161">
        <v>2451030.0</v>
      </c>
      <c r="N130" s="163">
        <f t="shared" ref="N130:O130" si="206">J130+L130</f>
        <v>6201030</v>
      </c>
      <c r="O130" s="163">
        <f t="shared" si="206"/>
        <v>6201030</v>
      </c>
      <c r="P130" s="169"/>
      <c r="Q130" s="175">
        <v>3750000.0</v>
      </c>
      <c r="R130" s="175">
        <v>3750000.0</v>
      </c>
      <c r="S130" s="175">
        <v>2451030.4</v>
      </c>
      <c r="T130" s="175">
        <v>2451030.4</v>
      </c>
      <c r="U130" s="175">
        <v>6201030.4</v>
      </c>
      <c r="V130" s="175">
        <v>6201030.4</v>
      </c>
      <c r="W130" s="164">
        <f t="shared" ref="W130:AB130" si="207">+J130-Q130</f>
        <v>0</v>
      </c>
      <c r="X130" s="164">
        <f t="shared" si="207"/>
        <v>0</v>
      </c>
      <c r="Y130" s="164">
        <f t="shared" si="207"/>
        <v>-0.3999999999</v>
      </c>
      <c r="Z130" s="164">
        <f t="shared" si="207"/>
        <v>-0.3999999999</v>
      </c>
      <c r="AA130" s="164">
        <f t="shared" si="207"/>
        <v>-0.4000000004</v>
      </c>
      <c r="AB130" s="164">
        <f t="shared" si="207"/>
        <v>-0.4000000004</v>
      </c>
      <c r="AC130" s="169"/>
      <c r="AD130" s="169"/>
      <c r="AE130" s="169"/>
      <c r="AF130" s="169"/>
      <c r="AG130" s="77"/>
      <c r="AH130" s="77"/>
      <c r="AI130" s="169"/>
      <c r="AJ130" s="169"/>
      <c r="AK130" s="169"/>
      <c r="AL130" s="169"/>
      <c r="AM130" s="169"/>
      <c r="AN130" s="169"/>
      <c r="AO130" s="169"/>
      <c r="AP130" s="169"/>
    </row>
    <row r="131" ht="32.25" customHeight="1">
      <c r="A131" s="169"/>
      <c r="B131" s="169"/>
      <c r="C131" s="130"/>
      <c r="D131" s="165" t="s">
        <v>83</v>
      </c>
      <c r="E131" s="165" t="s">
        <v>88</v>
      </c>
      <c r="F131" s="165" t="s">
        <v>86</v>
      </c>
      <c r="G131" s="165"/>
      <c r="H131" s="165" t="s">
        <v>83</v>
      </c>
      <c r="I131" s="165">
        <v>268.0</v>
      </c>
      <c r="J131" s="166">
        <v>3760000.0</v>
      </c>
      <c r="K131" s="166">
        <v>3760000.0</v>
      </c>
      <c r="L131" s="161">
        <v>2469459.0</v>
      </c>
      <c r="M131" s="161">
        <v>2469459.0</v>
      </c>
      <c r="N131" s="163">
        <f t="shared" ref="N131:O131" si="208">J131+L131</f>
        <v>6229459</v>
      </c>
      <c r="O131" s="163">
        <f t="shared" si="208"/>
        <v>6229459</v>
      </c>
      <c r="P131" s="169"/>
      <c r="Q131" s="175">
        <v>3760000.0</v>
      </c>
      <c r="R131" s="175">
        <v>3760000.0</v>
      </c>
      <c r="S131" s="175">
        <v>2469459.2</v>
      </c>
      <c r="T131" s="175">
        <v>2469459.2</v>
      </c>
      <c r="U131" s="175">
        <v>6229459.2</v>
      </c>
      <c r="V131" s="175">
        <v>6229459.2</v>
      </c>
      <c r="W131" s="164">
        <f t="shared" ref="W131:AB131" si="209">+J131-Q131</f>
        <v>0</v>
      </c>
      <c r="X131" s="164">
        <f t="shared" si="209"/>
        <v>0</v>
      </c>
      <c r="Y131" s="164">
        <f t="shared" si="209"/>
        <v>-0.2000000002</v>
      </c>
      <c r="Z131" s="164">
        <f t="shared" si="209"/>
        <v>-0.2000000002</v>
      </c>
      <c r="AA131" s="164">
        <f t="shared" si="209"/>
        <v>-0.2000000002</v>
      </c>
      <c r="AB131" s="164">
        <f t="shared" si="209"/>
        <v>-0.2000000002</v>
      </c>
      <c r="AC131" s="169"/>
      <c r="AD131" s="169"/>
      <c r="AE131" s="169"/>
      <c r="AF131" s="169"/>
      <c r="AG131" s="77"/>
      <c r="AH131" s="77"/>
      <c r="AI131" s="169"/>
      <c r="AJ131" s="169"/>
      <c r="AK131" s="169"/>
      <c r="AL131" s="169"/>
      <c r="AM131" s="169"/>
      <c r="AN131" s="169"/>
      <c r="AO131" s="169"/>
      <c r="AP131" s="169"/>
    </row>
    <row r="132" ht="32.25" customHeight="1">
      <c r="A132" s="169"/>
      <c r="B132" s="169"/>
      <c r="C132" s="118"/>
      <c r="D132" s="165" t="s">
        <v>83</v>
      </c>
      <c r="E132" s="165" t="s">
        <v>88</v>
      </c>
      <c r="F132" s="165" t="s">
        <v>85</v>
      </c>
      <c r="G132" s="165" t="s">
        <v>86</v>
      </c>
      <c r="H132" s="165" t="s">
        <v>83</v>
      </c>
      <c r="I132" s="165">
        <v>288.0</v>
      </c>
      <c r="J132" s="166">
        <v>3970000.0</v>
      </c>
      <c r="K132" s="166">
        <v>3970000.0</v>
      </c>
      <c r="L132" s="161">
        <v>2653747.0</v>
      </c>
      <c r="M132" s="161">
        <v>2653747.0</v>
      </c>
      <c r="N132" s="163">
        <f t="shared" ref="N132:O132" si="210">J132+L132</f>
        <v>6623747</v>
      </c>
      <c r="O132" s="163">
        <f t="shared" si="210"/>
        <v>6623747</v>
      </c>
      <c r="P132" s="169"/>
      <c r="Q132" s="175">
        <v>3970000.0</v>
      </c>
      <c r="R132" s="175">
        <v>3970000.0</v>
      </c>
      <c r="S132" s="175">
        <v>2653747.1999999997</v>
      </c>
      <c r="T132" s="175">
        <v>2653747.1999999997</v>
      </c>
      <c r="U132" s="175">
        <v>6623747.199999999</v>
      </c>
      <c r="V132" s="175">
        <v>6623747.199999999</v>
      </c>
      <c r="W132" s="164">
        <f t="shared" ref="W132:AB132" si="211">+J132-Q132</f>
        <v>0</v>
      </c>
      <c r="X132" s="164">
        <f t="shared" si="211"/>
        <v>0</v>
      </c>
      <c r="Y132" s="164">
        <f t="shared" si="211"/>
        <v>-0.1999999997</v>
      </c>
      <c r="Z132" s="164">
        <f t="shared" si="211"/>
        <v>-0.1999999997</v>
      </c>
      <c r="AA132" s="164">
        <f t="shared" si="211"/>
        <v>-0.1999999993</v>
      </c>
      <c r="AB132" s="164">
        <f t="shared" si="211"/>
        <v>-0.1999999993</v>
      </c>
      <c r="AC132" s="169"/>
      <c r="AD132" s="169"/>
      <c r="AE132" s="169"/>
      <c r="AF132" s="169"/>
      <c r="AG132" s="77"/>
      <c r="AH132" s="77"/>
      <c r="AI132" s="169"/>
      <c r="AJ132" s="169"/>
      <c r="AK132" s="169"/>
      <c r="AL132" s="169"/>
      <c r="AM132" s="169"/>
      <c r="AN132" s="169"/>
      <c r="AO132" s="169"/>
      <c r="AP132" s="169"/>
    </row>
    <row r="133" ht="32.25" customHeight="1">
      <c r="A133" s="169"/>
      <c r="B133" s="169"/>
      <c r="C133" s="167" t="s">
        <v>89</v>
      </c>
      <c r="D133" s="165" t="s">
        <v>90</v>
      </c>
      <c r="E133" s="165" t="s">
        <v>84</v>
      </c>
      <c r="F133" s="165"/>
      <c r="G133" s="165"/>
      <c r="H133" s="165" t="s">
        <v>83</v>
      </c>
      <c r="I133" s="165">
        <v>287.0</v>
      </c>
      <c r="J133" s="166">
        <v>3670000.0</v>
      </c>
      <c r="K133" s="166">
        <v>3670000.0</v>
      </c>
      <c r="L133" s="161">
        <v>2644533.0</v>
      </c>
      <c r="M133" s="161">
        <v>2644533.0</v>
      </c>
      <c r="N133" s="163">
        <f t="shared" ref="N133:O133" si="212">J133+L133</f>
        <v>6314533</v>
      </c>
      <c r="O133" s="163">
        <f t="shared" si="212"/>
        <v>6314533</v>
      </c>
      <c r="P133" s="169"/>
      <c r="Q133" s="175">
        <v>3670000.0</v>
      </c>
      <c r="R133" s="175">
        <v>3670000.0</v>
      </c>
      <c r="S133" s="175">
        <v>2644532.8000000003</v>
      </c>
      <c r="T133" s="175">
        <v>2644532.8000000003</v>
      </c>
      <c r="U133" s="175">
        <v>6314532.800000001</v>
      </c>
      <c r="V133" s="175">
        <v>6314532.800000001</v>
      </c>
      <c r="W133" s="164">
        <f t="shared" ref="W133:AB133" si="213">+J133-Q133</f>
        <v>0</v>
      </c>
      <c r="X133" s="164">
        <f t="shared" si="213"/>
        <v>0</v>
      </c>
      <c r="Y133" s="164">
        <f t="shared" si="213"/>
        <v>0.1999999997</v>
      </c>
      <c r="Z133" s="164">
        <f t="shared" si="213"/>
        <v>0.1999999997</v>
      </c>
      <c r="AA133" s="164">
        <f t="shared" si="213"/>
        <v>0.1999999993</v>
      </c>
      <c r="AB133" s="164">
        <f t="shared" si="213"/>
        <v>0.1999999993</v>
      </c>
      <c r="AC133" s="169"/>
      <c r="AD133" s="169"/>
      <c r="AE133" s="169"/>
      <c r="AF133" s="169"/>
      <c r="AG133" s="77"/>
      <c r="AH133" s="77"/>
      <c r="AI133" s="169"/>
      <c r="AJ133" s="169"/>
      <c r="AK133" s="169"/>
      <c r="AL133" s="169"/>
      <c r="AM133" s="169"/>
      <c r="AN133" s="169"/>
      <c r="AO133" s="169"/>
      <c r="AP133" s="169"/>
    </row>
    <row r="134" ht="32.25" customHeight="1">
      <c r="A134" s="169"/>
      <c r="B134" s="169"/>
      <c r="C134" s="130"/>
      <c r="D134" s="165" t="s">
        <v>90</v>
      </c>
      <c r="E134" s="165" t="s">
        <v>85</v>
      </c>
      <c r="F134" s="165"/>
      <c r="G134" s="165"/>
      <c r="H134" s="165" t="s">
        <v>83</v>
      </c>
      <c r="I134" s="165">
        <v>266.0</v>
      </c>
      <c r="J134" s="166">
        <v>3400000.0</v>
      </c>
      <c r="K134" s="166">
        <v>3400000.0</v>
      </c>
      <c r="L134" s="161">
        <v>2451030.0</v>
      </c>
      <c r="M134" s="161">
        <v>2451030.0</v>
      </c>
      <c r="N134" s="163">
        <f t="shared" ref="N134:O134" si="214">J134+L134</f>
        <v>5851030</v>
      </c>
      <c r="O134" s="163">
        <f t="shared" si="214"/>
        <v>5851030</v>
      </c>
      <c r="P134" s="169"/>
      <c r="Q134" s="175">
        <v>3400000.0</v>
      </c>
      <c r="R134" s="175">
        <v>3400000.0</v>
      </c>
      <c r="S134" s="175">
        <v>2451030.4</v>
      </c>
      <c r="T134" s="175">
        <v>2451030.4</v>
      </c>
      <c r="U134" s="175">
        <v>5851030.4</v>
      </c>
      <c r="V134" s="175">
        <v>5851030.4</v>
      </c>
      <c r="W134" s="164">
        <f t="shared" ref="W134:AB134" si="215">+J134-Q134</f>
        <v>0</v>
      </c>
      <c r="X134" s="164">
        <f t="shared" si="215"/>
        <v>0</v>
      </c>
      <c r="Y134" s="164">
        <f t="shared" si="215"/>
        <v>-0.3999999999</v>
      </c>
      <c r="Z134" s="164">
        <f t="shared" si="215"/>
        <v>-0.3999999999</v>
      </c>
      <c r="AA134" s="164">
        <f t="shared" si="215"/>
        <v>-0.4000000004</v>
      </c>
      <c r="AB134" s="164">
        <f t="shared" si="215"/>
        <v>-0.4000000004</v>
      </c>
      <c r="AC134" s="169"/>
      <c r="AD134" s="169"/>
      <c r="AE134" s="169"/>
      <c r="AF134" s="169"/>
      <c r="AG134" s="77"/>
      <c r="AH134" s="77"/>
      <c r="AI134" s="169"/>
      <c r="AJ134" s="169"/>
      <c r="AK134" s="169"/>
      <c r="AL134" s="169"/>
      <c r="AM134" s="169"/>
      <c r="AN134" s="169"/>
      <c r="AO134" s="169"/>
      <c r="AP134" s="169"/>
    </row>
    <row r="135" ht="32.25" customHeight="1">
      <c r="A135" s="169"/>
      <c r="B135" s="169"/>
      <c r="C135" s="130"/>
      <c r="D135" s="165" t="s">
        <v>90</v>
      </c>
      <c r="E135" s="165" t="s">
        <v>86</v>
      </c>
      <c r="F135" s="165"/>
      <c r="G135" s="165"/>
      <c r="H135" s="165" t="s">
        <v>83</v>
      </c>
      <c r="I135" s="165">
        <v>255.0</v>
      </c>
      <c r="J135" s="166">
        <v>3360000.0</v>
      </c>
      <c r="K135" s="166">
        <v>3360000.0</v>
      </c>
      <c r="L135" s="161">
        <v>2349672.0</v>
      </c>
      <c r="M135" s="161">
        <v>2349672.0</v>
      </c>
      <c r="N135" s="163">
        <f t="shared" ref="N135:O135" si="216">J135+L135</f>
        <v>5709672</v>
      </c>
      <c r="O135" s="163">
        <f t="shared" si="216"/>
        <v>5709672</v>
      </c>
      <c r="P135" s="169"/>
      <c r="Q135" s="175">
        <v>3360000.0</v>
      </c>
      <c r="R135" s="175">
        <v>3360000.0</v>
      </c>
      <c r="S135" s="175">
        <v>2349672.0</v>
      </c>
      <c r="T135" s="175">
        <v>2349672.0</v>
      </c>
      <c r="U135" s="175">
        <v>5709672.0</v>
      </c>
      <c r="V135" s="175">
        <v>5709672.0</v>
      </c>
      <c r="W135" s="164">
        <f t="shared" ref="W135:AB135" si="217">+J135-Q135</f>
        <v>0</v>
      </c>
      <c r="X135" s="164">
        <f t="shared" si="217"/>
        <v>0</v>
      </c>
      <c r="Y135" s="164">
        <f t="shared" si="217"/>
        <v>0</v>
      </c>
      <c r="Z135" s="164">
        <f t="shared" si="217"/>
        <v>0</v>
      </c>
      <c r="AA135" s="164">
        <f t="shared" si="217"/>
        <v>0</v>
      </c>
      <c r="AB135" s="164">
        <f t="shared" si="217"/>
        <v>0</v>
      </c>
      <c r="AC135" s="169"/>
      <c r="AD135" s="169"/>
      <c r="AE135" s="169"/>
      <c r="AF135" s="169"/>
      <c r="AG135" s="77"/>
      <c r="AH135" s="77"/>
      <c r="AI135" s="169"/>
      <c r="AJ135" s="169"/>
      <c r="AK135" s="169"/>
      <c r="AL135" s="169"/>
      <c r="AM135" s="169"/>
      <c r="AN135" s="169"/>
      <c r="AO135" s="169"/>
      <c r="AP135" s="169"/>
    </row>
    <row r="136" ht="32.25" customHeight="1">
      <c r="A136" s="169"/>
      <c r="B136" s="169"/>
      <c r="C136" s="130"/>
      <c r="D136" s="165" t="s">
        <v>90</v>
      </c>
      <c r="E136" s="165" t="s">
        <v>84</v>
      </c>
      <c r="F136" s="165" t="s">
        <v>85</v>
      </c>
      <c r="G136" s="165"/>
      <c r="H136" s="165" t="s">
        <v>83</v>
      </c>
      <c r="I136" s="165">
        <v>312.0</v>
      </c>
      <c r="J136" s="166">
        <v>4150000.0</v>
      </c>
      <c r="K136" s="166">
        <v>4150000.0</v>
      </c>
      <c r="L136" s="161">
        <v>2874893.0</v>
      </c>
      <c r="M136" s="161">
        <v>2874893.0</v>
      </c>
      <c r="N136" s="163">
        <f t="shared" ref="N136:O136" si="218">J136+L136</f>
        <v>7024893</v>
      </c>
      <c r="O136" s="163">
        <f t="shared" si="218"/>
        <v>7024893</v>
      </c>
      <c r="P136" s="169"/>
      <c r="Q136" s="175">
        <v>4150000.0</v>
      </c>
      <c r="R136" s="175">
        <v>4150000.0</v>
      </c>
      <c r="S136" s="175">
        <v>2874892.8000000003</v>
      </c>
      <c r="T136" s="175">
        <v>2874892.8000000003</v>
      </c>
      <c r="U136" s="175">
        <v>7024892.800000001</v>
      </c>
      <c r="V136" s="175">
        <v>7024892.800000001</v>
      </c>
      <c r="W136" s="164">
        <f t="shared" ref="W136:AB136" si="219">+J136-Q136</f>
        <v>0</v>
      </c>
      <c r="X136" s="164">
        <f t="shared" si="219"/>
        <v>0</v>
      </c>
      <c r="Y136" s="164">
        <f t="shared" si="219"/>
        <v>0.1999999997</v>
      </c>
      <c r="Z136" s="164">
        <f t="shared" si="219"/>
        <v>0.1999999997</v>
      </c>
      <c r="AA136" s="164">
        <f t="shared" si="219"/>
        <v>0.1999999993</v>
      </c>
      <c r="AB136" s="164">
        <f t="shared" si="219"/>
        <v>0.1999999993</v>
      </c>
      <c r="AC136" s="169"/>
      <c r="AD136" s="169"/>
      <c r="AE136" s="169"/>
      <c r="AF136" s="169"/>
      <c r="AG136" s="77"/>
      <c r="AH136" s="77"/>
      <c r="AI136" s="169"/>
      <c r="AJ136" s="169"/>
      <c r="AK136" s="169"/>
      <c r="AL136" s="169"/>
      <c r="AM136" s="169"/>
      <c r="AN136" s="169"/>
      <c r="AO136" s="169"/>
      <c r="AP136" s="169"/>
    </row>
    <row r="137" ht="32.25" customHeight="1">
      <c r="A137" s="169"/>
      <c r="B137" s="169"/>
      <c r="C137" s="130"/>
      <c r="D137" s="165" t="s">
        <v>90</v>
      </c>
      <c r="E137" s="165" t="s">
        <v>84</v>
      </c>
      <c r="F137" s="165" t="s">
        <v>86</v>
      </c>
      <c r="G137" s="165"/>
      <c r="H137" s="165" t="s">
        <v>83</v>
      </c>
      <c r="I137" s="165">
        <v>320.0</v>
      </c>
      <c r="J137" s="166">
        <v>4170000.0</v>
      </c>
      <c r="K137" s="166">
        <v>4170000.0</v>
      </c>
      <c r="L137" s="161">
        <v>2948608.0</v>
      </c>
      <c r="M137" s="161">
        <v>2948608.0</v>
      </c>
      <c r="N137" s="163">
        <f t="shared" ref="N137:O137" si="220">J137+L137</f>
        <v>7118608</v>
      </c>
      <c r="O137" s="163">
        <f t="shared" si="220"/>
        <v>7118608</v>
      </c>
      <c r="P137" s="169"/>
      <c r="Q137" s="175">
        <v>4170000.0</v>
      </c>
      <c r="R137" s="175">
        <v>4170000.0</v>
      </c>
      <c r="S137" s="175">
        <v>2948608.0</v>
      </c>
      <c r="T137" s="175">
        <v>2948608.0</v>
      </c>
      <c r="U137" s="175">
        <v>7118608.0</v>
      </c>
      <c r="V137" s="175">
        <v>7118608.0</v>
      </c>
      <c r="W137" s="164">
        <f t="shared" ref="W137:AB137" si="221">+J137-Q137</f>
        <v>0</v>
      </c>
      <c r="X137" s="164">
        <f t="shared" si="221"/>
        <v>0</v>
      </c>
      <c r="Y137" s="164">
        <f t="shared" si="221"/>
        <v>0</v>
      </c>
      <c r="Z137" s="164">
        <f t="shared" si="221"/>
        <v>0</v>
      </c>
      <c r="AA137" s="164">
        <f t="shared" si="221"/>
        <v>0</v>
      </c>
      <c r="AB137" s="164">
        <f t="shared" si="221"/>
        <v>0</v>
      </c>
      <c r="AC137" s="169"/>
      <c r="AD137" s="169"/>
      <c r="AE137" s="169"/>
      <c r="AF137" s="169"/>
      <c r="AG137" s="77"/>
      <c r="AH137" s="77"/>
      <c r="AI137" s="169"/>
      <c r="AJ137" s="169"/>
      <c r="AK137" s="169"/>
      <c r="AL137" s="169"/>
      <c r="AM137" s="169"/>
      <c r="AN137" s="169"/>
      <c r="AO137" s="169"/>
      <c r="AP137" s="169"/>
    </row>
    <row r="138" ht="32.25" customHeight="1">
      <c r="A138" s="169"/>
      <c r="B138" s="169"/>
      <c r="C138" s="130"/>
      <c r="D138" s="165" t="s">
        <v>90</v>
      </c>
      <c r="E138" s="165" t="s">
        <v>85</v>
      </c>
      <c r="F138" s="165" t="s">
        <v>86</v>
      </c>
      <c r="G138" s="165"/>
      <c r="H138" s="165" t="s">
        <v>83</v>
      </c>
      <c r="I138" s="165">
        <v>280.0</v>
      </c>
      <c r="J138" s="166">
        <v>3740000.0</v>
      </c>
      <c r="K138" s="166">
        <v>3740000.0</v>
      </c>
      <c r="L138" s="161">
        <v>2580032.0</v>
      </c>
      <c r="M138" s="161">
        <v>2580032.0</v>
      </c>
      <c r="N138" s="163">
        <f t="shared" ref="N138:O138" si="222">J138+L138</f>
        <v>6320032</v>
      </c>
      <c r="O138" s="163">
        <f t="shared" si="222"/>
        <v>6320032</v>
      </c>
      <c r="P138" s="169"/>
      <c r="Q138" s="175">
        <v>3740000.0</v>
      </c>
      <c r="R138" s="175">
        <v>3740000.0</v>
      </c>
      <c r="S138" s="175">
        <v>2580032.0</v>
      </c>
      <c r="T138" s="175">
        <v>2580032.0</v>
      </c>
      <c r="U138" s="175">
        <v>6320032.0</v>
      </c>
      <c r="V138" s="175">
        <v>6320032.0</v>
      </c>
      <c r="W138" s="164">
        <f t="shared" ref="W138:AB138" si="223">+J138-Q138</f>
        <v>0</v>
      </c>
      <c r="X138" s="164">
        <f t="shared" si="223"/>
        <v>0</v>
      </c>
      <c r="Y138" s="164">
        <f t="shared" si="223"/>
        <v>0</v>
      </c>
      <c r="Z138" s="164">
        <f t="shared" si="223"/>
        <v>0</v>
      </c>
      <c r="AA138" s="164">
        <f t="shared" si="223"/>
        <v>0</v>
      </c>
      <c r="AB138" s="164">
        <f t="shared" si="223"/>
        <v>0</v>
      </c>
      <c r="AC138" s="169"/>
      <c r="AD138" s="169"/>
      <c r="AE138" s="169"/>
      <c r="AF138" s="169"/>
      <c r="AG138" s="77"/>
      <c r="AH138" s="77"/>
      <c r="AI138" s="169"/>
      <c r="AJ138" s="169"/>
      <c r="AK138" s="169"/>
      <c r="AL138" s="169"/>
      <c r="AM138" s="169"/>
      <c r="AN138" s="169"/>
      <c r="AO138" s="169"/>
      <c r="AP138" s="169"/>
    </row>
    <row r="139" ht="32.25" customHeight="1">
      <c r="A139" s="169"/>
      <c r="B139" s="169"/>
      <c r="C139" s="130"/>
      <c r="D139" s="165" t="s">
        <v>90</v>
      </c>
      <c r="E139" s="165" t="s">
        <v>84</v>
      </c>
      <c r="F139" s="165" t="s">
        <v>85</v>
      </c>
      <c r="G139" s="165" t="s">
        <v>86</v>
      </c>
      <c r="H139" s="165" t="s">
        <v>83</v>
      </c>
      <c r="I139" s="165">
        <v>366.0</v>
      </c>
      <c r="J139" s="166">
        <v>4470000.0</v>
      </c>
      <c r="K139" s="166">
        <v>4470000.0</v>
      </c>
      <c r="L139" s="161">
        <v>3372470.0</v>
      </c>
      <c r="M139" s="161">
        <v>3372470.0</v>
      </c>
      <c r="N139" s="163">
        <f t="shared" ref="N139:O139" si="224">J139+L139</f>
        <v>7842470</v>
      </c>
      <c r="O139" s="163">
        <f t="shared" si="224"/>
        <v>7842470</v>
      </c>
      <c r="P139" s="169"/>
      <c r="Q139" s="175">
        <v>4470000.0</v>
      </c>
      <c r="R139" s="175">
        <v>4470000.0</v>
      </c>
      <c r="S139" s="175">
        <v>3372470.4</v>
      </c>
      <c r="T139" s="175">
        <v>3372470.4</v>
      </c>
      <c r="U139" s="175">
        <v>7842470.4</v>
      </c>
      <c r="V139" s="175">
        <v>7842470.4</v>
      </c>
      <c r="W139" s="164">
        <f t="shared" ref="W139:AB139" si="225">+J139-Q139</f>
        <v>0</v>
      </c>
      <c r="X139" s="164">
        <f t="shared" si="225"/>
        <v>0</v>
      </c>
      <c r="Y139" s="164">
        <f t="shared" si="225"/>
        <v>-0.3999999999</v>
      </c>
      <c r="Z139" s="164">
        <f t="shared" si="225"/>
        <v>-0.3999999999</v>
      </c>
      <c r="AA139" s="164">
        <f t="shared" si="225"/>
        <v>-0.4000000004</v>
      </c>
      <c r="AB139" s="164">
        <f t="shared" si="225"/>
        <v>-0.4000000004</v>
      </c>
      <c r="AC139" s="169"/>
      <c r="AD139" s="169"/>
      <c r="AE139" s="169"/>
      <c r="AF139" s="169"/>
      <c r="AG139" s="77"/>
      <c r="AH139" s="77"/>
      <c r="AI139" s="169"/>
      <c r="AJ139" s="169"/>
      <c r="AK139" s="169"/>
      <c r="AL139" s="169"/>
      <c r="AM139" s="169"/>
      <c r="AN139" s="169"/>
      <c r="AO139" s="169"/>
      <c r="AP139" s="169"/>
    </row>
    <row r="140" ht="32.25" customHeight="1">
      <c r="A140" s="169"/>
      <c r="B140" s="169"/>
      <c r="C140" s="130"/>
      <c r="D140" s="165" t="s">
        <v>91</v>
      </c>
      <c r="E140" s="165" t="s">
        <v>84</v>
      </c>
      <c r="F140" s="165"/>
      <c r="G140" s="165"/>
      <c r="H140" s="165" t="s">
        <v>83</v>
      </c>
      <c r="I140" s="165">
        <v>287.0</v>
      </c>
      <c r="J140" s="166">
        <v>3670000.0</v>
      </c>
      <c r="K140" s="166">
        <v>3670000.0</v>
      </c>
      <c r="L140" s="161">
        <v>2644533.0</v>
      </c>
      <c r="M140" s="161">
        <v>2644533.0</v>
      </c>
      <c r="N140" s="163">
        <f t="shared" ref="N140:O140" si="226">J140+L140</f>
        <v>6314533</v>
      </c>
      <c r="O140" s="163">
        <f t="shared" si="226"/>
        <v>6314533</v>
      </c>
      <c r="P140" s="169"/>
      <c r="Q140" s="175">
        <v>3670000.0</v>
      </c>
      <c r="R140" s="175">
        <v>3670000.0</v>
      </c>
      <c r="S140" s="175">
        <v>2644532.8000000003</v>
      </c>
      <c r="T140" s="175">
        <v>2644532.8000000003</v>
      </c>
      <c r="U140" s="175">
        <v>6314532.800000001</v>
      </c>
      <c r="V140" s="175">
        <v>6314532.800000001</v>
      </c>
      <c r="W140" s="164">
        <f t="shared" ref="W140:AB140" si="227">+J140-Q140</f>
        <v>0</v>
      </c>
      <c r="X140" s="164">
        <f t="shared" si="227"/>
        <v>0</v>
      </c>
      <c r="Y140" s="164">
        <f t="shared" si="227"/>
        <v>0.1999999997</v>
      </c>
      <c r="Z140" s="164">
        <f t="shared" si="227"/>
        <v>0.1999999997</v>
      </c>
      <c r="AA140" s="164">
        <f t="shared" si="227"/>
        <v>0.1999999993</v>
      </c>
      <c r="AB140" s="164">
        <f t="shared" si="227"/>
        <v>0.1999999993</v>
      </c>
      <c r="AC140" s="169"/>
      <c r="AD140" s="169"/>
      <c r="AE140" s="169"/>
      <c r="AF140" s="169"/>
      <c r="AG140" s="77"/>
      <c r="AH140" s="77"/>
      <c r="AI140" s="169"/>
      <c r="AJ140" s="169"/>
      <c r="AK140" s="169"/>
      <c r="AL140" s="169"/>
      <c r="AM140" s="169"/>
      <c r="AN140" s="169"/>
      <c r="AO140" s="169"/>
      <c r="AP140" s="169"/>
    </row>
    <row r="141" ht="32.25" customHeight="1">
      <c r="A141" s="169"/>
      <c r="B141" s="169"/>
      <c r="C141" s="130"/>
      <c r="D141" s="165" t="s">
        <v>91</v>
      </c>
      <c r="E141" s="165" t="s">
        <v>85</v>
      </c>
      <c r="F141" s="165"/>
      <c r="G141" s="165"/>
      <c r="H141" s="165" t="s">
        <v>83</v>
      </c>
      <c r="I141" s="165">
        <v>266.0</v>
      </c>
      <c r="J141" s="166">
        <v>3400000.0</v>
      </c>
      <c r="K141" s="166">
        <v>3400000.0</v>
      </c>
      <c r="L141" s="161">
        <v>2451030.0</v>
      </c>
      <c r="M141" s="161">
        <v>2451030.0</v>
      </c>
      <c r="N141" s="163">
        <f t="shared" ref="N141:O141" si="228">J141+L141</f>
        <v>5851030</v>
      </c>
      <c r="O141" s="163">
        <f t="shared" si="228"/>
        <v>5851030</v>
      </c>
      <c r="P141" s="169"/>
      <c r="Q141" s="175">
        <v>3400000.0</v>
      </c>
      <c r="R141" s="175">
        <v>3400000.0</v>
      </c>
      <c r="S141" s="175">
        <v>2451030.4</v>
      </c>
      <c r="T141" s="175">
        <v>2451030.4</v>
      </c>
      <c r="U141" s="175">
        <v>5851030.4</v>
      </c>
      <c r="V141" s="175">
        <v>5851030.4</v>
      </c>
      <c r="W141" s="164">
        <f t="shared" ref="W141:AB141" si="229">+J141-Q141</f>
        <v>0</v>
      </c>
      <c r="X141" s="164">
        <f t="shared" si="229"/>
        <v>0</v>
      </c>
      <c r="Y141" s="164">
        <f t="shared" si="229"/>
        <v>-0.3999999999</v>
      </c>
      <c r="Z141" s="164">
        <f t="shared" si="229"/>
        <v>-0.3999999999</v>
      </c>
      <c r="AA141" s="164">
        <f t="shared" si="229"/>
        <v>-0.4000000004</v>
      </c>
      <c r="AB141" s="164">
        <f t="shared" si="229"/>
        <v>-0.4000000004</v>
      </c>
      <c r="AC141" s="169"/>
      <c r="AD141" s="169"/>
      <c r="AE141" s="169"/>
      <c r="AF141" s="169"/>
      <c r="AG141" s="77"/>
      <c r="AH141" s="77"/>
      <c r="AI141" s="169"/>
      <c r="AJ141" s="169"/>
      <c r="AK141" s="169"/>
      <c r="AL141" s="169"/>
      <c r="AM141" s="169"/>
      <c r="AN141" s="169"/>
      <c r="AO141" s="169"/>
      <c r="AP141" s="169"/>
    </row>
    <row r="142" ht="32.25" customHeight="1">
      <c r="A142" s="169"/>
      <c r="B142" s="169"/>
      <c r="C142" s="130"/>
      <c r="D142" s="165" t="s">
        <v>91</v>
      </c>
      <c r="E142" s="165" t="s">
        <v>86</v>
      </c>
      <c r="F142" s="165"/>
      <c r="G142" s="165"/>
      <c r="H142" s="165" t="s">
        <v>83</v>
      </c>
      <c r="I142" s="165">
        <v>255.0</v>
      </c>
      <c r="J142" s="166">
        <v>3360000.0</v>
      </c>
      <c r="K142" s="166">
        <v>3360000.0</v>
      </c>
      <c r="L142" s="161">
        <v>2349672.0</v>
      </c>
      <c r="M142" s="161">
        <v>2349672.0</v>
      </c>
      <c r="N142" s="163">
        <f t="shared" ref="N142:O142" si="230">J142+L142</f>
        <v>5709672</v>
      </c>
      <c r="O142" s="163">
        <f t="shared" si="230"/>
        <v>5709672</v>
      </c>
      <c r="P142" s="169"/>
      <c r="Q142" s="175">
        <v>3360000.0</v>
      </c>
      <c r="R142" s="175">
        <v>3360000.0</v>
      </c>
      <c r="S142" s="175">
        <v>2349672.0</v>
      </c>
      <c r="T142" s="175">
        <v>2349672.0</v>
      </c>
      <c r="U142" s="175">
        <v>5709672.0</v>
      </c>
      <c r="V142" s="175">
        <v>5709672.0</v>
      </c>
      <c r="W142" s="164">
        <f t="shared" ref="W142:AB142" si="231">+J142-Q142</f>
        <v>0</v>
      </c>
      <c r="X142" s="164">
        <f t="shared" si="231"/>
        <v>0</v>
      </c>
      <c r="Y142" s="164">
        <f t="shared" si="231"/>
        <v>0</v>
      </c>
      <c r="Z142" s="164">
        <f t="shared" si="231"/>
        <v>0</v>
      </c>
      <c r="AA142" s="164">
        <f t="shared" si="231"/>
        <v>0</v>
      </c>
      <c r="AB142" s="164">
        <f t="shared" si="231"/>
        <v>0</v>
      </c>
      <c r="AC142" s="169"/>
      <c r="AD142" s="169"/>
      <c r="AE142" s="169"/>
      <c r="AF142" s="169"/>
      <c r="AG142" s="77"/>
      <c r="AH142" s="77"/>
      <c r="AI142" s="169"/>
      <c r="AJ142" s="169"/>
      <c r="AK142" s="169"/>
      <c r="AL142" s="169"/>
      <c r="AM142" s="169"/>
      <c r="AN142" s="169"/>
      <c r="AO142" s="169"/>
      <c r="AP142" s="169"/>
    </row>
    <row r="143" ht="32.25" customHeight="1">
      <c r="A143" s="169"/>
      <c r="B143" s="169"/>
      <c r="C143" s="130"/>
      <c r="D143" s="165" t="s">
        <v>91</v>
      </c>
      <c r="E143" s="165" t="s">
        <v>84</v>
      </c>
      <c r="F143" s="165" t="s">
        <v>85</v>
      </c>
      <c r="G143" s="165"/>
      <c r="H143" s="165" t="s">
        <v>83</v>
      </c>
      <c r="I143" s="165">
        <v>312.0</v>
      </c>
      <c r="J143" s="166">
        <v>4150000.0</v>
      </c>
      <c r="K143" s="166">
        <v>4150000.0</v>
      </c>
      <c r="L143" s="161">
        <v>2874893.0</v>
      </c>
      <c r="M143" s="161">
        <v>2874893.0</v>
      </c>
      <c r="N143" s="163">
        <f t="shared" ref="N143:O143" si="232">J143+L143</f>
        <v>7024893</v>
      </c>
      <c r="O143" s="163">
        <f t="shared" si="232"/>
        <v>7024893</v>
      </c>
      <c r="P143" s="169"/>
      <c r="Q143" s="175">
        <v>4150000.0</v>
      </c>
      <c r="R143" s="175">
        <v>4150000.0</v>
      </c>
      <c r="S143" s="175">
        <v>2874892.8000000003</v>
      </c>
      <c r="T143" s="175">
        <v>2874892.8000000003</v>
      </c>
      <c r="U143" s="175">
        <v>7024892.800000001</v>
      </c>
      <c r="V143" s="175">
        <v>7024892.800000001</v>
      </c>
      <c r="W143" s="164">
        <f t="shared" ref="W143:AB143" si="233">+J143-Q143</f>
        <v>0</v>
      </c>
      <c r="X143" s="164">
        <f t="shared" si="233"/>
        <v>0</v>
      </c>
      <c r="Y143" s="164">
        <f t="shared" si="233"/>
        <v>0.1999999997</v>
      </c>
      <c r="Z143" s="164">
        <f t="shared" si="233"/>
        <v>0.1999999997</v>
      </c>
      <c r="AA143" s="164">
        <f t="shared" si="233"/>
        <v>0.1999999993</v>
      </c>
      <c r="AB143" s="164">
        <f t="shared" si="233"/>
        <v>0.1999999993</v>
      </c>
      <c r="AC143" s="169"/>
      <c r="AD143" s="169"/>
      <c r="AE143" s="169"/>
      <c r="AF143" s="169"/>
      <c r="AG143" s="77"/>
      <c r="AH143" s="77"/>
      <c r="AI143" s="169"/>
      <c r="AJ143" s="169"/>
      <c r="AK143" s="169"/>
      <c r="AL143" s="169"/>
      <c r="AM143" s="169"/>
      <c r="AN143" s="169"/>
      <c r="AO143" s="169"/>
      <c r="AP143" s="169"/>
    </row>
    <row r="144" ht="32.25" customHeight="1">
      <c r="A144" s="169"/>
      <c r="B144" s="169"/>
      <c r="C144" s="130"/>
      <c r="D144" s="165" t="s">
        <v>91</v>
      </c>
      <c r="E144" s="165" t="s">
        <v>84</v>
      </c>
      <c r="F144" s="165" t="s">
        <v>86</v>
      </c>
      <c r="G144" s="165"/>
      <c r="H144" s="165" t="s">
        <v>83</v>
      </c>
      <c r="I144" s="165">
        <v>320.0</v>
      </c>
      <c r="J144" s="166">
        <v>4170000.0</v>
      </c>
      <c r="K144" s="166">
        <v>4170000.0</v>
      </c>
      <c r="L144" s="161">
        <v>2948608.0</v>
      </c>
      <c r="M144" s="161">
        <v>2948608.0</v>
      </c>
      <c r="N144" s="163">
        <f t="shared" ref="N144:O144" si="234">J144+L144</f>
        <v>7118608</v>
      </c>
      <c r="O144" s="163">
        <f t="shared" si="234"/>
        <v>7118608</v>
      </c>
      <c r="P144" s="169"/>
      <c r="Q144" s="175">
        <v>4170000.0</v>
      </c>
      <c r="R144" s="175">
        <v>4170000.0</v>
      </c>
      <c r="S144" s="175">
        <v>2948608.0</v>
      </c>
      <c r="T144" s="175">
        <v>2948608.0</v>
      </c>
      <c r="U144" s="175">
        <v>7118608.0</v>
      </c>
      <c r="V144" s="175">
        <v>7118608.0</v>
      </c>
      <c r="W144" s="164">
        <f t="shared" ref="W144:AB144" si="235">+J144-Q144</f>
        <v>0</v>
      </c>
      <c r="X144" s="164">
        <f t="shared" si="235"/>
        <v>0</v>
      </c>
      <c r="Y144" s="164">
        <f t="shared" si="235"/>
        <v>0</v>
      </c>
      <c r="Z144" s="164">
        <f t="shared" si="235"/>
        <v>0</v>
      </c>
      <c r="AA144" s="164">
        <f t="shared" si="235"/>
        <v>0</v>
      </c>
      <c r="AB144" s="164">
        <f t="shared" si="235"/>
        <v>0</v>
      </c>
      <c r="AC144" s="169"/>
      <c r="AD144" s="169"/>
      <c r="AE144" s="169"/>
      <c r="AF144" s="169"/>
      <c r="AG144" s="77"/>
      <c r="AH144" s="77"/>
      <c r="AI144" s="169"/>
      <c r="AJ144" s="169"/>
      <c r="AK144" s="169"/>
      <c r="AL144" s="169"/>
      <c r="AM144" s="169"/>
      <c r="AN144" s="169"/>
      <c r="AO144" s="169"/>
      <c r="AP144" s="169"/>
    </row>
    <row r="145" ht="32.25" customHeight="1">
      <c r="A145" s="169"/>
      <c r="B145" s="169"/>
      <c r="C145" s="130"/>
      <c r="D145" s="165" t="s">
        <v>91</v>
      </c>
      <c r="E145" s="165" t="s">
        <v>85</v>
      </c>
      <c r="F145" s="165" t="s">
        <v>86</v>
      </c>
      <c r="G145" s="165"/>
      <c r="H145" s="165" t="s">
        <v>83</v>
      </c>
      <c r="I145" s="165">
        <v>280.0</v>
      </c>
      <c r="J145" s="166">
        <v>3740000.0</v>
      </c>
      <c r="K145" s="166">
        <v>3740000.0</v>
      </c>
      <c r="L145" s="161">
        <v>2580032.0</v>
      </c>
      <c r="M145" s="161">
        <v>2580032.0</v>
      </c>
      <c r="N145" s="163">
        <f t="shared" ref="N145:O145" si="236">J145+L145</f>
        <v>6320032</v>
      </c>
      <c r="O145" s="163">
        <f t="shared" si="236"/>
        <v>6320032</v>
      </c>
      <c r="P145" s="169"/>
      <c r="Q145" s="175">
        <v>3740000.0</v>
      </c>
      <c r="R145" s="175">
        <v>3740000.0</v>
      </c>
      <c r="S145" s="175">
        <v>2580032.0</v>
      </c>
      <c r="T145" s="175">
        <v>2580032.0</v>
      </c>
      <c r="U145" s="175">
        <v>6320032.0</v>
      </c>
      <c r="V145" s="175">
        <v>6320032.0</v>
      </c>
      <c r="W145" s="164">
        <f t="shared" ref="W145:AB145" si="237">+J145-Q145</f>
        <v>0</v>
      </c>
      <c r="X145" s="164">
        <f t="shared" si="237"/>
        <v>0</v>
      </c>
      <c r="Y145" s="164">
        <f t="shared" si="237"/>
        <v>0</v>
      </c>
      <c r="Z145" s="164">
        <f t="shared" si="237"/>
        <v>0</v>
      </c>
      <c r="AA145" s="164">
        <f t="shared" si="237"/>
        <v>0</v>
      </c>
      <c r="AB145" s="164">
        <f t="shared" si="237"/>
        <v>0</v>
      </c>
      <c r="AC145" s="169"/>
      <c r="AD145" s="169"/>
      <c r="AE145" s="169"/>
      <c r="AF145" s="169"/>
      <c r="AG145" s="77"/>
      <c r="AH145" s="77"/>
      <c r="AI145" s="169"/>
      <c r="AJ145" s="169"/>
      <c r="AK145" s="169"/>
      <c r="AL145" s="169"/>
      <c r="AM145" s="169"/>
      <c r="AN145" s="169"/>
      <c r="AO145" s="169"/>
      <c r="AP145" s="169"/>
    </row>
    <row r="146" ht="32.25" customHeight="1">
      <c r="A146" s="169"/>
      <c r="B146" s="169"/>
      <c r="C146" s="118"/>
      <c r="D146" s="165" t="s">
        <v>91</v>
      </c>
      <c r="E146" s="165" t="s">
        <v>84</v>
      </c>
      <c r="F146" s="165" t="s">
        <v>85</v>
      </c>
      <c r="G146" s="165" t="s">
        <v>86</v>
      </c>
      <c r="H146" s="165" t="s">
        <v>83</v>
      </c>
      <c r="I146" s="165">
        <v>366.0</v>
      </c>
      <c r="J146" s="166">
        <v>4470000.0</v>
      </c>
      <c r="K146" s="166">
        <v>4470000.0</v>
      </c>
      <c r="L146" s="161">
        <v>3372470.0</v>
      </c>
      <c r="M146" s="161">
        <v>3372470.0</v>
      </c>
      <c r="N146" s="163">
        <f t="shared" ref="N146:O146" si="238">J146+L146</f>
        <v>7842470</v>
      </c>
      <c r="O146" s="163">
        <f t="shared" si="238"/>
        <v>7842470</v>
      </c>
      <c r="P146" s="169"/>
      <c r="Q146" s="175">
        <v>4470000.0</v>
      </c>
      <c r="R146" s="175">
        <v>4470000.0</v>
      </c>
      <c r="S146" s="175">
        <v>3372470.4</v>
      </c>
      <c r="T146" s="175">
        <v>3372470.4</v>
      </c>
      <c r="U146" s="175">
        <v>7842470.4</v>
      </c>
      <c r="V146" s="175">
        <v>7842470.4</v>
      </c>
      <c r="W146" s="164">
        <f t="shared" ref="W146:AB146" si="239">+J146-Q146</f>
        <v>0</v>
      </c>
      <c r="X146" s="164">
        <f t="shared" si="239"/>
        <v>0</v>
      </c>
      <c r="Y146" s="164">
        <f t="shared" si="239"/>
        <v>-0.3999999999</v>
      </c>
      <c r="Z146" s="164">
        <f t="shared" si="239"/>
        <v>-0.3999999999</v>
      </c>
      <c r="AA146" s="164">
        <f t="shared" si="239"/>
        <v>-0.4000000004</v>
      </c>
      <c r="AB146" s="164">
        <f t="shared" si="239"/>
        <v>-0.4000000004</v>
      </c>
      <c r="AC146" s="169"/>
      <c r="AD146" s="169"/>
      <c r="AE146" s="169"/>
      <c r="AF146" s="169"/>
      <c r="AG146" s="77"/>
      <c r="AH146" s="77"/>
      <c r="AI146" s="169"/>
      <c r="AJ146" s="169"/>
      <c r="AK146" s="169"/>
      <c r="AL146" s="169"/>
      <c r="AM146" s="169"/>
      <c r="AN146" s="169"/>
      <c r="AO146" s="169"/>
      <c r="AP146" s="169"/>
    </row>
    <row r="147" ht="32.25" customHeight="1">
      <c r="A147" s="169"/>
      <c r="B147" s="169"/>
      <c r="C147" s="167" t="s">
        <v>92</v>
      </c>
      <c r="D147" s="165" t="s">
        <v>83</v>
      </c>
      <c r="E147" s="165" t="s">
        <v>93</v>
      </c>
      <c r="F147" s="165"/>
      <c r="G147" s="165"/>
      <c r="H147" s="165"/>
      <c r="I147" s="165">
        <v>144.0</v>
      </c>
      <c r="J147" s="166">
        <v>2650000.0</v>
      </c>
      <c r="K147" s="166">
        <v>2650000.0</v>
      </c>
      <c r="L147" s="161">
        <v>1531008.0</v>
      </c>
      <c r="M147" s="161">
        <v>1531008.0</v>
      </c>
      <c r="N147" s="163">
        <f t="shared" ref="N147:O147" si="240">J147+L147</f>
        <v>4181008</v>
      </c>
      <c r="O147" s="163">
        <f t="shared" si="240"/>
        <v>4181008</v>
      </c>
      <c r="P147" s="169"/>
      <c r="Q147" s="175">
        <v>2650000.0</v>
      </c>
      <c r="R147" s="175">
        <v>2650000.0</v>
      </c>
      <c r="S147" s="175">
        <v>1531007.9999999998</v>
      </c>
      <c r="T147" s="175">
        <v>1531007.9999999998</v>
      </c>
      <c r="U147" s="175">
        <v>4181008.0</v>
      </c>
      <c r="V147" s="175">
        <v>4181008.0</v>
      </c>
      <c r="W147" s="164">
        <f t="shared" ref="W147:AB147" si="241">+J147-Q147</f>
        <v>0</v>
      </c>
      <c r="X147" s="164">
        <f t="shared" si="241"/>
        <v>0</v>
      </c>
      <c r="Y147" s="164">
        <f t="shared" si="241"/>
        <v>0.0000000002328306437</v>
      </c>
      <c r="Z147" s="164">
        <f t="shared" si="241"/>
        <v>0.0000000002328306437</v>
      </c>
      <c r="AA147" s="164">
        <f t="shared" si="241"/>
        <v>0</v>
      </c>
      <c r="AB147" s="164">
        <f t="shared" si="241"/>
        <v>0</v>
      </c>
      <c r="AC147" s="169"/>
      <c r="AD147" s="169"/>
      <c r="AE147" s="169"/>
      <c r="AF147" s="169"/>
      <c r="AG147" s="77"/>
      <c r="AH147" s="77"/>
      <c r="AI147" s="169"/>
      <c r="AJ147" s="169"/>
      <c r="AK147" s="169"/>
      <c r="AL147" s="169"/>
      <c r="AM147" s="169"/>
      <c r="AN147" s="169"/>
      <c r="AO147" s="169"/>
      <c r="AP147" s="169"/>
    </row>
    <row r="148" ht="32.25" customHeight="1">
      <c r="A148" s="169"/>
      <c r="B148" s="169"/>
      <c r="C148" s="130"/>
      <c r="D148" s="165" t="s">
        <v>93</v>
      </c>
      <c r="E148" s="165" t="s">
        <v>84</v>
      </c>
      <c r="F148" s="165"/>
      <c r="G148" s="165"/>
      <c r="H148" s="165" t="s">
        <v>83</v>
      </c>
      <c r="I148" s="165">
        <v>144.0</v>
      </c>
      <c r="J148" s="166">
        <v>2650000.0</v>
      </c>
      <c r="K148" s="166">
        <v>2650000.0</v>
      </c>
      <c r="L148" s="161">
        <v>1531008.0</v>
      </c>
      <c r="M148" s="161">
        <v>1531008.0</v>
      </c>
      <c r="N148" s="163">
        <f t="shared" ref="N148:O148" si="242">J148+L148</f>
        <v>4181008</v>
      </c>
      <c r="O148" s="163">
        <f t="shared" si="242"/>
        <v>4181008</v>
      </c>
      <c r="P148" s="169"/>
      <c r="Q148" s="175">
        <v>2650000.0</v>
      </c>
      <c r="R148" s="175">
        <v>2650000.0</v>
      </c>
      <c r="S148" s="175">
        <v>1531007.9999999998</v>
      </c>
      <c r="T148" s="175">
        <v>1531007.9999999998</v>
      </c>
      <c r="U148" s="175">
        <v>4181008.0</v>
      </c>
      <c r="V148" s="175">
        <v>4181008.0</v>
      </c>
      <c r="W148" s="164">
        <f t="shared" ref="W148:AB148" si="243">+J148-Q148</f>
        <v>0</v>
      </c>
      <c r="X148" s="164">
        <f t="shared" si="243"/>
        <v>0</v>
      </c>
      <c r="Y148" s="164">
        <f t="shared" si="243"/>
        <v>0.0000000002328306437</v>
      </c>
      <c r="Z148" s="164">
        <f t="shared" si="243"/>
        <v>0.0000000002328306437</v>
      </c>
      <c r="AA148" s="164">
        <f t="shared" si="243"/>
        <v>0</v>
      </c>
      <c r="AB148" s="164">
        <f t="shared" si="243"/>
        <v>0</v>
      </c>
      <c r="AC148" s="169"/>
      <c r="AD148" s="169"/>
      <c r="AE148" s="169"/>
      <c r="AF148" s="169"/>
      <c r="AG148" s="77"/>
      <c r="AH148" s="77"/>
      <c r="AI148" s="169"/>
      <c r="AJ148" s="169"/>
      <c r="AK148" s="169"/>
      <c r="AL148" s="169"/>
      <c r="AM148" s="169"/>
      <c r="AN148" s="169"/>
      <c r="AO148" s="169"/>
      <c r="AP148" s="169"/>
    </row>
    <row r="149" ht="32.25" customHeight="1">
      <c r="A149" s="169"/>
      <c r="B149" s="169"/>
      <c r="C149" s="130"/>
      <c r="D149" s="165" t="s">
        <v>83</v>
      </c>
      <c r="E149" s="165" t="s">
        <v>93</v>
      </c>
      <c r="F149" s="165"/>
      <c r="G149" s="165"/>
      <c r="H149" s="165"/>
      <c r="I149" s="165">
        <v>144.0</v>
      </c>
      <c r="J149" s="166">
        <v>2650000.0</v>
      </c>
      <c r="K149" s="166">
        <v>2650000.0</v>
      </c>
      <c r="L149" s="161">
        <v>1531008.0</v>
      </c>
      <c r="M149" s="161">
        <v>1531008.0</v>
      </c>
      <c r="N149" s="163">
        <f t="shared" ref="N149:O149" si="244">J149+L149</f>
        <v>4181008</v>
      </c>
      <c r="O149" s="163">
        <f t="shared" si="244"/>
        <v>4181008</v>
      </c>
      <c r="P149" s="169"/>
      <c r="Q149" s="175">
        <v>2650000.0</v>
      </c>
      <c r="R149" s="175">
        <v>2650000.0</v>
      </c>
      <c r="S149" s="175">
        <v>1531007.9999999998</v>
      </c>
      <c r="T149" s="175">
        <v>1531007.9999999998</v>
      </c>
      <c r="U149" s="175">
        <v>4181008.0</v>
      </c>
      <c r="V149" s="175">
        <v>4181008.0</v>
      </c>
      <c r="W149" s="164">
        <f t="shared" ref="W149:AB149" si="245">+J149-Q149</f>
        <v>0</v>
      </c>
      <c r="X149" s="164">
        <f t="shared" si="245"/>
        <v>0</v>
      </c>
      <c r="Y149" s="164">
        <f t="shared" si="245"/>
        <v>0.0000000002328306437</v>
      </c>
      <c r="Z149" s="164">
        <f t="shared" si="245"/>
        <v>0.0000000002328306437</v>
      </c>
      <c r="AA149" s="164">
        <f t="shared" si="245"/>
        <v>0</v>
      </c>
      <c r="AB149" s="164">
        <f t="shared" si="245"/>
        <v>0</v>
      </c>
      <c r="AC149" s="169"/>
      <c r="AD149" s="169"/>
      <c r="AE149" s="169"/>
      <c r="AF149" s="169"/>
      <c r="AG149" s="77"/>
      <c r="AH149" s="77"/>
      <c r="AI149" s="169"/>
      <c r="AJ149" s="169"/>
      <c r="AK149" s="169"/>
      <c r="AL149" s="169"/>
      <c r="AM149" s="169"/>
      <c r="AN149" s="169"/>
      <c r="AO149" s="169"/>
      <c r="AP149" s="169"/>
    </row>
    <row r="150" ht="32.25" customHeight="1">
      <c r="A150" s="169"/>
      <c r="B150" s="169"/>
      <c r="C150" s="130"/>
      <c r="D150" s="165" t="s">
        <v>93</v>
      </c>
      <c r="E150" s="165" t="s">
        <v>85</v>
      </c>
      <c r="F150" s="165"/>
      <c r="G150" s="165"/>
      <c r="H150" s="165" t="s">
        <v>83</v>
      </c>
      <c r="I150" s="165">
        <v>168.0</v>
      </c>
      <c r="J150" s="166">
        <v>2900000.0</v>
      </c>
      <c r="K150" s="166">
        <v>2900000.0</v>
      </c>
      <c r="L150" s="161">
        <v>1786176.0</v>
      </c>
      <c r="M150" s="161">
        <v>1786176.0</v>
      </c>
      <c r="N150" s="163">
        <f t="shared" ref="N150:O150" si="246">J150+L150</f>
        <v>4686176</v>
      </c>
      <c r="O150" s="163">
        <f t="shared" si="246"/>
        <v>4686176</v>
      </c>
      <c r="P150" s="169"/>
      <c r="Q150" s="175">
        <v>2900000.0</v>
      </c>
      <c r="R150" s="175">
        <v>2900000.0</v>
      </c>
      <c r="S150" s="175">
        <v>1786176.0</v>
      </c>
      <c r="T150" s="175">
        <v>1786176.0</v>
      </c>
      <c r="U150" s="175">
        <v>4686176.0</v>
      </c>
      <c r="V150" s="175">
        <v>4686176.0</v>
      </c>
      <c r="W150" s="164">
        <f t="shared" ref="W150:AB150" si="247">+J150-Q150</f>
        <v>0</v>
      </c>
      <c r="X150" s="164">
        <f t="shared" si="247"/>
        <v>0</v>
      </c>
      <c r="Y150" s="164">
        <f t="shared" si="247"/>
        <v>0</v>
      </c>
      <c r="Z150" s="164">
        <f t="shared" si="247"/>
        <v>0</v>
      </c>
      <c r="AA150" s="164">
        <f t="shared" si="247"/>
        <v>0</v>
      </c>
      <c r="AB150" s="164">
        <f t="shared" si="247"/>
        <v>0</v>
      </c>
      <c r="AC150" s="169"/>
      <c r="AD150" s="169"/>
      <c r="AE150" s="169"/>
      <c r="AF150" s="169"/>
      <c r="AG150" s="77"/>
      <c r="AH150" s="77"/>
      <c r="AI150" s="169"/>
      <c r="AJ150" s="169"/>
      <c r="AK150" s="169"/>
      <c r="AL150" s="169"/>
      <c r="AM150" s="169"/>
      <c r="AN150" s="169"/>
      <c r="AO150" s="169"/>
      <c r="AP150" s="169"/>
    </row>
    <row r="151" ht="32.25" customHeight="1">
      <c r="A151" s="169"/>
      <c r="B151" s="169"/>
      <c r="C151" s="130"/>
      <c r="D151" s="165" t="s">
        <v>83</v>
      </c>
      <c r="E151" s="165" t="s">
        <v>93</v>
      </c>
      <c r="F151" s="165"/>
      <c r="G151" s="165"/>
      <c r="H151" s="165"/>
      <c r="I151" s="165">
        <v>144.0</v>
      </c>
      <c r="J151" s="166">
        <v>2650000.0</v>
      </c>
      <c r="K151" s="166">
        <v>2650000.0</v>
      </c>
      <c r="L151" s="161">
        <v>1531008.0</v>
      </c>
      <c r="M151" s="161">
        <v>1531008.0</v>
      </c>
      <c r="N151" s="163">
        <f t="shared" ref="N151:O151" si="248">J151+L151</f>
        <v>4181008</v>
      </c>
      <c r="O151" s="163">
        <f t="shared" si="248"/>
        <v>4181008</v>
      </c>
      <c r="P151" s="169"/>
      <c r="Q151" s="175">
        <v>2650000.0</v>
      </c>
      <c r="R151" s="175">
        <v>2650000.0</v>
      </c>
      <c r="S151" s="175">
        <v>1531007.9999999998</v>
      </c>
      <c r="T151" s="175">
        <v>1531007.9999999998</v>
      </c>
      <c r="U151" s="175">
        <v>4181008.0</v>
      </c>
      <c r="V151" s="175">
        <v>4181008.0</v>
      </c>
      <c r="W151" s="164">
        <f t="shared" ref="W151:AB151" si="249">+J151-Q151</f>
        <v>0</v>
      </c>
      <c r="X151" s="164">
        <f t="shared" si="249"/>
        <v>0</v>
      </c>
      <c r="Y151" s="164">
        <f t="shared" si="249"/>
        <v>0.0000000002328306437</v>
      </c>
      <c r="Z151" s="164">
        <f t="shared" si="249"/>
        <v>0.0000000002328306437</v>
      </c>
      <c r="AA151" s="164">
        <f t="shared" si="249"/>
        <v>0</v>
      </c>
      <c r="AB151" s="164">
        <f t="shared" si="249"/>
        <v>0</v>
      </c>
      <c r="AC151" s="169"/>
      <c r="AD151" s="169"/>
      <c r="AE151" s="169"/>
      <c r="AF151" s="169"/>
      <c r="AG151" s="77"/>
      <c r="AH151" s="77"/>
      <c r="AI151" s="169"/>
      <c r="AJ151" s="169"/>
      <c r="AK151" s="169"/>
      <c r="AL151" s="169"/>
      <c r="AM151" s="169"/>
      <c r="AN151" s="169"/>
      <c r="AO151" s="169"/>
      <c r="AP151" s="169"/>
    </row>
    <row r="152" ht="32.25" customHeight="1">
      <c r="A152" s="169"/>
      <c r="B152" s="169"/>
      <c r="C152" s="130"/>
      <c r="D152" s="165" t="s">
        <v>93</v>
      </c>
      <c r="E152" s="165" t="s">
        <v>86</v>
      </c>
      <c r="F152" s="165"/>
      <c r="G152" s="165"/>
      <c r="H152" s="165" t="s">
        <v>83</v>
      </c>
      <c r="I152" s="165">
        <v>177.0</v>
      </c>
      <c r="J152" s="166">
        <v>2930000.0</v>
      </c>
      <c r="K152" s="166">
        <v>2930000.0</v>
      </c>
      <c r="L152" s="161">
        <v>1881864.0</v>
      </c>
      <c r="M152" s="161">
        <v>1881864.0</v>
      </c>
      <c r="N152" s="163">
        <f t="shared" ref="N152:O152" si="250">J152+L152</f>
        <v>4811864</v>
      </c>
      <c r="O152" s="163">
        <f t="shared" si="250"/>
        <v>4811864</v>
      </c>
      <c r="P152" s="169"/>
      <c r="Q152" s="175">
        <v>2930000.0</v>
      </c>
      <c r="R152" s="175">
        <v>2930000.0</v>
      </c>
      <c r="S152" s="175">
        <v>1881864.0</v>
      </c>
      <c r="T152" s="175">
        <v>1881864.0</v>
      </c>
      <c r="U152" s="175">
        <v>4811864.0</v>
      </c>
      <c r="V152" s="175">
        <v>4811864.0</v>
      </c>
      <c r="W152" s="164">
        <f t="shared" ref="W152:AB152" si="251">+J152-Q152</f>
        <v>0</v>
      </c>
      <c r="X152" s="164">
        <f t="shared" si="251"/>
        <v>0</v>
      </c>
      <c r="Y152" s="164">
        <f t="shared" si="251"/>
        <v>0</v>
      </c>
      <c r="Z152" s="164">
        <f t="shared" si="251"/>
        <v>0</v>
      </c>
      <c r="AA152" s="164">
        <f t="shared" si="251"/>
        <v>0</v>
      </c>
      <c r="AB152" s="164">
        <f t="shared" si="251"/>
        <v>0</v>
      </c>
      <c r="AC152" s="169"/>
      <c r="AD152" s="169"/>
      <c r="AE152" s="169"/>
      <c r="AF152" s="169"/>
      <c r="AG152" s="77"/>
      <c r="AH152" s="77"/>
      <c r="AI152" s="169"/>
      <c r="AJ152" s="169"/>
      <c r="AK152" s="169"/>
      <c r="AL152" s="169"/>
      <c r="AM152" s="169"/>
      <c r="AN152" s="169"/>
      <c r="AO152" s="169"/>
      <c r="AP152" s="169"/>
    </row>
    <row r="153" ht="32.25" customHeight="1">
      <c r="A153" s="169"/>
      <c r="B153" s="169"/>
      <c r="C153" s="130"/>
      <c r="D153" s="165" t="s">
        <v>83</v>
      </c>
      <c r="E153" s="165" t="s">
        <v>94</v>
      </c>
      <c r="F153" s="165"/>
      <c r="G153" s="165"/>
      <c r="H153" s="165"/>
      <c r="I153" s="165">
        <v>133.0</v>
      </c>
      <c r="J153" s="166">
        <v>2560000.0</v>
      </c>
      <c r="K153" s="166">
        <v>2560000.0</v>
      </c>
      <c r="L153" s="161">
        <v>1414056.0</v>
      </c>
      <c r="M153" s="161">
        <v>1414056.0</v>
      </c>
      <c r="N153" s="163">
        <f t="shared" ref="N153:O153" si="252">J153+L153</f>
        <v>3974056</v>
      </c>
      <c r="O153" s="163">
        <f t="shared" si="252"/>
        <v>3974056</v>
      </c>
      <c r="P153" s="169"/>
      <c r="Q153" s="175">
        <v>2560000.0</v>
      </c>
      <c r="R153" s="175">
        <v>2560000.0</v>
      </c>
      <c r="S153" s="175">
        <v>1414056.0</v>
      </c>
      <c r="T153" s="175">
        <v>1414056.0</v>
      </c>
      <c r="U153" s="175">
        <v>3974056.0</v>
      </c>
      <c r="V153" s="175">
        <v>3974056.0</v>
      </c>
      <c r="W153" s="164">
        <f t="shared" ref="W153:AB153" si="253">+J153-Q153</f>
        <v>0</v>
      </c>
      <c r="X153" s="164">
        <f t="shared" si="253"/>
        <v>0</v>
      </c>
      <c r="Y153" s="164">
        <f t="shared" si="253"/>
        <v>0</v>
      </c>
      <c r="Z153" s="164">
        <f t="shared" si="253"/>
        <v>0</v>
      </c>
      <c r="AA153" s="164">
        <f t="shared" si="253"/>
        <v>0</v>
      </c>
      <c r="AB153" s="164">
        <f t="shared" si="253"/>
        <v>0</v>
      </c>
      <c r="AC153" s="169"/>
      <c r="AD153" s="169"/>
      <c r="AE153" s="169"/>
      <c r="AF153" s="169"/>
      <c r="AG153" s="77"/>
      <c r="AH153" s="77"/>
      <c r="AI153" s="169"/>
      <c r="AJ153" s="169"/>
      <c r="AK153" s="169"/>
      <c r="AL153" s="169"/>
      <c r="AM153" s="169"/>
      <c r="AN153" s="169"/>
      <c r="AO153" s="169"/>
      <c r="AP153" s="169"/>
    </row>
    <row r="154" ht="32.25" customHeight="1">
      <c r="A154" s="169"/>
      <c r="B154" s="169"/>
      <c r="C154" s="130"/>
      <c r="D154" s="165" t="s">
        <v>94</v>
      </c>
      <c r="E154" s="165" t="s">
        <v>84</v>
      </c>
      <c r="F154" s="165"/>
      <c r="G154" s="165"/>
      <c r="H154" s="165" t="s">
        <v>83</v>
      </c>
      <c r="I154" s="165">
        <v>179.0</v>
      </c>
      <c r="J154" s="166">
        <v>2880000.0</v>
      </c>
      <c r="K154" s="166">
        <v>2880000.0</v>
      </c>
      <c r="L154" s="161">
        <v>1903128.0</v>
      </c>
      <c r="M154" s="161">
        <v>1903128.0</v>
      </c>
      <c r="N154" s="163">
        <f t="shared" ref="N154:O154" si="254">J154+L154</f>
        <v>4783128</v>
      </c>
      <c r="O154" s="163">
        <f t="shared" si="254"/>
        <v>4783128</v>
      </c>
      <c r="P154" s="169"/>
      <c r="Q154" s="175">
        <v>2880000.0</v>
      </c>
      <c r="R154" s="175">
        <v>2880000.0</v>
      </c>
      <c r="S154" s="175">
        <v>1903127.9999999998</v>
      </c>
      <c r="T154" s="175">
        <v>1903127.9999999998</v>
      </c>
      <c r="U154" s="175">
        <v>4783128.0</v>
      </c>
      <c r="V154" s="175">
        <v>4783128.0</v>
      </c>
      <c r="W154" s="164">
        <f t="shared" ref="W154:AB154" si="255">+J154-Q154</f>
        <v>0</v>
      </c>
      <c r="X154" s="164">
        <f t="shared" si="255"/>
        <v>0</v>
      </c>
      <c r="Y154" s="164">
        <f t="shared" si="255"/>
        <v>0.0000000002328306437</v>
      </c>
      <c r="Z154" s="164">
        <f t="shared" si="255"/>
        <v>0.0000000002328306437</v>
      </c>
      <c r="AA154" s="164">
        <f t="shared" si="255"/>
        <v>0</v>
      </c>
      <c r="AB154" s="164">
        <f t="shared" si="255"/>
        <v>0</v>
      </c>
      <c r="AC154" s="169"/>
      <c r="AD154" s="169"/>
      <c r="AE154" s="169"/>
      <c r="AF154" s="169"/>
      <c r="AG154" s="77"/>
      <c r="AH154" s="77"/>
      <c r="AI154" s="169"/>
      <c r="AJ154" s="169"/>
      <c r="AK154" s="169"/>
      <c r="AL154" s="169"/>
      <c r="AM154" s="169"/>
      <c r="AN154" s="169"/>
      <c r="AO154" s="169"/>
      <c r="AP154" s="169"/>
    </row>
    <row r="155" ht="32.25" customHeight="1">
      <c r="A155" s="169"/>
      <c r="B155" s="169"/>
      <c r="C155" s="130"/>
      <c r="D155" s="165" t="s">
        <v>83</v>
      </c>
      <c r="E155" s="165" t="s">
        <v>94</v>
      </c>
      <c r="F155" s="165"/>
      <c r="G155" s="165"/>
      <c r="H155" s="165"/>
      <c r="I155" s="165">
        <v>133.0</v>
      </c>
      <c r="J155" s="166">
        <v>2560000.0</v>
      </c>
      <c r="K155" s="166">
        <v>2560000.0</v>
      </c>
      <c r="L155" s="161">
        <v>1414056.0</v>
      </c>
      <c r="M155" s="161">
        <v>1414056.0</v>
      </c>
      <c r="N155" s="163">
        <f t="shared" ref="N155:O155" si="256">J155+L155</f>
        <v>3974056</v>
      </c>
      <c r="O155" s="163">
        <f t="shared" si="256"/>
        <v>3974056</v>
      </c>
      <c r="P155" s="169"/>
      <c r="Q155" s="175">
        <v>2560000.0</v>
      </c>
      <c r="R155" s="175">
        <v>2560000.0</v>
      </c>
      <c r="S155" s="175">
        <v>1414056.0</v>
      </c>
      <c r="T155" s="175">
        <v>1414056.0</v>
      </c>
      <c r="U155" s="175">
        <v>3974056.0</v>
      </c>
      <c r="V155" s="175">
        <v>3974056.0</v>
      </c>
      <c r="W155" s="164">
        <f t="shared" ref="W155:AB155" si="257">+J155-Q155</f>
        <v>0</v>
      </c>
      <c r="X155" s="164">
        <f t="shared" si="257"/>
        <v>0</v>
      </c>
      <c r="Y155" s="164">
        <f t="shared" si="257"/>
        <v>0</v>
      </c>
      <c r="Z155" s="164">
        <f t="shared" si="257"/>
        <v>0</v>
      </c>
      <c r="AA155" s="164">
        <f t="shared" si="257"/>
        <v>0</v>
      </c>
      <c r="AB155" s="164">
        <f t="shared" si="257"/>
        <v>0</v>
      </c>
      <c r="AC155" s="169"/>
      <c r="AD155" s="169"/>
      <c r="AE155" s="169"/>
      <c r="AF155" s="169"/>
      <c r="AG155" s="77"/>
      <c r="AH155" s="77"/>
      <c r="AI155" s="169"/>
      <c r="AJ155" s="169"/>
      <c r="AK155" s="169"/>
      <c r="AL155" s="169"/>
      <c r="AM155" s="169"/>
      <c r="AN155" s="169"/>
      <c r="AO155" s="169"/>
      <c r="AP155" s="169"/>
    </row>
    <row r="156" ht="32.25" customHeight="1">
      <c r="A156" s="169"/>
      <c r="B156" s="169"/>
      <c r="C156" s="130"/>
      <c r="D156" s="165" t="s">
        <v>94</v>
      </c>
      <c r="E156" s="165" t="s">
        <v>85</v>
      </c>
      <c r="F156" s="165"/>
      <c r="G156" s="165"/>
      <c r="H156" s="165" t="s">
        <v>83</v>
      </c>
      <c r="I156" s="165">
        <v>133.0</v>
      </c>
      <c r="J156" s="166">
        <v>2560000.0</v>
      </c>
      <c r="K156" s="166">
        <v>2560000.0</v>
      </c>
      <c r="L156" s="161">
        <v>1414056.0</v>
      </c>
      <c r="M156" s="161">
        <v>1414056.0</v>
      </c>
      <c r="N156" s="163">
        <f t="shared" ref="N156:O156" si="258">J156+L156</f>
        <v>3974056</v>
      </c>
      <c r="O156" s="163">
        <f t="shared" si="258"/>
        <v>3974056</v>
      </c>
      <c r="P156" s="169"/>
      <c r="Q156" s="175">
        <v>2560000.0</v>
      </c>
      <c r="R156" s="175">
        <v>2560000.0</v>
      </c>
      <c r="S156" s="175">
        <v>1414056.0</v>
      </c>
      <c r="T156" s="175">
        <v>1414056.0</v>
      </c>
      <c r="U156" s="175">
        <v>3974056.0</v>
      </c>
      <c r="V156" s="175">
        <v>3974056.0</v>
      </c>
      <c r="W156" s="164">
        <f t="shared" ref="W156:AB156" si="259">+J156-Q156</f>
        <v>0</v>
      </c>
      <c r="X156" s="164">
        <f t="shared" si="259"/>
        <v>0</v>
      </c>
      <c r="Y156" s="164">
        <f t="shared" si="259"/>
        <v>0</v>
      </c>
      <c r="Z156" s="164">
        <f t="shared" si="259"/>
        <v>0</v>
      </c>
      <c r="AA156" s="164">
        <f t="shared" si="259"/>
        <v>0</v>
      </c>
      <c r="AB156" s="164">
        <f t="shared" si="259"/>
        <v>0</v>
      </c>
      <c r="AC156" s="169"/>
      <c r="AD156" s="169"/>
      <c r="AE156" s="169"/>
      <c r="AF156" s="169"/>
      <c r="AG156" s="77"/>
      <c r="AH156" s="77"/>
      <c r="AI156" s="169"/>
      <c r="AJ156" s="169"/>
      <c r="AK156" s="169"/>
      <c r="AL156" s="169"/>
      <c r="AM156" s="169"/>
      <c r="AN156" s="169"/>
      <c r="AO156" s="169"/>
      <c r="AP156" s="169"/>
    </row>
    <row r="157" ht="32.25" customHeight="1">
      <c r="A157" s="169"/>
      <c r="B157" s="169"/>
      <c r="C157" s="130"/>
      <c r="D157" s="165" t="s">
        <v>83</v>
      </c>
      <c r="E157" s="165" t="s">
        <v>94</v>
      </c>
      <c r="F157" s="165"/>
      <c r="G157" s="165"/>
      <c r="H157" s="165"/>
      <c r="I157" s="165">
        <v>133.0</v>
      </c>
      <c r="J157" s="166">
        <v>2560000.0</v>
      </c>
      <c r="K157" s="166">
        <v>2560000.0</v>
      </c>
      <c r="L157" s="161">
        <v>1414056.0</v>
      </c>
      <c r="M157" s="161">
        <v>1414056.0</v>
      </c>
      <c r="N157" s="163">
        <f t="shared" ref="N157:O157" si="260">J157+L157</f>
        <v>3974056</v>
      </c>
      <c r="O157" s="163">
        <f t="shared" si="260"/>
        <v>3974056</v>
      </c>
      <c r="P157" s="169"/>
      <c r="Q157" s="175">
        <v>2560000.0</v>
      </c>
      <c r="R157" s="175">
        <v>2560000.0</v>
      </c>
      <c r="S157" s="175">
        <v>1414056.0</v>
      </c>
      <c r="T157" s="175">
        <v>1414056.0</v>
      </c>
      <c r="U157" s="175">
        <v>3974056.0</v>
      </c>
      <c r="V157" s="175">
        <v>3974056.0</v>
      </c>
      <c r="W157" s="164">
        <f t="shared" ref="W157:AB157" si="261">+J157-Q157</f>
        <v>0</v>
      </c>
      <c r="X157" s="164">
        <f t="shared" si="261"/>
        <v>0</v>
      </c>
      <c r="Y157" s="164">
        <f t="shared" si="261"/>
        <v>0</v>
      </c>
      <c r="Z157" s="164">
        <f t="shared" si="261"/>
        <v>0</v>
      </c>
      <c r="AA157" s="164">
        <f t="shared" si="261"/>
        <v>0</v>
      </c>
      <c r="AB157" s="164">
        <f t="shared" si="261"/>
        <v>0</v>
      </c>
      <c r="AC157" s="169"/>
      <c r="AD157" s="169"/>
      <c r="AE157" s="169"/>
      <c r="AF157" s="169"/>
      <c r="AG157" s="77"/>
      <c r="AH157" s="77"/>
      <c r="AI157" s="169"/>
      <c r="AJ157" s="169"/>
      <c r="AK157" s="169"/>
      <c r="AL157" s="169"/>
      <c r="AM157" s="169"/>
      <c r="AN157" s="169"/>
      <c r="AO157" s="169"/>
      <c r="AP157" s="169"/>
    </row>
    <row r="158" ht="32.25" customHeight="1">
      <c r="A158" s="169"/>
      <c r="B158" s="169"/>
      <c r="C158" s="130"/>
      <c r="D158" s="165" t="s">
        <v>94</v>
      </c>
      <c r="E158" s="165" t="s">
        <v>86</v>
      </c>
      <c r="F158" s="165"/>
      <c r="G158" s="165"/>
      <c r="H158" s="165" t="s">
        <v>83</v>
      </c>
      <c r="I158" s="165">
        <v>147.0</v>
      </c>
      <c r="J158" s="166">
        <v>2770000.0</v>
      </c>
      <c r="K158" s="166">
        <v>2770000.0</v>
      </c>
      <c r="L158" s="161">
        <v>1562904.0</v>
      </c>
      <c r="M158" s="161">
        <v>1562904.0</v>
      </c>
      <c r="N158" s="163">
        <f t="shared" ref="N158:O158" si="262">J158+L158</f>
        <v>4332904</v>
      </c>
      <c r="O158" s="163">
        <f t="shared" si="262"/>
        <v>4332904</v>
      </c>
      <c r="P158" s="169"/>
      <c r="Q158" s="175">
        <v>2770000.0</v>
      </c>
      <c r="R158" s="175">
        <v>2770000.0</v>
      </c>
      <c r="S158" s="175">
        <v>1562904.0</v>
      </c>
      <c r="T158" s="175">
        <v>1562904.0</v>
      </c>
      <c r="U158" s="175">
        <v>4332904.0</v>
      </c>
      <c r="V158" s="175">
        <v>4332904.0</v>
      </c>
      <c r="W158" s="164">
        <f t="shared" ref="W158:AB158" si="263">+J158-Q158</f>
        <v>0</v>
      </c>
      <c r="X158" s="164">
        <f t="shared" si="263"/>
        <v>0</v>
      </c>
      <c r="Y158" s="164">
        <f t="shared" si="263"/>
        <v>0</v>
      </c>
      <c r="Z158" s="164">
        <f t="shared" si="263"/>
        <v>0</v>
      </c>
      <c r="AA158" s="164">
        <f t="shared" si="263"/>
        <v>0</v>
      </c>
      <c r="AB158" s="164">
        <f t="shared" si="263"/>
        <v>0</v>
      </c>
      <c r="AC158" s="169"/>
      <c r="AD158" s="169"/>
      <c r="AE158" s="169"/>
      <c r="AF158" s="169"/>
      <c r="AG158" s="77"/>
      <c r="AH158" s="77"/>
      <c r="AI158" s="169"/>
      <c r="AJ158" s="169"/>
      <c r="AK158" s="169"/>
      <c r="AL158" s="169"/>
      <c r="AM158" s="169"/>
      <c r="AN158" s="169"/>
      <c r="AO158" s="169"/>
      <c r="AP158" s="169"/>
    </row>
    <row r="159" ht="32.25" customHeight="1">
      <c r="A159" s="169"/>
      <c r="B159" s="169"/>
      <c r="C159" s="130"/>
      <c r="D159" s="165" t="s">
        <v>83</v>
      </c>
      <c r="E159" s="165" t="s">
        <v>95</v>
      </c>
      <c r="F159" s="165"/>
      <c r="G159" s="165"/>
      <c r="H159" s="165"/>
      <c r="I159" s="165">
        <v>122.0</v>
      </c>
      <c r="J159" s="166">
        <v>2520000.0</v>
      </c>
      <c r="K159" s="166">
        <v>2520000.0</v>
      </c>
      <c r="L159" s="161">
        <v>1297104.0</v>
      </c>
      <c r="M159" s="161">
        <v>1297104.0</v>
      </c>
      <c r="N159" s="163">
        <f t="shared" ref="N159:O159" si="264">J159+L159</f>
        <v>3817104</v>
      </c>
      <c r="O159" s="163">
        <f t="shared" si="264"/>
        <v>3817104</v>
      </c>
      <c r="P159" s="169"/>
      <c r="Q159" s="175">
        <v>2520000.0</v>
      </c>
      <c r="R159" s="175">
        <v>2520000.0</v>
      </c>
      <c r="S159" s="175">
        <v>1297104.0</v>
      </c>
      <c r="T159" s="175">
        <v>1297104.0</v>
      </c>
      <c r="U159" s="175">
        <v>3817104.0</v>
      </c>
      <c r="V159" s="175">
        <v>3817104.0</v>
      </c>
      <c r="W159" s="164">
        <f t="shared" ref="W159:AB159" si="265">+J159-Q159</f>
        <v>0</v>
      </c>
      <c r="X159" s="164">
        <f t="shared" si="265"/>
        <v>0</v>
      </c>
      <c r="Y159" s="164">
        <f t="shared" si="265"/>
        <v>0</v>
      </c>
      <c r="Z159" s="164">
        <f t="shared" si="265"/>
        <v>0</v>
      </c>
      <c r="AA159" s="164">
        <f t="shared" si="265"/>
        <v>0</v>
      </c>
      <c r="AB159" s="164">
        <f t="shared" si="265"/>
        <v>0</v>
      </c>
      <c r="AC159" s="169"/>
      <c r="AD159" s="169"/>
      <c r="AE159" s="169"/>
      <c r="AF159" s="169"/>
      <c r="AG159" s="77"/>
      <c r="AH159" s="77"/>
      <c r="AI159" s="169"/>
      <c r="AJ159" s="169"/>
      <c r="AK159" s="169"/>
      <c r="AL159" s="169"/>
      <c r="AM159" s="169"/>
      <c r="AN159" s="169"/>
      <c r="AO159" s="169"/>
      <c r="AP159" s="169"/>
    </row>
    <row r="160" ht="32.25" customHeight="1">
      <c r="A160" s="169"/>
      <c r="B160" s="169"/>
      <c r="C160" s="130"/>
      <c r="D160" s="165" t="s">
        <v>95</v>
      </c>
      <c r="E160" s="165" t="s">
        <v>84</v>
      </c>
      <c r="F160" s="165"/>
      <c r="G160" s="165"/>
      <c r="H160" s="165" t="s">
        <v>83</v>
      </c>
      <c r="I160" s="165">
        <v>199.0</v>
      </c>
      <c r="J160" s="166">
        <v>2960000.0</v>
      </c>
      <c r="K160" s="166">
        <v>2960000.0</v>
      </c>
      <c r="L160" s="161">
        <v>2115768.0</v>
      </c>
      <c r="M160" s="161">
        <v>2115768.0</v>
      </c>
      <c r="N160" s="163">
        <f t="shared" ref="N160:O160" si="266">J160+L160</f>
        <v>5075768</v>
      </c>
      <c r="O160" s="163">
        <f t="shared" si="266"/>
        <v>5075768</v>
      </c>
      <c r="P160" s="169"/>
      <c r="Q160" s="175">
        <v>2960000.0</v>
      </c>
      <c r="R160" s="175">
        <v>2960000.0</v>
      </c>
      <c r="S160" s="175">
        <v>2115768.0</v>
      </c>
      <c r="T160" s="175">
        <v>2115768.0</v>
      </c>
      <c r="U160" s="175">
        <v>5075768.0</v>
      </c>
      <c r="V160" s="175">
        <v>5075768.0</v>
      </c>
      <c r="W160" s="164">
        <f t="shared" ref="W160:AB160" si="267">+J160-Q160</f>
        <v>0</v>
      </c>
      <c r="X160" s="164">
        <f t="shared" si="267"/>
        <v>0</v>
      </c>
      <c r="Y160" s="164">
        <f t="shared" si="267"/>
        <v>0</v>
      </c>
      <c r="Z160" s="164">
        <f t="shared" si="267"/>
        <v>0</v>
      </c>
      <c r="AA160" s="164">
        <f t="shared" si="267"/>
        <v>0</v>
      </c>
      <c r="AB160" s="164">
        <f t="shared" si="267"/>
        <v>0</v>
      </c>
      <c r="AC160" s="169"/>
      <c r="AD160" s="169"/>
      <c r="AE160" s="169"/>
      <c r="AF160" s="169"/>
      <c r="AG160" s="77"/>
      <c r="AH160" s="77"/>
      <c r="AI160" s="169"/>
      <c r="AJ160" s="169"/>
      <c r="AK160" s="169"/>
      <c r="AL160" s="169"/>
      <c r="AM160" s="169"/>
      <c r="AN160" s="169"/>
      <c r="AO160" s="169"/>
      <c r="AP160" s="169"/>
    </row>
    <row r="161" ht="32.25" customHeight="1">
      <c r="A161" s="169"/>
      <c r="B161" s="169"/>
      <c r="C161" s="130"/>
      <c r="D161" s="165" t="s">
        <v>83</v>
      </c>
      <c r="E161" s="165" t="s">
        <v>95</v>
      </c>
      <c r="F161" s="165"/>
      <c r="G161" s="165"/>
      <c r="H161" s="165"/>
      <c r="I161" s="165">
        <v>122.0</v>
      </c>
      <c r="J161" s="166">
        <v>2520000.0</v>
      </c>
      <c r="K161" s="166">
        <v>2520000.0</v>
      </c>
      <c r="L161" s="161">
        <v>1297104.0</v>
      </c>
      <c r="M161" s="161">
        <v>1297104.0</v>
      </c>
      <c r="N161" s="163">
        <f t="shared" ref="N161:O161" si="268">J161+L161</f>
        <v>3817104</v>
      </c>
      <c r="O161" s="163">
        <f t="shared" si="268"/>
        <v>3817104</v>
      </c>
      <c r="P161" s="169"/>
      <c r="Q161" s="175">
        <v>2520000.0</v>
      </c>
      <c r="R161" s="175">
        <v>2520000.0</v>
      </c>
      <c r="S161" s="175">
        <v>1297104.0</v>
      </c>
      <c r="T161" s="175">
        <v>1297104.0</v>
      </c>
      <c r="U161" s="175">
        <v>3817104.0</v>
      </c>
      <c r="V161" s="175">
        <v>3817104.0</v>
      </c>
      <c r="W161" s="164">
        <f t="shared" ref="W161:AB161" si="269">+J161-Q161</f>
        <v>0</v>
      </c>
      <c r="X161" s="164">
        <f t="shared" si="269"/>
        <v>0</v>
      </c>
      <c r="Y161" s="164">
        <f t="shared" si="269"/>
        <v>0</v>
      </c>
      <c r="Z161" s="164">
        <f t="shared" si="269"/>
        <v>0</v>
      </c>
      <c r="AA161" s="164">
        <f t="shared" si="269"/>
        <v>0</v>
      </c>
      <c r="AB161" s="164">
        <f t="shared" si="269"/>
        <v>0</v>
      </c>
      <c r="AC161" s="169"/>
      <c r="AD161" s="169"/>
      <c r="AE161" s="169"/>
      <c r="AF161" s="169"/>
      <c r="AG161" s="77"/>
      <c r="AH161" s="77"/>
      <c r="AI161" s="169"/>
      <c r="AJ161" s="169"/>
      <c r="AK161" s="169"/>
      <c r="AL161" s="169"/>
      <c r="AM161" s="169"/>
      <c r="AN161" s="169"/>
      <c r="AO161" s="169"/>
      <c r="AP161" s="169"/>
    </row>
    <row r="162" ht="32.25" customHeight="1">
      <c r="A162" s="169"/>
      <c r="B162" s="169"/>
      <c r="C162" s="130"/>
      <c r="D162" s="165" t="s">
        <v>95</v>
      </c>
      <c r="E162" s="165" t="s">
        <v>85</v>
      </c>
      <c r="F162" s="165"/>
      <c r="G162" s="165"/>
      <c r="H162" s="165" t="s">
        <v>83</v>
      </c>
      <c r="I162" s="165">
        <v>153.0</v>
      </c>
      <c r="J162" s="166">
        <v>2790000.0</v>
      </c>
      <c r="K162" s="166">
        <v>2790000.0</v>
      </c>
      <c r="L162" s="161">
        <v>1626696.0</v>
      </c>
      <c r="M162" s="161">
        <v>1626696.0</v>
      </c>
      <c r="N162" s="163">
        <f t="shared" ref="N162:O162" si="270">J162+L162</f>
        <v>4416696</v>
      </c>
      <c r="O162" s="163">
        <f t="shared" si="270"/>
        <v>4416696</v>
      </c>
      <c r="P162" s="169"/>
      <c r="Q162" s="175">
        <v>2790000.0</v>
      </c>
      <c r="R162" s="175">
        <v>2790000.0</v>
      </c>
      <c r="S162" s="175">
        <v>1626696.0</v>
      </c>
      <c r="T162" s="175">
        <v>1626696.0</v>
      </c>
      <c r="U162" s="175">
        <v>4416696.0</v>
      </c>
      <c r="V162" s="175">
        <v>4416696.0</v>
      </c>
      <c r="W162" s="164">
        <f t="shared" ref="W162:AB162" si="271">+J162-Q162</f>
        <v>0</v>
      </c>
      <c r="X162" s="164">
        <f t="shared" si="271"/>
        <v>0</v>
      </c>
      <c r="Y162" s="164">
        <f t="shared" si="271"/>
        <v>0</v>
      </c>
      <c r="Z162" s="164">
        <f t="shared" si="271"/>
        <v>0</v>
      </c>
      <c r="AA162" s="164">
        <f t="shared" si="271"/>
        <v>0</v>
      </c>
      <c r="AB162" s="164">
        <f t="shared" si="271"/>
        <v>0</v>
      </c>
      <c r="AC162" s="169"/>
      <c r="AD162" s="169"/>
      <c r="AE162" s="169"/>
      <c r="AF162" s="169"/>
      <c r="AG162" s="77"/>
      <c r="AH162" s="77"/>
      <c r="AI162" s="169"/>
      <c r="AJ162" s="169"/>
      <c r="AK162" s="169"/>
      <c r="AL162" s="169"/>
      <c r="AM162" s="169"/>
      <c r="AN162" s="169"/>
      <c r="AO162" s="169"/>
      <c r="AP162" s="169"/>
    </row>
    <row r="163" ht="32.25" customHeight="1">
      <c r="A163" s="169"/>
      <c r="B163" s="169"/>
      <c r="C163" s="130"/>
      <c r="D163" s="126" t="s">
        <v>83</v>
      </c>
      <c r="E163" s="126" t="s">
        <v>95</v>
      </c>
      <c r="F163" s="126"/>
      <c r="G163" s="126"/>
      <c r="H163" s="126"/>
      <c r="I163" s="126">
        <v>122.0</v>
      </c>
      <c r="J163" s="161">
        <v>2520000.0</v>
      </c>
      <c r="K163" s="161">
        <v>2520000.0</v>
      </c>
      <c r="L163" s="161">
        <v>1297104.0</v>
      </c>
      <c r="M163" s="161">
        <v>1297104.0</v>
      </c>
      <c r="N163" s="163">
        <f t="shared" ref="N163:O163" si="272">J163+L163</f>
        <v>3817104</v>
      </c>
      <c r="O163" s="163">
        <f t="shared" si="272"/>
        <v>3817104</v>
      </c>
      <c r="P163" s="169"/>
      <c r="Q163" s="175">
        <v>2520000.0</v>
      </c>
      <c r="R163" s="175">
        <v>2520000.0</v>
      </c>
      <c r="S163" s="175">
        <v>1297104.0</v>
      </c>
      <c r="T163" s="175">
        <v>1297104.0</v>
      </c>
      <c r="U163" s="175">
        <v>3817104.0</v>
      </c>
      <c r="V163" s="175">
        <v>3817104.0</v>
      </c>
      <c r="W163" s="164">
        <f t="shared" ref="W163:AB163" si="273">+J163-Q163</f>
        <v>0</v>
      </c>
      <c r="X163" s="164">
        <f t="shared" si="273"/>
        <v>0</v>
      </c>
      <c r="Y163" s="164">
        <f t="shared" si="273"/>
        <v>0</v>
      </c>
      <c r="Z163" s="164">
        <f t="shared" si="273"/>
        <v>0</v>
      </c>
      <c r="AA163" s="164">
        <f t="shared" si="273"/>
        <v>0</v>
      </c>
      <c r="AB163" s="164">
        <f t="shared" si="273"/>
        <v>0</v>
      </c>
      <c r="AC163" s="169"/>
      <c r="AD163" s="169"/>
      <c r="AE163" s="169"/>
      <c r="AF163" s="169"/>
      <c r="AG163" s="77"/>
      <c r="AH163" s="77"/>
      <c r="AI163" s="169"/>
      <c r="AJ163" s="169"/>
      <c r="AK163" s="169"/>
      <c r="AL163" s="169"/>
      <c r="AM163" s="169"/>
      <c r="AN163" s="169"/>
      <c r="AO163" s="169"/>
      <c r="AP163" s="169"/>
    </row>
    <row r="164" ht="32.25" customHeight="1">
      <c r="A164" s="169"/>
      <c r="B164" s="169"/>
      <c r="C164" s="118"/>
      <c r="D164" s="126" t="s">
        <v>95</v>
      </c>
      <c r="E164" s="126" t="s">
        <v>86</v>
      </c>
      <c r="F164" s="126"/>
      <c r="G164" s="126"/>
      <c r="H164" s="126" t="s">
        <v>83</v>
      </c>
      <c r="I164" s="126">
        <v>122.0</v>
      </c>
      <c r="J164" s="161">
        <v>2520000.0</v>
      </c>
      <c r="K164" s="161">
        <v>2520000.0</v>
      </c>
      <c r="L164" s="161">
        <v>1297104.0</v>
      </c>
      <c r="M164" s="161">
        <v>1297104.0</v>
      </c>
      <c r="N164" s="163">
        <f t="shared" ref="N164:O164" si="274">J164+L164</f>
        <v>3817104</v>
      </c>
      <c r="O164" s="163">
        <f t="shared" si="274"/>
        <v>3817104</v>
      </c>
      <c r="P164" s="169"/>
      <c r="Q164" s="175">
        <v>2520000.0</v>
      </c>
      <c r="R164" s="175">
        <v>2520000.0</v>
      </c>
      <c r="S164" s="175">
        <v>1297104.0</v>
      </c>
      <c r="T164" s="175">
        <v>1297104.0</v>
      </c>
      <c r="U164" s="175">
        <v>3817104.0</v>
      </c>
      <c r="V164" s="175">
        <v>3817104.0</v>
      </c>
      <c r="W164" s="164">
        <f t="shared" ref="W164:AB164" si="275">+J164-Q164</f>
        <v>0</v>
      </c>
      <c r="X164" s="164">
        <f t="shared" si="275"/>
        <v>0</v>
      </c>
      <c r="Y164" s="164">
        <f t="shared" si="275"/>
        <v>0</v>
      </c>
      <c r="Z164" s="164">
        <f t="shared" si="275"/>
        <v>0</v>
      </c>
      <c r="AA164" s="164">
        <f t="shared" si="275"/>
        <v>0</v>
      </c>
      <c r="AB164" s="164">
        <f t="shared" si="275"/>
        <v>0</v>
      </c>
      <c r="AC164" s="169"/>
      <c r="AD164" s="169"/>
      <c r="AE164" s="169"/>
      <c r="AF164" s="169"/>
      <c r="AG164" s="77"/>
      <c r="AH164" s="77"/>
      <c r="AI164" s="169"/>
      <c r="AJ164" s="169"/>
      <c r="AK164" s="169"/>
      <c r="AL164" s="169"/>
      <c r="AM164" s="169"/>
      <c r="AN164" s="169"/>
      <c r="AO164" s="169"/>
      <c r="AP164" s="169"/>
    </row>
    <row r="165" ht="32.25" customHeight="1">
      <c r="A165" s="169"/>
      <c r="B165" s="169"/>
      <c r="C165" s="167" t="s">
        <v>92</v>
      </c>
      <c r="D165" s="126" t="s">
        <v>90</v>
      </c>
      <c r="E165" s="126" t="s">
        <v>96</v>
      </c>
      <c r="F165" s="126"/>
      <c r="G165" s="126"/>
      <c r="H165" s="126"/>
      <c r="I165" s="126">
        <v>85.0</v>
      </c>
      <c r="J165" s="161">
        <v>1950000.0</v>
      </c>
      <c r="K165" s="161">
        <v>1950000.0</v>
      </c>
      <c r="L165" s="161">
        <v>903720.0</v>
      </c>
      <c r="M165" s="161">
        <v>903720.0</v>
      </c>
      <c r="N165" s="163">
        <f t="shared" ref="N165:O165" si="276">J165+L165</f>
        <v>2853720</v>
      </c>
      <c r="O165" s="163">
        <f t="shared" si="276"/>
        <v>2853720</v>
      </c>
      <c r="P165" s="169"/>
      <c r="Q165" s="175">
        <v>1950000.0</v>
      </c>
      <c r="R165" s="175">
        <v>1950000.0</v>
      </c>
      <c r="S165" s="175">
        <v>903720.0</v>
      </c>
      <c r="T165" s="175">
        <v>903720.0</v>
      </c>
      <c r="U165" s="175">
        <v>2853720.0</v>
      </c>
      <c r="V165" s="175">
        <v>2853720.0</v>
      </c>
      <c r="W165" s="164">
        <f t="shared" ref="W165:AB165" si="277">+J165-Q165</f>
        <v>0</v>
      </c>
      <c r="X165" s="164">
        <f t="shared" si="277"/>
        <v>0</v>
      </c>
      <c r="Y165" s="164">
        <f t="shared" si="277"/>
        <v>0</v>
      </c>
      <c r="Z165" s="164">
        <f t="shared" si="277"/>
        <v>0</v>
      </c>
      <c r="AA165" s="164">
        <f t="shared" si="277"/>
        <v>0</v>
      </c>
      <c r="AB165" s="164">
        <f t="shared" si="277"/>
        <v>0</v>
      </c>
      <c r="AC165" s="169"/>
      <c r="AD165" s="169"/>
      <c r="AE165" s="169"/>
      <c r="AF165" s="169"/>
      <c r="AG165" s="77"/>
      <c r="AH165" s="77"/>
      <c r="AI165" s="169"/>
      <c r="AJ165" s="169"/>
      <c r="AK165" s="169"/>
      <c r="AL165" s="169"/>
      <c r="AM165" s="169"/>
      <c r="AN165" s="169"/>
      <c r="AO165" s="169"/>
      <c r="AP165" s="169"/>
    </row>
    <row r="166" ht="32.25" customHeight="1">
      <c r="A166" s="169"/>
      <c r="B166" s="169"/>
      <c r="C166" s="130"/>
      <c r="D166" s="126" t="s">
        <v>96</v>
      </c>
      <c r="E166" s="126" t="s">
        <v>84</v>
      </c>
      <c r="F166" s="126"/>
      <c r="G166" s="126"/>
      <c r="H166" s="126" t="s">
        <v>83</v>
      </c>
      <c r="I166" s="126">
        <v>202.0</v>
      </c>
      <c r="J166" s="161">
        <v>3350000.0</v>
      </c>
      <c r="K166" s="161">
        <v>3350000.0</v>
      </c>
      <c r="L166" s="161">
        <v>2147664.0</v>
      </c>
      <c r="M166" s="161">
        <v>2147664.0</v>
      </c>
      <c r="N166" s="163">
        <f t="shared" ref="N166:O166" si="278">J166+L166</f>
        <v>5497664</v>
      </c>
      <c r="O166" s="163">
        <f t="shared" si="278"/>
        <v>5497664</v>
      </c>
      <c r="P166" s="169"/>
      <c r="Q166" s="175">
        <v>3350000.0</v>
      </c>
      <c r="R166" s="175">
        <v>3350000.0</v>
      </c>
      <c r="S166" s="175">
        <v>2147664.0</v>
      </c>
      <c r="T166" s="175">
        <v>2147664.0</v>
      </c>
      <c r="U166" s="175">
        <v>5497664.0</v>
      </c>
      <c r="V166" s="175">
        <v>5497664.0</v>
      </c>
      <c r="W166" s="164">
        <f t="shared" ref="W166:AB166" si="279">+J166-Q166</f>
        <v>0</v>
      </c>
      <c r="X166" s="164">
        <f t="shared" si="279"/>
        <v>0</v>
      </c>
      <c r="Y166" s="164">
        <f t="shared" si="279"/>
        <v>0</v>
      </c>
      <c r="Z166" s="164">
        <f t="shared" si="279"/>
        <v>0</v>
      </c>
      <c r="AA166" s="164">
        <f t="shared" si="279"/>
        <v>0</v>
      </c>
      <c r="AB166" s="164">
        <f t="shared" si="279"/>
        <v>0</v>
      </c>
      <c r="AC166" s="169"/>
      <c r="AD166" s="169"/>
      <c r="AE166" s="169"/>
      <c r="AF166" s="169"/>
      <c r="AG166" s="77"/>
      <c r="AH166" s="77"/>
      <c r="AI166" s="169"/>
      <c r="AJ166" s="169"/>
      <c r="AK166" s="169"/>
      <c r="AL166" s="169"/>
      <c r="AM166" s="169"/>
      <c r="AN166" s="169"/>
      <c r="AO166" s="169"/>
      <c r="AP166" s="169"/>
    </row>
    <row r="167" ht="32.25" customHeight="1">
      <c r="A167" s="169"/>
      <c r="B167" s="169"/>
      <c r="C167" s="130"/>
      <c r="D167" s="126" t="s">
        <v>90</v>
      </c>
      <c r="E167" s="126" t="s">
        <v>96</v>
      </c>
      <c r="F167" s="126"/>
      <c r="G167" s="126"/>
      <c r="H167" s="126"/>
      <c r="I167" s="126">
        <v>85.0</v>
      </c>
      <c r="J167" s="161">
        <v>1950000.0</v>
      </c>
      <c r="K167" s="161">
        <v>1950000.0</v>
      </c>
      <c r="L167" s="161">
        <v>903720.0</v>
      </c>
      <c r="M167" s="161">
        <v>903720.0</v>
      </c>
      <c r="N167" s="163">
        <f t="shared" ref="N167:O167" si="280">J167+L167</f>
        <v>2853720</v>
      </c>
      <c r="O167" s="163">
        <f t="shared" si="280"/>
        <v>2853720</v>
      </c>
      <c r="P167" s="169"/>
      <c r="Q167" s="175">
        <v>1950000.0</v>
      </c>
      <c r="R167" s="175">
        <v>1950000.0</v>
      </c>
      <c r="S167" s="175">
        <v>903720.0</v>
      </c>
      <c r="T167" s="175">
        <v>903720.0</v>
      </c>
      <c r="U167" s="175">
        <v>2853720.0</v>
      </c>
      <c r="V167" s="175">
        <v>2853720.0</v>
      </c>
      <c r="W167" s="164">
        <f t="shared" ref="W167:AB167" si="281">+J167-Q167</f>
        <v>0</v>
      </c>
      <c r="X167" s="164">
        <f t="shared" si="281"/>
        <v>0</v>
      </c>
      <c r="Y167" s="164">
        <f t="shared" si="281"/>
        <v>0</v>
      </c>
      <c r="Z167" s="164">
        <f t="shared" si="281"/>
        <v>0</v>
      </c>
      <c r="AA167" s="164">
        <f t="shared" si="281"/>
        <v>0</v>
      </c>
      <c r="AB167" s="164">
        <f t="shared" si="281"/>
        <v>0</v>
      </c>
      <c r="AC167" s="169"/>
      <c r="AD167" s="169"/>
      <c r="AE167" s="169"/>
      <c r="AF167" s="169"/>
      <c r="AG167" s="77"/>
      <c r="AH167" s="77"/>
      <c r="AI167" s="169"/>
      <c r="AJ167" s="169"/>
      <c r="AK167" s="169"/>
      <c r="AL167" s="169"/>
      <c r="AM167" s="169"/>
      <c r="AN167" s="169"/>
      <c r="AO167" s="169"/>
      <c r="AP167" s="169"/>
    </row>
    <row r="168" ht="32.25" customHeight="1">
      <c r="A168" s="169"/>
      <c r="B168" s="169"/>
      <c r="C168" s="130"/>
      <c r="D168" s="126" t="s">
        <v>96</v>
      </c>
      <c r="E168" s="126" t="s">
        <v>85</v>
      </c>
      <c r="F168" s="126"/>
      <c r="G168" s="126"/>
      <c r="H168" s="126" t="s">
        <v>83</v>
      </c>
      <c r="I168" s="126">
        <v>227.0</v>
      </c>
      <c r="J168" s="161">
        <v>3590000.0</v>
      </c>
      <c r="K168" s="161">
        <v>3590000.0</v>
      </c>
      <c r="L168" s="161">
        <v>2413464.0</v>
      </c>
      <c r="M168" s="161">
        <v>2413464.0</v>
      </c>
      <c r="N168" s="163">
        <f t="shared" ref="N168:O168" si="282">J168+L168</f>
        <v>6003464</v>
      </c>
      <c r="O168" s="163">
        <f t="shared" si="282"/>
        <v>6003464</v>
      </c>
      <c r="P168" s="169"/>
      <c r="Q168" s="175">
        <v>3590000.0</v>
      </c>
      <c r="R168" s="175">
        <v>3590000.0</v>
      </c>
      <c r="S168" s="175">
        <v>2413464.0</v>
      </c>
      <c r="T168" s="175">
        <v>2413464.0</v>
      </c>
      <c r="U168" s="175">
        <v>6003464.0</v>
      </c>
      <c r="V168" s="175">
        <v>6003464.0</v>
      </c>
      <c r="W168" s="164">
        <f t="shared" ref="W168:AB168" si="283">+J168-Q168</f>
        <v>0</v>
      </c>
      <c r="X168" s="164">
        <f t="shared" si="283"/>
        <v>0</v>
      </c>
      <c r="Y168" s="164">
        <f t="shared" si="283"/>
        <v>0</v>
      </c>
      <c r="Z168" s="164">
        <f t="shared" si="283"/>
        <v>0</v>
      </c>
      <c r="AA168" s="164">
        <f t="shared" si="283"/>
        <v>0</v>
      </c>
      <c r="AB168" s="164">
        <f t="shared" si="283"/>
        <v>0</v>
      </c>
      <c r="AC168" s="169"/>
      <c r="AD168" s="169"/>
      <c r="AE168" s="169"/>
      <c r="AF168" s="169"/>
      <c r="AG168" s="77"/>
      <c r="AH168" s="77"/>
      <c r="AI168" s="169"/>
      <c r="AJ168" s="169"/>
      <c r="AK168" s="169"/>
      <c r="AL168" s="169"/>
      <c r="AM168" s="169"/>
      <c r="AN168" s="169"/>
      <c r="AO168" s="169"/>
      <c r="AP168" s="169"/>
    </row>
    <row r="169" ht="32.25" customHeight="1">
      <c r="A169" s="169"/>
      <c r="B169" s="169"/>
      <c r="C169" s="130"/>
      <c r="D169" s="126" t="s">
        <v>90</v>
      </c>
      <c r="E169" s="126" t="s">
        <v>96</v>
      </c>
      <c r="F169" s="126"/>
      <c r="G169" s="126"/>
      <c r="H169" s="126"/>
      <c r="I169" s="126">
        <v>85.0</v>
      </c>
      <c r="J169" s="161">
        <v>1950000.0</v>
      </c>
      <c r="K169" s="161">
        <v>1950000.0</v>
      </c>
      <c r="L169" s="161">
        <v>903720.0</v>
      </c>
      <c r="M169" s="161">
        <v>903720.0</v>
      </c>
      <c r="N169" s="163">
        <f t="shared" ref="N169:O169" si="284">J169+L169</f>
        <v>2853720</v>
      </c>
      <c r="O169" s="163">
        <f t="shared" si="284"/>
        <v>2853720</v>
      </c>
      <c r="P169" s="169"/>
      <c r="Q169" s="175">
        <v>1950000.0</v>
      </c>
      <c r="R169" s="175">
        <v>1950000.0</v>
      </c>
      <c r="S169" s="175">
        <v>903720.0</v>
      </c>
      <c r="T169" s="175">
        <v>903720.0</v>
      </c>
      <c r="U169" s="175">
        <v>2853720.0</v>
      </c>
      <c r="V169" s="175">
        <v>2853720.0</v>
      </c>
      <c r="W169" s="164">
        <f t="shared" ref="W169:AB169" si="285">+J169-Q169</f>
        <v>0</v>
      </c>
      <c r="X169" s="164">
        <f t="shared" si="285"/>
        <v>0</v>
      </c>
      <c r="Y169" s="164">
        <f t="shared" si="285"/>
        <v>0</v>
      </c>
      <c r="Z169" s="164">
        <f t="shared" si="285"/>
        <v>0</v>
      </c>
      <c r="AA169" s="164">
        <f t="shared" si="285"/>
        <v>0</v>
      </c>
      <c r="AB169" s="164">
        <f t="shared" si="285"/>
        <v>0</v>
      </c>
      <c r="AC169" s="169"/>
      <c r="AD169" s="169"/>
      <c r="AE169" s="169"/>
      <c r="AF169" s="169"/>
      <c r="AG169" s="77"/>
      <c r="AH169" s="77"/>
      <c r="AI169" s="169"/>
      <c r="AJ169" s="169"/>
      <c r="AK169" s="169"/>
      <c r="AL169" s="169"/>
      <c r="AM169" s="169"/>
      <c r="AN169" s="169"/>
      <c r="AO169" s="169"/>
      <c r="AP169" s="169"/>
    </row>
    <row r="170" ht="32.25" customHeight="1">
      <c r="A170" s="169"/>
      <c r="B170" s="169"/>
      <c r="C170" s="130"/>
      <c r="D170" s="126" t="s">
        <v>96</v>
      </c>
      <c r="E170" s="126" t="s">
        <v>86</v>
      </c>
      <c r="F170" s="126"/>
      <c r="G170" s="126"/>
      <c r="H170" s="126" t="s">
        <v>83</v>
      </c>
      <c r="I170" s="126">
        <v>236.0</v>
      </c>
      <c r="J170" s="161">
        <v>3620000.0</v>
      </c>
      <c r="K170" s="161">
        <v>3620000.0</v>
      </c>
      <c r="L170" s="161">
        <v>2509152.0</v>
      </c>
      <c r="M170" s="161">
        <v>2509152.0</v>
      </c>
      <c r="N170" s="163">
        <f t="shared" ref="N170:O170" si="286">J170+L170</f>
        <v>6129152</v>
      </c>
      <c r="O170" s="163">
        <f t="shared" si="286"/>
        <v>6129152</v>
      </c>
      <c r="P170" s="169"/>
      <c r="Q170" s="175">
        <v>3620000.0</v>
      </c>
      <c r="R170" s="175">
        <v>3620000.0</v>
      </c>
      <c r="S170" s="175">
        <v>2509152.0</v>
      </c>
      <c r="T170" s="175">
        <v>2509152.0</v>
      </c>
      <c r="U170" s="175">
        <v>6129152.0</v>
      </c>
      <c r="V170" s="175">
        <v>6129152.0</v>
      </c>
      <c r="W170" s="164">
        <f t="shared" ref="W170:AB170" si="287">+J170-Q170</f>
        <v>0</v>
      </c>
      <c r="X170" s="164">
        <f t="shared" si="287"/>
        <v>0</v>
      </c>
      <c r="Y170" s="164">
        <f t="shared" si="287"/>
        <v>0</v>
      </c>
      <c r="Z170" s="164">
        <f t="shared" si="287"/>
        <v>0</v>
      </c>
      <c r="AA170" s="164">
        <f t="shared" si="287"/>
        <v>0</v>
      </c>
      <c r="AB170" s="164">
        <f t="shared" si="287"/>
        <v>0</v>
      </c>
      <c r="AC170" s="169"/>
      <c r="AD170" s="169"/>
      <c r="AE170" s="169"/>
      <c r="AF170" s="169"/>
      <c r="AG170" s="77"/>
      <c r="AH170" s="77"/>
      <c r="AI170" s="169"/>
      <c r="AJ170" s="169"/>
      <c r="AK170" s="169"/>
      <c r="AL170" s="169"/>
      <c r="AM170" s="169"/>
      <c r="AN170" s="169"/>
      <c r="AO170" s="169"/>
      <c r="AP170" s="169"/>
    </row>
    <row r="171" ht="32.25" customHeight="1">
      <c r="A171" s="169"/>
      <c r="B171" s="169"/>
      <c r="C171" s="130"/>
      <c r="D171" s="126" t="s">
        <v>90</v>
      </c>
      <c r="E171" s="126" t="s">
        <v>97</v>
      </c>
      <c r="F171" s="126"/>
      <c r="G171" s="126"/>
      <c r="H171" s="126"/>
      <c r="I171" s="126">
        <v>35.0</v>
      </c>
      <c r="J171" s="161">
        <v>1450000.0</v>
      </c>
      <c r="K171" s="161">
        <v>1450000.0</v>
      </c>
      <c r="L171" s="161">
        <v>372120.0</v>
      </c>
      <c r="M171" s="161">
        <v>372120.0</v>
      </c>
      <c r="N171" s="163">
        <f t="shared" ref="N171:O171" si="288">J171+L171</f>
        <v>1822120</v>
      </c>
      <c r="O171" s="163">
        <f t="shared" si="288"/>
        <v>1822120</v>
      </c>
      <c r="P171" s="169"/>
      <c r="Q171" s="175">
        <v>1450000.0</v>
      </c>
      <c r="R171" s="175">
        <v>1450000.0</v>
      </c>
      <c r="S171" s="175">
        <v>372120.0</v>
      </c>
      <c r="T171" s="175">
        <v>372120.0</v>
      </c>
      <c r="U171" s="175">
        <v>1822120.0</v>
      </c>
      <c r="V171" s="175">
        <v>1822120.0</v>
      </c>
      <c r="W171" s="164">
        <f t="shared" ref="W171:AB171" si="289">+J171-Q171</f>
        <v>0</v>
      </c>
      <c r="X171" s="164">
        <f t="shared" si="289"/>
        <v>0</v>
      </c>
      <c r="Y171" s="164">
        <f t="shared" si="289"/>
        <v>0</v>
      </c>
      <c r="Z171" s="164">
        <f t="shared" si="289"/>
        <v>0</v>
      </c>
      <c r="AA171" s="164">
        <f t="shared" si="289"/>
        <v>0</v>
      </c>
      <c r="AB171" s="164">
        <f t="shared" si="289"/>
        <v>0</v>
      </c>
      <c r="AC171" s="169"/>
      <c r="AD171" s="169"/>
      <c r="AE171" s="169"/>
      <c r="AF171" s="169"/>
      <c r="AG171" s="77"/>
      <c r="AH171" s="77"/>
      <c r="AI171" s="169"/>
      <c r="AJ171" s="169"/>
      <c r="AK171" s="169"/>
      <c r="AL171" s="169"/>
      <c r="AM171" s="169"/>
      <c r="AN171" s="169"/>
      <c r="AO171" s="169"/>
      <c r="AP171" s="169"/>
    </row>
    <row r="172" ht="32.25" customHeight="1">
      <c r="A172" s="169"/>
      <c r="B172" s="169"/>
      <c r="C172" s="130"/>
      <c r="D172" s="126" t="s">
        <v>97</v>
      </c>
      <c r="E172" s="126" t="s">
        <v>84</v>
      </c>
      <c r="F172" s="126"/>
      <c r="G172" s="126"/>
      <c r="H172" s="126" t="s">
        <v>83</v>
      </c>
      <c r="I172" s="126">
        <v>277.0</v>
      </c>
      <c r="J172" s="161">
        <v>3950000.0</v>
      </c>
      <c r="K172" s="161">
        <v>3950000.0</v>
      </c>
      <c r="L172" s="161">
        <v>2945064.0</v>
      </c>
      <c r="M172" s="161">
        <v>2945064.0</v>
      </c>
      <c r="N172" s="163">
        <f t="shared" ref="N172:O172" si="290">J172+L172</f>
        <v>6895064</v>
      </c>
      <c r="O172" s="163">
        <f t="shared" si="290"/>
        <v>6895064</v>
      </c>
      <c r="P172" s="169"/>
      <c r="Q172" s="175">
        <v>3950000.0</v>
      </c>
      <c r="R172" s="175">
        <v>3950000.0</v>
      </c>
      <c r="S172" s="175">
        <v>2945064.0</v>
      </c>
      <c r="T172" s="175">
        <v>2945064.0</v>
      </c>
      <c r="U172" s="175">
        <v>6895064.0</v>
      </c>
      <c r="V172" s="175">
        <v>6895064.0</v>
      </c>
      <c r="W172" s="164">
        <f t="shared" ref="W172:AB172" si="291">+J172-Q172</f>
        <v>0</v>
      </c>
      <c r="X172" s="164">
        <f t="shared" si="291"/>
        <v>0</v>
      </c>
      <c r="Y172" s="164">
        <f t="shared" si="291"/>
        <v>0</v>
      </c>
      <c r="Z172" s="164">
        <f t="shared" si="291"/>
        <v>0</v>
      </c>
      <c r="AA172" s="164">
        <f t="shared" si="291"/>
        <v>0</v>
      </c>
      <c r="AB172" s="164">
        <f t="shared" si="291"/>
        <v>0</v>
      </c>
      <c r="AC172" s="169"/>
      <c r="AD172" s="169"/>
      <c r="AE172" s="169"/>
      <c r="AF172" s="169"/>
      <c r="AG172" s="77"/>
      <c r="AH172" s="77"/>
      <c r="AI172" s="169"/>
      <c r="AJ172" s="169"/>
      <c r="AK172" s="169"/>
      <c r="AL172" s="169"/>
      <c r="AM172" s="169"/>
      <c r="AN172" s="169"/>
      <c r="AO172" s="169"/>
      <c r="AP172" s="169"/>
    </row>
    <row r="173" ht="32.25" customHeight="1">
      <c r="A173" s="169"/>
      <c r="B173" s="169"/>
      <c r="C173" s="130"/>
      <c r="D173" s="126" t="s">
        <v>90</v>
      </c>
      <c r="E173" s="126" t="s">
        <v>97</v>
      </c>
      <c r="F173" s="126"/>
      <c r="G173" s="126"/>
      <c r="H173" s="126"/>
      <c r="I173" s="126">
        <v>35.0</v>
      </c>
      <c r="J173" s="161">
        <v>1450000.0</v>
      </c>
      <c r="K173" s="161">
        <v>1450000.0</v>
      </c>
      <c r="L173" s="161">
        <v>372120.0</v>
      </c>
      <c r="M173" s="161">
        <v>372120.0</v>
      </c>
      <c r="N173" s="163">
        <f t="shared" ref="N173:O173" si="292">J173+L173</f>
        <v>1822120</v>
      </c>
      <c r="O173" s="163">
        <f t="shared" si="292"/>
        <v>1822120</v>
      </c>
      <c r="P173" s="169"/>
      <c r="Q173" s="175">
        <v>1450000.0</v>
      </c>
      <c r="R173" s="175">
        <v>1450000.0</v>
      </c>
      <c r="S173" s="175">
        <v>372120.0</v>
      </c>
      <c r="T173" s="175">
        <v>372120.0</v>
      </c>
      <c r="U173" s="175">
        <v>1822120.0</v>
      </c>
      <c r="V173" s="175">
        <v>1822120.0</v>
      </c>
      <c r="W173" s="164">
        <f t="shared" ref="W173:AB173" si="293">+J173-Q173</f>
        <v>0</v>
      </c>
      <c r="X173" s="164">
        <f t="shared" si="293"/>
        <v>0</v>
      </c>
      <c r="Y173" s="164">
        <f t="shared" si="293"/>
        <v>0</v>
      </c>
      <c r="Z173" s="164">
        <f t="shared" si="293"/>
        <v>0</v>
      </c>
      <c r="AA173" s="164">
        <f t="shared" si="293"/>
        <v>0</v>
      </c>
      <c r="AB173" s="164">
        <f t="shared" si="293"/>
        <v>0</v>
      </c>
      <c r="AC173" s="169"/>
      <c r="AD173" s="169"/>
      <c r="AE173" s="169"/>
      <c r="AF173" s="169"/>
      <c r="AG173" s="77"/>
      <c r="AH173" s="77"/>
      <c r="AI173" s="169"/>
      <c r="AJ173" s="169"/>
      <c r="AK173" s="169"/>
      <c r="AL173" s="169"/>
      <c r="AM173" s="169"/>
      <c r="AN173" s="169"/>
      <c r="AO173" s="169"/>
      <c r="AP173" s="169"/>
    </row>
    <row r="174" ht="32.25" customHeight="1">
      <c r="A174" s="169"/>
      <c r="B174" s="169"/>
      <c r="C174" s="130"/>
      <c r="D174" s="126" t="s">
        <v>97</v>
      </c>
      <c r="E174" s="126" t="s">
        <v>85</v>
      </c>
      <c r="F174" s="126"/>
      <c r="G174" s="126"/>
      <c r="H174" s="126" t="s">
        <v>83</v>
      </c>
      <c r="I174" s="126">
        <v>231.0</v>
      </c>
      <c r="J174" s="161">
        <v>3650000.0</v>
      </c>
      <c r="K174" s="161">
        <v>3650000.0</v>
      </c>
      <c r="L174" s="161">
        <v>2455992.0</v>
      </c>
      <c r="M174" s="161">
        <v>2455992.0</v>
      </c>
      <c r="N174" s="163">
        <f t="shared" ref="N174:O174" si="294">J174+L174</f>
        <v>6105992</v>
      </c>
      <c r="O174" s="163">
        <f t="shared" si="294"/>
        <v>6105992</v>
      </c>
      <c r="P174" s="169"/>
      <c r="Q174" s="175">
        <v>3650000.0</v>
      </c>
      <c r="R174" s="175">
        <v>3650000.0</v>
      </c>
      <c r="S174" s="175">
        <v>2455992.0</v>
      </c>
      <c r="T174" s="175">
        <v>2455992.0</v>
      </c>
      <c r="U174" s="175">
        <v>6105992.0</v>
      </c>
      <c r="V174" s="175">
        <v>6105992.0</v>
      </c>
      <c r="W174" s="164">
        <f t="shared" ref="W174:AB174" si="295">+J174-Q174</f>
        <v>0</v>
      </c>
      <c r="X174" s="164">
        <f t="shared" si="295"/>
        <v>0</v>
      </c>
      <c r="Y174" s="164">
        <f t="shared" si="295"/>
        <v>0</v>
      </c>
      <c r="Z174" s="164">
        <f t="shared" si="295"/>
        <v>0</v>
      </c>
      <c r="AA174" s="164">
        <f t="shared" si="295"/>
        <v>0</v>
      </c>
      <c r="AB174" s="164">
        <f t="shared" si="295"/>
        <v>0</v>
      </c>
      <c r="AC174" s="169"/>
      <c r="AD174" s="169"/>
      <c r="AE174" s="169"/>
      <c r="AF174" s="169"/>
      <c r="AG174" s="77"/>
      <c r="AH174" s="77"/>
      <c r="AI174" s="169"/>
      <c r="AJ174" s="169"/>
      <c r="AK174" s="169"/>
      <c r="AL174" s="169"/>
      <c r="AM174" s="169"/>
      <c r="AN174" s="169"/>
      <c r="AO174" s="169"/>
      <c r="AP174" s="169"/>
    </row>
    <row r="175" ht="32.25" customHeight="1">
      <c r="A175" s="169"/>
      <c r="B175" s="169"/>
      <c r="C175" s="130"/>
      <c r="D175" s="126" t="s">
        <v>90</v>
      </c>
      <c r="E175" s="126" t="s">
        <v>97</v>
      </c>
      <c r="F175" s="126"/>
      <c r="G175" s="126"/>
      <c r="H175" s="126"/>
      <c r="I175" s="126">
        <v>35.0</v>
      </c>
      <c r="J175" s="161">
        <v>1450000.0</v>
      </c>
      <c r="K175" s="161">
        <v>1450000.0</v>
      </c>
      <c r="L175" s="161">
        <v>372120.0</v>
      </c>
      <c r="M175" s="161">
        <v>372120.0</v>
      </c>
      <c r="N175" s="163">
        <f t="shared" ref="N175:O175" si="296">J175+L175</f>
        <v>1822120</v>
      </c>
      <c r="O175" s="163">
        <f t="shared" si="296"/>
        <v>1822120</v>
      </c>
      <c r="P175" s="169"/>
      <c r="Q175" s="175">
        <v>1450000.0</v>
      </c>
      <c r="R175" s="175">
        <v>1450000.0</v>
      </c>
      <c r="S175" s="175">
        <v>372120.0</v>
      </c>
      <c r="T175" s="175">
        <v>372120.0</v>
      </c>
      <c r="U175" s="175">
        <v>1822120.0</v>
      </c>
      <c r="V175" s="175">
        <v>1822120.0</v>
      </c>
      <c r="W175" s="164">
        <f t="shared" ref="W175:AB175" si="297">+J175-Q175</f>
        <v>0</v>
      </c>
      <c r="X175" s="164">
        <f t="shared" si="297"/>
        <v>0</v>
      </c>
      <c r="Y175" s="164">
        <f t="shared" si="297"/>
        <v>0</v>
      </c>
      <c r="Z175" s="164">
        <f t="shared" si="297"/>
        <v>0</v>
      </c>
      <c r="AA175" s="164">
        <f t="shared" si="297"/>
        <v>0</v>
      </c>
      <c r="AB175" s="164">
        <f t="shared" si="297"/>
        <v>0</v>
      </c>
      <c r="AC175" s="169"/>
      <c r="AD175" s="169"/>
      <c r="AE175" s="169"/>
      <c r="AF175" s="169"/>
      <c r="AG175" s="77"/>
      <c r="AH175" s="77"/>
      <c r="AI175" s="169"/>
      <c r="AJ175" s="169"/>
      <c r="AK175" s="169"/>
      <c r="AL175" s="169"/>
      <c r="AM175" s="169"/>
      <c r="AN175" s="169"/>
      <c r="AO175" s="169"/>
      <c r="AP175" s="169"/>
    </row>
    <row r="176" ht="32.25" customHeight="1">
      <c r="A176" s="169"/>
      <c r="B176" s="169"/>
      <c r="C176" s="130"/>
      <c r="D176" s="126" t="s">
        <v>97</v>
      </c>
      <c r="E176" s="126" t="s">
        <v>86</v>
      </c>
      <c r="F176" s="126"/>
      <c r="G176" s="126"/>
      <c r="H176" s="126" t="s">
        <v>83</v>
      </c>
      <c r="I176" s="126">
        <v>245.0</v>
      </c>
      <c r="J176" s="161">
        <v>3650000.0</v>
      </c>
      <c r="K176" s="161">
        <v>3650000.0</v>
      </c>
      <c r="L176" s="161">
        <v>2604840.0</v>
      </c>
      <c r="M176" s="161">
        <v>2604840.0</v>
      </c>
      <c r="N176" s="163">
        <f t="shared" ref="N176:O176" si="298">J176+L176</f>
        <v>6254840</v>
      </c>
      <c r="O176" s="163">
        <f t="shared" si="298"/>
        <v>6254840</v>
      </c>
      <c r="P176" s="169"/>
      <c r="Q176" s="175">
        <v>3650000.0</v>
      </c>
      <c r="R176" s="175">
        <v>3650000.0</v>
      </c>
      <c r="S176" s="175">
        <v>2604840.0</v>
      </c>
      <c r="T176" s="175">
        <v>2604840.0</v>
      </c>
      <c r="U176" s="175">
        <v>6254840.0</v>
      </c>
      <c r="V176" s="175">
        <v>6254840.0</v>
      </c>
      <c r="W176" s="164">
        <f t="shared" ref="W176:AB176" si="299">+J176-Q176</f>
        <v>0</v>
      </c>
      <c r="X176" s="164">
        <f t="shared" si="299"/>
        <v>0</v>
      </c>
      <c r="Y176" s="164">
        <f t="shared" si="299"/>
        <v>0</v>
      </c>
      <c r="Z176" s="164">
        <f t="shared" si="299"/>
        <v>0</v>
      </c>
      <c r="AA176" s="164">
        <f t="shared" si="299"/>
        <v>0</v>
      </c>
      <c r="AB176" s="164">
        <f t="shared" si="299"/>
        <v>0</v>
      </c>
      <c r="AC176" s="169"/>
      <c r="AD176" s="169"/>
      <c r="AE176" s="169"/>
      <c r="AF176" s="169"/>
      <c r="AG176" s="77"/>
      <c r="AH176" s="77"/>
      <c r="AI176" s="169"/>
      <c r="AJ176" s="169"/>
      <c r="AK176" s="169"/>
      <c r="AL176" s="169"/>
      <c r="AM176" s="169"/>
      <c r="AN176" s="169"/>
      <c r="AO176" s="169"/>
      <c r="AP176" s="169"/>
    </row>
    <row r="177" ht="39.0" customHeight="1">
      <c r="A177" s="169"/>
      <c r="B177" s="169"/>
      <c r="C177" s="130"/>
      <c r="D177" s="126" t="s">
        <v>90</v>
      </c>
      <c r="E177" s="126" t="s">
        <v>98</v>
      </c>
      <c r="F177" s="126"/>
      <c r="G177" s="126"/>
      <c r="H177" s="126"/>
      <c r="I177" s="126">
        <v>25.0</v>
      </c>
      <c r="J177" s="161">
        <v>1350000.0</v>
      </c>
      <c r="K177" s="161">
        <v>1350000.0</v>
      </c>
      <c r="L177" s="161">
        <v>265800.0</v>
      </c>
      <c r="M177" s="161">
        <v>265800.0</v>
      </c>
      <c r="N177" s="163">
        <f t="shared" ref="N177:O177" si="300">J177+L177</f>
        <v>1615800</v>
      </c>
      <c r="O177" s="163">
        <f t="shared" si="300"/>
        <v>1615800</v>
      </c>
      <c r="P177" s="169"/>
      <c r="Q177" s="175">
        <v>1350000.0</v>
      </c>
      <c r="R177" s="175">
        <v>1350000.0</v>
      </c>
      <c r="S177" s="175">
        <v>265800.0</v>
      </c>
      <c r="T177" s="175">
        <v>265800.0</v>
      </c>
      <c r="U177" s="175">
        <v>1615800.0</v>
      </c>
      <c r="V177" s="175">
        <v>1615800.0</v>
      </c>
      <c r="W177" s="164">
        <f t="shared" ref="W177:AB177" si="301">+J177-Q177</f>
        <v>0</v>
      </c>
      <c r="X177" s="164">
        <f t="shared" si="301"/>
        <v>0</v>
      </c>
      <c r="Y177" s="164">
        <f t="shared" si="301"/>
        <v>0</v>
      </c>
      <c r="Z177" s="164">
        <f t="shared" si="301"/>
        <v>0</v>
      </c>
      <c r="AA177" s="164">
        <f t="shared" si="301"/>
        <v>0</v>
      </c>
      <c r="AB177" s="164">
        <f t="shared" si="301"/>
        <v>0</v>
      </c>
      <c r="AC177" s="169"/>
      <c r="AD177" s="169"/>
      <c r="AE177" s="169"/>
      <c r="AF177" s="169"/>
      <c r="AG177" s="77"/>
      <c r="AH177" s="77"/>
      <c r="AI177" s="169"/>
      <c r="AJ177" s="169"/>
      <c r="AK177" s="169"/>
      <c r="AL177" s="169"/>
      <c r="AM177" s="169"/>
      <c r="AN177" s="169"/>
      <c r="AO177" s="169"/>
      <c r="AP177" s="169"/>
    </row>
    <row r="178" ht="39.0" customHeight="1">
      <c r="A178" s="169"/>
      <c r="B178" s="169"/>
      <c r="C178" s="130"/>
      <c r="D178" s="126" t="s">
        <v>98</v>
      </c>
      <c r="E178" s="126" t="s">
        <v>84</v>
      </c>
      <c r="F178" s="126"/>
      <c r="G178" s="126"/>
      <c r="H178" s="126" t="s">
        <v>83</v>
      </c>
      <c r="I178" s="126">
        <v>296.0</v>
      </c>
      <c r="J178" s="161">
        <v>3950000.0</v>
      </c>
      <c r="K178" s="161">
        <v>3950000.0</v>
      </c>
      <c r="L178" s="161">
        <v>3147072.0</v>
      </c>
      <c r="M178" s="161">
        <v>3147072.0</v>
      </c>
      <c r="N178" s="163">
        <f t="shared" ref="N178:O178" si="302">J178+L178</f>
        <v>7097072</v>
      </c>
      <c r="O178" s="163">
        <f t="shared" si="302"/>
        <v>7097072</v>
      </c>
      <c r="P178" s="169"/>
      <c r="Q178" s="175">
        <v>3950000.0</v>
      </c>
      <c r="R178" s="175">
        <v>3950000.0</v>
      </c>
      <c r="S178" s="175">
        <v>3147072.0</v>
      </c>
      <c r="T178" s="175">
        <v>3147072.0</v>
      </c>
      <c r="U178" s="175">
        <v>7097072.0</v>
      </c>
      <c r="V178" s="175">
        <v>7097072.0</v>
      </c>
      <c r="W178" s="164">
        <f t="shared" ref="W178:AB178" si="303">+J178-Q178</f>
        <v>0</v>
      </c>
      <c r="X178" s="164">
        <f t="shared" si="303"/>
        <v>0</v>
      </c>
      <c r="Y178" s="164">
        <f t="shared" si="303"/>
        <v>0</v>
      </c>
      <c r="Z178" s="164">
        <f t="shared" si="303"/>
        <v>0</v>
      </c>
      <c r="AA178" s="164">
        <f t="shared" si="303"/>
        <v>0</v>
      </c>
      <c r="AB178" s="164">
        <f t="shared" si="303"/>
        <v>0</v>
      </c>
      <c r="AC178" s="169"/>
      <c r="AD178" s="169"/>
      <c r="AE178" s="169"/>
      <c r="AF178" s="169"/>
      <c r="AG178" s="77"/>
      <c r="AH178" s="77"/>
      <c r="AI178" s="169"/>
      <c r="AJ178" s="169"/>
      <c r="AK178" s="169"/>
      <c r="AL178" s="169"/>
      <c r="AM178" s="169"/>
      <c r="AN178" s="169"/>
      <c r="AO178" s="169"/>
      <c r="AP178" s="169"/>
    </row>
    <row r="179" ht="39.0" customHeight="1">
      <c r="A179" s="169"/>
      <c r="B179" s="169"/>
      <c r="C179" s="130"/>
      <c r="D179" s="126" t="s">
        <v>90</v>
      </c>
      <c r="E179" s="126" t="s">
        <v>98</v>
      </c>
      <c r="F179" s="126"/>
      <c r="G179" s="126"/>
      <c r="H179" s="126"/>
      <c r="I179" s="126">
        <v>25.0</v>
      </c>
      <c r="J179" s="161">
        <v>1350000.0</v>
      </c>
      <c r="K179" s="161">
        <v>1350000.0</v>
      </c>
      <c r="L179" s="161">
        <v>265800.0</v>
      </c>
      <c r="M179" s="161">
        <v>265800.0</v>
      </c>
      <c r="N179" s="163">
        <f t="shared" ref="N179:O179" si="304">J179+L179</f>
        <v>1615800</v>
      </c>
      <c r="O179" s="163">
        <f t="shared" si="304"/>
        <v>1615800</v>
      </c>
      <c r="P179" s="169"/>
      <c r="Q179" s="175">
        <v>1350000.0</v>
      </c>
      <c r="R179" s="175">
        <v>1350000.0</v>
      </c>
      <c r="S179" s="175">
        <v>265800.0</v>
      </c>
      <c r="T179" s="175">
        <v>265800.0</v>
      </c>
      <c r="U179" s="175">
        <v>1615800.0</v>
      </c>
      <c r="V179" s="175">
        <v>1615800.0</v>
      </c>
      <c r="W179" s="164">
        <f t="shared" ref="W179:AB179" si="305">+J179-Q179</f>
        <v>0</v>
      </c>
      <c r="X179" s="164">
        <f t="shared" si="305"/>
        <v>0</v>
      </c>
      <c r="Y179" s="164">
        <f t="shared" si="305"/>
        <v>0</v>
      </c>
      <c r="Z179" s="164">
        <f t="shared" si="305"/>
        <v>0</v>
      </c>
      <c r="AA179" s="164">
        <f t="shared" si="305"/>
        <v>0</v>
      </c>
      <c r="AB179" s="164">
        <f t="shared" si="305"/>
        <v>0</v>
      </c>
      <c r="AC179" s="169"/>
      <c r="AD179" s="169"/>
      <c r="AE179" s="169"/>
      <c r="AF179" s="169"/>
      <c r="AG179" s="77"/>
      <c r="AH179" s="77"/>
      <c r="AI179" s="169"/>
      <c r="AJ179" s="169"/>
      <c r="AK179" s="169"/>
      <c r="AL179" s="169"/>
      <c r="AM179" s="169"/>
      <c r="AN179" s="169"/>
      <c r="AO179" s="169"/>
      <c r="AP179" s="169"/>
    </row>
    <row r="180" ht="39.0" customHeight="1">
      <c r="A180" s="169"/>
      <c r="B180" s="169"/>
      <c r="C180" s="130"/>
      <c r="D180" s="126" t="s">
        <v>98</v>
      </c>
      <c r="E180" s="126" t="s">
        <v>85</v>
      </c>
      <c r="F180" s="126"/>
      <c r="G180" s="126"/>
      <c r="H180" s="126" t="s">
        <v>83</v>
      </c>
      <c r="I180" s="126">
        <v>250.0</v>
      </c>
      <c r="J180" s="161">
        <v>3650000.0</v>
      </c>
      <c r="K180" s="161">
        <v>3650000.0</v>
      </c>
      <c r="L180" s="161">
        <v>2658000.0</v>
      </c>
      <c r="M180" s="161">
        <v>2658000.0</v>
      </c>
      <c r="N180" s="163">
        <f t="shared" ref="N180:O180" si="306">J180+L180</f>
        <v>6308000</v>
      </c>
      <c r="O180" s="163">
        <f t="shared" si="306"/>
        <v>6308000</v>
      </c>
      <c r="P180" s="169"/>
      <c r="Q180" s="175">
        <v>3650000.0</v>
      </c>
      <c r="R180" s="175">
        <v>3650000.0</v>
      </c>
      <c r="S180" s="175">
        <v>2658000.0</v>
      </c>
      <c r="T180" s="175">
        <v>2658000.0</v>
      </c>
      <c r="U180" s="175">
        <v>6308000.0</v>
      </c>
      <c r="V180" s="175">
        <v>6308000.0</v>
      </c>
      <c r="W180" s="164">
        <f t="shared" ref="W180:AB180" si="307">+J180-Q180</f>
        <v>0</v>
      </c>
      <c r="X180" s="164">
        <f t="shared" si="307"/>
        <v>0</v>
      </c>
      <c r="Y180" s="164">
        <f t="shared" si="307"/>
        <v>0</v>
      </c>
      <c r="Z180" s="164">
        <f t="shared" si="307"/>
        <v>0</v>
      </c>
      <c r="AA180" s="164">
        <f t="shared" si="307"/>
        <v>0</v>
      </c>
      <c r="AB180" s="164">
        <f t="shared" si="307"/>
        <v>0</v>
      </c>
      <c r="AC180" s="169"/>
      <c r="AD180" s="169"/>
      <c r="AE180" s="169"/>
      <c r="AF180" s="169"/>
      <c r="AG180" s="77"/>
      <c r="AH180" s="77"/>
      <c r="AI180" s="169"/>
      <c r="AJ180" s="169"/>
      <c r="AK180" s="169"/>
      <c r="AL180" s="169"/>
      <c r="AM180" s="169"/>
      <c r="AN180" s="169"/>
      <c r="AO180" s="169"/>
      <c r="AP180" s="169"/>
    </row>
    <row r="181" ht="39.0" customHeight="1">
      <c r="A181" s="169"/>
      <c r="B181" s="169"/>
      <c r="C181" s="130"/>
      <c r="D181" s="126" t="s">
        <v>90</v>
      </c>
      <c r="E181" s="126" t="s">
        <v>98</v>
      </c>
      <c r="F181" s="126"/>
      <c r="G181" s="126"/>
      <c r="H181" s="126"/>
      <c r="I181" s="126">
        <v>25.0</v>
      </c>
      <c r="J181" s="161">
        <v>1350000.0</v>
      </c>
      <c r="K181" s="161">
        <v>1350000.0</v>
      </c>
      <c r="L181" s="161">
        <v>265800.0</v>
      </c>
      <c r="M181" s="161">
        <v>265800.0</v>
      </c>
      <c r="N181" s="163">
        <f t="shared" ref="N181:O181" si="308">J181+L181</f>
        <v>1615800</v>
      </c>
      <c r="O181" s="163">
        <f t="shared" si="308"/>
        <v>1615800</v>
      </c>
      <c r="P181" s="169"/>
      <c r="Q181" s="175">
        <v>1350000.0</v>
      </c>
      <c r="R181" s="175">
        <v>1350000.0</v>
      </c>
      <c r="S181" s="175">
        <v>265800.0</v>
      </c>
      <c r="T181" s="175">
        <v>265800.0</v>
      </c>
      <c r="U181" s="175">
        <v>1615800.0</v>
      </c>
      <c r="V181" s="175">
        <v>1615800.0</v>
      </c>
      <c r="W181" s="164">
        <f t="shared" ref="W181:AB181" si="309">+J181-Q181</f>
        <v>0</v>
      </c>
      <c r="X181" s="164">
        <f t="shared" si="309"/>
        <v>0</v>
      </c>
      <c r="Y181" s="164">
        <f t="shared" si="309"/>
        <v>0</v>
      </c>
      <c r="Z181" s="164">
        <f t="shared" si="309"/>
        <v>0</v>
      </c>
      <c r="AA181" s="164">
        <f t="shared" si="309"/>
        <v>0</v>
      </c>
      <c r="AB181" s="164">
        <f t="shared" si="309"/>
        <v>0</v>
      </c>
      <c r="AC181" s="169"/>
      <c r="AD181" s="169"/>
      <c r="AE181" s="169"/>
      <c r="AF181" s="169"/>
      <c r="AG181" s="77"/>
      <c r="AH181" s="77"/>
      <c r="AI181" s="169"/>
      <c r="AJ181" s="169"/>
      <c r="AK181" s="169"/>
      <c r="AL181" s="169"/>
      <c r="AM181" s="169"/>
      <c r="AN181" s="169"/>
      <c r="AO181" s="169"/>
      <c r="AP181" s="169"/>
    </row>
    <row r="182" ht="39.0" customHeight="1">
      <c r="A182" s="169"/>
      <c r="B182" s="169"/>
      <c r="C182" s="118"/>
      <c r="D182" s="126" t="s">
        <v>98</v>
      </c>
      <c r="E182" s="126" t="s">
        <v>86</v>
      </c>
      <c r="F182" s="126"/>
      <c r="G182" s="126"/>
      <c r="H182" s="126" t="s">
        <v>83</v>
      </c>
      <c r="I182" s="126">
        <v>219.0</v>
      </c>
      <c r="J182" s="161">
        <v>3350000.0</v>
      </c>
      <c r="K182" s="161">
        <v>3350000.0</v>
      </c>
      <c r="L182" s="161">
        <v>2328408.0</v>
      </c>
      <c r="M182" s="161">
        <v>2328408.0</v>
      </c>
      <c r="N182" s="163">
        <f t="shared" ref="N182:O182" si="310">J182+L182</f>
        <v>5678408</v>
      </c>
      <c r="O182" s="163">
        <f t="shared" si="310"/>
        <v>5678408</v>
      </c>
      <c r="P182" s="169"/>
      <c r="Q182" s="175">
        <v>3350000.0</v>
      </c>
      <c r="R182" s="175">
        <v>3350000.0</v>
      </c>
      <c r="S182" s="175">
        <v>2328408.0</v>
      </c>
      <c r="T182" s="175">
        <v>2328408.0</v>
      </c>
      <c r="U182" s="175">
        <v>5678408.0</v>
      </c>
      <c r="V182" s="175">
        <v>5678408.0</v>
      </c>
      <c r="W182" s="164">
        <f t="shared" ref="W182:AB182" si="311">+J182-Q182</f>
        <v>0</v>
      </c>
      <c r="X182" s="164">
        <f t="shared" si="311"/>
        <v>0</v>
      </c>
      <c r="Y182" s="164">
        <f t="shared" si="311"/>
        <v>0</v>
      </c>
      <c r="Z182" s="164">
        <f t="shared" si="311"/>
        <v>0</v>
      </c>
      <c r="AA182" s="164">
        <f t="shared" si="311"/>
        <v>0</v>
      </c>
      <c r="AB182" s="164">
        <f t="shared" si="311"/>
        <v>0</v>
      </c>
      <c r="AC182" s="169"/>
      <c r="AD182" s="169"/>
      <c r="AE182" s="169"/>
      <c r="AF182" s="169"/>
      <c r="AG182" s="77"/>
      <c r="AH182" s="77"/>
      <c r="AI182" s="169"/>
      <c r="AJ182" s="169"/>
      <c r="AK182" s="169"/>
      <c r="AL182" s="169"/>
      <c r="AM182" s="169"/>
      <c r="AN182" s="169"/>
      <c r="AO182" s="169"/>
      <c r="AP182" s="169"/>
    </row>
    <row r="183" ht="39.0" customHeight="1">
      <c r="A183" s="169"/>
      <c r="B183" s="169"/>
      <c r="C183" s="167" t="s">
        <v>92</v>
      </c>
      <c r="D183" s="126" t="s">
        <v>91</v>
      </c>
      <c r="E183" s="126" t="s">
        <v>99</v>
      </c>
      <c r="F183" s="126"/>
      <c r="G183" s="126"/>
      <c r="H183" s="126"/>
      <c r="I183" s="126">
        <v>65.0</v>
      </c>
      <c r="J183" s="161">
        <v>1930000.0</v>
      </c>
      <c r="K183" s="161">
        <v>1930000.0</v>
      </c>
      <c r="L183" s="161">
        <v>691080.0</v>
      </c>
      <c r="M183" s="161">
        <v>691080.0</v>
      </c>
      <c r="N183" s="163">
        <f t="shared" ref="N183:O183" si="312">J183+L183</f>
        <v>2621080</v>
      </c>
      <c r="O183" s="163">
        <f t="shared" si="312"/>
        <v>2621080</v>
      </c>
      <c r="P183" s="169"/>
      <c r="Q183" s="175">
        <v>1930000.0</v>
      </c>
      <c r="R183" s="175">
        <v>1930000.0</v>
      </c>
      <c r="S183" s="175">
        <v>691080.0</v>
      </c>
      <c r="T183" s="175">
        <v>691080.0</v>
      </c>
      <c r="U183" s="175">
        <v>2621080.0</v>
      </c>
      <c r="V183" s="175">
        <v>2621080.0</v>
      </c>
      <c r="W183" s="164">
        <f t="shared" ref="W183:AB183" si="313">+J183-Q183</f>
        <v>0</v>
      </c>
      <c r="X183" s="164">
        <f t="shared" si="313"/>
        <v>0</v>
      </c>
      <c r="Y183" s="164">
        <f t="shared" si="313"/>
        <v>0</v>
      </c>
      <c r="Z183" s="164">
        <f t="shared" si="313"/>
        <v>0</v>
      </c>
      <c r="AA183" s="164">
        <f t="shared" si="313"/>
        <v>0</v>
      </c>
      <c r="AB183" s="164">
        <f t="shared" si="313"/>
        <v>0</v>
      </c>
      <c r="AC183" s="169"/>
      <c r="AD183" s="169"/>
      <c r="AE183" s="169"/>
      <c r="AF183" s="169"/>
      <c r="AG183" s="77"/>
      <c r="AH183" s="77"/>
      <c r="AI183" s="169"/>
      <c r="AJ183" s="169"/>
      <c r="AK183" s="169"/>
      <c r="AL183" s="169"/>
      <c r="AM183" s="169"/>
      <c r="AN183" s="169"/>
      <c r="AO183" s="169"/>
      <c r="AP183" s="169"/>
    </row>
    <row r="184" ht="39.0" customHeight="1">
      <c r="A184" s="169"/>
      <c r="B184" s="169"/>
      <c r="C184" s="130"/>
      <c r="D184" s="126" t="s">
        <v>99</v>
      </c>
      <c r="E184" s="126" t="s">
        <v>84</v>
      </c>
      <c r="F184" s="126"/>
      <c r="G184" s="126"/>
      <c r="H184" s="126" t="s">
        <v>83</v>
      </c>
      <c r="I184" s="126">
        <v>223.0</v>
      </c>
      <c r="J184" s="161">
        <v>3360000.0</v>
      </c>
      <c r="K184" s="161">
        <v>3360000.0</v>
      </c>
      <c r="L184" s="161">
        <v>2370936.0</v>
      </c>
      <c r="M184" s="161">
        <v>2370936.0</v>
      </c>
      <c r="N184" s="163">
        <f t="shared" ref="N184:O184" si="314">J184+L184</f>
        <v>5730936</v>
      </c>
      <c r="O184" s="163">
        <f t="shared" si="314"/>
        <v>5730936</v>
      </c>
      <c r="P184" s="169"/>
      <c r="Q184" s="175">
        <v>3360000.0</v>
      </c>
      <c r="R184" s="175">
        <v>3360000.0</v>
      </c>
      <c r="S184" s="175">
        <v>2370935.9999999995</v>
      </c>
      <c r="T184" s="175">
        <v>2370935.9999999995</v>
      </c>
      <c r="U184" s="175">
        <v>5730936.0</v>
      </c>
      <c r="V184" s="175">
        <v>5730936.0</v>
      </c>
      <c r="W184" s="164">
        <f t="shared" ref="W184:AB184" si="315">+J184-Q184</f>
        <v>0</v>
      </c>
      <c r="X184" s="164">
        <f t="shared" si="315"/>
        <v>0</v>
      </c>
      <c r="Y184" s="164">
        <f t="shared" si="315"/>
        <v>0.0000000004656612873</v>
      </c>
      <c r="Z184" s="164">
        <f t="shared" si="315"/>
        <v>0.0000000004656612873</v>
      </c>
      <c r="AA184" s="164">
        <f t="shared" si="315"/>
        <v>0</v>
      </c>
      <c r="AB184" s="164">
        <f t="shared" si="315"/>
        <v>0</v>
      </c>
      <c r="AC184" s="169"/>
      <c r="AD184" s="169"/>
      <c r="AE184" s="169"/>
      <c r="AF184" s="169"/>
      <c r="AG184" s="77"/>
      <c r="AH184" s="77"/>
      <c r="AI184" s="169"/>
      <c r="AJ184" s="169"/>
      <c r="AK184" s="169"/>
      <c r="AL184" s="169"/>
      <c r="AM184" s="169"/>
      <c r="AN184" s="169"/>
      <c r="AO184" s="169"/>
      <c r="AP184" s="169"/>
    </row>
    <row r="185" ht="39.0" customHeight="1">
      <c r="A185" s="169"/>
      <c r="B185" s="169"/>
      <c r="C185" s="130"/>
      <c r="D185" s="126" t="s">
        <v>91</v>
      </c>
      <c r="E185" s="126" t="s">
        <v>99</v>
      </c>
      <c r="F185" s="126"/>
      <c r="G185" s="126"/>
      <c r="H185" s="126"/>
      <c r="I185" s="126">
        <v>65.0</v>
      </c>
      <c r="J185" s="161">
        <v>1930000.0</v>
      </c>
      <c r="K185" s="161">
        <v>1930000.0</v>
      </c>
      <c r="L185" s="161">
        <v>691080.0</v>
      </c>
      <c r="M185" s="161">
        <v>691080.0</v>
      </c>
      <c r="N185" s="163">
        <f t="shared" ref="N185:O185" si="316">J185+L185</f>
        <v>2621080</v>
      </c>
      <c r="O185" s="163">
        <f t="shared" si="316"/>
        <v>2621080</v>
      </c>
      <c r="P185" s="169"/>
      <c r="Q185" s="175">
        <v>1930000.0</v>
      </c>
      <c r="R185" s="175">
        <v>1930000.0</v>
      </c>
      <c r="S185" s="175">
        <v>691080.0</v>
      </c>
      <c r="T185" s="175">
        <v>691080.0</v>
      </c>
      <c r="U185" s="175">
        <v>2621080.0</v>
      </c>
      <c r="V185" s="175">
        <v>2621080.0</v>
      </c>
      <c r="W185" s="164">
        <f t="shared" ref="W185:AB185" si="317">+J185-Q185</f>
        <v>0</v>
      </c>
      <c r="X185" s="164">
        <f t="shared" si="317"/>
        <v>0</v>
      </c>
      <c r="Y185" s="164">
        <f t="shared" si="317"/>
        <v>0</v>
      </c>
      <c r="Z185" s="164">
        <f t="shared" si="317"/>
        <v>0</v>
      </c>
      <c r="AA185" s="164">
        <f t="shared" si="317"/>
        <v>0</v>
      </c>
      <c r="AB185" s="164">
        <f t="shared" si="317"/>
        <v>0</v>
      </c>
      <c r="AC185" s="169"/>
      <c r="AD185" s="169"/>
      <c r="AE185" s="169"/>
      <c r="AF185" s="169"/>
      <c r="AG185" s="77"/>
      <c r="AH185" s="77"/>
      <c r="AI185" s="169"/>
      <c r="AJ185" s="169"/>
      <c r="AK185" s="169"/>
      <c r="AL185" s="169"/>
      <c r="AM185" s="169"/>
      <c r="AN185" s="169"/>
      <c r="AO185" s="169"/>
      <c r="AP185" s="169"/>
    </row>
    <row r="186" ht="39.0" customHeight="1">
      <c r="A186" s="169"/>
      <c r="B186" s="169"/>
      <c r="C186" s="130"/>
      <c r="D186" s="126" t="s">
        <v>99</v>
      </c>
      <c r="E186" s="126" t="s">
        <v>85</v>
      </c>
      <c r="F186" s="126"/>
      <c r="G186" s="126"/>
      <c r="H186" s="126" t="s">
        <v>83</v>
      </c>
      <c r="I186" s="126">
        <v>247.0</v>
      </c>
      <c r="J186" s="161">
        <v>3610000.0</v>
      </c>
      <c r="K186" s="161">
        <v>3610000.0</v>
      </c>
      <c r="L186" s="161">
        <v>2626104.0</v>
      </c>
      <c r="M186" s="161">
        <v>2626104.0</v>
      </c>
      <c r="N186" s="163">
        <f t="shared" ref="N186:O186" si="318">J186+L186</f>
        <v>6236104</v>
      </c>
      <c r="O186" s="163">
        <f t="shared" si="318"/>
        <v>6236104</v>
      </c>
      <c r="P186" s="169"/>
      <c r="Q186" s="175">
        <v>3610000.0</v>
      </c>
      <c r="R186" s="175">
        <v>3610000.0</v>
      </c>
      <c r="S186" s="175">
        <v>2626104.0</v>
      </c>
      <c r="T186" s="175">
        <v>2626104.0</v>
      </c>
      <c r="U186" s="175">
        <v>6236104.0</v>
      </c>
      <c r="V186" s="175">
        <v>6236104.0</v>
      </c>
      <c r="W186" s="164">
        <f t="shared" ref="W186:AB186" si="319">+J186-Q186</f>
        <v>0</v>
      </c>
      <c r="X186" s="164">
        <f t="shared" si="319"/>
        <v>0</v>
      </c>
      <c r="Y186" s="164">
        <f t="shared" si="319"/>
        <v>0</v>
      </c>
      <c r="Z186" s="164">
        <f t="shared" si="319"/>
        <v>0</v>
      </c>
      <c r="AA186" s="164">
        <f t="shared" si="319"/>
        <v>0</v>
      </c>
      <c r="AB186" s="164">
        <f t="shared" si="319"/>
        <v>0</v>
      </c>
      <c r="AC186" s="169"/>
      <c r="AD186" s="169"/>
      <c r="AE186" s="169"/>
      <c r="AF186" s="169"/>
      <c r="AG186" s="77"/>
      <c r="AH186" s="77"/>
      <c r="AI186" s="169"/>
      <c r="AJ186" s="169"/>
      <c r="AK186" s="169"/>
      <c r="AL186" s="169"/>
      <c r="AM186" s="169"/>
      <c r="AN186" s="169"/>
      <c r="AO186" s="169"/>
      <c r="AP186" s="169"/>
    </row>
    <row r="187" ht="39.0" customHeight="1">
      <c r="A187" s="169"/>
      <c r="B187" s="169"/>
      <c r="C187" s="130"/>
      <c r="D187" s="126" t="s">
        <v>91</v>
      </c>
      <c r="E187" s="126" t="s">
        <v>99</v>
      </c>
      <c r="F187" s="126"/>
      <c r="G187" s="126"/>
      <c r="H187" s="126"/>
      <c r="I187" s="126">
        <v>65.0</v>
      </c>
      <c r="J187" s="161">
        <v>1930000.0</v>
      </c>
      <c r="K187" s="161">
        <v>1930000.0</v>
      </c>
      <c r="L187" s="161">
        <v>691080.0</v>
      </c>
      <c r="M187" s="161">
        <v>691080.0</v>
      </c>
      <c r="N187" s="163">
        <f t="shared" ref="N187:O187" si="320">J187+L187</f>
        <v>2621080</v>
      </c>
      <c r="O187" s="163">
        <f t="shared" si="320"/>
        <v>2621080</v>
      </c>
      <c r="P187" s="169"/>
      <c r="Q187" s="175">
        <v>1930000.0</v>
      </c>
      <c r="R187" s="175">
        <v>1930000.0</v>
      </c>
      <c r="S187" s="175">
        <v>691080.0</v>
      </c>
      <c r="T187" s="175">
        <v>691080.0</v>
      </c>
      <c r="U187" s="175">
        <v>2621080.0</v>
      </c>
      <c r="V187" s="175">
        <v>2621080.0</v>
      </c>
      <c r="W187" s="164">
        <f t="shared" ref="W187:AB187" si="321">+J187-Q187</f>
        <v>0</v>
      </c>
      <c r="X187" s="164">
        <f t="shared" si="321"/>
        <v>0</v>
      </c>
      <c r="Y187" s="164">
        <f t="shared" si="321"/>
        <v>0</v>
      </c>
      <c r="Z187" s="164">
        <f t="shared" si="321"/>
        <v>0</v>
      </c>
      <c r="AA187" s="164">
        <f t="shared" si="321"/>
        <v>0</v>
      </c>
      <c r="AB187" s="164">
        <f t="shared" si="321"/>
        <v>0</v>
      </c>
      <c r="AC187" s="169"/>
      <c r="AD187" s="169"/>
      <c r="AE187" s="169"/>
      <c r="AF187" s="169"/>
      <c r="AG187" s="77"/>
      <c r="AH187" s="77"/>
      <c r="AI187" s="169"/>
      <c r="AJ187" s="169"/>
      <c r="AK187" s="169"/>
      <c r="AL187" s="169"/>
      <c r="AM187" s="169"/>
      <c r="AN187" s="169"/>
      <c r="AO187" s="169"/>
      <c r="AP187" s="169"/>
    </row>
    <row r="188" ht="39.0" customHeight="1">
      <c r="A188" s="169"/>
      <c r="B188" s="169"/>
      <c r="C188" s="130"/>
      <c r="D188" s="126" t="s">
        <v>99</v>
      </c>
      <c r="E188" s="126" t="s">
        <v>86</v>
      </c>
      <c r="F188" s="126"/>
      <c r="G188" s="126"/>
      <c r="H188" s="126" t="s">
        <v>83</v>
      </c>
      <c r="I188" s="126">
        <v>256.0</v>
      </c>
      <c r="J188" s="161">
        <v>3640000.0</v>
      </c>
      <c r="K188" s="161">
        <v>3640000.0</v>
      </c>
      <c r="L188" s="161">
        <v>2721792.0</v>
      </c>
      <c r="M188" s="161">
        <v>2721792.0</v>
      </c>
      <c r="N188" s="163">
        <f t="shared" ref="N188:O188" si="322">J188+L188</f>
        <v>6361792</v>
      </c>
      <c r="O188" s="163">
        <f t="shared" si="322"/>
        <v>6361792</v>
      </c>
      <c r="P188" s="169"/>
      <c r="Q188" s="175">
        <v>3640000.0</v>
      </c>
      <c r="R188" s="175">
        <v>3640000.0</v>
      </c>
      <c r="S188" s="175">
        <v>2721792.0</v>
      </c>
      <c r="T188" s="175">
        <v>2721792.0</v>
      </c>
      <c r="U188" s="175">
        <v>6361792.0</v>
      </c>
      <c r="V188" s="175">
        <v>6361792.0</v>
      </c>
      <c r="W188" s="164">
        <f t="shared" ref="W188:AB188" si="323">+J188-Q188</f>
        <v>0</v>
      </c>
      <c r="X188" s="164">
        <f t="shared" si="323"/>
        <v>0</v>
      </c>
      <c r="Y188" s="164">
        <f t="shared" si="323"/>
        <v>0</v>
      </c>
      <c r="Z188" s="164">
        <f t="shared" si="323"/>
        <v>0</v>
      </c>
      <c r="AA188" s="164">
        <f t="shared" si="323"/>
        <v>0</v>
      </c>
      <c r="AB188" s="164">
        <f t="shared" si="323"/>
        <v>0</v>
      </c>
      <c r="AC188" s="169"/>
      <c r="AD188" s="169"/>
      <c r="AE188" s="169"/>
      <c r="AF188" s="169"/>
      <c r="AG188" s="77"/>
      <c r="AH188" s="77"/>
      <c r="AI188" s="169"/>
      <c r="AJ188" s="169"/>
      <c r="AK188" s="169"/>
      <c r="AL188" s="169"/>
      <c r="AM188" s="169"/>
      <c r="AN188" s="169"/>
      <c r="AO188" s="169"/>
      <c r="AP188" s="169"/>
    </row>
    <row r="189" ht="39.0" customHeight="1">
      <c r="A189" s="169"/>
      <c r="B189" s="169"/>
      <c r="C189" s="130"/>
      <c r="D189" s="126" t="s">
        <v>91</v>
      </c>
      <c r="E189" s="126" t="s">
        <v>100</v>
      </c>
      <c r="F189" s="126"/>
      <c r="G189" s="126"/>
      <c r="H189" s="126"/>
      <c r="I189" s="126">
        <v>25.0</v>
      </c>
      <c r="J189" s="161">
        <v>1670000.0</v>
      </c>
      <c r="K189" s="161">
        <v>1670000.0</v>
      </c>
      <c r="L189" s="161">
        <v>265800.0</v>
      </c>
      <c r="M189" s="161">
        <v>265800.0</v>
      </c>
      <c r="N189" s="163">
        <f t="shared" ref="N189:O189" si="324">J189+L189</f>
        <v>1935800</v>
      </c>
      <c r="O189" s="163">
        <f t="shared" si="324"/>
        <v>1935800</v>
      </c>
      <c r="P189" s="169"/>
      <c r="Q189" s="175">
        <v>1670000.0</v>
      </c>
      <c r="R189" s="175">
        <v>1670000.0</v>
      </c>
      <c r="S189" s="175">
        <v>265800.0</v>
      </c>
      <c r="T189" s="175">
        <v>265800.0</v>
      </c>
      <c r="U189" s="175">
        <v>1935800.0</v>
      </c>
      <c r="V189" s="175">
        <v>1935800.0</v>
      </c>
      <c r="W189" s="164">
        <f t="shared" ref="W189:AB189" si="325">+J189-Q189</f>
        <v>0</v>
      </c>
      <c r="X189" s="164">
        <f t="shared" si="325"/>
        <v>0</v>
      </c>
      <c r="Y189" s="164">
        <f t="shared" si="325"/>
        <v>0</v>
      </c>
      <c r="Z189" s="164">
        <f t="shared" si="325"/>
        <v>0</v>
      </c>
      <c r="AA189" s="164">
        <f t="shared" si="325"/>
        <v>0</v>
      </c>
      <c r="AB189" s="164">
        <f t="shared" si="325"/>
        <v>0</v>
      </c>
      <c r="AC189" s="169"/>
      <c r="AD189" s="169"/>
      <c r="AE189" s="169"/>
      <c r="AF189" s="169"/>
      <c r="AG189" s="77"/>
      <c r="AH189" s="77"/>
      <c r="AI189" s="169"/>
      <c r="AJ189" s="169"/>
      <c r="AK189" s="169"/>
      <c r="AL189" s="169"/>
      <c r="AM189" s="169"/>
      <c r="AN189" s="169"/>
      <c r="AO189" s="169"/>
      <c r="AP189" s="169"/>
    </row>
    <row r="190" ht="39.0" customHeight="1">
      <c r="A190" s="169"/>
      <c r="B190" s="169"/>
      <c r="C190" s="130"/>
      <c r="D190" s="126" t="s">
        <v>100</v>
      </c>
      <c r="E190" s="126" t="s">
        <v>84</v>
      </c>
      <c r="F190" s="126"/>
      <c r="G190" s="126"/>
      <c r="H190" s="126" t="s">
        <v>83</v>
      </c>
      <c r="I190" s="126">
        <v>287.0</v>
      </c>
      <c r="J190" s="161">
        <v>3770000.0</v>
      </c>
      <c r="K190" s="161">
        <v>3770000.0</v>
      </c>
      <c r="L190" s="161">
        <v>3051384.0</v>
      </c>
      <c r="M190" s="161">
        <v>3051384.0</v>
      </c>
      <c r="N190" s="163">
        <f t="shared" ref="N190:O190" si="326">J190+L190</f>
        <v>6821384</v>
      </c>
      <c r="O190" s="163">
        <f t="shared" si="326"/>
        <v>6821384</v>
      </c>
      <c r="P190" s="169"/>
      <c r="Q190" s="175">
        <v>3770000.0</v>
      </c>
      <c r="R190" s="175">
        <v>3770000.0</v>
      </c>
      <c r="S190" s="175">
        <v>3051384.0</v>
      </c>
      <c r="T190" s="175">
        <v>3051384.0</v>
      </c>
      <c r="U190" s="175">
        <v>6821384.0</v>
      </c>
      <c r="V190" s="175">
        <v>6821384.0</v>
      </c>
      <c r="W190" s="164">
        <f t="shared" ref="W190:AB190" si="327">+J190-Q190</f>
        <v>0</v>
      </c>
      <c r="X190" s="164">
        <f t="shared" si="327"/>
        <v>0</v>
      </c>
      <c r="Y190" s="164">
        <f t="shared" si="327"/>
        <v>0</v>
      </c>
      <c r="Z190" s="164">
        <f t="shared" si="327"/>
        <v>0</v>
      </c>
      <c r="AA190" s="164">
        <f t="shared" si="327"/>
        <v>0</v>
      </c>
      <c r="AB190" s="164">
        <f t="shared" si="327"/>
        <v>0</v>
      </c>
      <c r="AC190" s="169"/>
      <c r="AD190" s="169"/>
      <c r="AE190" s="169"/>
      <c r="AF190" s="169"/>
      <c r="AG190" s="77"/>
      <c r="AH190" s="77"/>
      <c r="AI190" s="169"/>
      <c r="AJ190" s="169"/>
      <c r="AK190" s="169"/>
      <c r="AL190" s="169"/>
      <c r="AM190" s="169"/>
      <c r="AN190" s="169"/>
      <c r="AO190" s="169"/>
      <c r="AP190" s="169"/>
    </row>
    <row r="191" ht="39.0" customHeight="1">
      <c r="A191" s="169"/>
      <c r="B191" s="169"/>
      <c r="C191" s="130"/>
      <c r="D191" s="126" t="s">
        <v>91</v>
      </c>
      <c r="E191" s="126" t="s">
        <v>100</v>
      </c>
      <c r="F191" s="126"/>
      <c r="G191" s="126"/>
      <c r="H191" s="126"/>
      <c r="I191" s="126">
        <v>25.0</v>
      </c>
      <c r="J191" s="161">
        <v>1670000.0</v>
      </c>
      <c r="K191" s="161">
        <v>1670000.0</v>
      </c>
      <c r="L191" s="161">
        <v>265800.0</v>
      </c>
      <c r="M191" s="161">
        <v>265800.0</v>
      </c>
      <c r="N191" s="163">
        <f t="shared" ref="N191:O191" si="328">J191+L191</f>
        <v>1935800</v>
      </c>
      <c r="O191" s="163">
        <f t="shared" si="328"/>
        <v>1935800</v>
      </c>
      <c r="P191" s="169"/>
      <c r="Q191" s="175">
        <v>1670000.0</v>
      </c>
      <c r="R191" s="175">
        <v>1670000.0</v>
      </c>
      <c r="S191" s="175">
        <v>265800.0</v>
      </c>
      <c r="T191" s="175">
        <v>265800.0</v>
      </c>
      <c r="U191" s="175">
        <v>1935800.0</v>
      </c>
      <c r="V191" s="175">
        <v>1935800.0</v>
      </c>
      <c r="W191" s="164">
        <f t="shared" ref="W191:AB191" si="329">+J191-Q191</f>
        <v>0</v>
      </c>
      <c r="X191" s="164">
        <f t="shared" si="329"/>
        <v>0</v>
      </c>
      <c r="Y191" s="164">
        <f t="shared" si="329"/>
        <v>0</v>
      </c>
      <c r="Z191" s="164">
        <f t="shared" si="329"/>
        <v>0</v>
      </c>
      <c r="AA191" s="164">
        <f t="shared" si="329"/>
        <v>0</v>
      </c>
      <c r="AB191" s="164">
        <f t="shared" si="329"/>
        <v>0</v>
      </c>
      <c r="AC191" s="169"/>
      <c r="AD191" s="169"/>
      <c r="AE191" s="169"/>
      <c r="AF191" s="169"/>
      <c r="AG191" s="77"/>
      <c r="AH191" s="77"/>
      <c r="AI191" s="169"/>
      <c r="AJ191" s="169"/>
      <c r="AK191" s="169"/>
      <c r="AL191" s="169"/>
      <c r="AM191" s="169"/>
      <c r="AN191" s="169"/>
      <c r="AO191" s="169"/>
      <c r="AP191" s="169"/>
    </row>
    <row r="192" ht="39.0" customHeight="1">
      <c r="A192" s="169"/>
      <c r="B192" s="169"/>
      <c r="C192" s="130"/>
      <c r="D192" s="126" t="s">
        <v>100</v>
      </c>
      <c r="E192" s="126" t="s">
        <v>85</v>
      </c>
      <c r="F192" s="126"/>
      <c r="G192" s="126"/>
      <c r="H192" s="126" t="s">
        <v>83</v>
      </c>
      <c r="I192" s="126">
        <v>241.0</v>
      </c>
      <c r="J192" s="161">
        <v>3450000.0</v>
      </c>
      <c r="K192" s="161">
        <v>3450000.0</v>
      </c>
      <c r="L192" s="161">
        <v>2562312.0</v>
      </c>
      <c r="M192" s="161">
        <v>2562312.0</v>
      </c>
      <c r="N192" s="163">
        <f t="shared" ref="N192:O192" si="330">J192+L192</f>
        <v>6012312</v>
      </c>
      <c r="O192" s="163">
        <f t="shared" si="330"/>
        <v>6012312</v>
      </c>
      <c r="P192" s="169"/>
      <c r="Q192" s="175">
        <v>3450000.0</v>
      </c>
      <c r="R192" s="175">
        <v>3450000.0</v>
      </c>
      <c r="S192" s="175">
        <v>2562312.0</v>
      </c>
      <c r="T192" s="175">
        <v>2562312.0</v>
      </c>
      <c r="U192" s="175">
        <v>6012312.0</v>
      </c>
      <c r="V192" s="175">
        <v>6012312.0</v>
      </c>
      <c r="W192" s="164">
        <f t="shared" ref="W192:AB192" si="331">+J192-Q192</f>
        <v>0</v>
      </c>
      <c r="X192" s="164">
        <f t="shared" si="331"/>
        <v>0</v>
      </c>
      <c r="Y192" s="164">
        <f t="shared" si="331"/>
        <v>0</v>
      </c>
      <c r="Z192" s="164">
        <f t="shared" si="331"/>
        <v>0</v>
      </c>
      <c r="AA192" s="164">
        <f t="shared" si="331"/>
        <v>0</v>
      </c>
      <c r="AB192" s="164">
        <f t="shared" si="331"/>
        <v>0</v>
      </c>
      <c r="AC192" s="169"/>
      <c r="AD192" s="169"/>
      <c r="AE192" s="169"/>
      <c r="AF192" s="169"/>
      <c r="AG192" s="77"/>
      <c r="AH192" s="77"/>
      <c r="AI192" s="169"/>
      <c r="AJ192" s="169"/>
      <c r="AK192" s="169"/>
      <c r="AL192" s="169"/>
      <c r="AM192" s="169"/>
      <c r="AN192" s="169"/>
      <c r="AO192" s="169"/>
      <c r="AP192" s="169"/>
    </row>
    <row r="193" ht="39.0" customHeight="1">
      <c r="A193" s="169"/>
      <c r="B193" s="169"/>
      <c r="C193" s="130"/>
      <c r="D193" s="126" t="s">
        <v>91</v>
      </c>
      <c r="E193" s="126" t="s">
        <v>100</v>
      </c>
      <c r="F193" s="126"/>
      <c r="G193" s="126"/>
      <c r="H193" s="126"/>
      <c r="I193" s="126">
        <v>25.0</v>
      </c>
      <c r="J193" s="161">
        <v>1670000.0</v>
      </c>
      <c r="K193" s="161">
        <v>1670000.0</v>
      </c>
      <c r="L193" s="161">
        <v>265800.0</v>
      </c>
      <c r="M193" s="161">
        <v>265800.0</v>
      </c>
      <c r="N193" s="163">
        <f t="shared" ref="N193:O193" si="332">J193+L193</f>
        <v>1935800</v>
      </c>
      <c r="O193" s="163">
        <f t="shared" si="332"/>
        <v>1935800</v>
      </c>
      <c r="P193" s="169"/>
      <c r="Q193" s="175">
        <v>1670000.0</v>
      </c>
      <c r="R193" s="175">
        <v>1670000.0</v>
      </c>
      <c r="S193" s="175">
        <v>265800.0</v>
      </c>
      <c r="T193" s="175">
        <v>265800.0</v>
      </c>
      <c r="U193" s="175">
        <v>1935800.0</v>
      </c>
      <c r="V193" s="175">
        <v>1935800.0</v>
      </c>
      <c r="W193" s="164">
        <f t="shared" ref="W193:AB193" si="333">+J193-Q193</f>
        <v>0</v>
      </c>
      <c r="X193" s="164">
        <f t="shared" si="333"/>
        <v>0</v>
      </c>
      <c r="Y193" s="164">
        <f t="shared" si="333"/>
        <v>0</v>
      </c>
      <c r="Z193" s="164">
        <f t="shared" si="333"/>
        <v>0</v>
      </c>
      <c r="AA193" s="164">
        <f t="shared" si="333"/>
        <v>0</v>
      </c>
      <c r="AB193" s="164">
        <f t="shared" si="333"/>
        <v>0</v>
      </c>
      <c r="AC193" s="169"/>
      <c r="AD193" s="169"/>
      <c r="AE193" s="169"/>
      <c r="AF193" s="169"/>
      <c r="AG193" s="77"/>
      <c r="AH193" s="77"/>
      <c r="AI193" s="169"/>
      <c r="AJ193" s="169"/>
      <c r="AK193" s="169"/>
      <c r="AL193" s="169"/>
      <c r="AM193" s="169"/>
      <c r="AN193" s="169"/>
      <c r="AO193" s="169"/>
      <c r="AP193" s="169"/>
    </row>
    <row r="194" ht="39.0" customHeight="1">
      <c r="A194" s="169"/>
      <c r="B194" s="169"/>
      <c r="C194" s="130"/>
      <c r="D194" s="126" t="s">
        <v>100</v>
      </c>
      <c r="E194" s="126" t="s">
        <v>86</v>
      </c>
      <c r="F194" s="126"/>
      <c r="G194" s="126"/>
      <c r="H194" s="126" t="s">
        <v>83</v>
      </c>
      <c r="I194" s="126">
        <v>250.0</v>
      </c>
      <c r="J194" s="161">
        <v>3710000.0</v>
      </c>
      <c r="K194" s="161">
        <v>3710000.0</v>
      </c>
      <c r="L194" s="161">
        <v>2658000.0</v>
      </c>
      <c r="M194" s="161">
        <v>2658000.0</v>
      </c>
      <c r="N194" s="163">
        <f t="shared" ref="N194:O194" si="334">J194+L194</f>
        <v>6368000</v>
      </c>
      <c r="O194" s="163">
        <f t="shared" si="334"/>
        <v>6368000</v>
      </c>
      <c r="P194" s="169"/>
      <c r="Q194" s="175">
        <v>3710000.0</v>
      </c>
      <c r="R194" s="175">
        <v>3710000.0</v>
      </c>
      <c r="S194" s="175">
        <v>2658000.0</v>
      </c>
      <c r="T194" s="175">
        <v>2658000.0</v>
      </c>
      <c r="U194" s="175">
        <v>6368000.0</v>
      </c>
      <c r="V194" s="175">
        <v>6368000.0</v>
      </c>
      <c r="W194" s="164">
        <f t="shared" ref="W194:AB194" si="335">+J194-Q194</f>
        <v>0</v>
      </c>
      <c r="X194" s="164">
        <f t="shared" si="335"/>
        <v>0</v>
      </c>
      <c r="Y194" s="164">
        <f t="shared" si="335"/>
        <v>0</v>
      </c>
      <c r="Z194" s="164">
        <f t="shared" si="335"/>
        <v>0</v>
      </c>
      <c r="AA194" s="164">
        <f t="shared" si="335"/>
        <v>0</v>
      </c>
      <c r="AB194" s="164">
        <f t="shared" si="335"/>
        <v>0</v>
      </c>
      <c r="AC194" s="169"/>
      <c r="AD194" s="169"/>
      <c r="AE194" s="169"/>
      <c r="AF194" s="169"/>
      <c r="AG194" s="77"/>
      <c r="AH194" s="77"/>
      <c r="AI194" s="169"/>
      <c r="AJ194" s="169"/>
      <c r="AK194" s="169"/>
      <c r="AL194" s="169"/>
      <c r="AM194" s="169"/>
      <c r="AN194" s="169"/>
      <c r="AO194" s="169"/>
      <c r="AP194" s="169"/>
    </row>
    <row r="195" ht="39.0" customHeight="1">
      <c r="A195" s="169"/>
      <c r="B195" s="169"/>
      <c r="C195" s="130"/>
      <c r="D195" s="126" t="s">
        <v>91</v>
      </c>
      <c r="E195" s="126" t="s">
        <v>101</v>
      </c>
      <c r="F195" s="126"/>
      <c r="G195" s="126"/>
      <c r="H195" s="126"/>
      <c r="I195" s="126">
        <v>30.0</v>
      </c>
      <c r="J195" s="161">
        <v>1810000.0</v>
      </c>
      <c r="K195" s="161">
        <v>1810000.0</v>
      </c>
      <c r="L195" s="161">
        <v>318960.0</v>
      </c>
      <c r="M195" s="161">
        <v>318960.0</v>
      </c>
      <c r="N195" s="163">
        <f t="shared" ref="N195:O195" si="336">J195+L195</f>
        <v>2128960</v>
      </c>
      <c r="O195" s="163">
        <f t="shared" si="336"/>
        <v>2128960</v>
      </c>
      <c r="P195" s="169"/>
      <c r="Q195" s="175">
        <v>1810000.0</v>
      </c>
      <c r="R195" s="175">
        <v>1810000.0</v>
      </c>
      <c r="S195" s="175">
        <v>318960.0</v>
      </c>
      <c r="T195" s="175">
        <v>318960.0</v>
      </c>
      <c r="U195" s="175">
        <v>2128960.0</v>
      </c>
      <c r="V195" s="175">
        <v>2128960.0</v>
      </c>
      <c r="W195" s="164">
        <f t="shared" ref="W195:AB195" si="337">+J195-Q195</f>
        <v>0</v>
      </c>
      <c r="X195" s="164">
        <f t="shared" si="337"/>
        <v>0</v>
      </c>
      <c r="Y195" s="164">
        <f t="shared" si="337"/>
        <v>0</v>
      </c>
      <c r="Z195" s="164">
        <f t="shared" si="337"/>
        <v>0</v>
      </c>
      <c r="AA195" s="164">
        <f t="shared" si="337"/>
        <v>0</v>
      </c>
      <c r="AB195" s="164">
        <f t="shared" si="337"/>
        <v>0</v>
      </c>
      <c r="AC195" s="169"/>
      <c r="AD195" s="169"/>
      <c r="AE195" s="169"/>
      <c r="AF195" s="169"/>
      <c r="AG195" s="77"/>
      <c r="AH195" s="77"/>
      <c r="AI195" s="169"/>
      <c r="AJ195" s="169"/>
      <c r="AK195" s="169"/>
      <c r="AL195" s="169"/>
      <c r="AM195" s="169"/>
      <c r="AN195" s="169"/>
      <c r="AO195" s="169"/>
      <c r="AP195" s="169"/>
    </row>
    <row r="196" ht="39.0" customHeight="1">
      <c r="A196" s="169"/>
      <c r="B196" s="169"/>
      <c r="C196" s="130"/>
      <c r="D196" s="126" t="s">
        <v>101</v>
      </c>
      <c r="E196" s="126" t="s">
        <v>84</v>
      </c>
      <c r="F196" s="126"/>
      <c r="G196" s="126"/>
      <c r="H196" s="126" t="s">
        <v>83</v>
      </c>
      <c r="I196" s="126">
        <v>258.0</v>
      </c>
      <c r="J196" s="161">
        <v>4020000.0</v>
      </c>
      <c r="K196" s="161">
        <v>4020000.0</v>
      </c>
      <c r="L196" s="161">
        <v>2743056.0</v>
      </c>
      <c r="M196" s="161">
        <v>2743056.0</v>
      </c>
      <c r="N196" s="163">
        <f t="shared" ref="N196:O196" si="338">J196+L196</f>
        <v>6763056</v>
      </c>
      <c r="O196" s="163">
        <f t="shared" si="338"/>
        <v>6763056</v>
      </c>
      <c r="P196" s="169"/>
      <c r="Q196" s="175">
        <v>4020000.0</v>
      </c>
      <c r="R196" s="175">
        <v>4020000.0</v>
      </c>
      <c r="S196" s="175">
        <v>2743055.9999999995</v>
      </c>
      <c r="T196" s="175">
        <v>2743055.9999999995</v>
      </c>
      <c r="U196" s="175">
        <v>6763056.0</v>
      </c>
      <c r="V196" s="175">
        <v>6763056.0</v>
      </c>
      <c r="W196" s="164">
        <f t="shared" ref="W196:AB196" si="339">+J196-Q196</f>
        <v>0</v>
      </c>
      <c r="X196" s="164">
        <f t="shared" si="339"/>
        <v>0</v>
      </c>
      <c r="Y196" s="164">
        <f t="shared" si="339"/>
        <v>0.0000000004656612873</v>
      </c>
      <c r="Z196" s="164">
        <f t="shared" si="339"/>
        <v>0.0000000004656612873</v>
      </c>
      <c r="AA196" s="164">
        <f t="shared" si="339"/>
        <v>0</v>
      </c>
      <c r="AB196" s="164">
        <f t="shared" si="339"/>
        <v>0</v>
      </c>
      <c r="AC196" s="169"/>
      <c r="AD196" s="169"/>
      <c r="AE196" s="169"/>
      <c r="AF196" s="169"/>
      <c r="AG196" s="77"/>
      <c r="AH196" s="77"/>
      <c r="AI196" s="169"/>
      <c r="AJ196" s="169"/>
      <c r="AK196" s="169"/>
      <c r="AL196" s="169"/>
      <c r="AM196" s="169"/>
      <c r="AN196" s="169"/>
      <c r="AO196" s="169"/>
      <c r="AP196" s="169"/>
    </row>
    <row r="197" ht="39.0" customHeight="1">
      <c r="A197" s="169"/>
      <c r="B197" s="169"/>
      <c r="C197" s="130"/>
      <c r="D197" s="126" t="s">
        <v>91</v>
      </c>
      <c r="E197" s="126" t="s">
        <v>101</v>
      </c>
      <c r="F197" s="126"/>
      <c r="G197" s="126"/>
      <c r="H197" s="126"/>
      <c r="I197" s="126">
        <v>30.0</v>
      </c>
      <c r="J197" s="161">
        <v>1810000.0</v>
      </c>
      <c r="K197" s="161">
        <v>1810000.0</v>
      </c>
      <c r="L197" s="161">
        <v>318960.0</v>
      </c>
      <c r="M197" s="161">
        <v>318960.0</v>
      </c>
      <c r="N197" s="163">
        <f t="shared" ref="N197:O197" si="340">J197+L197</f>
        <v>2128960</v>
      </c>
      <c r="O197" s="163">
        <f t="shared" si="340"/>
        <v>2128960</v>
      </c>
      <c r="P197" s="169"/>
      <c r="Q197" s="175">
        <v>1810000.0</v>
      </c>
      <c r="R197" s="175">
        <v>1810000.0</v>
      </c>
      <c r="S197" s="175">
        <v>318960.0</v>
      </c>
      <c r="T197" s="175">
        <v>318960.0</v>
      </c>
      <c r="U197" s="175">
        <v>2128960.0</v>
      </c>
      <c r="V197" s="175">
        <v>2128960.0</v>
      </c>
      <c r="W197" s="164">
        <f t="shared" ref="W197:AB197" si="341">+J197-Q197</f>
        <v>0</v>
      </c>
      <c r="X197" s="164">
        <f t="shared" si="341"/>
        <v>0</v>
      </c>
      <c r="Y197" s="164">
        <f t="shared" si="341"/>
        <v>0</v>
      </c>
      <c r="Z197" s="164">
        <f t="shared" si="341"/>
        <v>0</v>
      </c>
      <c r="AA197" s="164">
        <f t="shared" si="341"/>
        <v>0</v>
      </c>
      <c r="AB197" s="164">
        <f t="shared" si="341"/>
        <v>0</v>
      </c>
      <c r="AC197" s="169"/>
      <c r="AD197" s="169"/>
      <c r="AE197" s="169"/>
      <c r="AF197" s="169"/>
      <c r="AG197" s="77"/>
      <c r="AH197" s="77"/>
      <c r="AI197" s="169"/>
      <c r="AJ197" s="169"/>
      <c r="AK197" s="169"/>
      <c r="AL197" s="169"/>
      <c r="AM197" s="169"/>
      <c r="AN197" s="169"/>
      <c r="AO197" s="169"/>
      <c r="AP197" s="169"/>
    </row>
    <row r="198" ht="39.0" customHeight="1">
      <c r="A198" s="169"/>
      <c r="B198" s="169"/>
      <c r="C198" s="130"/>
      <c r="D198" s="126" t="s">
        <v>101</v>
      </c>
      <c r="E198" s="126" t="s">
        <v>85</v>
      </c>
      <c r="F198" s="126"/>
      <c r="G198" s="126"/>
      <c r="H198" s="126" t="s">
        <v>83</v>
      </c>
      <c r="I198" s="126">
        <v>245.0</v>
      </c>
      <c r="J198" s="161">
        <v>3510000.0</v>
      </c>
      <c r="K198" s="161">
        <v>3510000.0</v>
      </c>
      <c r="L198" s="161">
        <v>2604840.0</v>
      </c>
      <c r="M198" s="161">
        <v>2604840.0</v>
      </c>
      <c r="N198" s="163">
        <f t="shared" ref="N198:O198" si="342">J198+L198</f>
        <v>6114840</v>
      </c>
      <c r="O198" s="163">
        <f t="shared" si="342"/>
        <v>6114840</v>
      </c>
      <c r="P198" s="169"/>
      <c r="Q198" s="175">
        <v>3510000.0</v>
      </c>
      <c r="R198" s="175">
        <v>3510000.0</v>
      </c>
      <c r="S198" s="175">
        <v>2604840.0</v>
      </c>
      <c r="T198" s="175">
        <v>2604840.0</v>
      </c>
      <c r="U198" s="175">
        <v>6114840.0</v>
      </c>
      <c r="V198" s="175">
        <v>6114840.0</v>
      </c>
      <c r="W198" s="164">
        <f t="shared" ref="W198:AB198" si="343">+J198-Q198</f>
        <v>0</v>
      </c>
      <c r="X198" s="164">
        <f t="shared" si="343"/>
        <v>0</v>
      </c>
      <c r="Y198" s="164">
        <f t="shared" si="343"/>
        <v>0</v>
      </c>
      <c r="Z198" s="164">
        <f t="shared" si="343"/>
        <v>0</v>
      </c>
      <c r="AA198" s="164">
        <f t="shared" si="343"/>
        <v>0</v>
      </c>
      <c r="AB198" s="164">
        <f t="shared" si="343"/>
        <v>0</v>
      </c>
      <c r="AC198" s="169"/>
      <c r="AD198" s="169"/>
      <c r="AE198" s="169"/>
      <c r="AF198" s="169"/>
      <c r="AG198" s="77"/>
      <c r="AH198" s="77"/>
      <c r="AI198" s="169"/>
      <c r="AJ198" s="169"/>
      <c r="AK198" s="169"/>
      <c r="AL198" s="169"/>
      <c r="AM198" s="169"/>
      <c r="AN198" s="169"/>
      <c r="AO198" s="169"/>
      <c r="AP198" s="169"/>
    </row>
    <row r="199" ht="39.0" customHeight="1">
      <c r="A199" s="169"/>
      <c r="B199" s="169"/>
      <c r="C199" s="130"/>
      <c r="D199" s="126" t="s">
        <v>91</v>
      </c>
      <c r="E199" s="126" t="s">
        <v>101</v>
      </c>
      <c r="F199" s="126"/>
      <c r="G199" s="126"/>
      <c r="H199" s="126"/>
      <c r="I199" s="126">
        <v>30.0</v>
      </c>
      <c r="J199" s="161">
        <v>1810000.0</v>
      </c>
      <c r="K199" s="161">
        <v>1810000.0</v>
      </c>
      <c r="L199" s="161">
        <v>318960.0</v>
      </c>
      <c r="M199" s="161">
        <v>318960.0</v>
      </c>
      <c r="N199" s="163">
        <f t="shared" ref="N199:O199" si="344">J199+L199</f>
        <v>2128960</v>
      </c>
      <c r="O199" s="163">
        <f t="shared" si="344"/>
        <v>2128960</v>
      </c>
      <c r="P199" s="169"/>
      <c r="Q199" s="175">
        <v>1810000.0</v>
      </c>
      <c r="R199" s="175">
        <v>1810000.0</v>
      </c>
      <c r="S199" s="175">
        <v>318960.0</v>
      </c>
      <c r="T199" s="175">
        <v>318960.0</v>
      </c>
      <c r="U199" s="175">
        <v>2128960.0</v>
      </c>
      <c r="V199" s="175">
        <v>2128960.0</v>
      </c>
      <c r="W199" s="164">
        <f t="shared" ref="W199:AB199" si="345">+J199-Q199</f>
        <v>0</v>
      </c>
      <c r="X199" s="164">
        <f t="shared" si="345"/>
        <v>0</v>
      </c>
      <c r="Y199" s="164">
        <f t="shared" si="345"/>
        <v>0</v>
      </c>
      <c r="Z199" s="164">
        <f t="shared" si="345"/>
        <v>0</v>
      </c>
      <c r="AA199" s="164">
        <f t="shared" si="345"/>
        <v>0</v>
      </c>
      <c r="AB199" s="164">
        <f t="shared" si="345"/>
        <v>0</v>
      </c>
      <c r="AC199" s="169"/>
      <c r="AD199" s="169"/>
      <c r="AE199" s="169"/>
      <c r="AF199" s="169"/>
      <c r="AG199" s="77"/>
      <c r="AH199" s="77"/>
      <c r="AI199" s="169"/>
      <c r="AJ199" s="169"/>
      <c r="AK199" s="169"/>
      <c r="AL199" s="169"/>
      <c r="AM199" s="169"/>
      <c r="AN199" s="169"/>
      <c r="AO199" s="169"/>
      <c r="AP199" s="169"/>
    </row>
    <row r="200" ht="39.0" customHeight="1">
      <c r="A200" s="169"/>
      <c r="B200" s="169"/>
      <c r="C200" s="118"/>
      <c r="D200" s="126" t="s">
        <v>101</v>
      </c>
      <c r="E200" s="126" t="s">
        <v>86</v>
      </c>
      <c r="F200" s="126"/>
      <c r="G200" s="126"/>
      <c r="H200" s="126" t="s">
        <v>83</v>
      </c>
      <c r="I200" s="126">
        <v>214.0</v>
      </c>
      <c r="J200" s="161">
        <v>3240000.0</v>
      </c>
      <c r="K200" s="161">
        <v>3240000.0</v>
      </c>
      <c r="L200" s="161">
        <v>2275248.0</v>
      </c>
      <c r="M200" s="161">
        <v>2275248.0</v>
      </c>
      <c r="N200" s="163">
        <f t="shared" ref="N200:O200" si="346">J200+L200</f>
        <v>5515248</v>
      </c>
      <c r="O200" s="163">
        <f t="shared" si="346"/>
        <v>5515248</v>
      </c>
      <c r="P200" s="169"/>
      <c r="Q200" s="175">
        <v>3240000.0</v>
      </c>
      <c r="R200" s="175">
        <v>3240000.0</v>
      </c>
      <c r="S200" s="175">
        <v>2275248.0</v>
      </c>
      <c r="T200" s="175">
        <v>2275248.0</v>
      </c>
      <c r="U200" s="175">
        <v>5515248.0</v>
      </c>
      <c r="V200" s="175">
        <v>5515248.0</v>
      </c>
      <c r="W200" s="164">
        <f t="shared" ref="W200:AB200" si="347">+J200-Q200</f>
        <v>0</v>
      </c>
      <c r="X200" s="164">
        <f t="shared" si="347"/>
        <v>0</v>
      </c>
      <c r="Y200" s="164">
        <f t="shared" si="347"/>
        <v>0</v>
      </c>
      <c r="Z200" s="164">
        <f t="shared" si="347"/>
        <v>0</v>
      </c>
      <c r="AA200" s="164">
        <f t="shared" si="347"/>
        <v>0</v>
      </c>
      <c r="AB200" s="164">
        <f t="shared" si="347"/>
        <v>0</v>
      </c>
      <c r="AC200" s="169"/>
      <c r="AD200" s="169"/>
      <c r="AE200" s="169"/>
      <c r="AF200" s="169"/>
      <c r="AG200" s="77"/>
      <c r="AH200" s="77"/>
      <c r="AI200" s="169"/>
      <c r="AJ200" s="169"/>
      <c r="AK200" s="169"/>
      <c r="AL200" s="169"/>
      <c r="AM200" s="169"/>
      <c r="AN200" s="169"/>
      <c r="AO200" s="169"/>
      <c r="AP200" s="169"/>
    </row>
    <row r="201" ht="39.0" customHeight="1">
      <c r="A201" s="169"/>
      <c r="B201" s="169"/>
      <c r="C201" s="167" t="s">
        <v>102</v>
      </c>
      <c r="D201" s="126" t="s">
        <v>103</v>
      </c>
      <c r="E201" s="126" t="s">
        <v>84</v>
      </c>
      <c r="F201" s="126"/>
      <c r="G201" s="126"/>
      <c r="H201" s="126" t="s">
        <v>83</v>
      </c>
      <c r="I201" s="126">
        <v>195.0</v>
      </c>
      <c r="J201" s="161">
        <v>3100000.0</v>
      </c>
      <c r="K201" s="161">
        <v>3100000.0</v>
      </c>
      <c r="L201" s="161">
        <v>2073240.0</v>
      </c>
      <c r="M201" s="161">
        <v>2073240.0</v>
      </c>
      <c r="N201" s="163">
        <f t="shared" ref="N201:O201" si="348">J201+L201</f>
        <v>5173240</v>
      </c>
      <c r="O201" s="163">
        <f t="shared" si="348"/>
        <v>5173240</v>
      </c>
      <c r="P201" s="169"/>
      <c r="Q201" s="175">
        <v>3100000.0</v>
      </c>
      <c r="R201" s="175">
        <v>3100000.0</v>
      </c>
      <c r="S201" s="175">
        <v>2073240.0</v>
      </c>
      <c r="T201" s="175">
        <v>2073240.0</v>
      </c>
      <c r="U201" s="175">
        <v>5173240.0</v>
      </c>
      <c r="V201" s="175">
        <v>5173240.0</v>
      </c>
      <c r="W201" s="164">
        <f t="shared" ref="W201:AB201" si="349">+J201-Q201</f>
        <v>0</v>
      </c>
      <c r="X201" s="164">
        <f t="shared" si="349"/>
        <v>0</v>
      </c>
      <c r="Y201" s="164">
        <f t="shared" si="349"/>
        <v>0</v>
      </c>
      <c r="Z201" s="164">
        <f t="shared" si="349"/>
        <v>0</v>
      </c>
      <c r="AA201" s="164">
        <f t="shared" si="349"/>
        <v>0</v>
      </c>
      <c r="AB201" s="164">
        <f t="shared" si="349"/>
        <v>0</v>
      </c>
      <c r="AC201" s="169"/>
      <c r="AD201" s="169"/>
      <c r="AE201" s="169"/>
      <c r="AF201" s="169"/>
      <c r="AG201" s="77"/>
      <c r="AH201" s="77"/>
      <c r="AI201" s="169"/>
      <c r="AJ201" s="169"/>
      <c r="AK201" s="169"/>
      <c r="AL201" s="169"/>
      <c r="AM201" s="169"/>
      <c r="AN201" s="169"/>
      <c r="AO201" s="169"/>
      <c r="AP201" s="169"/>
    </row>
    <row r="202" ht="39.0" customHeight="1">
      <c r="A202" s="169"/>
      <c r="B202" s="169"/>
      <c r="C202" s="130"/>
      <c r="D202" s="126" t="s">
        <v>103</v>
      </c>
      <c r="E202" s="126" t="s">
        <v>85</v>
      </c>
      <c r="F202" s="126"/>
      <c r="G202" s="126"/>
      <c r="H202" s="126" t="s">
        <v>83</v>
      </c>
      <c r="I202" s="126">
        <v>183.0</v>
      </c>
      <c r="J202" s="161">
        <v>3100000.0</v>
      </c>
      <c r="K202" s="161">
        <v>3100000.0</v>
      </c>
      <c r="L202" s="161">
        <v>1945656.0</v>
      </c>
      <c r="M202" s="161">
        <v>1945656.0</v>
      </c>
      <c r="N202" s="163">
        <f t="shared" ref="N202:O202" si="350">J202+L202</f>
        <v>5045656</v>
      </c>
      <c r="O202" s="163">
        <f t="shared" si="350"/>
        <v>5045656</v>
      </c>
      <c r="P202" s="169"/>
      <c r="Q202" s="175">
        <v>3100000.0</v>
      </c>
      <c r="R202" s="175">
        <v>3100000.0</v>
      </c>
      <c r="S202" s="175">
        <v>1945656.0</v>
      </c>
      <c r="T202" s="175">
        <v>1945656.0</v>
      </c>
      <c r="U202" s="175">
        <v>5045656.0</v>
      </c>
      <c r="V202" s="175">
        <v>5045656.0</v>
      </c>
      <c r="W202" s="164">
        <f t="shared" ref="W202:AB202" si="351">+J202-Q202</f>
        <v>0</v>
      </c>
      <c r="X202" s="164">
        <f t="shared" si="351"/>
        <v>0</v>
      </c>
      <c r="Y202" s="164">
        <f t="shared" si="351"/>
        <v>0</v>
      </c>
      <c r="Z202" s="164">
        <f t="shared" si="351"/>
        <v>0</v>
      </c>
      <c r="AA202" s="164">
        <f t="shared" si="351"/>
        <v>0</v>
      </c>
      <c r="AB202" s="164">
        <f t="shared" si="351"/>
        <v>0</v>
      </c>
      <c r="AC202" s="169"/>
      <c r="AD202" s="169"/>
      <c r="AE202" s="169"/>
      <c r="AF202" s="169"/>
      <c r="AG202" s="77"/>
      <c r="AH202" s="77"/>
      <c r="AI202" s="169"/>
      <c r="AJ202" s="169"/>
      <c r="AK202" s="169"/>
      <c r="AL202" s="169"/>
      <c r="AM202" s="169"/>
      <c r="AN202" s="169"/>
      <c r="AO202" s="169"/>
      <c r="AP202" s="169"/>
    </row>
    <row r="203" ht="39.0" customHeight="1">
      <c r="A203" s="169"/>
      <c r="B203" s="169"/>
      <c r="C203" s="130"/>
      <c r="D203" s="126" t="s">
        <v>103</v>
      </c>
      <c r="E203" s="126" t="s">
        <v>86</v>
      </c>
      <c r="F203" s="126"/>
      <c r="G203" s="126"/>
      <c r="H203" s="126" t="s">
        <v>83</v>
      </c>
      <c r="I203" s="126">
        <v>190.0</v>
      </c>
      <c r="J203" s="161">
        <v>3120000.0</v>
      </c>
      <c r="K203" s="161">
        <v>3120000.0</v>
      </c>
      <c r="L203" s="161">
        <v>2020080.0</v>
      </c>
      <c r="M203" s="161">
        <v>2020080.0</v>
      </c>
      <c r="N203" s="163">
        <f t="shared" ref="N203:O203" si="352">J203+L203</f>
        <v>5140080</v>
      </c>
      <c r="O203" s="163">
        <f t="shared" si="352"/>
        <v>5140080</v>
      </c>
      <c r="P203" s="169"/>
      <c r="Q203" s="175">
        <v>3120000.0</v>
      </c>
      <c r="R203" s="175">
        <v>3120000.0</v>
      </c>
      <c r="S203" s="175">
        <v>2020080.0</v>
      </c>
      <c r="T203" s="175">
        <v>2020080.0</v>
      </c>
      <c r="U203" s="175">
        <v>5140080.0</v>
      </c>
      <c r="V203" s="175">
        <v>5140080.0</v>
      </c>
      <c r="W203" s="164">
        <f t="shared" ref="W203:AB203" si="353">+J203-Q203</f>
        <v>0</v>
      </c>
      <c r="X203" s="164">
        <f t="shared" si="353"/>
        <v>0</v>
      </c>
      <c r="Y203" s="164">
        <f t="shared" si="353"/>
        <v>0</v>
      </c>
      <c r="Z203" s="164">
        <f t="shared" si="353"/>
        <v>0</v>
      </c>
      <c r="AA203" s="164">
        <f t="shared" si="353"/>
        <v>0</v>
      </c>
      <c r="AB203" s="164">
        <f t="shared" si="353"/>
        <v>0</v>
      </c>
      <c r="AC203" s="169"/>
      <c r="AD203" s="169"/>
      <c r="AE203" s="169"/>
      <c r="AF203" s="169"/>
      <c r="AG203" s="77"/>
      <c r="AH203" s="77"/>
      <c r="AI203" s="169"/>
      <c r="AJ203" s="169"/>
      <c r="AK203" s="169"/>
      <c r="AL203" s="169"/>
      <c r="AM203" s="169"/>
      <c r="AN203" s="169"/>
      <c r="AO203" s="169"/>
      <c r="AP203" s="169"/>
    </row>
    <row r="204" ht="39.0" customHeight="1">
      <c r="A204" s="169"/>
      <c r="B204" s="169"/>
      <c r="C204" s="130"/>
      <c r="D204" s="126" t="s">
        <v>104</v>
      </c>
      <c r="E204" s="126" t="s">
        <v>84</v>
      </c>
      <c r="F204" s="126"/>
      <c r="G204" s="126"/>
      <c r="H204" s="126" t="s">
        <v>83</v>
      </c>
      <c r="I204" s="126">
        <v>214.0</v>
      </c>
      <c r="J204" s="161">
        <v>3970000.0</v>
      </c>
      <c r="K204" s="161">
        <v>3970000.0</v>
      </c>
      <c r="L204" s="161">
        <v>2275248.0</v>
      </c>
      <c r="M204" s="161">
        <v>2275248.0</v>
      </c>
      <c r="N204" s="163">
        <f t="shared" ref="N204:O204" si="354">J204+L204</f>
        <v>6245248</v>
      </c>
      <c r="O204" s="163">
        <f t="shared" si="354"/>
        <v>6245248</v>
      </c>
      <c r="P204" s="169"/>
      <c r="Q204" s="175">
        <v>3970000.0</v>
      </c>
      <c r="R204" s="175">
        <v>3970000.0</v>
      </c>
      <c r="S204" s="175">
        <v>2275248.0</v>
      </c>
      <c r="T204" s="175">
        <v>2275248.0</v>
      </c>
      <c r="U204" s="175">
        <v>6245248.0</v>
      </c>
      <c r="V204" s="175">
        <v>6245248.0</v>
      </c>
      <c r="W204" s="164">
        <f t="shared" ref="W204:AB204" si="355">+J204-Q204</f>
        <v>0</v>
      </c>
      <c r="X204" s="164">
        <f t="shared" si="355"/>
        <v>0</v>
      </c>
      <c r="Y204" s="164">
        <f t="shared" si="355"/>
        <v>0</v>
      </c>
      <c r="Z204" s="164">
        <f t="shared" si="355"/>
        <v>0</v>
      </c>
      <c r="AA204" s="164">
        <f t="shared" si="355"/>
        <v>0</v>
      </c>
      <c r="AB204" s="164">
        <f t="shared" si="355"/>
        <v>0</v>
      </c>
      <c r="AC204" s="169"/>
      <c r="AD204" s="169"/>
      <c r="AE204" s="169"/>
      <c r="AF204" s="169"/>
      <c r="AG204" s="77"/>
      <c r="AH204" s="77"/>
      <c r="AI204" s="169"/>
      <c r="AJ204" s="169"/>
      <c r="AK204" s="169"/>
      <c r="AL204" s="169"/>
      <c r="AM204" s="169"/>
      <c r="AN204" s="169"/>
      <c r="AO204" s="169"/>
      <c r="AP204" s="169"/>
    </row>
    <row r="205" ht="39.0" customHeight="1">
      <c r="A205" s="169"/>
      <c r="B205" s="169"/>
      <c r="C205" s="130"/>
      <c r="D205" s="126" t="s">
        <v>104</v>
      </c>
      <c r="E205" s="126" t="s">
        <v>85</v>
      </c>
      <c r="F205" s="126"/>
      <c r="G205" s="126"/>
      <c r="H205" s="126" t="s">
        <v>83</v>
      </c>
      <c r="I205" s="126">
        <v>168.0</v>
      </c>
      <c r="J205" s="161">
        <v>3640000.0</v>
      </c>
      <c r="K205" s="161">
        <v>3640000.0</v>
      </c>
      <c r="L205" s="161">
        <v>1786176.0</v>
      </c>
      <c r="M205" s="161">
        <v>1786176.0</v>
      </c>
      <c r="N205" s="163">
        <f t="shared" ref="N205:O205" si="356">J205+L205</f>
        <v>5426176</v>
      </c>
      <c r="O205" s="163">
        <f t="shared" si="356"/>
        <v>5426176</v>
      </c>
      <c r="P205" s="169"/>
      <c r="Q205" s="175">
        <v>3640000.0</v>
      </c>
      <c r="R205" s="175">
        <v>3640000.0</v>
      </c>
      <c r="S205" s="175">
        <v>1786176.0</v>
      </c>
      <c r="T205" s="175">
        <v>1786176.0</v>
      </c>
      <c r="U205" s="175">
        <v>5426176.0</v>
      </c>
      <c r="V205" s="175">
        <v>5426176.0</v>
      </c>
      <c r="W205" s="164">
        <f t="shared" ref="W205:AB205" si="357">+J205-Q205</f>
        <v>0</v>
      </c>
      <c r="X205" s="164">
        <f t="shared" si="357"/>
        <v>0</v>
      </c>
      <c r="Y205" s="164">
        <f t="shared" si="357"/>
        <v>0</v>
      </c>
      <c r="Z205" s="164">
        <f t="shared" si="357"/>
        <v>0</v>
      </c>
      <c r="AA205" s="164">
        <f t="shared" si="357"/>
        <v>0</v>
      </c>
      <c r="AB205" s="164">
        <f t="shared" si="357"/>
        <v>0</v>
      </c>
      <c r="AC205" s="169"/>
      <c r="AD205" s="169"/>
      <c r="AE205" s="169"/>
      <c r="AF205" s="169"/>
      <c r="AG205" s="77"/>
      <c r="AH205" s="77"/>
      <c r="AI205" s="169"/>
      <c r="AJ205" s="169"/>
      <c r="AK205" s="169"/>
      <c r="AL205" s="169"/>
      <c r="AM205" s="169"/>
      <c r="AN205" s="169"/>
      <c r="AO205" s="169"/>
      <c r="AP205" s="169"/>
    </row>
    <row r="206" ht="39.0" customHeight="1">
      <c r="A206" s="169"/>
      <c r="B206" s="169"/>
      <c r="C206" s="130"/>
      <c r="D206" s="126" t="s">
        <v>104</v>
      </c>
      <c r="E206" s="126" t="s">
        <v>86</v>
      </c>
      <c r="F206" s="126"/>
      <c r="G206" s="126"/>
      <c r="H206" s="126" t="s">
        <v>83</v>
      </c>
      <c r="I206" s="126">
        <v>147.0</v>
      </c>
      <c r="J206" s="161">
        <v>3580000.0</v>
      </c>
      <c r="K206" s="161">
        <v>3580000.0</v>
      </c>
      <c r="L206" s="161">
        <v>1562904.0</v>
      </c>
      <c r="M206" s="161">
        <v>1562904.0</v>
      </c>
      <c r="N206" s="163">
        <f t="shared" ref="N206:O206" si="358">J206+L206</f>
        <v>5142904</v>
      </c>
      <c r="O206" s="163">
        <f t="shared" si="358"/>
        <v>5142904</v>
      </c>
      <c r="P206" s="169"/>
      <c r="Q206" s="175">
        <v>3580000.0</v>
      </c>
      <c r="R206" s="175">
        <v>3580000.0</v>
      </c>
      <c r="S206" s="175">
        <v>1562904.0</v>
      </c>
      <c r="T206" s="175">
        <v>1562904.0</v>
      </c>
      <c r="U206" s="175">
        <v>5142904.0</v>
      </c>
      <c r="V206" s="175">
        <v>5142904.0</v>
      </c>
      <c r="W206" s="164">
        <f t="shared" ref="W206:AB206" si="359">+J206-Q206</f>
        <v>0</v>
      </c>
      <c r="X206" s="164">
        <f t="shared" si="359"/>
        <v>0</v>
      </c>
      <c r="Y206" s="164">
        <f t="shared" si="359"/>
        <v>0</v>
      </c>
      <c r="Z206" s="164">
        <f t="shared" si="359"/>
        <v>0</v>
      </c>
      <c r="AA206" s="164">
        <f t="shared" si="359"/>
        <v>0</v>
      </c>
      <c r="AB206" s="164">
        <f t="shared" si="359"/>
        <v>0</v>
      </c>
      <c r="AC206" s="169"/>
      <c r="AD206" s="169"/>
      <c r="AE206" s="169"/>
      <c r="AF206" s="169"/>
      <c r="AG206" s="77"/>
      <c r="AH206" s="77"/>
      <c r="AI206" s="169"/>
      <c r="AJ206" s="169"/>
      <c r="AK206" s="169"/>
      <c r="AL206" s="169"/>
      <c r="AM206" s="169"/>
      <c r="AN206" s="169"/>
      <c r="AO206" s="169"/>
      <c r="AP206" s="169"/>
    </row>
    <row r="207" ht="39.0" customHeight="1">
      <c r="A207" s="169"/>
      <c r="B207" s="169"/>
      <c r="C207" s="130"/>
      <c r="D207" s="126" t="s">
        <v>105</v>
      </c>
      <c r="E207" s="126" t="s">
        <v>84</v>
      </c>
      <c r="F207" s="126"/>
      <c r="G207" s="126"/>
      <c r="H207" s="126" t="s">
        <v>83</v>
      </c>
      <c r="I207" s="126">
        <v>184.0</v>
      </c>
      <c r="J207" s="161">
        <v>3050000.0</v>
      </c>
      <c r="K207" s="161">
        <v>3050000.0</v>
      </c>
      <c r="L207" s="161">
        <v>1956288.0</v>
      </c>
      <c r="M207" s="161">
        <v>1956288.0</v>
      </c>
      <c r="N207" s="163">
        <f t="shared" ref="N207:O207" si="360">J207+L207</f>
        <v>5006288</v>
      </c>
      <c r="O207" s="163">
        <f t="shared" si="360"/>
        <v>5006288</v>
      </c>
      <c r="P207" s="169"/>
      <c r="Q207" s="175">
        <v>3050000.0</v>
      </c>
      <c r="R207" s="175">
        <v>3050000.0</v>
      </c>
      <c r="S207" s="175">
        <v>1956287.9999999998</v>
      </c>
      <c r="T207" s="175">
        <v>1956287.9999999998</v>
      </c>
      <c r="U207" s="175">
        <v>5006288.0</v>
      </c>
      <c r="V207" s="175">
        <v>5006288.0</v>
      </c>
      <c r="W207" s="164">
        <f t="shared" ref="W207:AB207" si="361">+J207-Q207</f>
        <v>0</v>
      </c>
      <c r="X207" s="164">
        <f t="shared" si="361"/>
        <v>0</v>
      </c>
      <c r="Y207" s="164">
        <f t="shared" si="361"/>
        <v>0.0000000002328306437</v>
      </c>
      <c r="Z207" s="164">
        <f t="shared" si="361"/>
        <v>0.0000000002328306437</v>
      </c>
      <c r="AA207" s="164">
        <f t="shared" si="361"/>
        <v>0</v>
      </c>
      <c r="AB207" s="164">
        <f t="shared" si="361"/>
        <v>0</v>
      </c>
      <c r="AC207" s="169"/>
      <c r="AD207" s="169"/>
      <c r="AE207" s="169"/>
      <c r="AF207" s="169"/>
      <c r="AG207" s="77"/>
      <c r="AH207" s="77"/>
      <c r="AI207" s="169"/>
      <c r="AJ207" s="169"/>
      <c r="AK207" s="169"/>
      <c r="AL207" s="169"/>
      <c r="AM207" s="169"/>
      <c r="AN207" s="169"/>
      <c r="AO207" s="169"/>
      <c r="AP207" s="169"/>
    </row>
    <row r="208" ht="39.0" customHeight="1">
      <c r="A208" s="169"/>
      <c r="B208" s="169"/>
      <c r="C208" s="130"/>
      <c r="D208" s="126" t="s">
        <v>105</v>
      </c>
      <c r="E208" s="126" t="s">
        <v>85</v>
      </c>
      <c r="F208" s="126"/>
      <c r="G208" s="126"/>
      <c r="H208" s="126" t="s">
        <v>83</v>
      </c>
      <c r="I208" s="126">
        <v>163.0</v>
      </c>
      <c r="J208" s="161">
        <v>3000000.0</v>
      </c>
      <c r="K208" s="161">
        <v>3000000.0</v>
      </c>
      <c r="L208" s="161">
        <v>1733016.0</v>
      </c>
      <c r="M208" s="161">
        <v>1733016.0</v>
      </c>
      <c r="N208" s="163">
        <f t="shared" ref="N208:O208" si="362">J208+L208</f>
        <v>4733016</v>
      </c>
      <c r="O208" s="163">
        <f t="shared" si="362"/>
        <v>4733016</v>
      </c>
      <c r="P208" s="169"/>
      <c r="Q208" s="175">
        <v>3000000.0</v>
      </c>
      <c r="R208" s="175">
        <v>3000000.0</v>
      </c>
      <c r="S208" s="175">
        <v>1733016.0</v>
      </c>
      <c r="T208" s="175">
        <v>1733016.0</v>
      </c>
      <c r="U208" s="175">
        <v>4733016.0</v>
      </c>
      <c r="V208" s="175">
        <v>4733016.0</v>
      </c>
      <c r="W208" s="164">
        <f t="shared" ref="W208:AB208" si="363">+J208-Q208</f>
        <v>0</v>
      </c>
      <c r="X208" s="164">
        <f t="shared" si="363"/>
        <v>0</v>
      </c>
      <c r="Y208" s="164">
        <f t="shared" si="363"/>
        <v>0</v>
      </c>
      <c r="Z208" s="164">
        <f t="shared" si="363"/>
        <v>0</v>
      </c>
      <c r="AA208" s="164">
        <f t="shared" si="363"/>
        <v>0</v>
      </c>
      <c r="AB208" s="164">
        <f t="shared" si="363"/>
        <v>0</v>
      </c>
      <c r="AC208" s="169"/>
      <c r="AD208" s="169"/>
      <c r="AE208" s="169"/>
      <c r="AF208" s="169"/>
      <c r="AG208" s="77"/>
      <c r="AH208" s="77"/>
      <c r="AI208" s="169"/>
      <c r="AJ208" s="169"/>
      <c r="AK208" s="169"/>
      <c r="AL208" s="169"/>
      <c r="AM208" s="169"/>
      <c r="AN208" s="169"/>
      <c r="AO208" s="169"/>
      <c r="AP208" s="169"/>
    </row>
    <row r="209" ht="39.0" customHeight="1">
      <c r="A209" s="169"/>
      <c r="B209" s="169"/>
      <c r="C209" s="118"/>
      <c r="D209" s="126" t="s">
        <v>105</v>
      </c>
      <c r="E209" s="126" t="s">
        <v>86</v>
      </c>
      <c r="F209" s="126"/>
      <c r="G209" s="126"/>
      <c r="H209" s="126" t="s">
        <v>83</v>
      </c>
      <c r="I209" s="126">
        <v>177.0</v>
      </c>
      <c r="J209" s="161">
        <v>3050000.0</v>
      </c>
      <c r="K209" s="161">
        <v>3050000.0</v>
      </c>
      <c r="L209" s="161">
        <v>1881864.0</v>
      </c>
      <c r="M209" s="161">
        <v>1881864.0</v>
      </c>
      <c r="N209" s="163">
        <f t="shared" ref="N209:O209" si="364">J209+L209</f>
        <v>4931864</v>
      </c>
      <c r="O209" s="163">
        <f t="shared" si="364"/>
        <v>4931864</v>
      </c>
      <c r="P209" s="169"/>
      <c r="Q209" s="175">
        <v>3050000.0</v>
      </c>
      <c r="R209" s="175">
        <v>3050000.0</v>
      </c>
      <c r="S209" s="175">
        <v>1881864.0</v>
      </c>
      <c r="T209" s="175">
        <v>1881864.0</v>
      </c>
      <c r="U209" s="175">
        <v>4931864.0</v>
      </c>
      <c r="V209" s="175">
        <v>4931864.0</v>
      </c>
      <c r="W209" s="164">
        <f t="shared" ref="W209:AB209" si="365">+J209-Q209</f>
        <v>0</v>
      </c>
      <c r="X209" s="164">
        <f t="shared" si="365"/>
        <v>0</v>
      </c>
      <c r="Y209" s="164">
        <f t="shared" si="365"/>
        <v>0</v>
      </c>
      <c r="Z209" s="164">
        <f t="shared" si="365"/>
        <v>0</v>
      </c>
      <c r="AA209" s="164">
        <f t="shared" si="365"/>
        <v>0</v>
      </c>
      <c r="AB209" s="164">
        <f t="shared" si="365"/>
        <v>0</v>
      </c>
      <c r="AC209" s="169"/>
      <c r="AD209" s="169"/>
      <c r="AE209" s="169"/>
      <c r="AF209" s="169"/>
      <c r="AG209" s="77"/>
      <c r="AH209" s="77"/>
      <c r="AI209" s="169"/>
      <c r="AJ209" s="169"/>
      <c r="AK209" s="169"/>
      <c r="AL209" s="169"/>
      <c r="AM209" s="169"/>
      <c r="AN209" s="169"/>
      <c r="AO209" s="169"/>
      <c r="AP209" s="169"/>
    </row>
    <row r="210" ht="27.0" customHeight="1">
      <c r="A210" s="169"/>
      <c r="B210" s="169"/>
      <c r="C210" s="170"/>
      <c r="D210" s="171"/>
      <c r="E210" s="171"/>
      <c r="F210" s="171"/>
      <c r="G210" s="171"/>
      <c r="H210" s="171"/>
      <c r="I210" s="171"/>
      <c r="J210" s="172"/>
      <c r="K210" s="172"/>
      <c r="L210" s="173"/>
      <c r="M210" s="173"/>
      <c r="N210" s="174"/>
      <c r="O210" s="174"/>
      <c r="P210" s="169"/>
      <c r="Q210" s="175"/>
      <c r="R210" s="175"/>
      <c r="S210" s="175"/>
      <c r="T210" s="175"/>
      <c r="U210" s="175"/>
      <c r="V210" s="175"/>
      <c r="W210" s="176"/>
      <c r="X210" s="176"/>
      <c r="Y210" s="176"/>
      <c r="Z210" s="176"/>
      <c r="AA210" s="176"/>
      <c r="AB210" s="176"/>
      <c r="AC210" s="169"/>
      <c r="AD210" s="169"/>
      <c r="AE210" s="169"/>
      <c r="AF210" s="169"/>
      <c r="AG210" s="77"/>
      <c r="AH210" s="77"/>
      <c r="AI210" s="169"/>
      <c r="AJ210" s="169"/>
      <c r="AK210" s="169"/>
      <c r="AL210" s="169"/>
      <c r="AM210" s="169"/>
      <c r="AN210" s="169"/>
      <c r="AO210" s="169"/>
      <c r="AP210" s="169"/>
    </row>
    <row r="211" ht="24.75" customHeight="1">
      <c r="A211" s="169"/>
      <c r="B211" s="182" t="s">
        <v>108</v>
      </c>
      <c r="C211" s="178" t="s">
        <v>109</v>
      </c>
      <c r="D211" s="169"/>
      <c r="E211" s="169"/>
      <c r="F211" s="169"/>
      <c r="G211" s="169"/>
      <c r="H211" s="169"/>
      <c r="I211" s="169"/>
      <c r="J211" s="169"/>
      <c r="K211" s="169"/>
      <c r="L211" s="172"/>
      <c r="M211" s="172"/>
      <c r="N211" s="169"/>
      <c r="O211" s="169"/>
      <c r="P211" s="169"/>
      <c r="Q211" s="175"/>
      <c r="R211" s="175"/>
      <c r="S211" s="175"/>
      <c r="T211" s="175"/>
      <c r="U211" s="175"/>
      <c r="V211" s="175"/>
      <c r="W211" s="176"/>
      <c r="X211" s="176"/>
      <c r="Y211" s="176"/>
      <c r="Z211" s="176"/>
      <c r="AA211" s="176"/>
      <c r="AB211" s="176"/>
      <c r="AC211" s="169"/>
      <c r="AD211" s="169"/>
      <c r="AE211" s="169"/>
      <c r="AF211" s="169"/>
      <c r="AG211" s="77"/>
      <c r="AH211" s="77"/>
      <c r="AI211" s="169"/>
      <c r="AJ211" s="169"/>
      <c r="AK211" s="169"/>
      <c r="AL211" s="169"/>
      <c r="AM211" s="169"/>
      <c r="AN211" s="169"/>
      <c r="AO211" s="169"/>
      <c r="AP211" s="169"/>
    </row>
    <row r="212" ht="24.75" customHeight="1">
      <c r="A212" s="177"/>
      <c r="B212" s="182" t="s">
        <v>110</v>
      </c>
      <c r="C212" s="178" t="s">
        <v>111</v>
      </c>
      <c r="D212" s="177"/>
      <c r="E212" s="177"/>
      <c r="F212" s="177"/>
      <c r="G212" s="177"/>
      <c r="H212" s="177"/>
      <c r="I212" s="177"/>
      <c r="J212" s="177"/>
      <c r="K212" s="177"/>
      <c r="L212" s="179"/>
      <c r="M212" s="179"/>
      <c r="N212" s="177"/>
      <c r="O212" s="177"/>
      <c r="P212" s="177"/>
      <c r="Q212" s="180"/>
      <c r="R212" s="180"/>
      <c r="S212" s="180"/>
      <c r="T212" s="180"/>
      <c r="U212" s="180"/>
      <c r="V212" s="180"/>
      <c r="W212" s="181"/>
      <c r="X212" s="181"/>
      <c r="Y212" s="181"/>
      <c r="Z212" s="181"/>
      <c r="AA212" s="181"/>
      <c r="AB212" s="181"/>
      <c r="AC212" s="177"/>
      <c r="AD212" s="177"/>
      <c r="AE212" s="177"/>
      <c r="AF212" s="177"/>
      <c r="AG212" s="77"/>
      <c r="AH212" s="77"/>
      <c r="AI212" s="177"/>
      <c r="AJ212" s="177"/>
      <c r="AK212" s="177"/>
      <c r="AL212" s="177"/>
      <c r="AM212" s="177"/>
      <c r="AN212" s="177"/>
      <c r="AO212" s="177"/>
      <c r="AP212" s="177"/>
    </row>
    <row r="213" ht="12.0" customHeight="1">
      <c r="A213" s="177"/>
      <c r="B213" s="178"/>
      <c r="C213" s="178"/>
      <c r="D213" s="177"/>
      <c r="E213" s="177"/>
      <c r="F213" s="177"/>
      <c r="G213" s="177"/>
      <c r="H213" s="177"/>
      <c r="I213" s="177"/>
      <c r="J213" s="177"/>
      <c r="K213" s="177"/>
      <c r="L213" s="179"/>
      <c r="M213" s="179"/>
      <c r="N213" s="177"/>
      <c r="O213" s="177"/>
      <c r="P213" s="177"/>
      <c r="Q213" s="180"/>
      <c r="R213" s="180"/>
      <c r="S213" s="180"/>
      <c r="T213" s="180"/>
      <c r="U213" s="180"/>
      <c r="V213" s="180"/>
      <c r="W213" s="181"/>
      <c r="X213" s="181"/>
      <c r="Y213" s="181"/>
      <c r="Z213" s="181"/>
      <c r="AA213" s="181"/>
      <c r="AB213" s="181"/>
      <c r="AC213" s="177"/>
      <c r="AD213" s="177"/>
      <c r="AE213" s="177"/>
      <c r="AF213" s="177"/>
      <c r="AG213" s="77"/>
      <c r="AH213" s="77"/>
      <c r="AI213" s="177"/>
      <c r="AJ213" s="177"/>
      <c r="AK213" s="177"/>
      <c r="AL213" s="177"/>
      <c r="AM213" s="177"/>
      <c r="AN213" s="177"/>
      <c r="AO213" s="177"/>
      <c r="AP213" s="177"/>
    </row>
    <row r="214" ht="28.5" customHeight="1">
      <c r="A214" s="169"/>
      <c r="B214" s="169"/>
      <c r="C214" s="151" t="s">
        <v>76</v>
      </c>
      <c r="D214" s="152" t="s">
        <v>77</v>
      </c>
      <c r="E214" s="136"/>
      <c r="F214" s="136"/>
      <c r="G214" s="136"/>
      <c r="H214" s="137"/>
      <c r="I214" s="153" t="s">
        <v>78</v>
      </c>
      <c r="J214" s="154" t="s">
        <v>79</v>
      </c>
      <c r="K214" s="137"/>
      <c r="L214" s="155" t="s">
        <v>80</v>
      </c>
      <c r="M214" s="137"/>
      <c r="N214" s="152" t="s">
        <v>65</v>
      </c>
      <c r="O214" s="137"/>
      <c r="P214" s="169"/>
      <c r="Q214" s="175"/>
      <c r="R214" s="175"/>
      <c r="S214" s="175"/>
      <c r="T214" s="175"/>
      <c r="U214" s="175"/>
      <c r="V214" s="175"/>
      <c r="W214" s="176"/>
      <c r="X214" s="176"/>
      <c r="Y214" s="176"/>
      <c r="Z214" s="176"/>
      <c r="AA214" s="176"/>
      <c r="AB214" s="176"/>
      <c r="AC214" s="169"/>
      <c r="AD214" s="169"/>
      <c r="AE214" s="169"/>
      <c r="AF214" s="169"/>
      <c r="AG214" s="77"/>
      <c r="AH214" s="77"/>
      <c r="AI214" s="169"/>
      <c r="AJ214" s="169"/>
      <c r="AK214" s="169"/>
      <c r="AL214" s="169"/>
      <c r="AM214" s="169"/>
      <c r="AN214" s="169"/>
      <c r="AO214" s="169"/>
      <c r="AP214" s="169"/>
    </row>
    <row r="215" ht="28.5" customHeight="1">
      <c r="A215" s="169"/>
      <c r="B215" s="169"/>
      <c r="C215" s="118"/>
      <c r="D215" s="158" t="s">
        <v>81</v>
      </c>
      <c r="E215" s="158" t="s">
        <v>82</v>
      </c>
      <c r="F215" s="158" t="s">
        <v>82</v>
      </c>
      <c r="G215" s="158" t="s">
        <v>82</v>
      </c>
      <c r="H215" s="158" t="s">
        <v>82</v>
      </c>
      <c r="I215" s="118"/>
      <c r="J215" s="158" t="s">
        <v>53</v>
      </c>
      <c r="K215" s="158" t="s">
        <v>54</v>
      </c>
      <c r="L215" s="159" t="s">
        <v>53</v>
      </c>
      <c r="M215" s="159" t="s">
        <v>54</v>
      </c>
      <c r="N215" s="158" t="s">
        <v>53</v>
      </c>
      <c r="O215" s="158" t="s">
        <v>54</v>
      </c>
      <c r="P215" s="169"/>
      <c r="Q215" s="175"/>
      <c r="R215" s="175"/>
      <c r="S215" s="175"/>
      <c r="T215" s="175"/>
      <c r="U215" s="175"/>
      <c r="V215" s="175"/>
      <c r="W215" s="176"/>
      <c r="X215" s="176"/>
      <c r="Y215" s="176"/>
      <c r="Z215" s="176"/>
      <c r="AA215" s="176"/>
      <c r="AB215" s="176"/>
      <c r="AC215" s="169"/>
      <c r="AD215" s="169"/>
      <c r="AE215" s="169"/>
      <c r="AF215" s="169"/>
      <c r="AG215" s="77"/>
      <c r="AH215" s="77"/>
      <c r="AI215" s="169"/>
      <c r="AJ215" s="169"/>
      <c r="AK215" s="169"/>
      <c r="AL215" s="169"/>
      <c r="AM215" s="169"/>
      <c r="AN215" s="169"/>
      <c r="AO215" s="169"/>
      <c r="AP215" s="169"/>
    </row>
    <row r="216" ht="34.5" customHeight="1">
      <c r="A216" s="169"/>
      <c r="B216" s="169"/>
      <c r="C216" s="167" t="s">
        <v>89</v>
      </c>
      <c r="D216" s="165" t="s">
        <v>83</v>
      </c>
      <c r="E216" s="165" t="s">
        <v>84</v>
      </c>
      <c r="F216" s="165"/>
      <c r="G216" s="165"/>
      <c r="H216" s="165" t="s">
        <v>112</v>
      </c>
      <c r="I216" s="165">
        <v>331.0</v>
      </c>
      <c r="J216" s="166">
        <v>3370000.0</v>
      </c>
      <c r="K216" s="166">
        <v>3370000.0</v>
      </c>
      <c r="L216" s="161">
        <v>3049966.0</v>
      </c>
      <c r="M216" s="161">
        <v>3049966.0</v>
      </c>
      <c r="N216" s="163">
        <f t="shared" ref="N216:O216" si="366">J216+L216</f>
        <v>6419966</v>
      </c>
      <c r="O216" s="163">
        <f t="shared" si="366"/>
        <v>6419966</v>
      </c>
      <c r="P216" s="169"/>
      <c r="Q216" s="175">
        <v>3370000.0</v>
      </c>
      <c r="R216" s="175">
        <v>3370000.0</v>
      </c>
      <c r="S216" s="175">
        <v>3049966.4</v>
      </c>
      <c r="T216" s="175">
        <v>3049966.4</v>
      </c>
      <c r="U216" s="175">
        <v>6419966.4</v>
      </c>
      <c r="V216" s="175">
        <v>6419966.4</v>
      </c>
      <c r="W216" s="164">
        <f t="shared" ref="W216:AB216" si="367">+J216-Q216</f>
        <v>0</v>
      </c>
      <c r="X216" s="164">
        <f t="shared" si="367"/>
        <v>0</v>
      </c>
      <c r="Y216" s="164">
        <f t="shared" si="367"/>
        <v>-0.3999999999</v>
      </c>
      <c r="Z216" s="164">
        <f t="shared" si="367"/>
        <v>-0.3999999999</v>
      </c>
      <c r="AA216" s="164">
        <f t="shared" si="367"/>
        <v>-0.4000000004</v>
      </c>
      <c r="AB216" s="164">
        <f t="shared" si="367"/>
        <v>-0.4000000004</v>
      </c>
      <c r="AC216" s="169"/>
      <c r="AD216" s="169"/>
      <c r="AE216" s="169"/>
      <c r="AF216" s="169"/>
      <c r="AG216" s="77"/>
      <c r="AH216" s="77"/>
      <c r="AI216" s="169"/>
      <c r="AJ216" s="169"/>
      <c r="AK216" s="169"/>
      <c r="AL216" s="169"/>
      <c r="AM216" s="169"/>
      <c r="AN216" s="169"/>
      <c r="AO216" s="169"/>
      <c r="AP216" s="169"/>
    </row>
    <row r="217" ht="34.5" customHeight="1">
      <c r="A217" s="169"/>
      <c r="B217" s="169"/>
      <c r="C217" s="130"/>
      <c r="D217" s="165" t="s">
        <v>83</v>
      </c>
      <c r="E217" s="165" t="s">
        <v>85</v>
      </c>
      <c r="F217" s="165"/>
      <c r="G217" s="165"/>
      <c r="H217" s="165" t="s">
        <v>112</v>
      </c>
      <c r="I217" s="165">
        <v>310.0</v>
      </c>
      <c r="J217" s="166">
        <v>3050000.0</v>
      </c>
      <c r="K217" s="166">
        <v>3050000.0</v>
      </c>
      <c r="L217" s="161">
        <v>2856464.0</v>
      </c>
      <c r="M217" s="161">
        <v>2856464.0</v>
      </c>
      <c r="N217" s="163">
        <f t="shared" ref="N217:O217" si="368">J217+L217</f>
        <v>5906464</v>
      </c>
      <c r="O217" s="163">
        <f t="shared" si="368"/>
        <v>5906464</v>
      </c>
      <c r="P217" s="169"/>
      <c r="Q217" s="175">
        <v>3050000.0</v>
      </c>
      <c r="R217" s="175">
        <v>3050000.0</v>
      </c>
      <c r="S217" s="175">
        <v>2856464.0000000005</v>
      </c>
      <c r="T217" s="175">
        <v>2856464.0000000005</v>
      </c>
      <c r="U217" s="175">
        <v>5906464.0</v>
      </c>
      <c r="V217" s="175">
        <v>5906464.0</v>
      </c>
      <c r="W217" s="164">
        <f t="shared" ref="W217:AB217" si="369">+J217-Q217</f>
        <v>0</v>
      </c>
      <c r="X217" s="164">
        <f t="shared" si="369"/>
        <v>0</v>
      </c>
      <c r="Y217" s="164">
        <f t="shared" si="369"/>
        <v>-0.0000000004656612873</v>
      </c>
      <c r="Z217" s="164">
        <f t="shared" si="369"/>
        <v>-0.0000000004656612873</v>
      </c>
      <c r="AA217" s="164">
        <f t="shared" si="369"/>
        <v>0</v>
      </c>
      <c r="AB217" s="164">
        <f t="shared" si="369"/>
        <v>0</v>
      </c>
      <c r="AC217" s="169"/>
      <c r="AD217" s="169"/>
      <c r="AE217" s="169"/>
      <c r="AF217" s="169"/>
      <c r="AG217" s="77"/>
      <c r="AH217" s="77"/>
      <c r="AI217" s="169"/>
      <c r="AJ217" s="169"/>
      <c r="AK217" s="169"/>
      <c r="AL217" s="169"/>
      <c r="AM217" s="169"/>
      <c r="AN217" s="169"/>
      <c r="AO217" s="169"/>
      <c r="AP217" s="169"/>
    </row>
    <row r="218" ht="34.5" customHeight="1">
      <c r="A218" s="169"/>
      <c r="B218" s="169"/>
      <c r="C218" s="130"/>
      <c r="D218" s="165" t="s">
        <v>83</v>
      </c>
      <c r="E218" s="165" t="s">
        <v>86</v>
      </c>
      <c r="F218" s="165"/>
      <c r="G218" s="165"/>
      <c r="H218" s="165" t="s">
        <v>112</v>
      </c>
      <c r="I218" s="165">
        <v>299.0</v>
      </c>
      <c r="J218" s="166">
        <v>3050000.0</v>
      </c>
      <c r="K218" s="166">
        <v>3050000.0</v>
      </c>
      <c r="L218" s="161">
        <v>2755106.0</v>
      </c>
      <c r="M218" s="161">
        <v>2755106.0</v>
      </c>
      <c r="N218" s="163">
        <f t="shared" ref="N218:O218" si="370">J218+L218</f>
        <v>5805106</v>
      </c>
      <c r="O218" s="163">
        <f t="shared" si="370"/>
        <v>5805106</v>
      </c>
      <c r="P218" s="169"/>
      <c r="Q218" s="175">
        <v>3050000.0</v>
      </c>
      <c r="R218" s="175">
        <v>3050000.0</v>
      </c>
      <c r="S218" s="175">
        <v>2755105.6</v>
      </c>
      <c r="T218" s="175">
        <v>2755105.6</v>
      </c>
      <c r="U218" s="175">
        <v>5805105.6</v>
      </c>
      <c r="V218" s="175">
        <v>5805105.6</v>
      </c>
      <c r="W218" s="164">
        <f t="shared" ref="W218:AB218" si="371">+J218-Q218</f>
        <v>0</v>
      </c>
      <c r="X218" s="164">
        <f t="shared" si="371"/>
        <v>0</v>
      </c>
      <c r="Y218" s="164">
        <f t="shared" si="371"/>
        <v>0.3999999999</v>
      </c>
      <c r="Z218" s="164">
        <f t="shared" si="371"/>
        <v>0.3999999999</v>
      </c>
      <c r="AA218" s="164">
        <f t="shared" si="371"/>
        <v>0.4000000004</v>
      </c>
      <c r="AB218" s="164">
        <f t="shared" si="371"/>
        <v>0.4000000004</v>
      </c>
      <c r="AC218" s="169"/>
      <c r="AD218" s="169"/>
      <c r="AE218" s="169"/>
      <c r="AF218" s="169"/>
      <c r="AG218" s="77"/>
      <c r="AH218" s="77"/>
      <c r="AI218" s="169"/>
      <c r="AJ218" s="169"/>
      <c r="AK218" s="169"/>
      <c r="AL218" s="169"/>
      <c r="AM218" s="169"/>
      <c r="AN218" s="169"/>
      <c r="AO218" s="169"/>
      <c r="AP218" s="169"/>
    </row>
    <row r="219" ht="34.5" customHeight="1">
      <c r="A219" s="169"/>
      <c r="B219" s="169"/>
      <c r="C219" s="130"/>
      <c r="D219" s="165" t="s">
        <v>83</v>
      </c>
      <c r="E219" s="165" t="s">
        <v>84</v>
      </c>
      <c r="F219" s="165" t="s">
        <v>85</v>
      </c>
      <c r="G219" s="165"/>
      <c r="H219" s="165" t="s">
        <v>112</v>
      </c>
      <c r="I219" s="165">
        <v>356.0</v>
      </c>
      <c r="J219" s="166">
        <v>3850000.0</v>
      </c>
      <c r="K219" s="166">
        <v>3850000.0</v>
      </c>
      <c r="L219" s="161">
        <v>3280326.0</v>
      </c>
      <c r="M219" s="161">
        <v>3280326.0</v>
      </c>
      <c r="N219" s="163">
        <f t="shared" ref="N219:O219" si="372">J219+L219</f>
        <v>7130326</v>
      </c>
      <c r="O219" s="163">
        <f t="shared" si="372"/>
        <v>7130326</v>
      </c>
      <c r="P219" s="169"/>
      <c r="Q219" s="175">
        <v>3850000.0</v>
      </c>
      <c r="R219" s="175">
        <v>3850000.0</v>
      </c>
      <c r="S219" s="175">
        <v>3280326.4</v>
      </c>
      <c r="T219" s="175">
        <v>3280326.4</v>
      </c>
      <c r="U219" s="175">
        <v>7130326.4</v>
      </c>
      <c r="V219" s="175">
        <v>7130326.4</v>
      </c>
      <c r="W219" s="164">
        <f t="shared" ref="W219:AB219" si="373">+J219-Q219</f>
        <v>0</v>
      </c>
      <c r="X219" s="164">
        <f t="shared" si="373"/>
        <v>0</v>
      </c>
      <c r="Y219" s="164">
        <f t="shared" si="373"/>
        <v>-0.3999999999</v>
      </c>
      <c r="Z219" s="164">
        <f t="shared" si="373"/>
        <v>-0.3999999999</v>
      </c>
      <c r="AA219" s="164">
        <f t="shared" si="373"/>
        <v>-0.4000000004</v>
      </c>
      <c r="AB219" s="164">
        <f t="shared" si="373"/>
        <v>-0.4000000004</v>
      </c>
      <c r="AC219" s="169"/>
      <c r="AD219" s="169"/>
      <c r="AE219" s="169"/>
      <c r="AF219" s="169"/>
      <c r="AG219" s="77"/>
      <c r="AH219" s="77"/>
      <c r="AI219" s="169"/>
      <c r="AJ219" s="169"/>
      <c r="AK219" s="169"/>
      <c r="AL219" s="169"/>
      <c r="AM219" s="169"/>
      <c r="AN219" s="169"/>
      <c r="AO219" s="169"/>
      <c r="AP219" s="169"/>
    </row>
    <row r="220" ht="34.5" customHeight="1">
      <c r="A220" s="169"/>
      <c r="B220" s="169"/>
      <c r="C220" s="130"/>
      <c r="D220" s="165" t="s">
        <v>83</v>
      </c>
      <c r="E220" s="165" t="s">
        <v>84</v>
      </c>
      <c r="F220" s="165" t="s">
        <v>86</v>
      </c>
      <c r="G220" s="165"/>
      <c r="H220" s="165" t="s">
        <v>112</v>
      </c>
      <c r="I220" s="165">
        <v>364.0</v>
      </c>
      <c r="J220" s="166">
        <v>3870000.0</v>
      </c>
      <c r="K220" s="166">
        <v>3870000.0</v>
      </c>
      <c r="L220" s="161">
        <v>3354042.0</v>
      </c>
      <c r="M220" s="161">
        <v>3354042.0</v>
      </c>
      <c r="N220" s="163">
        <f t="shared" ref="N220:O220" si="374">J220+L220</f>
        <v>7224042</v>
      </c>
      <c r="O220" s="163">
        <f t="shared" si="374"/>
        <v>7224042</v>
      </c>
      <c r="P220" s="169"/>
      <c r="Q220" s="175">
        <v>3870000.0</v>
      </c>
      <c r="R220" s="175">
        <v>3870000.0</v>
      </c>
      <c r="S220" s="175">
        <v>3354041.6</v>
      </c>
      <c r="T220" s="175">
        <v>3354041.6</v>
      </c>
      <c r="U220" s="175">
        <v>7224041.6</v>
      </c>
      <c r="V220" s="175">
        <v>7224041.6</v>
      </c>
      <c r="W220" s="164">
        <f t="shared" ref="W220:AB220" si="375">+J220-Q220</f>
        <v>0</v>
      </c>
      <c r="X220" s="164">
        <f t="shared" si="375"/>
        <v>0</v>
      </c>
      <c r="Y220" s="164">
        <f t="shared" si="375"/>
        <v>0.3999999999</v>
      </c>
      <c r="Z220" s="164">
        <f t="shared" si="375"/>
        <v>0.3999999999</v>
      </c>
      <c r="AA220" s="164">
        <f t="shared" si="375"/>
        <v>0.4000000004</v>
      </c>
      <c r="AB220" s="164">
        <f t="shared" si="375"/>
        <v>0.4000000004</v>
      </c>
      <c r="AC220" s="169"/>
      <c r="AD220" s="169"/>
      <c r="AE220" s="169"/>
      <c r="AF220" s="169"/>
      <c r="AG220" s="77"/>
      <c r="AH220" s="77"/>
      <c r="AI220" s="169"/>
      <c r="AJ220" s="169"/>
      <c r="AK220" s="169"/>
      <c r="AL220" s="169"/>
      <c r="AM220" s="169"/>
      <c r="AN220" s="169"/>
      <c r="AO220" s="169"/>
      <c r="AP220" s="169"/>
    </row>
    <row r="221" ht="34.5" customHeight="1">
      <c r="A221" s="169"/>
      <c r="B221" s="169"/>
      <c r="C221" s="130"/>
      <c r="D221" s="165" t="s">
        <v>83</v>
      </c>
      <c r="E221" s="165" t="s">
        <v>85</v>
      </c>
      <c r="F221" s="165" t="s">
        <v>86</v>
      </c>
      <c r="G221" s="165"/>
      <c r="H221" s="165" t="s">
        <v>112</v>
      </c>
      <c r="I221" s="165">
        <v>324.0</v>
      </c>
      <c r="J221" s="166">
        <v>3440000.0</v>
      </c>
      <c r="K221" s="166">
        <v>3440000.0</v>
      </c>
      <c r="L221" s="161">
        <v>2985466.0</v>
      </c>
      <c r="M221" s="161">
        <v>2985466.0</v>
      </c>
      <c r="N221" s="163">
        <f t="shared" ref="N221:O221" si="376">J221+L221</f>
        <v>6425466</v>
      </c>
      <c r="O221" s="163">
        <f t="shared" si="376"/>
        <v>6425466</v>
      </c>
      <c r="P221" s="169"/>
      <c r="Q221" s="175">
        <v>3440000.0</v>
      </c>
      <c r="R221" s="175">
        <v>3440000.0</v>
      </c>
      <c r="S221" s="175">
        <v>2985465.6</v>
      </c>
      <c r="T221" s="175">
        <v>2985465.6</v>
      </c>
      <c r="U221" s="175">
        <v>6425465.6</v>
      </c>
      <c r="V221" s="175">
        <v>6425465.6</v>
      </c>
      <c r="W221" s="164">
        <f t="shared" ref="W221:AB221" si="377">+J221-Q221</f>
        <v>0</v>
      </c>
      <c r="X221" s="164">
        <f t="shared" si="377"/>
        <v>0</v>
      </c>
      <c r="Y221" s="164">
        <f t="shared" si="377"/>
        <v>0.3999999999</v>
      </c>
      <c r="Z221" s="164">
        <f t="shared" si="377"/>
        <v>0.3999999999</v>
      </c>
      <c r="AA221" s="164">
        <f t="shared" si="377"/>
        <v>0.4000000004</v>
      </c>
      <c r="AB221" s="164">
        <f t="shared" si="377"/>
        <v>0.4000000004</v>
      </c>
      <c r="AC221" s="169"/>
      <c r="AD221" s="169"/>
      <c r="AE221" s="169"/>
      <c r="AF221" s="169"/>
      <c r="AG221" s="77"/>
      <c r="AH221" s="77"/>
      <c r="AI221" s="169"/>
      <c r="AJ221" s="169"/>
      <c r="AK221" s="169"/>
      <c r="AL221" s="169"/>
      <c r="AM221" s="169"/>
      <c r="AN221" s="169"/>
      <c r="AO221" s="169"/>
      <c r="AP221" s="169"/>
    </row>
    <row r="222" ht="34.5" customHeight="1">
      <c r="A222" s="169"/>
      <c r="B222" s="169"/>
      <c r="C222" s="130"/>
      <c r="D222" s="165" t="s">
        <v>83</v>
      </c>
      <c r="E222" s="165" t="s">
        <v>84</v>
      </c>
      <c r="F222" s="165" t="s">
        <v>85</v>
      </c>
      <c r="G222" s="165" t="s">
        <v>86</v>
      </c>
      <c r="H222" s="165" t="s">
        <v>112</v>
      </c>
      <c r="I222" s="165">
        <v>410.0</v>
      </c>
      <c r="J222" s="166">
        <v>4170000.0</v>
      </c>
      <c r="K222" s="166">
        <v>4170000.0</v>
      </c>
      <c r="L222" s="161">
        <v>3777904.0</v>
      </c>
      <c r="M222" s="161">
        <v>3777904.0</v>
      </c>
      <c r="N222" s="163">
        <f t="shared" ref="N222:O222" si="378">J222+L222</f>
        <v>7947904</v>
      </c>
      <c r="O222" s="163">
        <f t="shared" si="378"/>
        <v>7947904</v>
      </c>
      <c r="P222" s="169"/>
      <c r="Q222" s="175">
        <v>4170000.0</v>
      </c>
      <c r="R222" s="175">
        <v>4170000.0</v>
      </c>
      <c r="S222" s="175">
        <v>3777904.0000000005</v>
      </c>
      <c r="T222" s="175">
        <v>3777904.0000000005</v>
      </c>
      <c r="U222" s="175">
        <v>7947904.0</v>
      </c>
      <c r="V222" s="175">
        <v>7947904.0</v>
      </c>
      <c r="W222" s="164">
        <f t="shared" ref="W222:AB222" si="379">+J222-Q222</f>
        <v>0</v>
      </c>
      <c r="X222" s="164">
        <f t="shared" si="379"/>
        <v>0</v>
      </c>
      <c r="Y222" s="164">
        <f t="shared" si="379"/>
        <v>-0.0000000004656612873</v>
      </c>
      <c r="Z222" s="164">
        <f t="shared" si="379"/>
        <v>-0.0000000004656612873</v>
      </c>
      <c r="AA222" s="164">
        <f t="shared" si="379"/>
        <v>0</v>
      </c>
      <c r="AB222" s="164">
        <f t="shared" si="379"/>
        <v>0</v>
      </c>
      <c r="AC222" s="169"/>
      <c r="AD222" s="169"/>
      <c r="AE222" s="169"/>
      <c r="AF222" s="169"/>
      <c r="AG222" s="77"/>
      <c r="AH222" s="77"/>
      <c r="AI222" s="169"/>
      <c r="AJ222" s="169"/>
      <c r="AK222" s="169"/>
      <c r="AL222" s="169"/>
      <c r="AM222" s="169"/>
      <c r="AN222" s="169"/>
      <c r="AO222" s="169"/>
      <c r="AP222" s="169"/>
    </row>
    <row r="223" ht="34.5" customHeight="1">
      <c r="A223" s="169"/>
      <c r="B223" s="169"/>
      <c r="C223" s="130"/>
      <c r="D223" s="165" t="s">
        <v>83</v>
      </c>
      <c r="E223" s="165" t="s">
        <v>87</v>
      </c>
      <c r="F223" s="165"/>
      <c r="G223" s="165"/>
      <c r="H223" s="165" t="s">
        <v>112</v>
      </c>
      <c r="I223" s="165">
        <v>239.0</v>
      </c>
      <c r="J223" s="166">
        <v>2770000.0</v>
      </c>
      <c r="K223" s="166">
        <v>2770000.0</v>
      </c>
      <c r="L223" s="161">
        <v>2202242.0</v>
      </c>
      <c r="M223" s="161">
        <v>2202242.0</v>
      </c>
      <c r="N223" s="163">
        <f t="shared" ref="N223:O223" si="380">J223+L223</f>
        <v>4972242</v>
      </c>
      <c r="O223" s="163">
        <f t="shared" si="380"/>
        <v>4972242</v>
      </c>
      <c r="P223" s="169"/>
      <c r="Q223" s="175">
        <v>2770000.0</v>
      </c>
      <c r="R223" s="175">
        <v>2770000.0</v>
      </c>
      <c r="S223" s="175">
        <v>2202241.6</v>
      </c>
      <c r="T223" s="175">
        <v>2202241.6</v>
      </c>
      <c r="U223" s="175">
        <v>4972241.6</v>
      </c>
      <c r="V223" s="175">
        <v>4972241.6</v>
      </c>
      <c r="W223" s="164">
        <f t="shared" ref="W223:AB223" si="381">+J223-Q223</f>
        <v>0</v>
      </c>
      <c r="X223" s="164">
        <f t="shared" si="381"/>
        <v>0</v>
      </c>
      <c r="Y223" s="164">
        <f t="shared" si="381"/>
        <v>0.3999999999</v>
      </c>
      <c r="Z223" s="164">
        <f t="shared" si="381"/>
        <v>0.3999999999</v>
      </c>
      <c r="AA223" s="164">
        <f t="shared" si="381"/>
        <v>0.4000000004</v>
      </c>
      <c r="AB223" s="164">
        <f t="shared" si="381"/>
        <v>0.4000000004</v>
      </c>
      <c r="AC223" s="169"/>
      <c r="AD223" s="169"/>
      <c r="AE223" s="169"/>
      <c r="AF223" s="169"/>
      <c r="AG223" s="77"/>
      <c r="AH223" s="77"/>
      <c r="AI223" s="169"/>
      <c r="AJ223" s="169"/>
      <c r="AK223" s="169"/>
      <c r="AL223" s="169"/>
      <c r="AM223" s="169"/>
      <c r="AN223" s="169"/>
      <c r="AO223" s="169"/>
      <c r="AP223" s="169"/>
    </row>
    <row r="224" ht="34.5" customHeight="1">
      <c r="A224" s="169"/>
      <c r="B224" s="169"/>
      <c r="C224" s="130"/>
      <c r="D224" s="165" t="s">
        <v>83</v>
      </c>
      <c r="E224" s="165" t="s">
        <v>87</v>
      </c>
      <c r="F224" s="165" t="s">
        <v>84</v>
      </c>
      <c r="G224" s="165"/>
      <c r="H224" s="165" t="s">
        <v>112</v>
      </c>
      <c r="I224" s="165">
        <v>332.0</v>
      </c>
      <c r="J224" s="166">
        <v>3520000.0</v>
      </c>
      <c r="K224" s="166">
        <v>3520000.0</v>
      </c>
      <c r="L224" s="161">
        <v>3059181.0</v>
      </c>
      <c r="M224" s="161">
        <v>3059181.0</v>
      </c>
      <c r="N224" s="163">
        <f t="shared" ref="N224:O224" si="382">J224+L224</f>
        <v>6579181</v>
      </c>
      <c r="O224" s="163">
        <f t="shared" si="382"/>
        <v>6579181</v>
      </c>
      <c r="P224" s="169"/>
      <c r="Q224" s="175">
        <v>3520000.0</v>
      </c>
      <c r="R224" s="175">
        <v>3520000.0</v>
      </c>
      <c r="S224" s="175">
        <v>3059180.8000000003</v>
      </c>
      <c r="T224" s="175">
        <v>3059180.8000000003</v>
      </c>
      <c r="U224" s="175">
        <v>6579180.800000001</v>
      </c>
      <c r="V224" s="175">
        <v>6579180.800000001</v>
      </c>
      <c r="W224" s="164">
        <f t="shared" ref="W224:AB224" si="383">+J224-Q224</f>
        <v>0</v>
      </c>
      <c r="X224" s="164">
        <f t="shared" si="383"/>
        <v>0</v>
      </c>
      <c r="Y224" s="164">
        <f t="shared" si="383"/>
        <v>0.1999999997</v>
      </c>
      <c r="Z224" s="164">
        <f t="shared" si="383"/>
        <v>0.1999999997</v>
      </c>
      <c r="AA224" s="164">
        <f t="shared" si="383"/>
        <v>0.1999999993</v>
      </c>
      <c r="AB224" s="164">
        <f t="shared" si="383"/>
        <v>0.1999999993</v>
      </c>
      <c r="AC224" s="169"/>
      <c r="AD224" s="169"/>
      <c r="AE224" s="169"/>
      <c r="AF224" s="169"/>
      <c r="AG224" s="77"/>
      <c r="AH224" s="77"/>
      <c r="AI224" s="169"/>
      <c r="AJ224" s="169"/>
      <c r="AK224" s="169"/>
      <c r="AL224" s="169"/>
      <c r="AM224" s="169"/>
      <c r="AN224" s="169"/>
      <c r="AO224" s="169"/>
      <c r="AP224" s="169"/>
    </row>
    <row r="225" ht="34.5" customHeight="1">
      <c r="A225" s="169"/>
      <c r="B225" s="169"/>
      <c r="C225" s="130"/>
      <c r="D225" s="165" t="s">
        <v>83</v>
      </c>
      <c r="E225" s="165" t="s">
        <v>87</v>
      </c>
      <c r="F225" s="165" t="s">
        <v>85</v>
      </c>
      <c r="G225" s="165"/>
      <c r="H225" s="165" t="s">
        <v>112</v>
      </c>
      <c r="I225" s="165">
        <v>320.0</v>
      </c>
      <c r="J225" s="166">
        <v>3480000.0</v>
      </c>
      <c r="K225" s="166">
        <v>3480000.0</v>
      </c>
      <c r="L225" s="161">
        <v>2948608.0</v>
      </c>
      <c r="M225" s="161">
        <v>2948608.0</v>
      </c>
      <c r="N225" s="163">
        <f t="shared" ref="N225:O225" si="384">J225+L225</f>
        <v>6428608</v>
      </c>
      <c r="O225" s="163">
        <f t="shared" si="384"/>
        <v>6428608</v>
      </c>
      <c r="P225" s="169"/>
      <c r="Q225" s="175">
        <v>3480000.0</v>
      </c>
      <c r="R225" s="175">
        <v>3480000.0</v>
      </c>
      <c r="S225" s="175">
        <v>2948608.0</v>
      </c>
      <c r="T225" s="175">
        <v>2948608.0</v>
      </c>
      <c r="U225" s="175">
        <v>6428608.0</v>
      </c>
      <c r="V225" s="175">
        <v>6428608.0</v>
      </c>
      <c r="W225" s="164">
        <f t="shared" ref="W225:AB225" si="385">+J225-Q225</f>
        <v>0</v>
      </c>
      <c r="X225" s="164">
        <f t="shared" si="385"/>
        <v>0</v>
      </c>
      <c r="Y225" s="164">
        <f t="shared" si="385"/>
        <v>0</v>
      </c>
      <c r="Z225" s="164">
        <f t="shared" si="385"/>
        <v>0</v>
      </c>
      <c r="AA225" s="164">
        <f t="shared" si="385"/>
        <v>0</v>
      </c>
      <c r="AB225" s="164">
        <f t="shared" si="385"/>
        <v>0</v>
      </c>
      <c r="AC225" s="169"/>
      <c r="AD225" s="169"/>
      <c r="AE225" s="169"/>
      <c r="AF225" s="169"/>
      <c r="AG225" s="77"/>
      <c r="AH225" s="77"/>
      <c r="AI225" s="169"/>
      <c r="AJ225" s="169"/>
      <c r="AK225" s="169"/>
      <c r="AL225" s="169"/>
      <c r="AM225" s="169"/>
      <c r="AN225" s="169"/>
      <c r="AO225" s="169"/>
      <c r="AP225" s="169"/>
    </row>
    <row r="226" ht="34.5" customHeight="1">
      <c r="A226" s="169"/>
      <c r="B226" s="169"/>
      <c r="C226" s="130"/>
      <c r="D226" s="165" t="s">
        <v>83</v>
      </c>
      <c r="E226" s="165" t="s">
        <v>88</v>
      </c>
      <c r="F226" s="165"/>
      <c r="G226" s="165"/>
      <c r="H226" s="165" t="s">
        <v>112</v>
      </c>
      <c r="I226" s="165">
        <v>290.0</v>
      </c>
      <c r="J226" s="166">
        <v>3120000.0</v>
      </c>
      <c r="K226" s="166">
        <v>3120000.0</v>
      </c>
      <c r="L226" s="161">
        <v>2672176.0</v>
      </c>
      <c r="M226" s="161">
        <v>2672176.0</v>
      </c>
      <c r="N226" s="163">
        <f t="shared" ref="N226:O226" si="386">J226+L226</f>
        <v>5792176</v>
      </c>
      <c r="O226" s="163">
        <f t="shared" si="386"/>
        <v>5792176</v>
      </c>
      <c r="P226" s="169"/>
      <c r="Q226" s="175">
        <v>3120000.0</v>
      </c>
      <c r="R226" s="175">
        <v>3120000.0</v>
      </c>
      <c r="S226" s="175">
        <v>2672176.0</v>
      </c>
      <c r="T226" s="175">
        <v>2672176.0</v>
      </c>
      <c r="U226" s="175">
        <v>5792176.0</v>
      </c>
      <c r="V226" s="175">
        <v>5792176.0</v>
      </c>
      <c r="W226" s="164">
        <f t="shared" ref="W226:AB226" si="387">+J226-Q226</f>
        <v>0</v>
      </c>
      <c r="X226" s="164">
        <f t="shared" si="387"/>
        <v>0</v>
      </c>
      <c r="Y226" s="164">
        <f t="shared" si="387"/>
        <v>0</v>
      </c>
      <c r="Z226" s="164">
        <f t="shared" si="387"/>
        <v>0</v>
      </c>
      <c r="AA226" s="164">
        <f t="shared" si="387"/>
        <v>0</v>
      </c>
      <c r="AB226" s="164">
        <f t="shared" si="387"/>
        <v>0</v>
      </c>
      <c r="AC226" s="169"/>
      <c r="AD226" s="169"/>
      <c r="AE226" s="169"/>
      <c r="AF226" s="169"/>
      <c r="AG226" s="77"/>
      <c r="AH226" s="77"/>
      <c r="AI226" s="169"/>
      <c r="AJ226" s="169"/>
      <c r="AK226" s="169"/>
      <c r="AL226" s="169"/>
      <c r="AM226" s="169"/>
      <c r="AN226" s="169"/>
      <c r="AO226" s="169"/>
      <c r="AP226" s="169"/>
    </row>
    <row r="227" ht="34.5" customHeight="1">
      <c r="A227" s="169"/>
      <c r="B227" s="169"/>
      <c r="C227" s="130"/>
      <c r="D227" s="165" t="s">
        <v>83</v>
      </c>
      <c r="E227" s="165" t="s">
        <v>88</v>
      </c>
      <c r="F227" s="165" t="s">
        <v>85</v>
      </c>
      <c r="G227" s="165"/>
      <c r="H227" s="165" t="s">
        <v>112</v>
      </c>
      <c r="I227" s="165">
        <v>310.0</v>
      </c>
      <c r="J227" s="166">
        <v>3450000.0</v>
      </c>
      <c r="K227" s="166">
        <v>3450000.0</v>
      </c>
      <c r="L227" s="161">
        <v>2856464.0</v>
      </c>
      <c r="M227" s="161">
        <v>2856464.0</v>
      </c>
      <c r="N227" s="163">
        <f t="shared" ref="N227:O227" si="388">J227+L227</f>
        <v>6306464</v>
      </c>
      <c r="O227" s="163">
        <f t="shared" si="388"/>
        <v>6306464</v>
      </c>
      <c r="P227" s="169"/>
      <c r="Q227" s="175">
        <v>3450000.0</v>
      </c>
      <c r="R227" s="175">
        <v>3450000.0</v>
      </c>
      <c r="S227" s="175">
        <v>2856464.0000000005</v>
      </c>
      <c r="T227" s="175">
        <v>2856464.0000000005</v>
      </c>
      <c r="U227" s="175">
        <v>6306464.0</v>
      </c>
      <c r="V227" s="175">
        <v>6306464.0</v>
      </c>
      <c r="W227" s="164">
        <f t="shared" ref="W227:AB227" si="389">+J227-Q227</f>
        <v>0</v>
      </c>
      <c r="X227" s="164">
        <f t="shared" si="389"/>
        <v>0</v>
      </c>
      <c r="Y227" s="164">
        <f t="shared" si="389"/>
        <v>-0.0000000004656612873</v>
      </c>
      <c r="Z227" s="164">
        <f t="shared" si="389"/>
        <v>-0.0000000004656612873</v>
      </c>
      <c r="AA227" s="164">
        <f t="shared" si="389"/>
        <v>0</v>
      </c>
      <c r="AB227" s="164">
        <f t="shared" si="389"/>
        <v>0</v>
      </c>
      <c r="AC227" s="169"/>
      <c r="AD227" s="169"/>
      <c r="AE227" s="169"/>
      <c r="AF227" s="169"/>
      <c r="AG227" s="77"/>
      <c r="AH227" s="77"/>
      <c r="AI227" s="169"/>
      <c r="AJ227" s="169"/>
      <c r="AK227" s="169"/>
      <c r="AL227" s="169"/>
      <c r="AM227" s="169"/>
      <c r="AN227" s="169"/>
      <c r="AO227" s="169"/>
      <c r="AP227" s="169"/>
    </row>
    <row r="228" ht="34.5" customHeight="1">
      <c r="A228" s="169"/>
      <c r="B228" s="169"/>
      <c r="C228" s="130"/>
      <c r="D228" s="165" t="s">
        <v>83</v>
      </c>
      <c r="E228" s="165" t="s">
        <v>88</v>
      </c>
      <c r="F228" s="165" t="s">
        <v>86</v>
      </c>
      <c r="G228" s="165"/>
      <c r="H228" s="165" t="s">
        <v>112</v>
      </c>
      <c r="I228" s="165">
        <v>312.0</v>
      </c>
      <c r="J228" s="166">
        <v>3460000.0</v>
      </c>
      <c r="K228" s="166">
        <v>3460000.0</v>
      </c>
      <c r="L228" s="161">
        <v>2874893.0</v>
      </c>
      <c r="M228" s="161">
        <v>2874893.0</v>
      </c>
      <c r="N228" s="163">
        <f t="shared" ref="N228:O228" si="390">J228+L228</f>
        <v>6334893</v>
      </c>
      <c r="O228" s="163">
        <f t="shared" si="390"/>
        <v>6334893</v>
      </c>
      <c r="P228" s="169"/>
      <c r="Q228" s="175">
        <v>3460000.0</v>
      </c>
      <c r="R228" s="175">
        <v>3460000.0</v>
      </c>
      <c r="S228" s="175">
        <v>2874892.8000000003</v>
      </c>
      <c r="T228" s="175">
        <v>2874892.8000000003</v>
      </c>
      <c r="U228" s="175">
        <v>6334892.800000001</v>
      </c>
      <c r="V228" s="175">
        <v>6334892.800000001</v>
      </c>
      <c r="W228" s="164">
        <f t="shared" ref="W228:AB228" si="391">+J228-Q228</f>
        <v>0</v>
      </c>
      <c r="X228" s="164">
        <f t="shared" si="391"/>
        <v>0</v>
      </c>
      <c r="Y228" s="164">
        <f t="shared" si="391"/>
        <v>0.1999999997</v>
      </c>
      <c r="Z228" s="164">
        <f t="shared" si="391"/>
        <v>0.1999999997</v>
      </c>
      <c r="AA228" s="164">
        <f t="shared" si="391"/>
        <v>0.1999999993</v>
      </c>
      <c r="AB228" s="164">
        <f t="shared" si="391"/>
        <v>0.1999999993</v>
      </c>
      <c r="AC228" s="169"/>
      <c r="AD228" s="169"/>
      <c r="AE228" s="169"/>
      <c r="AF228" s="169"/>
      <c r="AG228" s="77"/>
      <c r="AH228" s="77"/>
      <c r="AI228" s="169"/>
      <c r="AJ228" s="169"/>
      <c r="AK228" s="169"/>
      <c r="AL228" s="169"/>
      <c r="AM228" s="169"/>
      <c r="AN228" s="169"/>
      <c r="AO228" s="169"/>
      <c r="AP228" s="169"/>
    </row>
    <row r="229" ht="34.5" customHeight="1">
      <c r="A229" s="169"/>
      <c r="B229" s="169"/>
      <c r="C229" s="118"/>
      <c r="D229" s="165" t="s">
        <v>83</v>
      </c>
      <c r="E229" s="165" t="s">
        <v>88</v>
      </c>
      <c r="F229" s="165" t="s">
        <v>85</v>
      </c>
      <c r="G229" s="165" t="s">
        <v>86</v>
      </c>
      <c r="H229" s="165" t="s">
        <v>112</v>
      </c>
      <c r="I229" s="165">
        <v>332.0</v>
      </c>
      <c r="J229" s="166">
        <v>3670000.0</v>
      </c>
      <c r="K229" s="166">
        <v>3670000.0</v>
      </c>
      <c r="L229" s="161">
        <v>3059181.0</v>
      </c>
      <c r="M229" s="161">
        <v>3059181.0</v>
      </c>
      <c r="N229" s="163">
        <f t="shared" ref="N229:O229" si="392">J229+L229</f>
        <v>6729181</v>
      </c>
      <c r="O229" s="163">
        <f t="shared" si="392"/>
        <v>6729181</v>
      </c>
      <c r="P229" s="169"/>
      <c r="Q229" s="175">
        <v>3670000.0</v>
      </c>
      <c r="R229" s="175">
        <v>3670000.0</v>
      </c>
      <c r="S229" s="175">
        <v>3059180.8000000003</v>
      </c>
      <c r="T229" s="175">
        <v>3059180.8000000003</v>
      </c>
      <c r="U229" s="175">
        <v>6729180.800000001</v>
      </c>
      <c r="V229" s="175">
        <v>6729180.800000001</v>
      </c>
      <c r="W229" s="164">
        <f t="shared" ref="W229:AB229" si="393">+J229-Q229</f>
        <v>0</v>
      </c>
      <c r="X229" s="164">
        <f t="shared" si="393"/>
        <v>0</v>
      </c>
      <c r="Y229" s="164">
        <f t="shared" si="393"/>
        <v>0.1999999997</v>
      </c>
      <c r="Z229" s="164">
        <f t="shared" si="393"/>
        <v>0.1999999997</v>
      </c>
      <c r="AA229" s="164">
        <f t="shared" si="393"/>
        <v>0.1999999993</v>
      </c>
      <c r="AB229" s="164">
        <f t="shared" si="393"/>
        <v>0.1999999993</v>
      </c>
      <c r="AC229" s="169"/>
      <c r="AD229" s="169"/>
      <c r="AE229" s="169"/>
      <c r="AF229" s="169"/>
      <c r="AG229" s="77"/>
      <c r="AH229" s="77"/>
      <c r="AI229" s="169"/>
      <c r="AJ229" s="169"/>
      <c r="AK229" s="169"/>
      <c r="AL229" s="169"/>
      <c r="AM229" s="169"/>
      <c r="AN229" s="169"/>
      <c r="AO229" s="169"/>
      <c r="AP229" s="169"/>
    </row>
    <row r="230" ht="34.5" customHeight="1">
      <c r="A230" s="169"/>
      <c r="B230" s="169"/>
      <c r="C230" s="167" t="s">
        <v>89</v>
      </c>
      <c r="D230" s="165" t="s">
        <v>90</v>
      </c>
      <c r="E230" s="165" t="s">
        <v>84</v>
      </c>
      <c r="F230" s="165"/>
      <c r="G230" s="165"/>
      <c r="H230" s="165" t="s">
        <v>112</v>
      </c>
      <c r="I230" s="165">
        <v>331.0</v>
      </c>
      <c r="J230" s="166">
        <v>3370000.0</v>
      </c>
      <c r="K230" s="166">
        <v>3370000.0</v>
      </c>
      <c r="L230" s="161">
        <v>3049966.0</v>
      </c>
      <c r="M230" s="161">
        <v>3049966.0</v>
      </c>
      <c r="N230" s="163">
        <f t="shared" ref="N230:O230" si="394">J230+L230</f>
        <v>6419966</v>
      </c>
      <c r="O230" s="163">
        <f t="shared" si="394"/>
        <v>6419966</v>
      </c>
      <c r="P230" s="169"/>
      <c r="Q230" s="175">
        <v>3370000.0</v>
      </c>
      <c r="R230" s="175">
        <v>3370000.0</v>
      </c>
      <c r="S230" s="175">
        <v>3049966.4</v>
      </c>
      <c r="T230" s="175">
        <v>3049966.4</v>
      </c>
      <c r="U230" s="175">
        <v>6419966.4</v>
      </c>
      <c r="V230" s="175">
        <v>6419966.4</v>
      </c>
      <c r="W230" s="164">
        <f t="shared" ref="W230:AB230" si="395">+J230-Q230</f>
        <v>0</v>
      </c>
      <c r="X230" s="164">
        <f t="shared" si="395"/>
        <v>0</v>
      </c>
      <c r="Y230" s="164">
        <f t="shared" si="395"/>
        <v>-0.3999999999</v>
      </c>
      <c r="Z230" s="164">
        <f t="shared" si="395"/>
        <v>-0.3999999999</v>
      </c>
      <c r="AA230" s="164">
        <f t="shared" si="395"/>
        <v>-0.4000000004</v>
      </c>
      <c r="AB230" s="164">
        <f t="shared" si="395"/>
        <v>-0.4000000004</v>
      </c>
      <c r="AC230" s="169"/>
      <c r="AD230" s="169"/>
      <c r="AE230" s="169"/>
      <c r="AF230" s="169"/>
      <c r="AG230" s="77"/>
      <c r="AH230" s="77"/>
      <c r="AI230" s="169"/>
      <c r="AJ230" s="169"/>
      <c r="AK230" s="169"/>
      <c r="AL230" s="169"/>
      <c r="AM230" s="169"/>
      <c r="AN230" s="169"/>
      <c r="AO230" s="169"/>
      <c r="AP230" s="169"/>
    </row>
    <row r="231" ht="34.5" customHeight="1">
      <c r="A231" s="169"/>
      <c r="B231" s="169"/>
      <c r="C231" s="130"/>
      <c r="D231" s="165" t="s">
        <v>90</v>
      </c>
      <c r="E231" s="165" t="s">
        <v>85</v>
      </c>
      <c r="F231" s="165"/>
      <c r="G231" s="165"/>
      <c r="H231" s="165" t="s">
        <v>112</v>
      </c>
      <c r="I231" s="165">
        <v>310.0</v>
      </c>
      <c r="J231" s="166">
        <v>3100000.0</v>
      </c>
      <c r="K231" s="166">
        <v>3100000.0</v>
      </c>
      <c r="L231" s="161">
        <v>2856464.0</v>
      </c>
      <c r="M231" s="161">
        <v>2856464.0</v>
      </c>
      <c r="N231" s="163">
        <f t="shared" ref="N231:O231" si="396">J231+L231</f>
        <v>5956464</v>
      </c>
      <c r="O231" s="163">
        <f t="shared" si="396"/>
        <v>5956464</v>
      </c>
      <c r="P231" s="169"/>
      <c r="Q231" s="175">
        <v>3100000.0</v>
      </c>
      <c r="R231" s="175">
        <v>3100000.0</v>
      </c>
      <c r="S231" s="175">
        <v>2856464.0000000005</v>
      </c>
      <c r="T231" s="175">
        <v>2856464.0000000005</v>
      </c>
      <c r="U231" s="175">
        <v>5956464.0</v>
      </c>
      <c r="V231" s="175">
        <v>5956464.0</v>
      </c>
      <c r="W231" s="164">
        <f t="shared" ref="W231:AB231" si="397">+J231-Q231</f>
        <v>0</v>
      </c>
      <c r="X231" s="164">
        <f t="shared" si="397"/>
        <v>0</v>
      </c>
      <c r="Y231" s="164">
        <f t="shared" si="397"/>
        <v>-0.0000000004656612873</v>
      </c>
      <c r="Z231" s="164">
        <f t="shared" si="397"/>
        <v>-0.0000000004656612873</v>
      </c>
      <c r="AA231" s="164">
        <f t="shared" si="397"/>
        <v>0</v>
      </c>
      <c r="AB231" s="164">
        <f t="shared" si="397"/>
        <v>0</v>
      </c>
      <c r="AC231" s="169"/>
      <c r="AD231" s="169"/>
      <c r="AE231" s="169"/>
      <c r="AF231" s="169"/>
      <c r="AG231" s="77"/>
      <c r="AH231" s="77"/>
      <c r="AI231" s="169"/>
      <c r="AJ231" s="169"/>
      <c r="AK231" s="169"/>
      <c r="AL231" s="169"/>
      <c r="AM231" s="169"/>
      <c r="AN231" s="169"/>
      <c r="AO231" s="169"/>
      <c r="AP231" s="169"/>
    </row>
    <row r="232" ht="34.5" customHeight="1">
      <c r="A232" s="169"/>
      <c r="B232" s="169"/>
      <c r="C232" s="130"/>
      <c r="D232" s="165" t="s">
        <v>90</v>
      </c>
      <c r="E232" s="165" t="s">
        <v>86</v>
      </c>
      <c r="F232" s="165"/>
      <c r="G232" s="165"/>
      <c r="H232" s="165" t="s">
        <v>112</v>
      </c>
      <c r="I232" s="165">
        <v>299.0</v>
      </c>
      <c r="J232" s="166">
        <v>3060000.0</v>
      </c>
      <c r="K232" s="166">
        <v>3060000.0</v>
      </c>
      <c r="L232" s="161">
        <v>2755106.0</v>
      </c>
      <c r="M232" s="161">
        <v>2755106.0</v>
      </c>
      <c r="N232" s="163">
        <f t="shared" ref="N232:O232" si="398">J232+L232</f>
        <v>5815106</v>
      </c>
      <c r="O232" s="163">
        <f t="shared" si="398"/>
        <v>5815106</v>
      </c>
      <c r="P232" s="169"/>
      <c r="Q232" s="175">
        <v>3060000.0</v>
      </c>
      <c r="R232" s="175">
        <v>3060000.0</v>
      </c>
      <c r="S232" s="175">
        <v>2755105.6</v>
      </c>
      <c r="T232" s="175">
        <v>2755105.6</v>
      </c>
      <c r="U232" s="175">
        <v>5815105.6</v>
      </c>
      <c r="V232" s="175">
        <v>5815105.6</v>
      </c>
      <c r="W232" s="164">
        <f t="shared" ref="W232:AB232" si="399">+J232-Q232</f>
        <v>0</v>
      </c>
      <c r="X232" s="164">
        <f t="shared" si="399"/>
        <v>0</v>
      </c>
      <c r="Y232" s="164">
        <f t="shared" si="399"/>
        <v>0.3999999999</v>
      </c>
      <c r="Z232" s="164">
        <f t="shared" si="399"/>
        <v>0.3999999999</v>
      </c>
      <c r="AA232" s="164">
        <f t="shared" si="399"/>
        <v>0.4000000004</v>
      </c>
      <c r="AB232" s="164">
        <f t="shared" si="399"/>
        <v>0.4000000004</v>
      </c>
      <c r="AC232" s="169"/>
      <c r="AD232" s="169"/>
      <c r="AE232" s="169"/>
      <c r="AF232" s="169"/>
      <c r="AG232" s="77"/>
      <c r="AH232" s="77"/>
      <c r="AI232" s="169"/>
      <c r="AJ232" s="169"/>
      <c r="AK232" s="169"/>
      <c r="AL232" s="169"/>
      <c r="AM232" s="169"/>
      <c r="AN232" s="169"/>
      <c r="AO232" s="169"/>
      <c r="AP232" s="169"/>
    </row>
    <row r="233" ht="34.5" customHeight="1">
      <c r="A233" s="169"/>
      <c r="B233" s="169"/>
      <c r="C233" s="130"/>
      <c r="D233" s="165" t="s">
        <v>90</v>
      </c>
      <c r="E233" s="165" t="s">
        <v>84</v>
      </c>
      <c r="F233" s="165" t="s">
        <v>85</v>
      </c>
      <c r="G233" s="165"/>
      <c r="H233" s="165" t="s">
        <v>112</v>
      </c>
      <c r="I233" s="165">
        <v>356.0</v>
      </c>
      <c r="J233" s="166">
        <v>3850000.0</v>
      </c>
      <c r="K233" s="166">
        <v>3850000.0</v>
      </c>
      <c r="L233" s="161">
        <v>3280326.0</v>
      </c>
      <c r="M233" s="161">
        <v>3280326.0</v>
      </c>
      <c r="N233" s="163">
        <f t="shared" ref="N233:O233" si="400">J233+L233</f>
        <v>7130326</v>
      </c>
      <c r="O233" s="163">
        <f t="shared" si="400"/>
        <v>7130326</v>
      </c>
      <c r="P233" s="169"/>
      <c r="Q233" s="175">
        <v>3850000.0</v>
      </c>
      <c r="R233" s="175">
        <v>3850000.0</v>
      </c>
      <c r="S233" s="175">
        <v>3280326.4</v>
      </c>
      <c r="T233" s="175">
        <v>3280326.4</v>
      </c>
      <c r="U233" s="175">
        <v>7130326.4</v>
      </c>
      <c r="V233" s="175">
        <v>7130326.4</v>
      </c>
      <c r="W233" s="164">
        <f t="shared" ref="W233:AB233" si="401">+J233-Q233</f>
        <v>0</v>
      </c>
      <c r="X233" s="164">
        <f t="shared" si="401"/>
        <v>0</v>
      </c>
      <c r="Y233" s="164">
        <f t="shared" si="401"/>
        <v>-0.3999999999</v>
      </c>
      <c r="Z233" s="164">
        <f t="shared" si="401"/>
        <v>-0.3999999999</v>
      </c>
      <c r="AA233" s="164">
        <f t="shared" si="401"/>
        <v>-0.4000000004</v>
      </c>
      <c r="AB233" s="164">
        <f t="shared" si="401"/>
        <v>-0.4000000004</v>
      </c>
      <c r="AC233" s="169"/>
      <c r="AD233" s="169"/>
      <c r="AE233" s="169"/>
      <c r="AF233" s="169"/>
      <c r="AG233" s="77"/>
      <c r="AH233" s="77"/>
      <c r="AI233" s="169"/>
      <c r="AJ233" s="169"/>
      <c r="AK233" s="169"/>
      <c r="AL233" s="169"/>
      <c r="AM233" s="169"/>
      <c r="AN233" s="169"/>
      <c r="AO233" s="169"/>
      <c r="AP233" s="169"/>
    </row>
    <row r="234" ht="34.5" customHeight="1">
      <c r="A234" s="169"/>
      <c r="B234" s="169"/>
      <c r="C234" s="130"/>
      <c r="D234" s="165" t="s">
        <v>90</v>
      </c>
      <c r="E234" s="165" t="s">
        <v>84</v>
      </c>
      <c r="F234" s="165" t="s">
        <v>86</v>
      </c>
      <c r="G234" s="165"/>
      <c r="H234" s="165" t="s">
        <v>112</v>
      </c>
      <c r="I234" s="165">
        <v>364.0</v>
      </c>
      <c r="J234" s="166">
        <v>3870000.0</v>
      </c>
      <c r="K234" s="166">
        <v>3870000.0</v>
      </c>
      <c r="L234" s="161">
        <v>3354042.0</v>
      </c>
      <c r="M234" s="161">
        <v>3354042.0</v>
      </c>
      <c r="N234" s="163">
        <f t="shared" ref="N234:O234" si="402">J234+L234</f>
        <v>7224042</v>
      </c>
      <c r="O234" s="163">
        <f t="shared" si="402"/>
        <v>7224042</v>
      </c>
      <c r="P234" s="169"/>
      <c r="Q234" s="175">
        <v>3870000.0</v>
      </c>
      <c r="R234" s="175">
        <v>3870000.0</v>
      </c>
      <c r="S234" s="175">
        <v>3354041.6</v>
      </c>
      <c r="T234" s="175">
        <v>3354041.6</v>
      </c>
      <c r="U234" s="175">
        <v>7224041.6</v>
      </c>
      <c r="V234" s="175">
        <v>7224041.6</v>
      </c>
      <c r="W234" s="164">
        <f t="shared" ref="W234:AB234" si="403">+J234-Q234</f>
        <v>0</v>
      </c>
      <c r="X234" s="164">
        <f t="shared" si="403"/>
        <v>0</v>
      </c>
      <c r="Y234" s="164">
        <f t="shared" si="403"/>
        <v>0.3999999999</v>
      </c>
      <c r="Z234" s="164">
        <f t="shared" si="403"/>
        <v>0.3999999999</v>
      </c>
      <c r="AA234" s="164">
        <f t="shared" si="403"/>
        <v>0.4000000004</v>
      </c>
      <c r="AB234" s="164">
        <f t="shared" si="403"/>
        <v>0.4000000004</v>
      </c>
      <c r="AC234" s="169"/>
      <c r="AD234" s="169"/>
      <c r="AE234" s="169"/>
      <c r="AF234" s="169"/>
      <c r="AG234" s="77"/>
      <c r="AH234" s="77"/>
      <c r="AI234" s="169"/>
      <c r="AJ234" s="169"/>
      <c r="AK234" s="169"/>
      <c r="AL234" s="169"/>
      <c r="AM234" s="169"/>
      <c r="AN234" s="169"/>
      <c r="AO234" s="169"/>
      <c r="AP234" s="169"/>
    </row>
    <row r="235" ht="34.5" customHeight="1">
      <c r="A235" s="169"/>
      <c r="B235" s="169"/>
      <c r="C235" s="130"/>
      <c r="D235" s="165" t="s">
        <v>90</v>
      </c>
      <c r="E235" s="165" t="s">
        <v>85</v>
      </c>
      <c r="F235" s="165" t="s">
        <v>86</v>
      </c>
      <c r="G235" s="165"/>
      <c r="H235" s="165" t="s">
        <v>112</v>
      </c>
      <c r="I235" s="165">
        <v>324.0</v>
      </c>
      <c r="J235" s="166">
        <v>3440000.0</v>
      </c>
      <c r="K235" s="166">
        <v>3440000.0</v>
      </c>
      <c r="L235" s="161">
        <v>2985466.0</v>
      </c>
      <c r="M235" s="161">
        <v>2985466.0</v>
      </c>
      <c r="N235" s="163">
        <f t="shared" ref="N235:O235" si="404">J235+L235</f>
        <v>6425466</v>
      </c>
      <c r="O235" s="163">
        <f t="shared" si="404"/>
        <v>6425466</v>
      </c>
      <c r="P235" s="169"/>
      <c r="Q235" s="175">
        <v>3440000.0</v>
      </c>
      <c r="R235" s="175">
        <v>3440000.0</v>
      </c>
      <c r="S235" s="175">
        <v>2985465.6</v>
      </c>
      <c r="T235" s="175">
        <v>2985465.6</v>
      </c>
      <c r="U235" s="175">
        <v>6425465.6</v>
      </c>
      <c r="V235" s="175">
        <v>6425465.6</v>
      </c>
      <c r="W235" s="164">
        <f t="shared" ref="W235:AB235" si="405">+J235-Q235</f>
        <v>0</v>
      </c>
      <c r="X235" s="164">
        <f t="shared" si="405"/>
        <v>0</v>
      </c>
      <c r="Y235" s="164">
        <f t="shared" si="405"/>
        <v>0.3999999999</v>
      </c>
      <c r="Z235" s="164">
        <f t="shared" si="405"/>
        <v>0.3999999999</v>
      </c>
      <c r="AA235" s="164">
        <f t="shared" si="405"/>
        <v>0.4000000004</v>
      </c>
      <c r="AB235" s="164">
        <f t="shared" si="405"/>
        <v>0.4000000004</v>
      </c>
      <c r="AC235" s="169"/>
      <c r="AD235" s="169"/>
      <c r="AE235" s="169"/>
      <c r="AF235" s="169"/>
      <c r="AG235" s="77"/>
      <c r="AH235" s="77"/>
      <c r="AI235" s="169"/>
      <c r="AJ235" s="169"/>
      <c r="AK235" s="169"/>
      <c r="AL235" s="169"/>
      <c r="AM235" s="169"/>
      <c r="AN235" s="169"/>
      <c r="AO235" s="169"/>
      <c r="AP235" s="169"/>
    </row>
    <row r="236" ht="34.5" customHeight="1">
      <c r="A236" s="169"/>
      <c r="B236" s="169"/>
      <c r="C236" s="130"/>
      <c r="D236" s="165" t="s">
        <v>90</v>
      </c>
      <c r="E236" s="165" t="s">
        <v>84</v>
      </c>
      <c r="F236" s="165" t="s">
        <v>85</v>
      </c>
      <c r="G236" s="165" t="s">
        <v>86</v>
      </c>
      <c r="H236" s="165" t="s">
        <v>112</v>
      </c>
      <c r="I236" s="165">
        <v>410.0</v>
      </c>
      <c r="J236" s="166">
        <v>4170000.0</v>
      </c>
      <c r="K236" s="166">
        <v>4170000.0</v>
      </c>
      <c r="L236" s="161">
        <v>3777904.0</v>
      </c>
      <c r="M236" s="161">
        <v>3777904.0</v>
      </c>
      <c r="N236" s="163">
        <f t="shared" ref="N236:O236" si="406">J236+L236</f>
        <v>7947904</v>
      </c>
      <c r="O236" s="163">
        <f t="shared" si="406"/>
        <v>7947904</v>
      </c>
      <c r="P236" s="169"/>
      <c r="Q236" s="175">
        <v>4170000.0</v>
      </c>
      <c r="R236" s="175">
        <v>4170000.0</v>
      </c>
      <c r="S236" s="175">
        <v>3777904.0000000005</v>
      </c>
      <c r="T236" s="175">
        <v>3777904.0000000005</v>
      </c>
      <c r="U236" s="175">
        <v>7947904.0</v>
      </c>
      <c r="V236" s="175">
        <v>7947904.0</v>
      </c>
      <c r="W236" s="164">
        <f t="shared" ref="W236:AB236" si="407">+J236-Q236</f>
        <v>0</v>
      </c>
      <c r="X236" s="164">
        <f t="shared" si="407"/>
        <v>0</v>
      </c>
      <c r="Y236" s="164">
        <f t="shared" si="407"/>
        <v>-0.0000000004656612873</v>
      </c>
      <c r="Z236" s="164">
        <f t="shared" si="407"/>
        <v>-0.0000000004656612873</v>
      </c>
      <c r="AA236" s="164">
        <f t="shared" si="407"/>
        <v>0</v>
      </c>
      <c r="AB236" s="164">
        <f t="shared" si="407"/>
        <v>0</v>
      </c>
      <c r="AC236" s="169"/>
      <c r="AD236" s="169"/>
      <c r="AE236" s="169"/>
      <c r="AF236" s="169"/>
      <c r="AG236" s="77"/>
      <c r="AH236" s="77"/>
      <c r="AI236" s="169"/>
      <c r="AJ236" s="169"/>
      <c r="AK236" s="169"/>
      <c r="AL236" s="169"/>
      <c r="AM236" s="169"/>
      <c r="AN236" s="169"/>
      <c r="AO236" s="169"/>
      <c r="AP236" s="169"/>
    </row>
    <row r="237" ht="34.5" customHeight="1">
      <c r="A237" s="169"/>
      <c r="B237" s="169"/>
      <c r="C237" s="130"/>
      <c r="D237" s="165" t="s">
        <v>91</v>
      </c>
      <c r="E237" s="165" t="s">
        <v>84</v>
      </c>
      <c r="F237" s="165"/>
      <c r="G237" s="165"/>
      <c r="H237" s="165" t="s">
        <v>112</v>
      </c>
      <c r="I237" s="165">
        <v>331.0</v>
      </c>
      <c r="J237" s="166">
        <v>3370000.0</v>
      </c>
      <c r="K237" s="166">
        <v>3370000.0</v>
      </c>
      <c r="L237" s="161">
        <v>3049966.0</v>
      </c>
      <c r="M237" s="161">
        <v>3049966.0</v>
      </c>
      <c r="N237" s="163">
        <f t="shared" ref="N237:O237" si="408">J237+L237</f>
        <v>6419966</v>
      </c>
      <c r="O237" s="163">
        <f t="shared" si="408"/>
        <v>6419966</v>
      </c>
      <c r="P237" s="169"/>
      <c r="Q237" s="175">
        <v>3370000.0</v>
      </c>
      <c r="R237" s="175">
        <v>3370000.0</v>
      </c>
      <c r="S237" s="175">
        <v>3049966.4</v>
      </c>
      <c r="T237" s="175">
        <v>3049966.4</v>
      </c>
      <c r="U237" s="175">
        <v>6419966.4</v>
      </c>
      <c r="V237" s="175">
        <v>6419966.4</v>
      </c>
      <c r="W237" s="164">
        <f t="shared" ref="W237:AB237" si="409">+J237-Q237</f>
        <v>0</v>
      </c>
      <c r="X237" s="164">
        <f t="shared" si="409"/>
        <v>0</v>
      </c>
      <c r="Y237" s="164">
        <f t="shared" si="409"/>
        <v>-0.3999999999</v>
      </c>
      <c r="Z237" s="164">
        <f t="shared" si="409"/>
        <v>-0.3999999999</v>
      </c>
      <c r="AA237" s="164">
        <f t="shared" si="409"/>
        <v>-0.4000000004</v>
      </c>
      <c r="AB237" s="164">
        <f t="shared" si="409"/>
        <v>-0.4000000004</v>
      </c>
      <c r="AC237" s="169"/>
      <c r="AD237" s="169"/>
      <c r="AE237" s="169"/>
      <c r="AF237" s="169"/>
      <c r="AG237" s="77"/>
      <c r="AH237" s="77"/>
      <c r="AI237" s="169"/>
      <c r="AJ237" s="169"/>
      <c r="AK237" s="169"/>
      <c r="AL237" s="169"/>
      <c r="AM237" s="169"/>
      <c r="AN237" s="169"/>
      <c r="AO237" s="169"/>
      <c r="AP237" s="169"/>
    </row>
    <row r="238" ht="34.5" customHeight="1">
      <c r="A238" s="169"/>
      <c r="B238" s="169"/>
      <c r="C238" s="130"/>
      <c r="D238" s="165" t="s">
        <v>91</v>
      </c>
      <c r="E238" s="165" t="s">
        <v>85</v>
      </c>
      <c r="F238" s="165"/>
      <c r="G238" s="165"/>
      <c r="H238" s="165" t="s">
        <v>112</v>
      </c>
      <c r="I238" s="165">
        <v>310.0</v>
      </c>
      <c r="J238" s="166">
        <v>3100000.0</v>
      </c>
      <c r="K238" s="166">
        <v>3100000.0</v>
      </c>
      <c r="L238" s="161">
        <v>2856464.0</v>
      </c>
      <c r="M238" s="161">
        <v>2856464.0</v>
      </c>
      <c r="N238" s="163">
        <f t="shared" ref="N238:O238" si="410">J238+L238</f>
        <v>5956464</v>
      </c>
      <c r="O238" s="163">
        <f t="shared" si="410"/>
        <v>5956464</v>
      </c>
      <c r="P238" s="169"/>
      <c r="Q238" s="175">
        <v>3100000.0</v>
      </c>
      <c r="R238" s="175">
        <v>3100000.0</v>
      </c>
      <c r="S238" s="175">
        <v>2856464.0000000005</v>
      </c>
      <c r="T238" s="175">
        <v>2856464.0000000005</v>
      </c>
      <c r="U238" s="175">
        <v>5956464.0</v>
      </c>
      <c r="V238" s="175">
        <v>5956464.0</v>
      </c>
      <c r="W238" s="164">
        <f t="shared" ref="W238:AB238" si="411">+J238-Q238</f>
        <v>0</v>
      </c>
      <c r="X238" s="164">
        <f t="shared" si="411"/>
        <v>0</v>
      </c>
      <c r="Y238" s="164">
        <f t="shared" si="411"/>
        <v>-0.0000000004656612873</v>
      </c>
      <c r="Z238" s="164">
        <f t="shared" si="411"/>
        <v>-0.0000000004656612873</v>
      </c>
      <c r="AA238" s="164">
        <f t="shared" si="411"/>
        <v>0</v>
      </c>
      <c r="AB238" s="164">
        <f t="shared" si="411"/>
        <v>0</v>
      </c>
      <c r="AC238" s="169"/>
      <c r="AD238" s="169"/>
      <c r="AE238" s="169"/>
      <c r="AF238" s="169"/>
      <c r="AG238" s="77"/>
      <c r="AH238" s="77"/>
      <c r="AI238" s="169"/>
      <c r="AJ238" s="169"/>
      <c r="AK238" s="169"/>
      <c r="AL238" s="169"/>
      <c r="AM238" s="169"/>
      <c r="AN238" s="169"/>
      <c r="AO238" s="169"/>
      <c r="AP238" s="169"/>
    </row>
    <row r="239" ht="34.5" customHeight="1">
      <c r="A239" s="169"/>
      <c r="B239" s="169"/>
      <c r="C239" s="130"/>
      <c r="D239" s="165" t="s">
        <v>91</v>
      </c>
      <c r="E239" s="165" t="s">
        <v>86</v>
      </c>
      <c r="F239" s="165"/>
      <c r="G239" s="165"/>
      <c r="H239" s="165" t="s">
        <v>112</v>
      </c>
      <c r="I239" s="165">
        <v>299.0</v>
      </c>
      <c r="J239" s="166">
        <v>3060000.0</v>
      </c>
      <c r="K239" s="166">
        <v>3060000.0</v>
      </c>
      <c r="L239" s="161">
        <v>2755106.0</v>
      </c>
      <c r="M239" s="161">
        <v>2755106.0</v>
      </c>
      <c r="N239" s="163">
        <f t="shared" ref="N239:O239" si="412">J239+L239</f>
        <v>5815106</v>
      </c>
      <c r="O239" s="163">
        <f t="shared" si="412"/>
        <v>5815106</v>
      </c>
      <c r="P239" s="169"/>
      <c r="Q239" s="175">
        <v>3060000.0</v>
      </c>
      <c r="R239" s="175">
        <v>3060000.0</v>
      </c>
      <c r="S239" s="175">
        <v>2755105.6</v>
      </c>
      <c r="T239" s="175">
        <v>2755105.6</v>
      </c>
      <c r="U239" s="175">
        <v>5815105.6</v>
      </c>
      <c r="V239" s="175">
        <v>5815105.6</v>
      </c>
      <c r="W239" s="164">
        <f t="shared" ref="W239:AB239" si="413">+J239-Q239</f>
        <v>0</v>
      </c>
      <c r="X239" s="164">
        <f t="shared" si="413"/>
        <v>0</v>
      </c>
      <c r="Y239" s="164">
        <f t="shared" si="413"/>
        <v>0.3999999999</v>
      </c>
      <c r="Z239" s="164">
        <f t="shared" si="413"/>
        <v>0.3999999999</v>
      </c>
      <c r="AA239" s="164">
        <f t="shared" si="413"/>
        <v>0.4000000004</v>
      </c>
      <c r="AB239" s="164">
        <f t="shared" si="413"/>
        <v>0.4000000004</v>
      </c>
      <c r="AC239" s="169"/>
      <c r="AD239" s="169"/>
      <c r="AE239" s="169"/>
      <c r="AF239" s="169"/>
      <c r="AG239" s="77"/>
      <c r="AH239" s="77"/>
      <c r="AI239" s="169"/>
      <c r="AJ239" s="169"/>
      <c r="AK239" s="169"/>
      <c r="AL239" s="169"/>
      <c r="AM239" s="169"/>
      <c r="AN239" s="169"/>
      <c r="AO239" s="169"/>
      <c r="AP239" s="169"/>
    </row>
    <row r="240" ht="34.5" customHeight="1">
      <c r="A240" s="169"/>
      <c r="B240" s="169"/>
      <c r="C240" s="130"/>
      <c r="D240" s="165" t="s">
        <v>91</v>
      </c>
      <c r="E240" s="165" t="s">
        <v>84</v>
      </c>
      <c r="F240" s="165" t="s">
        <v>85</v>
      </c>
      <c r="G240" s="165"/>
      <c r="H240" s="165" t="s">
        <v>112</v>
      </c>
      <c r="I240" s="165">
        <v>356.0</v>
      </c>
      <c r="J240" s="166">
        <v>3850000.0</v>
      </c>
      <c r="K240" s="166">
        <v>3850000.0</v>
      </c>
      <c r="L240" s="161">
        <v>3280326.0</v>
      </c>
      <c r="M240" s="161">
        <v>3280326.0</v>
      </c>
      <c r="N240" s="163">
        <f t="shared" ref="N240:O240" si="414">J240+L240</f>
        <v>7130326</v>
      </c>
      <c r="O240" s="163">
        <f t="shared" si="414"/>
        <v>7130326</v>
      </c>
      <c r="P240" s="169"/>
      <c r="Q240" s="175">
        <v>3850000.0</v>
      </c>
      <c r="R240" s="175">
        <v>3850000.0</v>
      </c>
      <c r="S240" s="175">
        <v>3280326.4</v>
      </c>
      <c r="T240" s="175">
        <v>3280326.4</v>
      </c>
      <c r="U240" s="175">
        <v>7130326.4</v>
      </c>
      <c r="V240" s="175">
        <v>7130326.4</v>
      </c>
      <c r="W240" s="164">
        <f t="shared" ref="W240:AB240" si="415">+J240-Q240</f>
        <v>0</v>
      </c>
      <c r="X240" s="164">
        <f t="shared" si="415"/>
        <v>0</v>
      </c>
      <c r="Y240" s="164">
        <f t="shared" si="415"/>
        <v>-0.3999999999</v>
      </c>
      <c r="Z240" s="164">
        <f t="shared" si="415"/>
        <v>-0.3999999999</v>
      </c>
      <c r="AA240" s="164">
        <f t="shared" si="415"/>
        <v>-0.4000000004</v>
      </c>
      <c r="AB240" s="164">
        <f t="shared" si="415"/>
        <v>-0.4000000004</v>
      </c>
      <c r="AC240" s="169"/>
      <c r="AD240" s="169"/>
      <c r="AE240" s="169"/>
      <c r="AF240" s="169"/>
      <c r="AG240" s="77"/>
      <c r="AH240" s="77"/>
      <c r="AI240" s="169"/>
      <c r="AJ240" s="169"/>
      <c r="AK240" s="169"/>
      <c r="AL240" s="169"/>
      <c r="AM240" s="169"/>
      <c r="AN240" s="169"/>
      <c r="AO240" s="169"/>
      <c r="AP240" s="169"/>
    </row>
    <row r="241" ht="34.5" customHeight="1">
      <c r="A241" s="169"/>
      <c r="B241" s="169"/>
      <c r="C241" s="130"/>
      <c r="D241" s="165" t="s">
        <v>91</v>
      </c>
      <c r="E241" s="165" t="s">
        <v>84</v>
      </c>
      <c r="F241" s="165" t="s">
        <v>86</v>
      </c>
      <c r="G241" s="165"/>
      <c r="H241" s="165" t="s">
        <v>112</v>
      </c>
      <c r="I241" s="165">
        <v>364.0</v>
      </c>
      <c r="J241" s="166">
        <v>3870000.0</v>
      </c>
      <c r="K241" s="166">
        <v>3870000.0</v>
      </c>
      <c r="L241" s="161">
        <v>3354042.0</v>
      </c>
      <c r="M241" s="161">
        <v>3354042.0</v>
      </c>
      <c r="N241" s="163">
        <f t="shared" ref="N241:O241" si="416">J241+L241</f>
        <v>7224042</v>
      </c>
      <c r="O241" s="163">
        <f t="shared" si="416"/>
        <v>7224042</v>
      </c>
      <c r="P241" s="169"/>
      <c r="Q241" s="175">
        <v>3870000.0</v>
      </c>
      <c r="R241" s="175">
        <v>3870000.0</v>
      </c>
      <c r="S241" s="175">
        <v>3354041.6</v>
      </c>
      <c r="T241" s="175">
        <v>3354041.6</v>
      </c>
      <c r="U241" s="175">
        <v>7224041.6</v>
      </c>
      <c r="V241" s="175">
        <v>7224041.6</v>
      </c>
      <c r="W241" s="164">
        <f t="shared" ref="W241:AB241" si="417">+J241-Q241</f>
        <v>0</v>
      </c>
      <c r="X241" s="164">
        <f t="shared" si="417"/>
        <v>0</v>
      </c>
      <c r="Y241" s="164">
        <f t="shared" si="417"/>
        <v>0.3999999999</v>
      </c>
      <c r="Z241" s="164">
        <f t="shared" si="417"/>
        <v>0.3999999999</v>
      </c>
      <c r="AA241" s="164">
        <f t="shared" si="417"/>
        <v>0.4000000004</v>
      </c>
      <c r="AB241" s="164">
        <f t="shared" si="417"/>
        <v>0.4000000004</v>
      </c>
      <c r="AC241" s="169"/>
      <c r="AD241" s="169"/>
      <c r="AE241" s="169"/>
      <c r="AF241" s="169"/>
      <c r="AG241" s="77"/>
      <c r="AH241" s="77"/>
      <c r="AI241" s="169"/>
      <c r="AJ241" s="169"/>
      <c r="AK241" s="169"/>
      <c r="AL241" s="169"/>
      <c r="AM241" s="169"/>
      <c r="AN241" s="169"/>
      <c r="AO241" s="169"/>
      <c r="AP241" s="169"/>
    </row>
    <row r="242" ht="34.5" customHeight="1">
      <c r="A242" s="169"/>
      <c r="B242" s="169"/>
      <c r="C242" s="130"/>
      <c r="D242" s="165" t="s">
        <v>91</v>
      </c>
      <c r="E242" s="165" t="s">
        <v>85</v>
      </c>
      <c r="F242" s="165" t="s">
        <v>86</v>
      </c>
      <c r="G242" s="165"/>
      <c r="H242" s="165" t="s">
        <v>112</v>
      </c>
      <c r="I242" s="165">
        <v>324.0</v>
      </c>
      <c r="J242" s="166">
        <v>3440000.0</v>
      </c>
      <c r="K242" s="166">
        <v>3440000.0</v>
      </c>
      <c r="L242" s="161">
        <v>2985466.0</v>
      </c>
      <c r="M242" s="161">
        <v>2985466.0</v>
      </c>
      <c r="N242" s="163">
        <f t="shared" ref="N242:O242" si="418">J242+L242</f>
        <v>6425466</v>
      </c>
      <c r="O242" s="163">
        <f t="shared" si="418"/>
        <v>6425466</v>
      </c>
      <c r="P242" s="169"/>
      <c r="Q242" s="175">
        <v>3440000.0</v>
      </c>
      <c r="R242" s="175">
        <v>3440000.0</v>
      </c>
      <c r="S242" s="175">
        <v>2985465.6</v>
      </c>
      <c r="T242" s="175">
        <v>2985465.6</v>
      </c>
      <c r="U242" s="175">
        <v>6425465.6</v>
      </c>
      <c r="V242" s="175">
        <v>6425465.6</v>
      </c>
      <c r="W242" s="164">
        <f t="shared" ref="W242:AB242" si="419">+J242-Q242</f>
        <v>0</v>
      </c>
      <c r="X242" s="164">
        <f t="shared" si="419"/>
        <v>0</v>
      </c>
      <c r="Y242" s="164">
        <f t="shared" si="419"/>
        <v>0.3999999999</v>
      </c>
      <c r="Z242" s="164">
        <f t="shared" si="419"/>
        <v>0.3999999999</v>
      </c>
      <c r="AA242" s="164">
        <f t="shared" si="419"/>
        <v>0.4000000004</v>
      </c>
      <c r="AB242" s="164">
        <f t="shared" si="419"/>
        <v>0.4000000004</v>
      </c>
      <c r="AC242" s="169"/>
      <c r="AD242" s="169"/>
      <c r="AE242" s="169"/>
      <c r="AF242" s="169"/>
      <c r="AG242" s="77"/>
      <c r="AH242" s="77"/>
      <c r="AI242" s="169"/>
      <c r="AJ242" s="169"/>
      <c r="AK242" s="169"/>
      <c r="AL242" s="169"/>
      <c r="AM242" s="169"/>
      <c r="AN242" s="169"/>
      <c r="AO242" s="169"/>
      <c r="AP242" s="169"/>
    </row>
    <row r="243" ht="34.5" customHeight="1">
      <c r="A243" s="169"/>
      <c r="B243" s="169"/>
      <c r="C243" s="118"/>
      <c r="D243" s="165" t="s">
        <v>91</v>
      </c>
      <c r="E243" s="165" t="s">
        <v>84</v>
      </c>
      <c r="F243" s="165" t="s">
        <v>85</v>
      </c>
      <c r="G243" s="165" t="s">
        <v>86</v>
      </c>
      <c r="H243" s="165" t="s">
        <v>112</v>
      </c>
      <c r="I243" s="165">
        <v>410.0</v>
      </c>
      <c r="J243" s="166">
        <v>4170000.0</v>
      </c>
      <c r="K243" s="166">
        <v>4170000.0</v>
      </c>
      <c r="L243" s="161">
        <v>3777904.0</v>
      </c>
      <c r="M243" s="161">
        <v>3777904.0</v>
      </c>
      <c r="N243" s="163">
        <f t="shared" ref="N243:O243" si="420">J243+L243</f>
        <v>7947904</v>
      </c>
      <c r="O243" s="163">
        <f t="shared" si="420"/>
        <v>7947904</v>
      </c>
      <c r="P243" s="169"/>
      <c r="Q243" s="175">
        <v>4170000.0</v>
      </c>
      <c r="R243" s="175">
        <v>4170000.0</v>
      </c>
      <c r="S243" s="175">
        <v>3777904.0000000005</v>
      </c>
      <c r="T243" s="175">
        <v>3777904.0000000005</v>
      </c>
      <c r="U243" s="175">
        <v>7947904.0</v>
      </c>
      <c r="V243" s="175">
        <v>7947904.0</v>
      </c>
      <c r="W243" s="164">
        <f t="shared" ref="W243:AB243" si="421">+J243-Q243</f>
        <v>0</v>
      </c>
      <c r="X243" s="164">
        <f t="shared" si="421"/>
        <v>0</v>
      </c>
      <c r="Y243" s="164">
        <f t="shared" si="421"/>
        <v>-0.0000000004656612873</v>
      </c>
      <c r="Z243" s="164">
        <f t="shared" si="421"/>
        <v>-0.0000000004656612873</v>
      </c>
      <c r="AA243" s="164">
        <f t="shared" si="421"/>
        <v>0</v>
      </c>
      <c r="AB243" s="164">
        <f t="shared" si="421"/>
        <v>0</v>
      </c>
      <c r="AC243" s="169"/>
      <c r="AD243" s="169"/>
      <c r="AE243" s="169"/>
      <c r="AF243" s="169"/>
      <c r="AG243" s="77"/>
      <c r="AH243" s="77"/>
      <c r="AI243" s="169"/>
      <c r="AJ243" s="169"/>
      <c r="AK243" s="169"/>
      <c r="AL243" s="169"/>
      <c r="AM243" s="169"/>
      <c r="AN243" s="169"/>
      <c r="AO243" s="169"/>
      <c r="AP243" s="169"/>
    </row>
    <row r="244" ht="34.5" customHeight="1">
      <c r="A244" s="169"/>
      <c r="B244" s="169"/>
      <c r="C244" s="167" t="s">
        <v>92</v>
      </c>
      <c r="D244" s="165" t="s">
        <v>83</v>
      </c>
      <c r="E244" s="165" t="s">
        <v>93</v>
      </c>
      <c r="F244" s="165"/>
      <c r="G244" s="165"/>
      <c r="H244" s="165"/>
      <c r="I244" s="165">
        <v>144.0</v>
      </c>
      <c r="J244" s="166">
        <v>2300000.0</v>
      </c>
      <c r="K244" s="166">
        <v>2300000.0</v>
      </c>
      <c r="L244" s="161">
        <v>1531008.0</v>
      </c>
      <c r="M244" s="161">
        <v>1531008.0</v>
      </c>
      <c r="N244" s="163">
        <f t="shared" ref="N244:O244" si="422">J244+L244</f>
        <v>3831008</v>
      </c>
      <c r="O244" s="163">
        <f t="shared" si="422"/>
        <v>3831008</v>
      </c>
      <c r="P244" s="169"/>
      <c r="Q244" s="175">
        <v>2300000.0</v>
      </c>
      <c r="R244" s="175">
        <v>2300000.0</v>
      </c>
      <c r="S244" s="175">
        <v>1531007.9999999998</v>
      </c>
      <c r="T244" s="175">
        <v>1531007.9999999998</v>
      </c>
      <c r="U244" s="175">
        <v>3831008.0</v>
      </c>
      <c r="V244" s="175">
        <v>3831008.0</v>
      </c>
      <c r="W244" s="164">
        <f t="shared" ref="W244:AB244" si="423">+J244-Q244</f>
        <v>0</v>
      </c>
      <c r="X244" s="164">
        <f t="shared" si="423"/>
        <v>0</v>
      </c>
      <c r="Y244" s="164">
        <f t="shared" si="423"/>
        <v>0.0000000002328306437</v>
      </c>
      <c r="Z244" s="164">
        <f t="shared" si="423"/>
        <v>0.0000000002328306437</v>
      </c>
      <c r="AA244" s="164">
        <f t="shared" si="423"/>
        <v>0</v>
      </c>
      <c r="AB244" s="164">
        <f t="shared" si="423"/>
        <v>0</v>
      </c>
      <c r="AC244" s="169"/>
      <c r="AD244" s="169"/>
      <c r="AE244" s="169"/>
      <c r="AF244" s="169"/>
      <c r="AG244" s="77"/>
      <c r="AH244" s="77"/>
      <c r="AI244" s="169"/>
      <c r="AJ244" s="169"/>
      <c r="AK244" s="169"/>
      <c r="AL244" s="169"/>
      <c r="AM244" s="169"/>
      <c r="AN244" s="169"/>
      <c r="AO244" s="169"/>
      <c r="AP244" s="169"/>
    </row>
    <row r="245" ht="34.5" customHeight="1">
      <c r="A245" s="169"/>
      <c r="B245" s="169"/>
      <c r="C245" s="130"/>
      <c r="D245" s="165" t="s">
        <v>93</v>
      </c>
      <c r="E245" s="165" t="s">
        <v>84</v>
      </c>
      <c r="F245" s="165"/>
      <c r="G245" s="165"/>
      <c r="H245" s="165" t="s">
        <v>112</v>
      </c>
      <c r="I245" s="165">
        <v>188.0</v>
      </c>
      <c r="J245" s="166">
        <v>2350000.0</v>
      </c>
      <c r="K245" s="166">
        <v>2350000.0</v>
      </c>
      <c r="L245" s="161">
        <v>1998816.0</v>
      </c>
      <c r="M245" s="161">
        <v>1998816.0</v>
      </c>
      <c r="N245" s="163">
        <f t="shared" ref="N245:O245" si="424">J245+L245</f>
        <v>4348816</v>
      </c>
      <c r="O245" s="163">
        <f t="shared" si="424"/>
        <v>4348816</v>
      </c>
      <c r="P245" s="169"/>
      <c r="Q245" s="175">
        <v>2350000.0</v>
      </c>
      <c r="R245" s="175">
        <v>2350000.0</v>
      </c>
      <c r="S245" s="175">
        <v>1998816.0</v>
      </c>
      <c r="T245" s="175">
        <v>1998816.0</v>
      </c>
      <c r="U245" s="175">
        <v>4348816.0</v>
      </c>
      <c r="V245" s="175">
        <v>4348816.0</v>
      </c>
      <c r="W245" s="164">
        <f t="shared" ref="W245:AB245" si="425">+J245-Q245</f>
        <v>0</v>
      </c>
      <c r="X245" s="164">
        <f t="shared" si="425"/>
        <v>0</v>
      </c>
      <c r="Y245" s="164">
        <f t="shared" si="425"/>
        <v>0</v>
      </c>
      <c r="Z245" s="164">
        <f t="shared" si="425"/>
        <v>0</v>
      </c>
      <c r="AA245" s="164">
        <f t="shared" si="425"/>
        <v>0</v>
      </c>
      <c r="AB245" s="164">
        <f t="shared" si="425"/>
        <v>0</v>
      </c>
      <c r="AC245" s="169"/>
      <c r="AD245" s="169"/>
      <c r="AE245" s="169"/>
      <c r="AF245" s="169"/>
      <c r="AG245" s="77"/>
      <c r="AH245" s="77"/>
      <c r="AI245" s="169"/>
      <c r="AJ245" s="169"/>
      <c r="AK245" s="169"/>
      <c r="AL245" s="169"/>
      <c r="AM245" s="169"/>
      <c r="AN245" s="169"/>
      <c r="AO245" s="169"/>
      <c r="AP245" s="169"/>
    </row>
    <row r="246" ht="34.5" customHeight="1">
      <c r="A246" s="169"/>
      <c r="B246" s="169"/>
      <c r="C246" s="130"/>
      <c r="D246" s="165" t="s">
        <v>83</v>
      </c>
      <c r="E246" s="165" t="s">
        <v>93</v>
      </c>
      <c r="F246" s="165"/>
      <c r="G246" s="165"/>
      <c r="H246" s="165"/>
      <c r="I246" s="165">
        <v>144.0</v>
      </c>
      <c r="J246" s="166">
        <v>2300000.0</v>
      </c>
      <c r="K246" s="166">
        <v>2300000.0</v>
      </c>
      <c r="L246" s="161">
        <v>1531008.0</v>
      </c>
      <c r="M246" s="161">
        <v>1531008.0</v>
      </c>
      <c r="N246" s="163">
        <f t="shared" ref="N246:O246" si="426">J246+L246</f>
        <v>3831008</v>
      </c>
      <c r="O246" s="163">
        <f t="shared" si="426"/>
        <v>3831008</v>
      </c>
      <c r="P246" s="169"/>
      <c r="Q246" s="175">
        <v>2300000.0</v>
      </c>
      <c r="R246" s="175">
        <v>2300000.0</v>
      </c>
      <c r="S246" s="175">
        <v>1531007.9999999998</v>
      </c>
      <c r="T246" s="175">
        <v>1531007.9999999998</v>
      </c>
      <c r="U246" s="175">
        <v>3831008.0</v>
      </c>
      <c r="V246" s="175">
        <v>3831008.0</v>
      </c>
      <c r="W246" s="164">
        <f t="shared" ref="W246:AB246" si="427">+J246-Q246</f>
        <v>0</v>
      </c>
      <c r="X246" s="164">
        <f t="shared" si="427"/>
        <v>0</v>
      </c>
      <c r="Y246" s="164">
        <f t="shared" si="427"/>
        <v>0.0000000002328306437</v>
      </c>
      <c r="Z246" s="164">
        <f t="shared" si="427"/>
        <v>0.0000000002328306437</v>
      </c>
      <c r="AA246" s="164">
        <f t="shared" si="427"/>
        <v>0</v>
      </c>
      <c r="AB246" s="164">
        <f t="shared" si="427"/>
        <v>0</v>
      </c>
      <c r="AC246" s="169"/>
      <c r="AD246" s="169"/>
      <c r="AE246" s="169"/>
      <c r="AF246" s="169"/>
      <c r="AG246" s="77"/>
      <c r="AH246" s="77"/>
      <c r="AI246" s="169"/>
      <c r="AJ246" s="169"/>
      <c r="AK246" s="169"/>
      <c r="AL246" s="169"/>
      <c r="AM246" s="169"/>
      <c r="AN246" s="169"/>
      <c r="AO246" s="169"/>
      <c r="AP246" s="169"/>
    </row>
    <row r="247" ht="34.5" customHeight="1">
      <c r="A247" s="169"/>
      <c r="B247" s="169"/>
      <c r="C247" s="130"/>
      <c r="D247" s="165" t="s">
        <v>93</v>
      </c>
      <c r="E247" s="165" t="s">
        <v>85</v>
      </c>
      <c r="F247" s="165"/>
      <c r="G247" s="165"/>
      <c r="H247" s="165" t="s">
        <v>112</v>
      </c>
      <c r="I247" s="165">
        <v>212.0</v>
      </c>
      <c r="J247" s="166">
        <v>2600000.0</v>
      </c>
      <c r="K247" s="166">
        <v>2600000.0</v>
      </c>
      <c r="L247" s="161">
        <v>2253984.0</v>
      </c>
      <c r="M247" s="161">
        <v>2253984.0</v>
      </c>
      <c r="N247" s="163">
        <f t="shared" ref="N247:O247" si="428">J247+L247</f>
        <v>4853984</v>
      </c>
      <c r="O247" s="163">
        <f t="shared" si="428"/>
        <v>4853984</v>
      </c>
      <c r="P247" s="169"/>
      <c r="Q247" s="175">
        <v>2600000.0</v>
      </c>
      <c r="R247" s="175">
        <v>2600000.0</v>
      </c>
      <c r="S247" s="175">
        <v>2253984.0</v>
      </c>
      <c r="T247" s="175">
        <v>2253984.0</v>
      </c>
      <c r="U247" s="175">
        <v>4853984.0</v>
      </c>
      <c r="V247" s="175">
        <v>4853984.0</v>
      </c>
      <c r="W247" s="164">
        <f t="shared" ref="W247:AB247" si="429">+J247-Q247</f>
        <v>0</v>
      </c>
      <c r="X247" s="164">
        <f t="shared" si="429"/>
        <v>0</v>
      </c>
      <c r="Y247" s="164">
        <f t="shared" si="429"/>
        <v>0</v>
      </c>
      <c r="Z247" s="164">
        <f t="shared" si="429"/>
        <v>0</v>
      </c>
      <c r="AA247" s="164">
        <f t="shared" si="429"/>
        <v>0</v>
      </c>
      <c r="AB247" s="164">
        <f t="shared" si="429"/>
        <v>0</v>
      </c>
      <c r="AC247" s="169"/>
      <c r="AD247" s="169"/>
      <c r="AE247" s="169"/>
      <c r="AF247" s="169"/>
      <c r="AG247" s="77"/>
      <c r="AH247" s="77"/>
      <c r="AI247" s="169"/>
      <c r="AJ247" s="169"/>
      <c r="AK247" s="169"/>
      <c r="AL247" s="169"/>
      <c r="AM247" s="169"/>
      <c r="AN247" s="169"/>
      <c r="AO247" s="169"/>
      <c r="AP247" s="169"/>
    </row>
    <row r="248" ht="34.5" customHeight="1">
      <c r="A248" s="169"/>
      <c r="B248" s="169"/>
      <c r="C248" s="130"/>
      <c r="D248" s="165" t="s">
        <v>83</v>
      </c>
      <c r="E248" s="165" t="s">
        <v>93</v>
      </c>
      <c r="F248" s="165"/>
      <c r="G248" s="165"/>
      <c r="H248" s="165"/>
      <c r="I248" s="165">
        <v>144.0</v>
      </c>
      <c r="J248" s="166">
        <v>2300000.0</v>
      </c>
      <c r="K248" s="166">
        <v>2300000.0</v>
      </c>
      <c r="L248" s="161">
        <v>1531008.0</v>
      </c>
      <c r="M248" s="161">
        <v>1531008.0</v>
      </c>
      <c r="N248" s="163">
        <f t="shared" ref="N248:O248" si="430">J248+L248</f>
        <v>3831008</v>
      </c>
      <c r="O248" s="163">
        <f t="shared" si="430"/>
        <v>3831008</v>
      </c>
      <c r="P248" s="169"/>
      <c r="Q248" s="175">
        <v>2300000.0</v>
      </c>
      <c r="R248" s="175">
        <v>2300000.0</v>
      </c>
      <c r="S248" s="175">
        <v>1531007.9999999998</v>
      </c>
      <c r="T248" s="175">
        <v>1531007.9999999998</v>
      </c>
      <c r="U248" s="175">
        <v>3831008.0</v>
      </c>
      <c r="V248" s="175">
        <v>3831008.0</v>
      </c>
      <c r="W248" s="164">
        <f t="shared" ref="W248:AB248" si="431">+J248-Q248</f>
        <v>0</v>
      </c>
      <c r="X248" s="164">
        <f t="shared" si="431"/>
        <v>0</v>
      </c>
      <c r="Y248" s="164">
        <f t="shared" si="431"/>
        <v>0.0000000002328306437</v>
      </c>
      <c r="Z248" s="164">
        <f t="shared" si="431"/>
        <v>0.0000000002328306437</v>
      </c>
      <c r="AA248" s="164">
        <f t="shared" si="431"/>
        <v>0</v>
      </c>
      <c r="AB248" s="164">
        <f t="shared" si="431"/>
        <v>0</v>
      </c>
      <c r="AC248" s="169"/>
      <c r="AD248" s="169"/>
      <c r="AE248" s="169"/>
      <c r="AF248" s="169"/>
      <c r="AG248" s="77"/>
      <c r="AH248" s="77"/>
      <c r="AI248" s="169"/>
      <c r="AJ248" s="169"/>
      <c r="AK248" s="169"/>
      <c r="AL248" s="169"/>
      <c r="AM248" s="169"/>
      <c r="AN248" s="169"/>
      <c r="AO248" s="169"/>
      <c r="AP248" s="169"/>
    </row>
    <row r="249" ht="34.5" customHeight="1">
      <c r="A249" s="169"/>
      <c r="B249" s="169"/>
      <c r="C249" s="130"/>
      <c r="D249" s="165" t="s">
        <v>93</v>
      </c>
      <c r="E249" s="165" t="s">
        <v>86</v>
      </c>
      <c r="F249" s="165"/>
      <c r="G249" s="165"/>
      <c r="H249" s="165" t="s">
        <v>112</v>
      </c>
      <c r="I249" s="165">
        <v>221.0</v>
      </c>
      <c r="J249" s="166">
        <v>2630000.0</v>
      </c>
      <c r="K249" s="166">
        <v>2630000.0</v>
      </c>
      <c r="L249" s="161">
        <v>2349672.0</v>
      </c>
      <c r="M249" s="161">
        <v>2349672.0</v>
      </c>
      <c r="N249" s="163">
        <f t="shared" ref="N249:O249" si="432">J249+L249</f>
        <v>4979672</v>
      </c>
      <c r="O249" s="163">
        <f t="shared" si="432"/>
        <v>4979672</v>
      </c>
      <c r="P249" s="169"/>
      <c r="Q249" s="175">
        <v>2630000.0</v>
      </c>
      <c r="R249" s="175">
        <v>2630000.0</v>
      </c>
      <c r="S249" s="175">
        <v>2349672.0</v>
      </c>
      <c r="T249" s="175">
        <v>2349672.0</v>
      </c>
      <c r="U249" s="175">
        <v>4979672.0</v>
      </c>
      <c r="V249" s="175">
        <v>4979672.0</v>
      </c>
      <c r="W249" s="164">
        <f t="shared" ref="W249:AB249" si="433">+J249-Q249</f>
        <v>0</v>
      </c>
      <c r="X249" s="164">
        <f t="shared" si="433"/>
        <v>0</v>
      </c>
      <c r="Y249" s="164">
        <f t="shared" si="433"/>
        <v>0</v>
      </c>
      <c r="Z249" s="164">
        <f t="shared" si="433"/>
        <v>0</v>
      </c>
      <c r="AA249" s="164">
        <f t="shared" si="433"/>
        <v>0</v>
      </c>
      <c r="AB249" s="164">
        <f t="shared" si="433"/>
        <v>0</v>
      </c>
      <c r="AC249" s="169"/>
      <c r="AD249" s="169"/>
      <c r="AE249" s="169"/>
      <c r="AF249" s="169"/>
      <c r="AG249" s="77"/>
      <c r="AH249" s="77"/>
      <c r="AI249" s="169"/>
      <c r="AJ249" s="169"/>
      <c r="AK249" s="169"/>
      <c r="AL249" s="169"/>
      <c r="AM249" s="169"/>
      <c r="AN249" s="169"/>
      <c r="AO249" s="169"/>
      <c r="AP249" s="169"/>
    </row>
    <row r="250" ht="34.5" customHeight="1">
      <c r="A250" s="183"/>
      <c r="B250" s="183"/>
      <c r="C250" s="130"/>
      <c r="D250" s="165" t="s">
        <v>83</v>
      </c>
      <c r="E250" s="165" t="s">
        <v>94</v>
      </c>
      <c r="F250" s="165"/>
      <c r="G250" s="165"/>
      <c r="H250" s="165"/>
      <c r="I250" s="165">
        <v>133.0</v>
      </c>
      <c r="J250" s="166">
        <v>2210000.0</v>
      </c>
      <c r="K250" s="166">
        <v>2210000.0</v>
      </c>
      <c r="L250" s="161">
        <v>1414056.0</v>
      </c>
      <c r="M250" s="161">
        <v>1414056.0</v>
      </c>
      <c r="N250" s="163">
        <f t="shared" ref="N250:O250" si="434">J250+L250</f>
        <v>3624056</v>
      </c>
      <c r="O250" s="163">
        <f t="shared" si="434"/>
        <v>3624056</v>
      </c>
      <c r="P250" s="183"/>
      <c r="Q250" s="175">
        <v>2210000.0</v>
      </c>
      <c r="R250" s="175">
        <v>2210000.0</v>
      </c>
      <c r="S250" s="175">
        <v>1414056.0</v>
      </c>
      <c r="T250" s="175">
        <v>1414056.0</v>
      </c>
      <c r="U250" s="175">
        <v>3624056.0</v>
      </c>
      <c r="V250" s="175">
        <v>3624056.0</v>
      </c>
      <c r="W250" s="164">
        <f t="shared" ref="W250:AB250" si="435">+J250-Q250</f>
        <v>0</v>
      </c>
      <c r="X250" s="164">
        <f t="shared" si="435"/>
        <v>0</v>
      </c>
      <c r="Y250" s="164">
        <f t="shared" si="435"/>
        <v>0</v>
      </c>
      <c r="Z250" s="164">
        <f t="shared" si="435"/>
        <v>0</v>
      </c>
      <c r="AA250" s="164">
        <f t="shared" si="435"/>
        <v>0</v>
      </c>
      <c r="AB250" s="164">
        <f t="shared" si="435"/>
        <v>0</v>
      </c>
      <c r="AC250" s="183"/>
      <c r="AD250" s="183"/>
      <c r="AE250" s="183"/>
      <c r="AF250" s="183"/>
      <c r="AG250" s="77"/>
      <c r="AH250" s="77"/>
      <c r="AI250" s="183"/>
      <c r="AJ250" s="183"/>
      <c r="AK250" s="183"/>
      <c r="AL250" s="183"/>
      <c r="AM250" s="183"/>
      <c r="AN250" s="183"/>
      <c r="AO250" s="183"/>
      <c r="AP250" s="183"/>
    </row>
    <row r="251" ht="34.5" customHeight="1">
      <c r="A251" s="183"/>
      <c r="B251" s="183"/>
      <c r="C251" s="130"/>
      <c r="D251" s="165" t="s">
        <v>94</v>
      </c>
      <c r="E251" s="165" t="s">
        <v>84</v>
      </c>
      <c r="F251" s="165"/>
      <c r="G251" s="165"/>
      <c r="H251" s="165" t="s">
        <v>112</v>
      </c>
      <c r="I251" s="165">
        <v>223.0</v>
      </c>
      <c r="J251" s="166">
        <v>2580000.0</v>
      </c>
      <c r="K251" s="166">
        <v>2580000.0</v>
      </c>
      <c r="L251" s="161">
        <v>2370936.0</v>
      </c>
      <c r="M251" s="161">
        <v>2370936.0</v>
      </c>
      <c r="N251" s="163">
        <f t="shared" ref="N251:O251" si="436">J251+L251</f>
        <v>4950936</v>
      </c>
      <c r="O251" s="163">
        <f t="shared" si="436"/>
        <v>4950936</v>
      </c>
      <c r="P251" s="183"/>
      <c r="Q251" s="175">
        <v>2580000.0</v>
      </c>
      <c r="R251" s="175">
        <v>2580000.0</v>
      </c>
      <c r="S251" s="175">
        <v>2370935.9999999995</v>
      </c>
      <c r="T251" s="175">
        <v>2370935.9999999995</v>
      </c>
      <c r="U251" s="175">
        <v>4950936.0</v>
      </c>
      <c r="V251" s="175">
        <v>4950936.0</v>
      </c>
      <c r="W251" s="164">
        <f t="shared" ref="W251:AB251" si="437">+J251-Q251</f>
        <v>0</v>
      </c>
      <c r="X251" s="164">
        <f t="shared" si="437"/>
        <v>0</v>
      </c>
      <c r="Y251" s="164">
        <f t="shared" si="437"/>
        <v>0.0000000004656612873</v>
      </c>
      <c r="Z251" s="164">
        <f t="shared" si="437"/>
        <v>0.0000000004656612873</v>
      </c>
      <c r="AA251" s="164">
        <f t="shared" si="437"/>
        <v>0</v>
      </c>
      <c r="AB251" s="164">
        <f t="shared" si="437"/>
        <v>0</v>
      </c>
      <c r="AC251" s="183"/>
      <c r="AD251" s="183"/>
      <c r="AE251" s="183"/>
      <c r="AF251" s="183"/>
      <c r="AG251" s="77"/>
      <c r="AH251" s="77"/>
      <c r="AI251" s="183"/>
      <c r="AJ251" s="183"/>
      <c r="AK251" s="183"/>
      <c r="AL251" s="183"/>
      <c r="AM251" s="183"/>
      <c r="AN251" s="183"/>
      <c r="AO251" s="183"/>
      <c r="AP251" s="183"/>
    </row>
    <row r="252" ht="34.5" customHeight="1">
      <c r="A252" s="183"/>
      <c r="B252" s="183"/>
      <c r="C252" s="130"/>
      <c r="D252" s="165" t="s">
        <v>83</v>
      </c>
      <c r="E252" s="165" t="s">
        <v>94</v>
      </c>
      <c r="F252" s="165"/>
      <c r="G252" s="165"/>
      <c r="H252" s="165"/>
      <c r="I252" s="165">
        <v>133.0</v>
      </c>
      <c r="J252" s="166">
        <v>2210000.0</v>
      </c>
      <c r="K252" s="166">
        <v>2210000.0</v>
      </c>
      <c r="L252" s="161">
        <v>1414056.0</v>
      </c>
      <c r="M252" s="161">
        <v>1414056.0</v>
      </c>
      <c r="N252" s="163">
        <f t="shared" ref="N252:O252" si="438">J252+L252</f>
        <v>3624056</v>
      </c>
      <c r="O252" s="163">
        <f t="shared" si="438"/>
        <v>3624056</v>
      </c>
      <c r="P252" s="183"/>
      <c r="Q252" s="175">
        <v>2210000.0</v>
      </c>
      <c r="R252" s="175">
        <v>2210000.0</v>
      </c>
      <c r="S252" s="175">
        <v>1414056.0</v>
      </c>
      <c r="T252" s="175">
        <v>1414056.0</v>
      </c>
      <c r="U252" s="175">
        <v>3624056.0</v>
      </c>
      <c r="V252" s="175">
        <v>3624056.0</v>
      </c>
      <c r="W252" s="164">
        <f t="shared" ref="W252:AB252" si="439">+J252-Q252</f>
        <v>0</v>
      </c>
      <c r="X252" s="164">
        <f t="shared" si="439"/>
        <v>0</v>
      </c>
      <c r="Y252" s="164">
        <f t="shared" si="439"/>
        <v>0</v>
      </c>
      <c r="Z252" s="164">
        <f t="shared" si="439"/>
        <v>0</v>
      </c>
      <c r="AA252" s="164">
        <f t="shared" si="439"/>
        <v>0</v>
      </c>
      <c r="AB252" s="164">
        <f t="shared" si="439"/>
        <v>0</v>
      </c>
      <c r="AC252" s="183"/>
      <c r="AD252" s="183"/>
      <c r="AE252" s="183"/>
      <c r="AF252" s="183"/>
      <c r="AG252" s="77"/>
      <c r="AH252" s="77"/>
      <c r="AI252" s="183"/>
      <c r="AJ252" s="183"/>
      <c r="AK252" s="183"/>
      <c r="AL252" s="183"/>
      <c r="AM252" s="183"/>
      <c r="AN252" s="183"/>
      <c r="AO252" s="183"/>
      <c r="AP252" s="183"/>
    </row>
    <row r="253" ht="34.5" customHeight="1">
      <c r="A253" s="183"/>
      <c r="B253" s="183"/>
      <c r="C253" s="130"/>
      <c r="D253" s="165" t="s">
        <v>94</v>
      </c>
      <c r="E253" s="165" t="s">
        <v>85</v>
      </c>
      <c r="F253" s="165"/>
      <c r="G253" s="165"/>
      <c r="H253" s="165" t="s">
        <v>112</v>
      </c>
      <c r="I253" s="165">
        <v>177.0</v>
      </c>
      <c r="J253" s="166">
        <v>2260000.0</v>
      </c>
      <c r="K253" s="166">
        <v>2260000.0</v>
      </c>
      <c r="L253" s="161">
        <v>1881864.0</v>
      </c>
      <c r="M253" s="161">
        <v>1881864.0</v>
      </c>
      <c r="N253" s="163">
        <f t="shared" ref="N253:O253" si="440">J253+L253</f>
        <v>4141864</v>
      </c>
      <c r="O253" s="163">
        <f t="shared" si="440"/>
        <v>4141864</v>
      </c>
      <c r="P253" s="183"/>
      <c r="Q253" s="175">
        <v>2260000.0</v>
      </c>
      <c r="R253" s="175">
        <v>2260000.0</v>
      </c>
      <c r="S253" s="175">
        <v>1881864.0</v>
      </c>
      <c r="T253" s="175">
        <v>1881864.0</v>
      </c>
      <c r="U253" s="175">
        <v>4141864.0</v>
      </c>
      <c r="V253" s="175">
        <v>4141864.0</v>
      </c>
      <c r="W253" s="164">
        <f t="shared" ref="W253:AB253" si="441">+J253-Q253</f>
        <v>0</v>
      </c>
      <c r="X253" s="164">
        <f t="shared" si="441"/>
        <v>0</v>
      </c>
      <c r="Y253" s="164">
        <f t="shared" si="441"/>
        <v>0</v>
      </c>
      <c r="Z253" s="164">
        <f t="shared" si="441"/>
        <v>0</v>
      </c>
      <c r="AA253" s="164">
        <f t="shared" si="441"/>
        <v>0</v>
      </c>
      <c r="AB253" s="164">
        <f t="shared" si="441"/>
        <v>0</v>
      </c>
      <c r="AC253" s="183"/>
      <c r="AD253" s="183"/>
      <c r="AE253" s="183"/>
      <c r="AF253" s="183"/>
      <c r="AG253" s="77"/>
      <c r="AH253" s="77"/>
      <c r="AI253" s="183"/>
      <c r="AJ253" s="183"/>
      <c r="AK253" s="183"/>
      <c r="AL253" s="183"/>
      <c r="AM253" s="183"/>
      <c r="AN253" s="183"/>
      <c r="AO253" s="183"/>
      <c r="AP253" s="183"/>
    </row>
    <row r="254" ht="34.5" customHeight="1">
      <c r="A254" s="183"/>
      <c r="B254" s="183"/>
      <c r="C254" s="130"/>
      <c r="D254" s="165" t="s">
        <v>83</v>
      </c>
      <c r="E254" s="165" t="s">
        <v>94</v>
      </c>
      <c r="F254" s="165"/>
      <c r="G254" s="165"/>
      <c r="H254" s="165"/>
      <c r="I254" s="165">
        <v>133.0</v>
      </c>
      <c r="J254" s="166">
        <v>2210000.0</v>
      </c>
      <c r="K254" s="166">
        <v>2210000.0</v>
      </c>
      <c r="L254" s="161">
        <v>1414056.0</v>
      </c>
      <c r="M254" s="161">
        <v>1414056.0</v>
      </c>
      <c r="N254" s="163">
        <f t="shared" ref="N254:O254" si="442">J254+L254</f>
        <v>3624056</v>
      </c>
      <c r="O254" s="163">
        <f t="shared" si="442"/>
        <v>3624056</v>
      </c>
      <c r="P254" s="183"/>
      <c r="Q254" s="175">
        <v>2210000.0</v>
      </c>
      <c r="R254" s="175">
        <v>2210000.0</v>
      </c>
      <c r="S254" s="175">
        <v>1414056.0</v>
      </c>
      <c r="T254" s="175">
        <v>1414056.0</v>
      </c>
      <c r="U254" s="175">
        <v>3624056.0</v>
      </c>
      <c r="V254" s="175">
        <v>3624056.0</v>
      </c>
      <c r="W254" s="164">
        <f t="shared" ref="W254:AB254" si="443">+J254-Q254</f>
        <v>0</v>
      </c>
      <c r="X254" s="164">
        <f t="shared" si="443"/>
        <v>0</v>
      </c>
      <c r="Y254" s="164">
        <f t="shared" si="443"/>
        <v>0</v>
      </c>
      <c r="Z254" s="164">
        <f t="shared" si="443"/>
        <v>0</v>
      </c>
      <c r="AA254" s="164">
        <f t="shared" si="443"/>
        <v>0</v>
      </c>
      <c r="AB254" s="164">
        <f t="shared" si="443"/>
        <v>0</v>
      </c>
      <c r="AC254" s="183"/>
      <c r="AD254" s="183"/>
      <c r="AE254" s="183"/>
      <c r="AF254" s="183"/>
      <c r="AG254" s="77"/>
      <c r="AH254" s="77"/>
      <c r="AI254" s="183"/>
      <c r="AJ254" s="183"/>
      <c r="AK254" s="183"/>
      <c r="AL254" s="183"/>
      <c r="AM254" s="183"/>
      <c r="AN254" s="183"/>
      <c r="AO254" s="183"/>
      <c r="AP254" s="183"/>
    </row>
    <row r="255" ht="34.5" customHeight="1">
      <c r="A255" s="183"/>
      <c r="B255" s="183"/>
      <c r="C255" s="130"/>
      <c r="D255" s="165" t="s">
        <v>94</v>
      </c>
      <c r="E255" s="165" t="s">
        <v>86</v>
      </c>
      <c r="F255" s="165"/>
      <c r="G255" s="165"/>
      <c r="H255" s="165" t="s">
        <v>112</v>
      </c>
      <c r="I255" s="165">
        <v>191.0</v>
      </c>
      <c r="J255" s="166">
        <v>2470000.0</v>
      </c>
      <c r="K255" s="166">
        <v>2470000.0</v>
      </c>
      <c r="L255" s="161">
        <v>2030712.0</v>
      </c>
      <c r="M255" s="161">
        <v>2030712.0</v>
      </c>
      <c r="N255" s="163">
        <f t="shared" ref="N255:O255" si="444">J255+L255</f>
        <v>4500712</v>
      </c>
      <c r="O255" s="163">
        <f t="shared" si="444"/>
        <v>4500712</v>
      </c>
      <c r="P255" s="183"/>
      <c r="Q255" s="175">
        <v>2470000.0</v>
      </c>
      <c r="R255" s="175">
        <v>2470000.0</v>
      </c>
      <c r="S255" s="175">
        <v>2030712.0</v>
      </c>
      <c r="T255" s="175">
        <v>2030712.0</v>
      </c>
      <c r="U255" s="175">
        <v>4500712.0</v>
      </c>
      <c r="V255" s="175">
        <v>4500712.0</v>
      </c>
      <c r="W255" s="164">
        <f t="shared" ref="W255:AB255" si="445">+J255-Q255</f>
        <v>0</v>
      </c>
      <c r="X255" s="164">
        <f t="shared" si="445"/>
        <v>0</v>
      </c>
      <c r="Y255" s="164">
        <f t="shared" si="445"/>
        <v>0</v>
      </c>
      <c r="Z255" s="164">
        <f t="shared" si="445"/>
        <v>0</v>
      </c>
      <c r="AA255" s="164">
        <f t="shared" si="445"/>
        <v>0</v>
      </c>
      <c r="AB255" s="164">
        <f t="shared" si="445"/>
        <v>0</v>
      </c>
      <c r="AC255" s="183"/>
      <c r="AD255" s="183"/>
      <c r="AE255" s="183"/>
      <c r="AF255" s="183"/>
      <c r="AG255" s="77"/>
      <c r="AH255" s="77"/>
      <c r="AI255" s="183"/>
      <c r="AJ255" s="183"/>
      <c r="AK255" s="183"/>
      <c r="AL255" s="183"/>
      <c r="AM255" s="183"/>
      <c r="AN255" s="183"/>
      <c r="AO255" s="183"/>
      <c r="AP255" s="183"/>
    </row>
    <row r="256" ht="34.5" customHeight="1">
      <c r="A256" s="183"/>
      <c r="B256" s="183"/>
      <c r="C256" s="130"/>
      <c r="D256" s="165" t="s">
        <v>83</v>
      </c>
      <c r="E256" s="165" t="s">
        <v>95</v>
      </c>
      <c r="F256" s="165"/>
      <c r="G256" s="165"/>
      <c r="H256" s="165"/>
      <c r="I256" s="165">
        <v>122.0</v>
      </c>
      <c r="J256" s="166">
        <v>2170000.0</v>
      </c>
      <c r="K256" s="166">
        <v>2170000.0</v>
      </c>
      <c r="L256" s="161">
        <v>1297104.0</v>
      </c>
      <c r="M256" s="161">
        <v>1297104.0</v>
      </c>
      <c r="N256" s="163">
        <f t="shared" ref="N256:O256" si="446">J256+L256</f>
        <v>3467104</v>
      </c>
      <c r="O256" s="163">
        <f t="shared" si="446"/>
        <v>3467104</v>
      </c>
      <c r="P256" s="183"/>
      <c r="Q256" s="175">
        <v>2170000.0</v>
      </c>
      <c r="R256" s="175">
        <v>2170000.0</v>
      </c>
      <c r="S256" s="175">
        <v>1297104.0</v>
      </c>
      <c r="T256" s="175">
        <v>1297104.0</v>
      </c>
      <c r="U256" s="175">
        <v>3467104.0</v>
      </c>
      <c r="V256" s="175">
        <v>3467104.0</v>
      </c>
      <c r="W256" s="164">
        <f t="shared" ref="W256:AB256" si="447">+J256-Q256</f>
        <v>0</v>
      </c>
      <c r="X256" s="164">
        <f t="shared" si="447"/>
        <v>0</v>
      </c>
      <c r="Y256" s="164">
        <f t="shared" si="447"/>
        <v>0</v>
      </c>
      <c r="Z256" s="164">
        <f t="shared" si="447"/>
        <v>0</v>
      </c>
      <c r="AA256" s="164">
        <f t="shared" si="447"/>
        <v>0</v>
      </c>
      <c r="AB256" s="164">
        <f t="shared" si="447"/>
        <v>0</v>
      </c>
      <c r="AC256" s="183"/>
      <c r="AD256" s="183"/>
      <c r="AE256" s="183"/>
      <c r="AF256" s="183"/>
      <c r="AG256" s="77"/>
      <c r="AH256" s="77"/>
      <c r="AI256" s="183"/>
      <c r="AJ256" s="183"/>
      <c r="AK256" s="183"/>
      <c r="AL256" s="183"/>
      <c r="AM256" s="183"/>
      <c r="AN256" s="183"/>
      <c r="AO256" s="183"/>
      <c r="AP256" s="183"/>
    </row>
    <row r="257" ht="34.5" customHeight="1">
      <c r="A257" s="183"/>
      <c r="B257" s="183"/>
      <c r="C257" s="130"/>
      <c r="D257" s="165" t="s">
        <v>95</v>
      </c>
      <c r="E257" s="165" t="s">
        <v>84</v>
      </c>
      <c r="F257" s="165"/>
      <c r="G257" s="165"/>
      <c r="H257" s="165" t="s">
        <v>112</v>
      </c>
      <c r="I257" s="165">
        <v>243.0</v>
      </c>
      <c r="J257" s="166">
        <v>2660000.0</v>
      </c>
      <c r="K257" s="166">
        <v>2660000.0</v>
      </c>
      <c r="L257" s="161">
        <v>2583576.0</v>
      </c>
      <c r="M257" s="161">
        <v>2583576.0</v>
      </c>
      <c r="N257" s="163">
        <f t="shared" ref="N257:O257" si="448">J257+L257</f>
        <v>5243576</v>
      </c>
      <c r="O257" s="163">
        <f t="shared" si="448"/>
        <v>5243576</v>
      </c>
      <c r="P257" s="183"/>
      <c r="Q257" s="175">
        <v>2660000.0</v>
      </c>
      <c r="R257" s="175">
        <v>2660000.0</v>
      </c>
      <c r="S257" s="175">
        <v>2583575.9999999995</v>
      </c>
      <c r="T257" s="175">
        <v>2583575.9999999995</v>
      </c>
      <c r="U257" s="175">
        <v>5243576.0</v>
      </c>
      <c r="V257" s="175">
        <v>5243576.0</v>
      </c>
      <c r="W257" s="164">
        <f t="shared" ref="W257:AB257" si="449">+J257-Q257</f>
        <v>0</v>
      </c>
      <c r="X257" s="164">
        <f t="shared" si="449"/>
        <v>0</v>
      </c>
      <c r="Y257" s="164">
        <f t="shared" si="449"/>
        <v>0.0000000004656612873</v>
      </c>
      <c r="Z257" s="164">
        <f t="shared" si="449"/>
        <v>0.0000000004656612873</v>
      </c>
      <c r="AA257" s="164">
        <f t="shared" si="449"/>
        <v>0</v>
      </c>
      <c r="AB257" s="164">
        <f t="shared" si="449"/>
        <v>0</v>
      </c>
      <c r="AC257" s="183"/>
      <c r="AD257" s="183"/>
      <c r="AE257" s="183"/>
      <c r="AF257" s="183"/>
      <c r="AG257" s="77"/>
      <c r="AH257" s="77"/>
      <c r="AI257" s="183"/>
      <c r="AJ257" s="183"/>
      <c r="AK257" s="183"/>
      <c r="AL257" s="183"/>
      <c r="AM257" s="183"/>
      <c r="AN257" s="183"/>
      <c r="AO257" s="183"/>
      <c r="AP257" s="183"/>
    </row>
    <row r="258" ht="34.5" customHeight="1">
      <c r="A258" s="183"/>
      <c r="B258" s="183"/>
      <c r="C258" s="130"/>
      <c r="D258" s="165" t="s">
        <v>83</v>
      </c>
      <c r="E258" s="165" t="s">
        <v>95</v>
      </c>
      <c r="F258" s="165"/>
      <c r="G258" s="165"/>
      <c r="H258" s="165"/>
      <c r="I258" s="165">
        <v>122.0</v>
      </c>
      <c r="J258" s="166">
        <v>2170000.0</v>
      </c>
      <c r="K258" s="166">
        <v>2170000.0</v>
      </c>
      <c r="L258" s="161">
        <v>1297104.0</v>
      </c>
      <c r="M258" s="161">
        <v>1297104.0</v>
      </c>
      <c r="N258" s="163">
        <f t="shared" ref="N258:O258" si="450">J258+L258</f>
        <v>3467104</v>
      </c>
      <c r="O258" s="163">
        <f t="shared" si="450"/>
        <v>3467104</v>
      </c>
      <c r="P258" s="183"/>
      <c r="Q258" s="175">
        <v>2170000.0</v>
      </c>
      <c r="R258" s="175">
        <v>2170000.0</v>
      </c>
      <c r="S258" s="175">
        <v>1297104.0</v>
      </c>
      <c r="T258" s="175">
        <v>1297104.0</v>
      </c>
      <c r="U258" s="175">
        <v>3467104.0</v>
      </c>
      <c r="V258" s="175">
        <v>3467104.0</v>
      </c>
      <c r="W258" s="164">
        <f t="shared" ref="W258:AB258" si="451">+J258-Q258</f>
        <v>0</v>
      </c>
      <c r="X258" s="164">
        <f t="shared" si="451"/>
        <v>0</v>
      </c>
      <c r="Y258" s="164">
        <f t="shared" si="451"/>
        <v>0</v>
      </c>
      <c r="Z258" s="164">
        <f t="shared" si="451"/>
        <v>0</v>
      </c>
      <c r="AA258" s="164">
        <f t="shared" si="451"/>
        <v>0</v>
      </c>
      <c r="AB258" s="164">
        <f t="shared" si="451"/>
        <v>0</v>
      </c>
      <c r="AC258" s="183"/>
      <c r="AD258" s="183"/>
      <c r="AE258" s="183"/>
      <c r="AF258" s="183"/>
      <c r="AG258" s="77"/>
      <c r="AH258" s="77"/>
      <c r="AI258" s="183"/>
      <c r="AJ258" s="183"/>
      <c r="AK258" s="183"/>
      <c r="AL258" s="183"/>
      <c r="AM258" s="183"/>
      <c r="AN258" s="183"/>
      <c r="AO258" s="183"/>
      <c r="AP258" s="183"/>
    </row>
    <row r="259" ht="34.5" customHeight="1">
      <c r="A259" s="183"/>
      <c r="B259" s="183"/>
      <c r="C259" s="130"/>
      <c r="D259" s="165" t="s">
        <v>95</v>
      </c>
      <c r="E259" s="165" t="s">
        <v>85</v>
      </c>
      <c r="F259" s="165"/>
      <c r="G259" s="165"/>
      <c r="H259" s="165" t="s">
        <v>112</v>
      </c>
      <c r="I259" s="165">
        <v>197.0</v>
      </c>
      <c r="J259" s="166">
        <v>2490000.0</v>
      </c>
      <c r="K259" s="166">
        <v>2490000.0</v>
      </c>
      <c r="L259" s="161">
        <v>2094504.0</v>
      </c>
      <c r="M259" s="161">
        <v>2094504.0</v>
      </c>
      <c r="N259" s="163">
        <f t="shared" ref="N259:O259" si="452">J259+L259</f>
        <v>4584504</v>
      </c>
      <c r="O259" s="163">
        <f t="shared" si="452"/>
        <v>4584504</v>
      </c>
      <c r="P259" s="183"/>
      <c r="Q259" s="175">
        <v>2490000.0</v>
      </c>
      <c r="R259" s="175">
        <v>2490000.0</v>
      </c>
      <c r="S259" s="175">
        <v>2094503.9999999998</v>
      </c>
      <c r="T259" s="175">
        <v>2094503.9999999998</v>
      </c>
      <c r="U259" s="175">
        <v>4584504.0</v>
      </c>
      <c r="V259" s="175">
        <v>4584504.0</v>
      </c>
      <c r="W259" s="164">
        <f t="shared" ref="W259:AB259" si="453">+J259-Q259</f>
        <v>0</v>
      </c>
      <c r="X259" s="164">
        <f t="shared" si="453"/>
        <v>0</v>
      </c>
      <c r="Y259" s="164">
        <f t="shared" si="453"/>
        <v>0.0000000002328306437</v>
      </c>
      <c r="Z259" s="164">
        <f t="shared" si="453"/>
        <v>0.0000000002328306437</v>
      </c>
      <c r="AA259" s="164">
        <f t="shared" si="453"/>
        <v>0</v>
      </c>
      <c r="AB259" s="164">
        <f t="shared" si="453"/>
        <v>0</v>
      </c>
      <c r="AC259" s="183"/>
      <c r="AD259" s="183"/>
      <c r="AE259" s="183"/>
      <c r="AF259" s="183"/>
      <c r="AG259" s="77"/>
      <c r="AH259" s="77"/>
      <c r="AI259" s="183"/>
      <c r="AJ259" s="183"/>
      <c r="AK259" s="183"/>
      <c r="AL259" s="183"/>
      <c r="AM259" s="183"/>
      <c r="AN259" s="183"/>
      <c r="AO259" s="183"/>
      <c r="AP259" s="183"/>
    </row>
    <row r="260" ht="34.5" customHeight="1">
      <c r="A260" s="183"/>
      <c r="B260" s="183"/>
      <c r="C260" s="130"/>
      <c r="D260" s="126" t="s">
        <v>83</v>
      </c>
      <c r="E260" s="126" t="s">
        <v>95</v>
      </c>
      <c r="F260" s="126"/>
      <c r="G260" s="126"/>
      <c r="H260" s="126"/>
      <c r="I260" s="126">
        <v>122.0</v>
      </c>
      <c r="J260" s="161">
        <v>2170000.0</v>
      </c>
      <c r="K260" s="161">
        <v>2170000.0</v>
      </c>
      <c r="L260" s="161">
        <v>1297104.0</v>
      </c>
      <c r="M260" s="161">
        <v>1297104.0</v>
      </c>
      <c r="N260" s="163">
        <f t="shared" ref="N260:O260" si="454">J260+L260</f>
        <v>3467104</v>
      </c>
      <c r="O260" s="163">
        <f t="shared" si="454"/>
        <v>3467104</v>
      </c>
      <c r="P260" s="183"/>
      <c r="Q260" s="175">
        <v>2170000.0</v>
      </c>
      <c r="R260" s="175">
        <v>2170000.0</v>
      </c>
      <c r="S260" s="175">
        <v>1297104.0</v>
      </c>
      <c r="T260" s="175">
        <v>1297104.0</v>
      </c>
      <c r="U260" s="175">
        <v>3467104.0</v>
      </c>
      <c r="V260" s="175">
        <v>3467104.0</v>
      </c>
      <c r="W260" s="164">
        <f t="shared" ref="W260:AB260" si="455">+J260-Q260</f>
        <v>0</v>
      </c>
      <c r="X260" s="164">
        <f t="shared" si="455"/>
        <v>0</v>
      </c>
      <c r="Y260" s="164">
        <f t="shared" si="455"/>
        <v>0</v>
      </c>
      <c r="Z260" s="164">
        <f t="shared" si="455"/>
        <v>0</v>
      </c>
      <c r="AA260" s="164">
        <f t="shared" si="455"/>
        <v>0</v>
      </c>
      <c r="AB260" s="164">
        <f t="shared" si="455"/>
        <v>0</v>
      </c>
      <c r="AC260" s="183"/>
      <c r="AD260" s="183"/>
      <c r="AE260" s="183"/>
      <c r="AF260" s="183"/>
      <c r="AG260" s="77"/>
      <c r="AH260" s="77"/>
      <c r="AI260" s="183"/>
      <c r="AJ260" s="183"/>
      <c r="AK260" s="183"/>
      <c r="AL260" s="183"/>
      <c r="AM260" s="183"/>
      <c r="AN260" s="183"/>
      <c r="AO260" s="183"/>
      <c r="AP260" s="183"/>
    </row>
    <row r="261" ht="34.5" customHeight="1">
      <c r="A261" s="183"/>
      <c r="B261" s="183"/>
      <c r="C261" s="118"/>
      <c r="D261" s="126" t="s">
        <v>95</v>
      </c>
      <c r="E261" s="126" t="s">
        <v>86</v>
      </c>
      <c r="F261" s="126"/>
      <c r="G261" s="126"/>
      <c r="H261" s="126" t="s">
        <v>112</v>
      </c>
      <c r="I261" s="126">
        <v>166.0</v>
      </c>
      <c r="J261" s="161">
        <v>2220000.0</v>
      </c>
      <c r="K261" s="161">
        <v>2220000.0</v>
      </c>
      <c r="L261" s="161">
        <v>1764912.0</v>
      </c>
      <c r="M261" s="161">
        <v>1764912.0</v>
      </c>
      <c r="N261" s="163">
        <f t="shared" ref="N261:O261" si="456">J261+L261</f>
        <v>3984912</v>
      </c>
      <c r="O261" s="163">
        <f t="shared" si="456"/>
        <v>3984912</v>
      </c>
      <c r="P261" s="183"/>
      <c r="Q261" s="175">
        <v>2220000.0</v>
      </c>
      <c r="R261" s="175">
        <v>2220000.0</v>
      </c>
      <c r="S261" s="175">
        <v>1764912.0</v>
      </c>
      <c r="T261" s="175">
        <v>1764912.0</v>
      </c>
      <c r="U261" s="175">
        <v>3984912.0</v>
      </c>
      <c r="V261" s="175">
        <v>3984912.0</v>
      </c>
      <c r="W261" s="164">
        <f t="shared" ref="W261:AB261" si="457">+J261-Q261</f>
        <v>0</v>
      </c>
      <c r="X261" s="164">
        <f t="shared" si="457"/>
        <v>0</v>
      </c>
      <c r="Y261" s="164">
        <f t="shared" si="457"/>
        <v>0</v>
      </c>
      <c r="Z261" s="164">
        <f t="shared" si="457"/>
        <v>0</v>
      </c>
      <c r="AA261" s="164">
        <f t="shared" si="457"/>
        <v>0</v>
      </c>
      <c r="AB261" s="164">
        <f t="shared" si="457"/>
        <v>0</v>
      </c>
      <c r="AC261" s="183"/>
      <c r="AD261" s="183"/>
      <c r="AE261" s="183"/>
      <c r="AF261" s="183"/>
      <c r="AG261" s="77"/>
      <c r="AH261" s="77"/>
      <c r="AI261" s="183"/>
      <c r="AJ261" s="183"/>
      <c r="AK261" s="183"/>
      <c r="AL261" s="183"/>
      <c r="AM261" s="183"/>
      <c r="AN261" s="183"/>
      <c r="AO261" s="183"/>
      <c r="AP261" s="183"/>
    </row>
    <row r="262" ht="34.5" customHeight="1">
      <c r="A262" s="183"/>
      <c r="B262" s="183"/>
      <c r="C262" s="167" t="s">
        <v>92</v>
      </c>
      <c r="D262" s="126" t="s">
        <v>90</v>
      </c>
      <c r="E262" s="126" t="s">
        <v>96</v>
      </c>
      <c r="F262" s="126"/>
      <c r="G262" s="126"/>
      <c r="H262" s="126"/>
      <c r="I262" s="126">
        <v>85.0</v>
      </c>
      <c r="J262" s="161">
        <v>1600000.0</v>
      </c>
      <c r="K262" s="161">
        <v>1600000.0</v>
      </c>
      <c r="L262" s="161">
        <v>903720.0</v>
      </c>
      <c r="M262" s="161">
        <v>903720.0</v>
      </c>
      <c r="N262" s="163">
        <f t="shared" ref="N262:O262" si="458">J262+L262</f>
        <v>2503720</v>
      </c>
      <c r="O262" s="163">
        <f t="shared" si="458"/>
        <v>2503720</v>
      </c>
      <c r="P262" s="183"/>
      <c r="Q262" s="175">
        <v>1600000.0</v>
      </c>
      <c r="R262" s="175">
        <v>1600000.0</v>
      </c>
      <c r="S262" s="175">
        <v>903720.0</v>
      </c>
      <c r="T262" s="175">
        <v>903720.0</v>
      </c>
      <c r="U262" s="175">
        <v>2503720.0</v>
      </c>
      <c r="V262" s="175">
        <v>2503720.0</v>
      </c>
      <c r="W262" s="164">
        <f t="shared" ref="W262:AB262" si="459">+J262-Q262</f>
        <v>0</v>
      </c>
      <c r="X262" s="164">
        <f t="shared" si="459"/>
        <v>0</v>
      </c>
      <c r="Y262" s="164">
        <f t="shared" si="459"/>
        <v>0</v>
      </c>
      <c r="Z262" s="164">
        <f t="shared" si="459"/>
        <v>0</v>
      </c>
      <c r="AA262" s="164">
        <f t="shared" si="459"/>
        <v>0</v>
      </c>
      <c r="AB262" s="164">
        <f t="shared" si="459"/>
        <v>0</v>
      </c>
      <c r="AC262" s="183"/>
      <c r="AD262" s="183"/>
      <c r="AE262" s="183"/>
      <c r="AF262" s="183"/>
      <c r="AG262" s="77"/>
      <c r="AH262" s="77"/>
      <c r="AI262" s="183"/>
      <c r="AJ262" s="183"/>
      <c r="AK262" s="183"/>
      <c r="AL262" s="183"/>
      <c r="AM262" s="183"/>
      <c r="AN262" s="183"/>
      <c r="AO262" s="183"/>
      <c r="AP262" s="183"/>
    </row>
    <row r="263" ht="34.5" customHeight="1">
      <c r="A263" s="183"/>
      <c r="B263" s="183"/>
      <c r="C263" s="130"/>
      <c r="D263" s="126" t="s">
        <v>96</v>
      </c>
      <c r="E263" s="126" t="s">
        <v>84</v>
      </c>
      <c r="F263" s="126"/>
      <c r="G263" s="126"/>
      <c r="H263" s="126" t="s">
        <v>112</v>
      </c>
      <c r="I263" s="126">
        <v>246.0</v>
      </c>
      <c r="J263" s="161">
        <v>3050000.0</v>
      </c>
      <c r="K263" s="161">
        <v>3050000.0</v>
      </c>
      <c r="L263" s="161">
        <v>2615472.0</v>
      </c>
      <c r="M263" s="161">
        <v>2615472.0</v>
      </c>
      <c r="N263" s="163">
        <f t="shared" ref="N263:O263" si="460">J263+L263</f>
        <v>5665472</v>
      </c>
      <c r="O263" s="163">
        <f t="shared" si="460"/>
        <v>5665472</v>
      </c>
      <c r="P263" s="183"/>
      <c r="Q263" s="175">
        <v>3050000.0</v>
      </c>
      <c r="R263" s="175">
        <v>3050000.0</v>
      </c>
      <c r="S263" s="175">
        <v>2615472.0</v>
      </c>
      <c r="T263" s="175">
        <v>2615472.0</v>
      </c>
      <c r="U263" s="175">
        <v>5665472.0</v>
      </c>
      <c r="V263" s="175">
        <v>5665472.0</v>
      </c>
      <c r="W263" s="164">
        <f t="shared" ref="W263:AB263" si="461">+J263-Q263</f>
        <v>0</v>
      </c>
      <c r="X263" s="164">
        <f t="shared" si="461"/>
        <v>0</v>
      </c>
      <c r="Y263" s="164">
        <f t="shared" si="461"/>
        <v>0</v>
      </c>
      <c r="Z263" s="164">
        <f t="shared" si="461"/>
        <v>0</v>
      </c>
      <c r="AA263" s="164">
        <f t="shared" si="461"/>
        <v>0</v>
      </c>
      <c r="AB263" s="164">
        <f t="shared" si="461"/>
        <v>0</v>
      </c>
      <c r="AC263" s="183"/>
      <c r="AD263" s="183"/>
      <c r="AE263" s="183"/>
      <c r="AF263" s="183"/>
      <c r="AG263" s="77"/>
      <c r="AH263" s="77"/>
      <c r="AI263" s="183"/>
      <c r="AJ263" s="183"/>
      <c r="AK263" s="183"/>
      <c r="AL263" s="183"/>
      <c r="AM263" s="183"/>
      <c r="AN263" s="183"/>
      <c r="AO263" s="183"/>
      <c r="AP263" s="183"/>
    </row>
    <row r="264" ht="34.5" customHeight="1">
      <c r="A264" s="183"/>
      <c r="B264" s="183"/>
      <c r="C264" s="130"/>
      <c r="D264" s="126" t="s">
        <v>90</v>
      </c>
      <c r="E264" s="126" t="s">
        <v>96</v>
      </c>
      <c r="F264" s="126"/>
      <c r="G264" s="126"/>
      <c r="H264" s="126"/>
      <c r="I264" s="126">
        <v>85.0</v>
      </c>
      <c r="J264" s="161">
        <v>1600000.0</v>
      </c>
      <c r="K264" s="161">
        <v>1600000.0</v>
      </c>
      <c r="L264" s="161">
        <v>903720.0</v>
      </c>
      <c r="M264" s="161">
        <v>903720.0</v>
      </c>
      <c r="N264" s="163">
        <f t="shared" ref="N264:O264" si="462">J264+L264</f>
        <v>2503720</v>
      </c>
      <c r="O264" s="163">
        <f t="shared" si="462"/>
        <v>2503720</v>
      </c>
      <c r="P264" s="183"/>
      <c r="Q264" s="175">
        <v>1600000.0</v>
      </c>
      <c r="R264" s="175">
        <v>1600000.0</v>
      </c>
      <c r="S264" s="175">
        <v>903720.0</v>
      </c>
      <c r="T264" s="175">
        <v>903720.0</v>
      </c>
      <c r="U264" s="175">
        <v>2503720.0</v>
      </c>
      <c r="V264" s="175">
        <v>2503720.0</v>
      </c>
      <c r="W264" s="164">
        <f t="shared" ref="W264:AB264" si="463">+J264-Q264</f>
        <v>0</v>
      </c>
      <c r="X264" s="164">
        <f t="shared" si="463"/>
        <v>0</v>
      </c>
      <c r="Y264" s="164">
        <f t="shared" si="463"/>
        <v>0</v>
      </c>
      <c r="Z264" s="164">
        <f t="shared" si="463"/>
        <v>0</v>
      </c>
      <c r="AA264" s="164">
        <f t="shared" si="463"/>
        <v>0</v>
      </c>
      <c r="AB264" s="164">
        <f t="shared" si="463"/>
        <v>0</v>
      </c>
      <c r="AC264" s="183"/>
      <c r="AD264" s="183"/>
      <c r="AE264" s="183"/>
      <c r="AF264" s="183"/>
      <c r="AG264" s="77"/>
      <c r="AH264" s="77"/>
      <c r="AI264" s="183"/>
      <c r="AJ264" s="183"/>
      <c r="AK264" s="183"/>
      <c r="AL264" s="183"/>
      <c r="AM264" s="183"/>
      <c r="AN264" s="183"/>
      <c r="AO264" s="183"/>
      <c r="AP264" s="183"/>
    </row>
    <row r="265" ht="34.5" customHeight="1">
      <c r="A265" s="183"/>
      <c r="B265" s="183"/>
      <c r="C265" s="130"/>
      <c r="D265" s="126" t="s">
        <v>96</v>
      </c>
      <c r="E265" s="126" t="s">
        <v>85</v>
      </c>
      <c r="F265" s="126"/>
      <c r="G265" s="126"/>
      <c r="H265" s="126" t="s">
        <v>112</v>
      </c>
      <c r="I265" s="126">
        <v>271.0</v>
      </c>
      <c r="J265" s="161">
        <v>3290000.0</v>
      </c>
      <c r="K265" s="161">
        <v>3290000.0</v>
      </c>
      <c r="L265" s="161">
        <v>2881272.0</v>
      </c>
      <c r="M265" s="161">
        <v>2881272.0</v>
      </c>
      <c r="N265" s="163">
        <f t="shared" ref="N265:O265" si="464">J265+L265</f>
        <v>6171272</v>
      </c>
      <c r="O265" s="163">
        <f t="shared" si="464"/>
        <v>6171272</v>
      </c>
      <c r="P265" s="183"/>
      <c r="Q265" s="175">
        <v>3290000.0</v>
      </c>
      <c r="R265" s="175">
        <v>3290000.0</v>
      </c>
      <c r="S265" s="175">
        <v>2881272.0</v>
      </c>
      <c r="T265" s="175">
        <v>2881272.0</v>
      </c>
      <c r="U265" s="175">
        <v>6171272.0</v>
      </c>
      <c r="V265" s="175">
        <v>6171272.0</v>
      </c>
      <c r="W265" s="164">
        <f t="shared" ref="W265:AB265" si="465">+J265-Q265</f>
        <v>0</v>
      </c>
      <c r="X265" s="164">
        <f t="shared" si="465"/>
        <v>0</v>
      </c>
      <c r="Y265" s="164">
        <f t="shared" si="465"/>
        <v>0</v>
      </c>
      <c r="Z265" s="164">
        <f t="shared" si="465"/>
        <v>0</v>
      </c>
      <c r="AA265" s="164">
        <f t="shared" si="465"/>
        <v>0</v>
      </c>
      <c r="AB265" s="164">
        <f t="shared" si="465"/>
        <v>0</v>
      </c>
      <c r="AC265" s="183"/>
      <c r="AD265" s="183"/>
      <c r="AE265" s="183"/>
      <c r="AF265" s="183"/>
      <c r="AG265" s="77"/>
      <c r="AH265" s="77"/>
      <c r="AI265" s="183"/>
      <c r="AJ265" s="183"/>
      <c r="AK265" s="183"/>
      <c r="AL265" s="183"/>
      <c r="AM265" s="183"/>
      <c r="AN265" s="183"/>
      <c r="AO265" s="183"/>
      <c r="AP265" s="183"/>
    </row>
    <row r="266" ht="34.5" customHeight="1">
      <c r="A266" s="183"/>
      <c r="B266" s="183"/>
      <c r="C266" s="130"/>
      <c r="D266" s="126" t="s">
        <v>90</v>
      </c>
      <c r="E266" s="126" t="s">
        <v>96</v>
      </c>
      <c r="F266" s="126"/>
      <c r="G266" s="126"/>
      <c r="H266" s="126"/>
      <c r="I266" s="126">
        <v>85.0</v>
      </c>
      <c r="J266" s="161">
        <v>1600000.0</v>
      </c>
      <c r="K266" s="161">
        <v>1600000.0</v>
      </c>
      <c r="L266" s="161">
        <v>903720.0</v>
      </c>
      <c r="M266" s="161">
        <v>903720.0</v>
      </c>
      <c r="N266" s="163">
        <f t="shared" ref="N266:O266" si="466">J266+L266</f>
        <v>2503720</v>
      </c>
      <c r="O266" s="163">
        <f t="shared" si="466"/>
        <v>2503720</v>
      </c>
      <c r="P266" s="183"/>
      <c r="Q266" s="175">
        <v>1600000.0</v>
      </c>
      <c r="R266" s="175">
        <v>1600000.0</v>
      </c>
      <c r="S266" s="175">
        <v>903720.0</v>
      </c>
      <c r="T266" s="175">
        <v>903720.0</v>
      </c>
      <c r="U266" s="175">
        <v>2503720.0</v>
      </c>
      <c r="V266" s="175">
        <v>2503720.0</v>
      </c>
      <c r="W266" s="164">
        <f t="shared" ref="W266:AB266" si="467">+J266-Q266</f>
        <v>0</v>
      </c>
      <c r="X266" s="164">
        <f t="shared" si="467"/>
        <v>0</v>
      </c>
      <c r="Y266" s="164">
        <f t="shared" si="467"/>
        <v>0</v>
      </c>
      <c r="Z266" s="164">
        <f t="shared" si="467"/>
        <v>0</v>
      </c>
      <c r="AA266" s="164">
        <f t="shared" si="467"/>
        <v>0</v>
      </c>
      <c r="AB266" s="164">
        <f t="shared" si="467"/>
        <v>0</v>
      </c>
      <c r="AC266" s="183"/>
      <c r="AD266" s="183"/>
      <c r="AE266" s="183"/>
      <c r="AF266" s="183"/>
      <c r="AG266" s="77"/>
      <c r="AH266" s="77"/>
      <c r="AI266" s="183"/>
      <c r="AJ266" s="183"/>
      <c r="AK266" s="183"/>
      <c r="AL266" s="183"/>
      <c r="AM266" s="183"/>
      <c r="AN266" s="183"/>
      <c r="AO266" s="183"/>
      <c r="AP266" s="183"/>
    </row>
    <row r="267" ht="34.5" customHeight="1">
      <c r="A267" s="183"/>
      <c r="B267" s="183"/>
      <c r="C267" s="130"/>
      <c r="D267" s="126" t="s">
        <v>96</v>
      </c>
      <c r="E267" s="126" t="s">
        <v>86</v>
      </c>
      <c r="F267" s="126"/>
      <c r="G267" s="126"/>
      <c r="H267" s="126" t="s">
        <v>112</v>
      </c>
      <c r="I267" s="126">
        <v>280.0</v>
      </c>
      <c r="J267" s="161">
        <v>3320000.0</v>
      </c>
      <c r="K267" s="161">
        <v>3320000.0</v>
      </c>
      <c r="L267" s="161">
        <v>2976960.0</v>
      </c>
      <c r="M267" s="161">
        <v>2976960.0</v>
      </c>
      <c r="N267" s="163">
        <f t="shared" ref="N267:O267" si="468">J267+L267</f>
        <v>6296960</v>
      </c>
      <c r="O267" s="163">
        <f t="shared" si="468"/>
        <v>6296960</v>
      </c>
      <c r="P267" s="183"/>
      <c r="Q267" s="175">
        <v>3320000.0</v>
      </c>
      <c r="R267" s="175">
        <v>3320000.0</v>
      </c>
      <c r="S267" s="175">
        <v>2976960.0</v>
      </c>
      <c r="T267" s="175">
        <v>2976960.0</v>
      </c>
      <c r="U267" s="175">
        <v>6296960.0</v>
      </c>
      <c r="V267" s="175">
        <v>6296960.0</v>
      </c>
      <c r="W267" s="164">
        <f t="shared" ref="W267:AB267" si="469">+J267-Q267</f>
        <v>0</v>
      </c>
      <c r="X267" s="164">
        <f t="shared" si="469"/>
        <v>0</v>
      </c>
      <c r="Y267" s="164">
        <f t="shared" si="469"/>
        <v>0</v>
      </c>
      <c r="Z267" s="164">
        <f t="shared" si="469"/>
        <v>0</v>
      </c>
      <c r="AA267" s="164">
        <f t="shared" si="469"/>
        <v>0</v>
      </c>
      <c r="AB267" s="164">
        <f t="shared" si="469"/>
        <v>0</v>
      </c>
      <c r="AC267" s="183"/>
      <c r="AD267" s="183"/>
      <c r="AE267" s="183"/>
      <c r="AF267" s="183"/>
      <c r="AG267" s="77"/>
      <c r="AH267" s="77"/>
      <c r="AI267" s="183"/>
      <c r="AJ267" s="183"/>
      <c r="AK267" s="183"/>
      <c r="AL267" s="183"/>
      <c r="AM267" s="183"/>
      <c r="AN267" s="183"/>
      <c r="AO267" s="183"/>
      <c r="AP267" s="183"/>
    </row>
    <row r="268" ht="34.5" customHeight="1">
      <c r="A268" s="183"/>
      <c r="B268" s="183"/>
      <c r="C268" s="130"/>
      <c r="D268" s="126" t="s">
        <v>90</v>
      </c>
      <c r="E268" s="126" t="s">
        <v>97</v>
      </c>
      <c r="F268" s="126"/>
      <c r="G268" s="126"/>
      <c r="H268" s="126"/>
      <c r="I268" s="126">
        <v>35.0</v>
      </c>
      <c r="J268" s="161">
        <v>1100000.0</v>
      </c>
      <c r="K268" s="161">
        <v>1100000.0</v>
      </c>
      <c r="L268" s="161">
        <v>372120.0</v>
      </c>
      <c r="M268" s="161">
        <v>372120.0</v>
      </c>
      <c r="N268" s="163">
        <f t="shared" ref="N268:O268" si="470">J268+L268</f>
        <v>1472120</v>
      </c>
      <c r="O268" s="163">
        <f t="shared" si="470"/>
        <v>1472120</v>
      </c>
      <c r="P268" s="183"/>
      <c r="Q268" s="175">
        <v>1100000.0</v>
      </c>
      <c r="R268" s="175">
        <v>1100000.0</v>
      </c>
      <c r="S268" s="175">
        <v>372120.0</v>
      </c>
      <c r="T268" s="175">
        <v>372120.0</v>
      </c>
      <c r="U268" s="175">
        <v>1472120.0</v>
      </c>
      <c r="V268" s="175">
        <v>1472120.0</v>
      </c>
      <c r="W268" s="164">
        <f t="shared" ref="W268:AB268" si="471">+J268-Q268</f>
        <v>0</v>
      </c>
      <c r="X268" s="164">
        <f t="shared" si="471"/>
        <v>0</v>
      </c>
      <c r="Y268" s="164">
        <f t="shared" si="471"/>
        <v>0</v>
      </c>
      <c r="Z268" s="164">
        <f t="shared" si="471"/>
        <v>0</v>
      </c>
      <c r="AA268" s="164">
        <f t="shared" si="471"/>
        <v>0</v>
      </c>
      <c r="AB268" s="164">
        <f t="shared" si="471"/>
        <v>0</v>
      </c>
      <c r="AC268" s="183"/>
      <c r="AD268" s="183"/>
      <c r="AE268" s="183"/>
      <c r="AF268" s="183"/>
      <c r="AG268" s="77"/>
      <c r="AH268" s="77"/>
      <c r="AI268" s="183"/>
      <c r="AJ268" s="183"/>
      <c r="AK268" s="183"/>
      <c r="AL268" s="183"/>
      <c r="AM268" s="183"/>
      <c r="AN268" s="183"/>
      <c r="AO268" s="183"/>
      <c r="AP268" s="183"/>
    </row>
    <row r="269" ht="34.5" customHeight="1">
      <c r="A269" s="183"/>
      <c r="B269" s="183"/>
      <c r="C269" s="130"/>
      <c r="D269" s="126" t="s">
        <v>97</v>
      </c>
      <c r="E269" s="126" t="s">
        <v>84</v>
      </c>
      <c r="F269" s="126"/>
      <c r="G269" s="126"/>
      <c r="H269" s="126" t="s">
        <v>112</v>
      </c>
      <c r="I269" s="126">
        <v>321.0</v>
      </c>
      <c r="J269" s="161">
        <v>3650000.0</v>
      </c>
      <c r="K269" s="161">
        <v>3650000.0</v>
      </c>
      <c r="L269" s="161">
        <v>3412872.0</v>
      </c>
      <c r="M269" s="161">
        <v>3412872.0</v>
      </c>
      <c r="N269" s="163">
        <f t="shared" ref="N269:O269" si="472">J269+L269</f>
        <v>7062872</v>
      </c>
      <c r="O269" s="163">
        <f t="shared" si="472"/>
        <v>7062872</v>
      </c>
      <c r="P269" s="183"/>
      <c r="Q269" s="175">
        <v>3650000.0</v>
      </c>
      <c r="R269" s="175">
        <v>3650000.0</v>
      </c>
      <c r="S269" s="175">
        <v>3412872.0</v>
      </c>
      <c r="T269" s="175">
        <v>3412872.0</v>
      </c>
      <c r="U269" s="175">
        <v>7062872.0</v>
      </c>
      <c r="V269" s="175">
        <v>7062872.0</v>
      </c>
      <c r="W269" s="164">
        <f t="shared" ref="W269:AB269" si="473">+J269-Q269</f>
        <v>0</v>
      </c>
      <c r="X269" s="164">
        <f t="shared" si="473"/>
        <v>0</v>
      </c>
      <c r="Y269" s="164">
        <f t="shared" si="473"/>
        <v>0</v>
      </c>
      <c r="Z269" s="164">
        <f t="shared" si="473"/>
        <v>0</v>
      </c>
      <c r="AA269" s="164">
        <f t="shared" si="473"/>
        <v>0</v>
      </c>
      <c r="AB269" s="164">
        <f t="shared" si="473"/>
        <v>0</v>
      </c>
      <c r="AC269" s="183"/>
      <c r="AD269" s="183"/>
      <c r="AE269" s="183"/>
      <c r="AF269" s="183"/>
      <c r="AG269" s="77"/>
      <c r="AH269" s="77"/>
      <c r="AI269" s="183"/>
      <c r="AJ269" s="183"/>
      <c r="AK269" s="183"/>
      <c r="AL269" s="183"/>
      <c r="AM269" s="183"/>
      <c r="AN269" s="183"/>
      <c r="AO269" s="183"/>
      <c r="AP269" s="183"/>
    </row>
    <row r="270" ht="38.25" customHeight="1">
      <c r="A270" s="183"/>
      <c r="B270" s="183"/>
      <c r="C270" s="130"/>
      <c r="D270" s="126" t="s">
        <v>90</v>
      </c>
      <c r="E270" s="126" t="s">
        <v>97</v>
      </c>
      <c r="F270" s="126"/>
      <c r="G270" s="126"/>
      <c r="H270" s="126"/>
      <c r="I270" s="126">
        <v>35.0</v>
      </c>
      <c r="J270" s="161">
        <v>1100000.0</v>
      </c>
      <c r="K270" s="161">
        <v>1100000.0</v>
      </c>
      <c r="L270" s="161">
        <v>372120.0</v>
      </c>
      <c r="M270" s="161">
        <v>372120.0</v>
      </c>
      <c r="N270" s="163">
        <f t="shared" ref="N270:O270" si="474">J270+L270</f>
        <v>1472120</v>
      </c>
      <c r="O270" s="163">
        <f t="shared" si="474"/>
        <v>1472120</v>
      </c>
      <c r="P270" s="183"/>
      <c r="Q270" s="175">
        <v>1100000.0</v>
      </c>
      <c r="R270" s="175">
        <v>1100000.0</v>
      </c>
      <c r="S270" s="175">
        <v>372120.0</v>
      </c>
      <c r="T270" s="175">
        <v>372120.0</v>
      </c>
      <c r="U270" s="175">
        <v>1472120.0</v>
      </c>
      <c r="V270" s="175">
        <v>1472120.0</v>
      </c>
      <c r="W270" s="164">
        <f t="shared" ref="W270:AB270" si="475">+J270-Q270</f>
        <v>0</v>
      </c>
      <c r="X270" s="164">
        <f t="shared" si="475"/>
        <v>0</v>
      </c>
      <c r="Y270" s="164">
        <f t="shared" si="475"/>
        <v>0</v>
      </c>
      <c r="Z270" s="164">
        <f t="shared" si="475"/>
        <v>0</v>
      </c>
      <c r="AA270" s="164">
        <f t="shared" si="475"/>
        <v>0</v>
      </c>
      <c r="AB270" s="164">
        <f t="shared" si="475"/>
        <v>0</v>
      </c>
      <c r="AC270" s="183"/>
      <c r="AD270" s="183"/>
      <c r="AE270" s="183"/>
      <c r="AF270" s="183"/>
      <c r="AG270" s="77"/>
      <c r="AH270" s="77"/>
      <c r="AI270" s="183"/>
      <c r="AJ270" s="183"/>
      <c r="AK270" s="183"/>
      <c r="AL270" s="183"/>
      <c r="AM270" s="183"/>
      <c r="AN270" s="183"/>
      <c r="AO270" s="183"/>
      <c r="AP270" s="183"/>
    </row>
    <row r="271" ht="38.25" customHeight="1">
      <c r="A271" s="183"/>
      <c r="B271" s="183"/>
      <c r="C271" s="130"/>
      <c r="D271" s="126" t="s">
        <v>97</v>
      </c>
      <c r="E271" s="126" t="s">
        <v>85</v>
      </c>
      <c r="F271" s="126"/>
      <c r="G271" s="126"/>
      <c r="H271" s="126" t="s">
        <v>112</v>
      </c>
      <c r="I271" s="126">
        <v>275.0</v>
      </c>
      <c r="J271" s="161">
        <v>3350000.0</v>
      </c>
      <c r="K271" s="161">
        <v>3350000.0</v>
      </c>
      <c r="L271" s="161">
        <v>2923800.0</v>
      </c>
      <c r="M271" s="161">
        <v>2923800.0</v>
      </c>
      <c r="N271" s="163">
        <f t="shared" ref="N271:O271" si="476">J271+L271</f>
        <v>6273800</v>
      </c>
      <c r="O271" s="163">
        <f t="shared" si="476"/>
        <v>6273800</v>
      </c>
      <c r="P271" s="183"/>
      <c r="Q271" s="175">
        <v>3350000.0</v>
      </c>
      <c r="R271" s="175">
        <v>3350000.0</v>
      </c>
      <c r="S271" s="175">
        <v>2923800.0</v>
      </c>
      <c r="T271" s="175">
        <v>2923800.0</v>
      </c>
      <c r="U271" s="175">
        <v>6273800.0</v>
      </c>
      <c r="V271" s="175">
        <v>6273800.0</v>
      </c>
      <c r="W271" s="164">
        <f t="shared" ref="W271:AB271" si="477">+J271-Q271</f>
        <v>0</v>
      </c>
      <c r="X271" s="164">
        <f t="shared" si="477"/>
        <v>0</v>
      </c>
      <c r="Y271" s="164">
        <f t="shared" si="477"/>
        <v>0</v>
      </c>
      <c r="Z271" s="164">
        <f t="shared" si="477"/>
        <v>0</v>
      </c>
      <c r="AA271" s="164">
        <f t="shared" si="477"/>
        <v>0</v>
      </c>
      <c r="AB271" s="164">
        <f t="shared" si="477"/>
        <v>0</v>
      </c>
      <c r="AC271" s="183"/>
      <c r="AD271" s="183"/>
      <c r="AE271" s="183"/>
      <c r="AF271" s="183"/>
      <c r="AG271" s="77"/>
      <c r="AH271" s="77"/>
      <c r="AI271" s="183"/>
      <c r="AJ271" s="183"/>
      <c r="AK271" s="183"/>
      <c r="AL271" s="183"/>
      <c r="AM271" s="183"/>
      <c r="AN271" s="183"/>
      <c r="AO271" s="183"/>
      <c r="AP271" s="183"/>
    </row>
    <row r="272" ht="38.25" customHeight="1">
      <c r="A272" s="183"/>
      <c r="B272" s="183"/>
      <c r="C272" s="130"/>
      <c r="D272" s="126" t="s">
        <v>90</v>
      </c>
      <c r="E272" s="126" t="s">
        <v>97</v>
      </c>
      <c r="F272" s="126"/>
      <c r="G272" s="126"/>
      <c r="H272" s="126"/>
      <c r="I272" s="126">
        <v>35.0</v>
      </c>
      <c r="J272" s="161">
        <v>1100000.0</v>
      </c>
      <c r="K272" s="161">
        <v>1100000.0</v>
      </c>
      <c r="L272" s="161">
        <v>372120.0</v>
      </c>
      <c r="M272" s="161">
        <v>372120.0</v>
      </c>
      <c r="N272" s="163">
        <f t="shared" ref="N272:O272" si="478">J272+L272</f>
        <v>1472120</v>
      </c>
      <c r="O272" s="163">
        <f t="shared" si="478"/>
        <v>1472120</v>
      </c>
      <c r="P272" s="183"/>
      <c r="Q272" s="175">
        <v>1100000.0</v>
      </c>
      <c r="R272" s="175">
        <v>1100000.0</v>
      </c>
      <c r="S272" s="175">
        <v>372120.0</v>
      </c>
      <c r="T272" s="175">
        <v>372120.0</v>
      </c>
      <c r="U272" s="175">
        <v>1472120.0</v>
      </c>
      <c r="V272" s="175">
        <v>1472120.0</v>
      </c>
      <c r="W272" s="164">
        <f t="shared" ref="W272:AB272" si="479">+J272-Q272</f>
        <v>0</v>
      </c>
      <c r="X272" s="164">
        <f t="shared" si="479"/>
        <v>0</v>
      </c>
      <c r="Y272" s="164">
        <f t="shared" si="479"/>
        <v>0</v>
      </c>
      <c r="Z272" s="164">
        <f t="shared" si="479"/>
        <v>0</v>
      </c>
      <c r="AA272" s="164">
        <f t="shared" si="479"/>
        <v>0</v>
      </c>
      <c r="AB272" s="164">
        <f t="shared" si="479"/>
        <v>0</v>
      </c>
      <c r="AC272" s="183"/>
      <c r="AD272" s="183"/>
      <c r="AE272" s="183"/>
      <c r="AF272" s="183"/>
      <c r="AG272" s="77"/>
      <c r="AH272" s="77"/>
      <c r="AI272" s="183"/>
      <c r="AJ272" s="183"/>
      <c r="AK272" s="183"/>
      <c r="AL272" s="183"/>
      <c r="AM272" s="183"/>
      <c r="AN272" s="183"/>
      <c r="AO272" s="183"/>
      <c r="AP272" s="183"/>
    </row>
    <row r="273" ht="38.25" customHeight="1">
      <c r="A273" s="183"/>
      <c r="B273" s="183"/>
      <c r="C273" s="130"/>
      <c r="D273" s="126" t="s">
        <v>97</v>
      </c>
      <c r="E273" s="126" t="s">
        <v>86</v>
      </c>
      <c r="F273" s="126"/>
      <c r="G273" s="126"/>
      <c r="H273" s="126" t="s">
        <v>112</v>
      </c>
      <c r="I273" s="126">
        <v>289.0</v>
      </c>
      <c r="J273" s="161">
        <v>3350000.0</v>
      </c>
      <c r="K273" s="161">
        <v>3350000.0</v>
      </c>
      <c r="L273" s="161">
        <v>3072648.0</v>
      </c>
      <c r="M273" s="161">
        <v>3072648.0</v>
      </c>
      <c r="N273" s="163">
        <f t="shared" ref="N273:O273" si="480">J273+L273</f>
        <v>6422648</v>
      </c>
      <c r="O273" s="163">
        <f t="shared" si="480"/>
        <v>6422648</v>
      </c>
      <c r="P273" s="183"/>
      <c r="Q273" s="175">
        <v>3350000.0</v>
      </c>
      <c r="R273" s="175">
        <v>3350000.0</v>
      </c>
      <c r="S273" s="175">
        <v>3072648.0</v>
      </c>
      <c r="T273" s="175">
        <v>3072648.0</v>
      </c>
      <c r="U273" s="175">
        <v>6422648.0</v>
      </c>
      <c r="V273" s="175">
        <v>6422648.0</v>
      </c>
      <c r="W273" s="164">
        <f t="shared" ref="W273:AB273" si="481">+J273-Q273</f>
        <v>0</v>
      </c>
      <c r="X273" s="164">
        <f t="shared" si="481"/>
        <v>0</v>
      </c>
      <c r="Y273" s="164">
        <f t="shared" si="481"/>
        <v>0</v>
      </c>
      <c r="Z273" s="164">
        <f t="shared" si="481"/>
        <v>0</v>
      </c>
      <c r="AA273" s="164">
        <f t="shared" si="481"/>
        <v>0</v>
      </c>
      <c r="AB273" s="164">
        <f t="shared" si="481"/>
        <v>0</v>
      </c>
      <c r="AC273" s="183"/>
      <c r="AD273" s="183"/>
      <c r="AE273" s="183"/>
      <c r="AF273" s="183"/>
      <c r="AG273" s="77"/>
      <c r="AH273" s="77"/>
      <c r="AI273" s="183"/>
      <c r="AJ273" s="183"/>
      <c r="AK273" s="183"/>
      <c r="AL273" s="183"/>
      <c r="AM273" s="183"/>
      <c r="AN273" s="183"/>
      <c r="AO273" s="183"/>
      <c r="AP273" s="183"/>
    </row>
    <row r="274" ht="38.25" customHeight="1">
      <c r="A274" s="183"/>
      <c r="B274" s="183"/>
      <c r="C274" s="130"/>
      <c r="D274" s="126" t="s">
        <v>90</v>
      </c>
      <c r="E274" s="126" t="s">
        <v>98</v>
      </c>
      <c r="F274" s="126"/>
      <c r="G274" s="126"/>
      <c r="H274" s="126"/>
      <c r="I274" s="126">
        <v>25.0</v>
      </c>
      <c r="J274" s="161">
        <v>1000000.0</v>
      </c>
      <c r="K274" s="161">
        <v>1000000.0</v>
      </c>
      <c r="L274" s="161">
        <v>265800.0</v>
      </c>
      <c r="M274" s="161">
        <v>265800.0</v>
      </c>
      <c r="N274" s="163">
        <f t="shared" ref="N274:O274" si="482">J274+L274</f>
        <v>1265800</v>
      </c>
      <c r="O274" s="163">
        <f t="shared" si="482"/>
        <v>1265800</v>
      </c>
      <c r="P274" s="183"/>
      <c r="Q274" s="175">
        <v>1000000.0</v>
      </c>
      <c r="R274" s="175">
        <v>1000000.0</v>
      </c>
      <c r="S274" s="175">
        <v>265800.0</v>
      </c>
      <c r="T274" s="175">
        <v>265800.0</v>
      </c>
      <c r="U274" s="175">
        <v>1265800.0</v>
      </c>
      <c r="V274" s="175">
        <v>1265800.0</v>
      </c>
      <c r="W274" s="164">
        <f t="shared" ref="W274:AB274" si="483">+J274-Q274</f>
        <v>0</v>
      </c>
      <c r="X274" s="164">
        <f t="shared" si="483"/>
        <v>0</v>
      </c>
      <c r="Y274" s="164">
        <f t="shared" si="483"/>
        <v>0</v>
      </c>
      <c r="Z274" s="164">
        <f t="shared" si="483"/>
        <v>0</v>
      </c>
      <c r="AA274" s="164">
        <f t="shared" si="483"/>
        <v>0</v>
      </c>
      <c r="AB274" s="164">
        <f t="shared" si="483"/>
        <v>0</v>
      </c>
      <c r="AC274" s="183"/>
      <c r="AD274" s="183"/>
      <c r="AE274" s="183"/>
      <c r="AF274" s="183"/>
      <c r="AG274" s="77"/>
      <c r="AH274" s="77"/>
      <c r="AI274" s="183"/>
      <c r="AJ274" s="183"/>
      <c r="AK274" s="183"/>
      <c r="AL274" s="183"/>
      <c r="AM274" s="183"/>
      <c r="AN274" s="183"/>
      <c r="AO274" s="183"/>
      <c r="AP274" s="183"/>
    </row>
    <row r="275" ht="38.25" customHeight="1">
      <c r="A275" s="183"/>
      <c r="B275" s="183"/>
      <c r="C275" s="130"/>
      <c r="D275" s="126" t="s">
        <v>98</v>
      </c>
      <c r="E275" s="126" t="s">
        <v>84</v>
      </c>
      <c r="F275" s="126"/>
      <c r="G275" s="126"/>
      <c r="H275" s="126" t="s">
        <v>112</v>
      </c>
      <c r="I275" s="126">
        <v>340.0</v>
      </c>
      <c r="J275" s="161">
        <v>3650000.0</v>
      </c>
      <c r="K275" s="161">
        <v>3650000.0</v>
      </c>
      <c r="L275" s="161">
        <v>3614880.0</v>
      </c>
      <c r="M275" s="161">
        <v>3614880.0</v>
      </c>
      <c r="N275" s="163">
        <f t="shared" ref="N275:O275" si="484">J275+L275</f>
        <v>7264880</v>
      </c>
      <c r="O275" s="163">
        <f t="shared" si="484"/>
        <v>7264880</v>
      </c>
      <c r="P275" s="183"/>
      <c r="Q275" s="175">
        <v>3650000.0</v>
      </c>
      <c r="R275" s="175">
        <v>3650000.0</v>
      </c>
      <c r="S275" s="175">
        <v>3614880.0</v>
      </c>
      <c r="T275" s="175">
        <v>3614880.0</v>
      </c>
      <c r="U275" s="175">
        <v>7264880.0</v>
      </c>
      <c r="V275" s="175">
        <v>7264880.0</v>
      </c>
      <c r="W275" s="164">
        <f t="shared" ref="W275:AB275" si="485">+J275-Q275</f>
        <v>0</v>
      </c>
      <c r="X275" s="164">
        <f t="shared" si="485"/>
        <v>0</v>
      </c>
      <c r="Y275" s="164">
        <f t="shared" si="485"/>
        <v>0</v>
      </c>
      <c r="Z275" s="164">
        <f t="shared" si="485"/>
        <v>0</v>
      </c>
      <c r="AA275" s="164">
        <f t="shared" si="485"/>
        <v>0</v>
      </c>
      <c r="AB275" s="164">
        <f t="shared" si="485"/>
        <v>0</v>
      </c>
      <c r="AC275" s="183"/>
      <c r="AD275" s="183"/>
      <c r="AE275" s="183"/>
      <c r="AF275" s="183"/>
      <c r="AG275" s="77"/>
      <c r="AH275" s="77"/>
      <c r="AI275" s="183"/>
      <c r="AJ275" s="183"/>
      <c r="AK275" s="183"/>
      <c r="AL275" s="183"/>
      <c r="AM275" s="183"/>
      <c r="AN275" s="183"/>
      <c r="AO275" s="183"/>
      <c r="AP275" s="183"/>
    </row>
    <row r="276" ht="38.25" customHeight="1">
      <c r="A276" s="183"/>
      <c r="B276" s="183"/>
      <c r="C276" s="130"/>
      <c r="D276" s="126" t="s">
        <v>90</v>
      </c>
      <c r="E276" s="126" t="s">
        <v>98</v>
      </c>
      <c r="F276" s="126"/>
      <c r="G276" s="126"/>
      <c r="H276" s="126"/>
      <c r="I276" s="126">
        <v>25.0</v>
      </c>
      <c r="J276" s="161">
        <v>1000000.0</v>
      </c>
      <c r="K276" s="161">
        <v>1000000.0</v>
      </c>
      <c r="L276" s="161">
        <v>265800.0</v>
      </c>
      <c r="M276" s="161">
        <v>265800.0</v>
      </c>
      <c r="N276" s="163">
        <f t="shared" ref="N276:O276" si="486">J276+L276</f>
        <v>1265800</v>
      </c>
      <c r="O276" s="163">
        <f t="shared" si="486"/>
        <v>1265800</v>
      </c>
      <c r="P276" s="183"/>
      <c r="Q276" s="175">
        <v>1000000.0</v>
      </c>
      <c r="R276" s="175">
        <v>1000000.0</v>
      </c>
      <c r="S276" s="175">
        <v>265800.0</v>
      </c>
      <c r="T276" s="175">
        <v>265800.0</v>
      </c>
      <c r="U276" s="175">
        <v>1265800.0</v>
      </c>
      <c r="V276" s="175">
        <v>1265800.0</v>
      </c>
      <c r="W276" s="164">
        <f t="shared" ref="W276:AB276" si="487">+J276-Q276</f>
        <v>0</v>
      </c>
      <c r="X276" s="164">
        <f t="shared" si="487"/>
        <v>0</v>
      </c>
      <c r="Y276" s="164">
        <f t="shared" si="487"/>
        <v>0</v>
      </c>
      <c r="Z276" s="164">
        <f t="shared" si="487"/>
        <v>0</v>
      </c>
      <c r="AA276" s="164">
        <f t="shared" si="487"/>
        <v>0</v>
      </c>
      <c r="AB276" s="164">
        <f t="shared" si="487"/>
        <v>0</v>
      </c>
      <c r="AC276" s="183"/>
      <c r="AD276" s="183"/>
      <c r="AE276" s="183"/>
      <c r="AF276" s="183"/>
      <c r="AG276" s="77"/>
      <c r="AH276" s="77"/>
      <c r="AI276" s="183"/>
      <c r="AJ276" s="183"/>
      <c r="AK276" s="183"/>
      <c r="AL276" s="183"/>
      <c r="AM276" s="183"/>
      <c r="AN276" s="183"/>
      <c r="AO276" s="183"/>
      <c r="AP276" s="183"/>
    </row>
    <row r="277" ht="38.25" customHeight="1">
      <c r="A277" s="183"/>
      <c r="B277" s="183"/>
      <c r="C277" s="130"/>
      <c r="D277" s="126" t="s">
        <v>98</v>
      </c>
      <c r="E277" s="126" t="s">
        <v>85</v>
      </c>
      <c r="F277" s="126"/>
      <c r="G277" s="126"/>
      <c r="H277" s="126" t="s">
        <v>112</v>
      </c>
      <c r="I277" s="126">
        <v>294.0</v>
      </c>
      <c r="J277" s="161">
        <v>3350000.0</v>
      </c>
      <c r="K277" s="161">
        <v>3350000.0</v>
      </c>
      <c r="L277" s="161">
        <v>3125808.0</v>
      </c>
      <c r="M277" s="161">
        <v>3125808.0</v>
      </c>
      <c r="N277" s="163">
        <f t="shared" ref="N277:O277" si="488">J277+L277</f>
        <v>6475808</v>
      </c>
      <c r="O277" s="163">
        <f t="shared" si="488"/>
        <v>6475808</v>
      </c>
      <c r="P277" s="183"/>
      <c r="Q277" s="175">
        <v>3350000.0</v>
      </c>
      <c r="R277" s="175">
        <v>3350000.0</v>
      </c>
      <c r="S277" s="175">
        <v>3125808.0</v>
      </c>
      <c r="T277" s="175">
        <v>3125808.0</v>
      </c>
      <c r="U277" s="175">
        <v>6475808.0</v>
      </c>
      <c r="V277" s="175">
        <v>6475808.0</v>
      </c>
      <c r="W277" s="164">
        <f t="shared" ref="W277:AB277" si="489">+J277-Q277</f>
        <v>0</v>
      </c>
      <c r="X277" s="164">
        <f t="shared" si="489"/>
        <v>0</v>
      </c>
      <c r="Y277" s="164">
        <f t="shared" si="489"/>
        <v>0</v>
      </c>
      <c r="Z277" s="164">
        <f t="shared" si="489"/>
        <v>0</v>
      </c>
      <c r="AA277" s="164">
        <f t="shared" si="489"/>
        <v>0</v>
      </c>
      <c r="AB277" s="164">
        <f t="shared" si="489"/>
        <v>0</v>
      </c>
      <c r="AC277" s="183"/>
      <c r="AD277" s="183"/>
      <c r="AE277" s="183"/>
      <c r="AF277" s="183"/>
      <c r="AG277" s="77"/>
      <c r="AH277" s="77"/>
      <c r="AI277" s="183"/>
      <c r="AJ277" s="183"/>
      <c r="AK277" s="183"/>
      <c r="AL277" s="183"/>
      <c r="AM277" s="183"/>
      <c r="AN277" s="183"/>
      <c r="AO277" s="183"/>
      <c r="AP277" s="183"/>
    </row>
    <row r="278" ht="38.25" customHeight="1">
      <c r="A278" s="183"/>
      <c r="B278" s="183"/>
      <c r="C278" s="130"/>
      <c r="D278" s="126" t="s">
        <v>90</v>
      </c>
      <c r="E278" s="126" t="s">
        <v>98</v>
      </c>
      <c r="F278" s="126"/>
      <c r="G278" s="126"/>
      <c r="H278" s="126"/>
      <c r="I278" s="126">
        <v>25.0</v>
      </c>
      <c r="J278" s="161">
        <v>1000000.0</v>
      </c>
      <c r="K278" s="161">
        <v>1000000.0</v>
      </c>
      <c r="L278" s="161">
        <v>265800.0</v>
      </c>
      <c r="M278" s="161">
        <v>265800.0</v>
      </c>
      <c r="N278" s="163">
        <f t="shared" ref="N278:O278" si="490">J278+L278</f>
        <v>1265800</v>
      </c>
      <c r="O278" s="163">
        <f t="shared" si="490"/>
        <v>1265800</v>
      </c>
      <c r="P278" s="183"/>
      <c r="Q278" s="175">
        <v>1000000.0</v>
      </c>
      <c r="R278" s="175">
        <v>1000000.0</v>
      </c>
      <c r="S278" s="175">
        <v>265800.0</v>
      </c>
      <c r="T278" s="175">
        <v>265800.0</v>
      </c>
      <c r="U278" s="175">
        <v>1265800.0</v>
      </c>
      <c r="V278" s="175">
        <v>1265800.0</v>
      </c>
      <c r="W278" s="164">
        <f t="shared" ref="W278:AB278" si="491">+J278-Q278</f>
        <v>0</v>
      </c>
      <c r="X278" s="164">
        <f t="shared" si="491"/>
        <v>0</v>
      </c>
      <c r="Y278" s="164">
        <f t="shared" si="491"/>
        <v>0</v>
      </c>
      <c r="Z278" s="164">
        <f t="shared" si="491"/>
        <v>0</v>
      </c>
      <c r="AA278" s="164">
        <f t="shared" si="491"/>
        <v>0</v>
      </c>
      <c r="AB278" s="164">
        <f t="shared" si="491"/>
        <v>0</v>
      </c>
      <c r="AC278" s="183"/>
      <c r="AD278" s="183"/>
      <c r="AE278" s="183"/>
      <c r="AF278" s="183"/>
      <c r="AG278" s="77"/>
      <c r="AH278" s="77"/>
      <c r="AI278" s="183"/>
      <c r="AJ278" s="183"/>
      <c r="AK278" s="183"/>
      <c r="AL278" s="183"/>
      <c r="AM278" s="183"/>
      <c r="AN278" s="183"/>
      <c r="AO278" s="183"/>
      <c r="AP278" s="183"/>
    </row>
    <row r="279" ht="38.25" customHeight="1">
      <c r="A279" s="183"/>
      <c r="B279" s="183"/>
      <c r="C279" s="118"/>
      <c r="D279" s="126" t="s">
        <v>98</v>
      </c>
      <c r="E279" s="126" t="s">
        <v>86</v>
      </c>
      <c r="F279" s="126"/>
      <c r="G279" s="126"/>
      <c r="H279" s="126" t="s">
        <v>112</v>
      </c>
      <c r="I279" s="126">
        <v>263.0</v>
      </c>
      <c r="J279" s="161">
        <v>3050000.0</v>
      </c>
      <c r="K279" s="161">
        <v>3050000.0</v>
      </c>
      <c r="L279" s="161">
        <v>2796216.0</v>
      </c>
      <c r="M279" s="161">
        <v>2796216.0</v>
      </c>
      <c r="N279" s="163">
        <f t="shared" ref="N279:O279" si="492">J279+L279</f>
        <v>5846216</v>
      </c>
      <c r="O279" s="163">
        <f t="shared" si="492"/>
        <v>5846216</v>
      </c>
      <c r="P279" s="183"/>
      <c r="Q279" s="175">
        <v>3050000.0</v>
      </c>
      <c r="R279" s="175">
        <v>3050000.0</v>
      </c>
      <c r="S279" s="175">
        <v>2796215.9999999995</v>
      </c>
      <c r="T279" s="175">
        <v>2796215.9999999995</v>
      </c>
      <c r="U279" s="175">
        <v>5846216.0</v>
      </c>
      <c r="V279" s="175">
        <v>5846216.0</v>
      </c>
      <c r="W279" s="164">
        <f t="shared" ref="W279:AB279" si="493">+J279-Q279</f>
        <v>0</v>
      </c>
      <c r="X279" s="164">
        <f t="shared" si="493"/>
        <v>0</v>
      </c>
      <c r="Y279" s="164">
        <f t="shared" si="493"/>
        <v>0.0000000004656612873</v>
      </c>
      <c r="Z279" s="164">
        <f t="shared" si="493"/>
        <v>0.0000000004656612873</v>
      </c>
      <c r="AA279" s="164">
        <f t="shared" si="493"/>
        <v>0</v>
      </c>
      <c r="AB279" s="164">
        <f t="shared" si="493"/>
        <v>0</v>
      </c>
      <c r="AC279" s="183"/>
      <c r="AD279" s="183"/>
      <c r="AE279" s="183"/>
      <c r="AF279" s="183"/>
      <c r="AG279" s="77"/>
      <c r="AH279" s="77"/>
      <c r="AI279" s="183"/>
      <c r="AJ279" s="183"/>
      <c r="AK279" s="183"/>
      <c r="AL279" s="183"/>
      <c r="AM279" s="183"/>
      <c r="AN279" s="183"/>
      <c r="AO279" s="183"/>
      <c r="AP279" s="183"/>
    </row>
    <row r="280" ht="38.25" customHeight="1">
      <c r="A280" s="183"/>
      <c r="B280" s="183"/>
      <c r="C280" s="167" t="s">
        <v>92</v>
      </c>
      <c r="D280" s="126" t="s">
        <v>91</v>
      </c>
      <c r="E280" s="126" t="s">
        <v>99</v>
      </c>
      <c r="F280" s="126"/>
      <c r="G280" s="126"/>
      <c r="H280" s="126"/>
      <c r="I280" s="126">
        <v>65.0</v>
      </c>
      <c r="J280" s="161">
        <v>1580000.0</v>
      </c>
      <c r="K280" s="161">
        <v>1580000.0</v>
      </c>
      <c r="L280" s="161">
        <v>691080.0</v>
      </c>
      <c r="M280" s="161">
        <v>691080.0</v>
      </c>
      <c r="N280" s="163">
        <f t="shared" ref="N280:O280" si="494">J280+L280</f>
        <v>2271080</v>
      </c>
      <c r="O280" s="163">
        <f t="shared" si="494"/>
        <v>2271080</v>
      </c>
      <c r="P280" s="183"/>
      <c r="Q280" s="175">
        <v>1580000.0</v>
      </c>
      <c r="R280" s="175">
        <v>1580000.0</v>
      </c>
      <c r="S280" s="175">
        <v>691080.0</v>
      </c>
      <c r="T280" s="175">
        <v>691080.0</v>
      </c>
      <c r="U280" s="175">
        <v>2271080.0</v>
      </c>
      <c r="V280" s="175">
        <v>2271080.0</v>
      </c>
      <c r="W280" s="164">
        <f t="shared" ref="W280:AB280" si="495">+J280-Q280</f>
        <v>0</v>
      </c>
      <c r="X280" s="164">
        <f t="shared" si="495"/>
        <v>0</v>
      </c>
      <c r="Y280" s="164">
        <f t="shared" si="495"/>
        <v>0</v>
      </c>
      <c r="Z280" s="164">
        <f t="shared" si="495"/>
        <v>0</v>
      </c>
      <c r="AA280" s="164">
        <f t="shared" si="495"/>
        <v>0</v>
      </c>
      <c r="AB280" s="164">
        <f t="shared" si="495"/>
        <v>0</v>
      </c>
      <c r="AC280" s="183"/>
      <c r="AD280" s="183"/>
      <c r="AE280" s="183"/>
      <c r="AF280" s="183"/>
      <c r="AG280" s="77"/>
      <c r="AH280" s="77"/>
      <c r="AI280" s="183"/>
      <c r="AJ280" s="183"/>
      <c r="AK280" s="183"/>
      <c r="AL280" s="183"/>
      <c r="AM280" s="183"/>
      <c r="AN280" s="183"/>
      <c r="AO280" s="183"/>
      <c r="AP280" s="183"/>
    </row>
    <row r="281" ht="38.25" customHeight="1">
      <c r="A281" s="183"/>
      <c r="B281" s="183"/>
      <c r="C281" s="130"/>
      <c r="D281" s="126" t="s">
        <v>99</v>
      </c>
      <c r="E281" s="126" t="s">
        <v>84</v>
      </c>
      <c r="F281" s="126"/>
      <c r="G281" s="126"/>
      <c r="H281" s="126" t="s">
        <v>112</v>
      </c>
      <c r="I281" s="126">
        <v>267.0</v>
      </c>
      <c r="J281" s="161">
        <v>3060000.0</v>
      </c>
      <c r="K281" s="161">
        <v>3060000.0</v>
      </c>
      <c r="L281" s="161">
        <v>2838744.0</v>
      </c>
      <c r="M281" s="161">
        <v>2838744.0</v>
      </c>
      <c r="N281" s="163">
        <f t="shared" ref="N281:O281" si="496">J281+L281</f>
        <v>5898744</v>
      </c>
      <c r="O281" s="163">
        <f t="shared" si="496"/>
        <v>5898744</v>
      </c>
      <c r="P281" s="183"/>
      <c r="Q281" s="175">
        <v>3060000.0</v>
      </c>
      <c r="R281" s="175">
        <v>3060000.0</v>
      </c>
      <c r="S281" s="175">
        <v>2838744.0</v>
      </c>
      <c r="T281" s="175">
        <v>2838744.0</v>
      </c>
      <c r="U281" s="175">
        <v>5898744.0</v>
      </c>
      <c r="V281" s="175">
        <v>5898744.0</v>
      </c>
      <c r="W281" s="164">
        <f t="shared" ref="W281:AB281" si="497">+J281-Q281</f>
        <v>0</v>
      </c>
      <c r="X281" s="164">
        <f t="shared" si="497"/>
        <v>0</v>
      </c>
      <c r="Y281" s="164">
        <f t="shared" si="497"/>
        <v>0</v>
      </c>
      <c r="Z281" s="164">
        <f t="shared" si="497"/>
        <v>0</v>
      </c>
      <c r="AA281" s="164">
        <f t="shared" si="497"/>
        <v>0</v>
      </c>
      <c r="AB281" s="164">
        <f t="shared" si="497"/>
        <v>0</v>
      </c>
      <c r="AC281" s="183"/>
      <c r="AD281" s="183"/>
      <c r="AE281" s="183"/>
      <c r="AF281" s="183"/>
      <c r="AG281" s="77"/>
      <c r="AH281" s="77"/>
      <c r="AI281" s="183"/>
      <c r="AJ281" s="183"/>
      <c r="AK281" s="183"/>
      <c r="AL281" s="183"/>
      <c r="AM281" s="183"/>
      <c r="AN281" s="183"/>
      <c r="AO281" s="183"/>
      <c r="AP281" s="183"/>
    </row>
    <row r="282" ht="38.25" customHeight="1">
      <c r="A282" s="183"/>
      <c r="B282" s="183"/>
      <c r="C282" s="130"/>
      <c r="D282" s="126" t="s">
        <v>91</v>
      </c>
      <c r="E282" s="126" t="s">
        <v>99</v>
      </c>
      <c r="F282" s="126"/>
      <c r="G282" s="126"/>
      <c r="H282" s="126"/>
      <c r="I282" s="126">
        <v>65.0</v>
      </c>
      <c r="J282" s="161">
        <v>1580000.0</v>
      </c>
      <c r="K282" s="161">
        <v>1580000.0</v>
      </c>
      <c r="L282" s="161">
        <v>691080.0</v>
      </c>
      <c r="M282" s="161">
        <v>691080.0</v>
      </c>
      <c r="N282" s="163">
        <f t="shared" ref="N282:O282" si="498">J282+L282</f>
        <v>2271080</v>
      </c>
      <c r="O282" s="163">
        <f t="shared" si="498"/>
        <v>2271080</v>
      </c>
      <c r="P282" s="183"/>
      <c r="Q282" s="175">
        <v>1580000.0</v>
      </c>
      <c r="R282" s="175">
        <v>1580000.0</v>
      </c>
      <c r="S282" s="175">
        <v>691080.0</v>
      </c>
      <c r="T282" s="175">
        <v>691080.0</v>
      </c>
      <c r="U282" s="175">
        <v>2271080.0</v>
      </c>
      <c r="V282" s="175">
        <v>2271080.0</v>
      </c>
      <c r="W282" s="164">
        <f t="shared" ref="W282:AB282" si="499">+J282-Q282</f>
        <v>0</v>
      </c>
      <c r="X282" s="164">
        <f t="shared" si="499"/>
        <v>0</v>
      </c>
      <c r="Y282" s="164">
        <f t="shared" si="499"/>
        <v>0</v>
      </c>
      <c r="Z282" s="164">
        <f t="shared" si="499"/>
        <v>0</v>
      </c>
      <c r="AA282" s="164">
        <f t="shared" si="499"/>
        <v>0</v>
      </c>
      <c r="AB282" s="164">
        <f t="shared" si="499"/>
        <v>0</v>
      </c>
      <c r="AC282" s="183"/>
      <c r="AD282" s="183"/>
      <c r="AE282" s="183"/>
      <c r="AF282" s="183"/>
      <c r="AG282" s="77"/>
      <c r="AH282" s="77"/>
      <c r="AI282" s="183"/>
      <c r="AJ282" s="183"/>
      <c r="AK282" s="183"/>
      <c r="AL282" s="183"/>
      <c r="AM282" s="183"/>
      <c r="AN282" s="183"/>
      <c r="AO282" s="183"/>
      <c r="AP282" s="183"/>
    </row>
    <row r="283" ht="38.25" customHeight="1">
      <c r="A283" s="183"/>
      <c r="B283" s="183"/>
      <c r="C283" s="130"/>
      <c r="D283" s="126" t="s">
        <v>99</v>
      </c>
      <c r="E283" s="126" t="s">
        <v>85</v>
      </c>
      <c r="F283" s="126"/>
      <c r="G283" s="126"/>
      <c r="H283" s="126" t="s">
        <v>112</v>
      </c>
      <c r="I283" s="126">
        <v>291.0</v>
      </c>
      <c r="J283" s="161">
        <v>3310000.0</v>
      </c>
      <c r="K283" s="161">
        <v>3310000.0</v>
      </c>
      <c r="L283" s="161">
        <v>3093912.0</v>
      </c>
      <c r="M283" s="161">
        <v>3093912.0</v>
      </c>
      <c r="N283" s="163">
        <f t="shared" ref="N283:O283" si="500">J283+L283</f>
        <v>6403912</v>
      </c>
      <c r="O283" s="163">
        <f t="shared" si="500"/>
        <v>6403912</v>
      </c>
      <c r="P283" s="183"/>
      <c r="Q283" s="175">
        <v>3310000.0</v>
      </c>
      <c r="R283" s="175">
        <v>3310000.0</v>
      </c>
      <c r="S283" s="175">
        <v>3093912.0</v>
      </c>
      <c r="T283" s="175">
        <v>3093912.0</v>
      </c>
      <c r="U283" s="175">
        <v>6403912.0</v>
      </c>
      <c r="V283" s="175">
        <v>6403912.0</v>
      </c>
      <c r="W283" s="164">
        <f t="shared" ref="W283:AB283" si="501">+J283-Q283</f>
        <v>0</v>
      </c>
      <c r="X283" s="164">
        <f t="shared" si="501"/>
        <v>0</v>
      </c>
      <c r="Y283" s="164">
        <f t="shared" si="501"/>
        <v>0</v>
      </c>
      <c r="Z283" s="164">
        <f t="shared" si="501"/>
        <v>0</v>
      </c>
      <c r="AA283" s="164">
        <f t="shared" si="501"/>
        <v>0</v>
      </c>
      <c r="AB283" s="164">
        <f t="shared" si="501"/>
        <v>0</v>
      </c>
      <c r="AC283" s="183"/>
      <c r="AD283" s="183"/>
      <c r="AE283" s="183"/>
      <c r="AF283" s="183"/>
      <c r="AG283" s="77"/>
      <c r="AH283" s="77"/>
      <c r="AI283" s="183"/>
      <c r="AJ283" s="183"/>
      <c r="AK283" s="183"/>
      <c r="AL283" s="183"/>
      <c r="AM283" s="183"/>
      <c r="AN283" s="183"/>
      <c r="AO283" s="183"/>
      <c r="AP283" s="183"/>
    </row>
    <row r="284" ht="38.25" customHeight="1">
      <c r="A284" s="183"/>
      <c r="B284" s="183"/>
      <c r="C284" s="130"/>
      <c r="D284" s="126" t="s">
        <v>91</v>
      </c>
      <c r="E284" s="126" t="s">
        <v>99</v>
      </c>
      <c r="F284" s="126"/>
      <c r="G284" s="126"/>
      <c r="H284" s="126"/>
      <c r="I284" s="126">
        <v>65.0</v>
      </c>
      <c r="J284" s="161">
        <v>1580000.0</v>
      </c>
      <c r="K284" s="161">
        <v>1580000.0</v>
      </c>
      <c r="L284" s="161">
        <v>691080.0</v>
      </c>
      <c r="M284" s="161">
        <v>691080.0</v>
      </c>
      <c r="N284" s="163">
        <f t="shared" ref="N284:O284" si="502">J284+L284</f>
        <v>2271080</v>
      </c>
      <c r="O284" s="163">
        <f t="shared" si="502"/>
        <v>2271080</v>
      </c>
      <c r="P284" s="183"/>
      <c r="Q284" s="175">
        <v>1580000.0</v>
      </c>
      <c r="R284" s="175">
        <v>1580000.0</v>
      </c>
      <c r="S284" s="175">
        <v>691080.0</v>
      </c>
      <c r="T284" s="175">
        <v>691080.0</v>
      </c>
      <c r="U284" s="175">
        <v>2271080.0</v>
      </c>
      <c r="V284" s="175">
        <v>2271080.0</v>
      </c>
      <c r="W284" s="164">
        <f t="shared" ref="W284:AB284" si="503">+J284-Q284</f>
        <v>0</v>
      </c>
      <c r="X284" s="164">
        <f t="shared" si="503"/>
        <v>0</v>
      </c>
      <c r="Y284" s="164">
        <f t="shared" si="503"/>
        <v>0</v>
      </c>
      <c r="Z284" s="164">
        <f t="shared" si="503"/>
        <v>0</v>
      </c>
      <c r="AA284" s="164">
        <f t="shared" si="503"/>
        <v>0</v>
      </c>
      <c r="AB284" s="164">
        <f t="shared" si="503"/>
        <v>0</v>
      </c>
      <c r="AC284" s="183"/>
      <c r="AD284" s="183"/>
      <c r="AE284" s="183"/>
      <c r="AF284" s="183"/>
      <c r="AG284" s="77"/>
      <c r="AH284" s="77"/>
      <c r="AI284" s="183"/>
      <c r="AJ284" s="183"/>
      <c r="AK284" s="183"/>
      <c r="AL284" s="183"/>
      <c r="AM284" s="183"/>
      <c r="AN284" s="183"/>
      <c r="AO284" s="183"/>
      <c r="AP284" s="183"/>
    </row>
    <row r="285" ht="38.25" customHeight="1">
      <c r="A285" s="183"/>
      <c r="B285" s="183"/>
      <c r="C285" s="130"/>
      <c r="D285" s="126" t="s">
        <v>99</v>
      </c>
      <c r="E285" s="126" t="s">
        <v>86</v>
      </c>
      <c r="F285" s="126"/>
      <c r="G285" s="126"/>
      <c r="H285" s="126" t="s">
        <v>112</v>
      </c>
      <c r="I285" s="126">
        <v>300.0</v>
      </c>
      <c r="J285" s="161">
        <v>3340000.0</v>
      </c>
      <c r="K285" s="161">
        <v>3340000.0</v>
      </c>
      <c r="L285" s="161">
        <v>3189600.0</v>
      </c>
      <c r="M285" s="161">
        <v>3189600.0</v>
      </c>
      <c r="N285" s="163">
        <f t="shared" ref="N285:O285" si="504">J285+L285</f>
        <v>6529600</v>
      </c>
      <c r="O285" s="163">
        <f t="shared" si="504"/>
        <v>6529600</v>
      </c>
      <c r="P285" s="183"/>
      <c r="Q285" s="175">
        <v>3340000.0</v>
      </c>
      <c r="R285" s="175">
        <v>3340000.0</v>
      </c>
      <c r="S285" s="175">
        <v>3189600.0</v>
      </c>
      <c r="T285" s="175">
        <v>3189600.0</v>
      </c>
      <c r="U285" s="175">
        <v>6529600.0</v>
      </c>
      <c r="V285" s="175">
        <v>6529600.0</v>
      </c>
      <c r="W285" s="164">
        <f t="shared" ref="W285:AB285" si="505">+J285-Q285</f>
        <v>0</v>
      </c>
      <c r="X285" s="164">
        <f t="shared" si="505"/>
        <v>0</v>
      </c>
      <c r="Y285" s="164">
        <f t="shared" si="505"/>
        <v>0</v>
      </c>
      <c r="Z285" s="164">
        <f t="shared" si="505"/>
        <v>0</v>
      </c>
      <c r="AA285" s="164">
        <f t="shared" si="505"/>
        <v>0</v>
      </c>
      <c r="AB285" s="164">
        <f t="shared" si="505"/>
        <v>0</v>
      </c>
      <c r="AC285" s="183"/>
      <c r="AD285" s="183"/>
      <c r="AE285" s="183"/>
      <c r="AF285" s="183"/>
      <c r="AG285" s="77"/>
      <c r="AH285" s="77"/>
      <c r="AI285" s="183"/>
      <c r="AJ285" s="183"/>
      <c r="AK285" s="183"/>
      <c r="AL285" s="183"/>
      <c r="AM285" s="183"/>
      <c r="AN285" s="183"/>
      <c r="AO285" s="183"/>
      <c r="AP285" s="183"/>
    </row>
    <row r="286" ht="38.25" customHeight="1">
      <c r="A286" s="183"/>
      <c r="B286" s="183"/>
      <c r="C286" s="130"/>
      <c r="D286" s="126" t="s">
        <v>91</v>
      </c>
      <c r="E286" s="126" t="s">
        <v>100</v>
      </c>
      <c r="F286" s="126"/>
      <c r="G286" s="126"/>
      <c r="H286" s="126"/>
      <c r="I286" s="126">
        <v>25.0</v>
      </c>
      <c r="J286" s="161">
        <v>1320000.0</v>
      </c>
      <c r="K286" s="161">
        <v>1320000.0</v>
      </c>
      <c r="L286" s="161">
        <v>265800.0</v>
      </c>
      <c r="M286" s="161">
        <v>265800.0</v>
      </c>
      <c r="N286" s="163">
        <f t="shared" ref="N286:O286" si="506">J286+L286</f>
        <v>1585800</v>
      </c>
      <c r="O286" s="163">
        <f t="shared" si="506"/>
        <v>1585800</v>
      </c>
      <c r="P286" s="183"/>
      <c r="Q286" s="175">
        <v>1320000.0</v>
      </c>
      <c r="R286" s="175">
        <v>1320000.0</v>
      </c>
      <c r="S286" s="175">
        <v>265800.0</v>
      </c>
      <c r="T286" s="175">
        <v>265800.0</v>
      </c>
      <c r="U286" s="175">
        <v>1585800.0</v>
      </c>
      <c r="V286" s="175">
        <v>1585800.0</v>
      </c>
      <c r="W286" s="164">
        <f t="shared" ref="W286:AB286" si="507">+J286-Q286</f>
        <v>0</v>
      </c>
      <c r="X286" s="164">
        <f t="shared" si="507"/>
        <v>0</v>
      </c>
      <c r="Y286" s="164">
        <f t="shared" si="507"/>
        <v>0</v>
      </c>
      <c r="Z286" s="164">
        <f t="shared" si="507"/>
        <v>0</v>
      </c>
      <c r="AA286" s="164">
        <f t="shared" si="507"/>
        <v>0</v>
      </c>
      <c r="AB286" s="164">
        <f t="shared" si="507"/>
        <v>0</v>
      </c>
      <c r="AC286" s="183"/>
      <c r="AD286" s="183"/>
      <c r="AE286" s="183"/>
      <c r="AF286" s="183"/>
      <c r="AG286" s="77"/>
      <c r="AH286" s="77"/>
      <c r="AI286" s="183"/>
      <c r="AJ286" s="183"/>
      <c r="AK286" s="183"/>
      <c r="AL286" s="183"/>
      <c r="AM286" s="183"/>
      <c r="AN286" s="183"/>
      <c r="AO286" s="183"/>
      <c r="AP286" s="183"/>
    </row>
    <row r="287" ht="38.25" customHeight="1">
      <c r="A287" s="183"/>
      <c r="B287" s="183"/>
      <c r="C287" s="130"/>
      <c r="D287" s="126" t="s">
        <v>100</v>
      </c>
      <c r="E287" s="126" t="s">
        <v>84</v>
      </c>
      <c r="F287" s="126"/>
      <c r="G287" s="126"/>
      <c r="H287" s="126" t="s">
        <v>112</v>
      </c>
      <c r="I287" s="126">
        <v>331.0</v>
      </c>
      <c r="J287" s="161">
        <v>3470000.0</v>
      </c>
      <c r="K287" s="161">
        <v>3470000.0</v>
      </c>
      <c r="L287" s="161">
        <v>3519192.0</v>
      </c>
      <c r="M287" s="161">
        <v>3519192.0</v>
      </c>
      <c r="N287" s="163">
        <f t="shared" ref="N287:O287" si="508">J287+L287</f>
        <v>6989192</v>
      </c>
      <c r="O287" s="163">
        <f t="shared" si="508"/>
        <v>6989192</v>
      </c>
      <c r="P287" s="183"/>
      <c r="Q287" s="175">
        <v>3470000.0</v>
      </c>
      <c r="R287" s="175">
        <v>3470000.0</v>
      </c>
      <c r="S287" s="175">
        <v>3519192.0</v>
      </c>
      <c r="T287" s="175">
        <v>3519192.0</v>
      </c>
      <c r="U287" s="175">
        <v>6989192.0</v>
      </c>
      <c r="V287" s="175">
        <v>6989192.0</v>
      </c>
      <c r="W287" s="164">
        <f t="shared" ref="W287:AB287" si="509">+J287-Q287</f>
        <v>0</v>
      </c>
      <c r="X287" s="164">
        <f t="shared" si="509"/>
        <v>0</v>
      </c>
      <c r="Y287" s="164">
        <f t="shared" si="509"/>
        <v>0</v>
      </c>
      <c r="Z287" s="164">
        <f t="shared" si="509"/>
        <v>0</v>
      </c>
      <c r="AA287" s="164">
        <f t="shared" si="509"/>
        <v>0</v>
      </c>
      <c r="AB287" s="164">
        <f t="shared" si="509"/>
        <v>0</v>
      </c>
      <c r="AC287" s="183"/>
      <c r="AD287" s="183"/>
      <c r="AE287" s="183"/>
      <c r="AF287" s="183"/>
      <c r="AG287" s="77"/>
      <c r="AH287" s="77"/>
      <c r="AI287" s="183"/>
      <c r="AJ287" s="183"/>
      <c r="AK287" s="183"/>
      <c r="AL287" s="183"/>
      <c r="AM287" s="183"/>
      <c r="AN287" s="183"/>
      <c r="AO287" s="183"/>
      <c r="AP287" s="183"/>
    </row>
    <row r="288" ht="38.25" customHeight="1">
      <c r="A288" s="183"/>
      <c r="B288" s="183"/>
      <c r="C288" s="130"/>
      <c r="D288" s="126" t="s">
        <v>91</v>
      </c>
      <c r="E288" s="126" t="s">
        <v>100</v>
      </c>
      <c r="F288" s="126"/>
      <c r="G288" s="126"/>
      <c r="H288" s="126"/>
      <c r="I288" s="126">
        <v>25.0</v>
      </c>
      <c r="J288" s="161">
        <v>1320000.0</v>
      </c>
      <c r="K288" s="161">
        <v>1320000.0</v>
      </c>
      <c r="L288" s="161">
        <v>265800.0</v>
      </c>
      <c r="M288" s="161">
        <v>265800.0</v>
      </c>
      <c r="N288" s="163">
        <f t="shared" ref="N288:O288" si="510">J288+L288</f>
        <v>1585800</v>
      </c>
      <c r="O288" s="163">
        <f t="shared" si="510"/>
        <v>1585800</v>
      </c>
      <c r="P288" s="183"/>
      <c r="Q288" s="175">
        <v>1320000.0</v>
      </c>
      <c r="R288" s="175">
        <v>1320000.0</v>
      </c>
      <c r="S288" s="175">
        <v>265800.0</v>
      </c>
      <c r="T288" s="175">
        <v>265800.0</v>
      </c>
      <c r="U288" s="175">
        <v>1585800.0</v>
      </c>
      <c r="V288" s="175">
        <v>1585800.0</v>
      </c>
      <c r="W288" s="164">
        <f t="shared" ref="W288:AB288" si="511">+J288-Q288</f>
        <v>0</v>
      </c>
      <c r="X288" s="164">
        <f t="shared" si="511"/>
        <v>0</v>
      </c>
      <c r="Y288" s="164">
        <f t="shared" si="511"/>
        <v>0</v>
      </c>
      <c r="Z288" s="164">
        <f t="shared" si="511"/>
        <v>0</v>
      </c>
      <c r="AA288" s="164">
        <f t="shared" si="511"/>
        <v>0</v>
      </c>
      <c r="AB288" s="164">
        <f t="shared" si="511"/>
        <v>0</v>
      </c>
      <c r="AC288" s="183"/>
      <c r="AD288" s="183"/>
      <c r="AE288" s="183"/>
      <c r="AF288" s="183"/>
      <c r="AG288" s="77"/>
      <c r="AH288" s="77"/>
      <c r="AI288" s="183"/>
      <c r="AJ288" s="183"/>
      <c r="AK288" s="183"/>
      <c r="AL288" s="183"/>
      <c r="AM288" s="183"/>
      <c r="AN288" s="183"/>
      <c r="AO288" s="183"/>
      <c r="AP288" s="183"/>
    </row>
    <row r="289" ht="38.25" customHeight="1">
      <c r="A289" s="183"/>
      <c r="B289" s="183"/>
      <c r="C289" s="130"/>
      <c r="D289" s="126" t="s">
        <v>100</v>
      </c>
      <c r="E289" s="126" t="s">
        <v>85</v>
      </c>
      <c r="F289" s="126"/>
      <c r="G289" s="126"/>
      <c r="H289" s="126" t="s">
        <v>112</v>
      </c>
      <c r="I289" s="126">
        <v>285.0</v>
      </c>
      <c r="J289" s="161">
        <v>3150000.0</v>
      </c>
      <c r="K289" s="161">
        <v>3150000.0</v>
      </c>
      <c r="L289" s="161">
        <v>3030120.0</v>
      </c>
      <c r="M289" s="161">
        <v>3030120.0</v>
      </c>
      <c r="N289" s="163">
        <f t="shared" ref="N289:O289" si="512">J289+L289</f>
        <v>6180120</v>
      </c>
      <c r="O289" s="163">
        <f t="shared" si="512"/>
        <v>6180120</v>
      </c>
      <c r="P289" s="183"/>
      <c r="Q289" s="175">
        <v>3150000.0</v>
      </c>
      <c r="R289" s="175">
        <v>3150000.0</v>
      </c>
      <c r="S289" s="175">
        <v>3030120.0</v>
      </c>
      <c r="T289" s="175">
        <v>3030120.0</v>
      </c>
      <c r="U289" s="175">
        <v>6180120.0</v>
      </c>
      <c r="V289" s="175">
        <v>6180120.0</v>
      </c>
      <c r="W289" s="164">
        <f t="shared" ref="W289:AB289" si="513">+J289-Q289</f>
        <v>0</v>
      </c>
      <c r="X289" s="164">
        <f t="shared" si="513"/>
        <v>0</v>
      </c>
      <c r="Y289" s="164">
        <f t="shared" si="513"/>
        <v>0</v>
      </c>
      <c r="Z289" s="164">
        <f t="shared" si="513"/>
        <v>0</v>
      </c>
      <c r="AA289" s="164">
        <f t="shared" si="513"/>
        <v>0</v>
      </c>
      <c r="AB289" s="164">
        <f t="shared" si="513"/>
        <v>0</v>
      </c>
      <c r="AC289" s="183"/>
      <c r="AD289" s="183"/>
      <c r="AE289" s="183"/>
      <c r="AF289" s="183"/>
      <c r="AG289" s="77"/>
      <c r="AH289" s="77"/>
      <c r="AI289" s="183"/>
      <c r="AJ289" s="183"/>
      <c r="AK289" s="183"/>
      <c r="AL289" s="183"/>
      <c r="AM289" s="183"/>
      <c r="AN289" s="183"/>
      <c r="AO289" s="183"/>
      <c r="AP289" s="183"/>
    </row>
    <row r="290" ht="38.25" customHeight="1">
      <c r="A290" s="183"/>
      <c r="B290" s="183"/>
      <c r="C290" s="130"/>
      <c r="D290" s="126" t="s">
        <v>91</v>
      </c>
      <c r="E290" s="126" t="s">
        <v>100</v>
      </c>
      <c r="F290" s="126"/>
      <c r="G290" s="126"/>
      <c r="H290" s="126"/>
      <c r="I290" s="126">
        <v>25.0</v>
      </c>
      <c r="J290" s="161">
        <v>1320000.0</v>
      </c>
      <c r="K290" s="161">
        <v>1320000.0</v>
      </c>
      <c r="L290" s="161">
        <v>265800.0</v>
      </c>
      <c r="M290" s="161">
        <v>265800.0</v>
      </c>
      <c r="N290" s="163">
        <f t="shared" ref="N290:O290" si="514">J290+L290</f>
        <v>1585800</v>
      </c>
      <c r="O290" s="163">
        <f t="shared" si="514"/>
        <v>1585800</v>
      </c>
      <c r="P290" s="183"/>
      <c r="Q290" s="175">
        <v>1320000.0</v>
      </c>
      <c r="R290" s="175">
        <v>1320000.0</v>
      </c>
      <c r="S290" s="175">
        <v>265800.0</v>
      </c>
      <c r="T290" s="175">
        <v>265800.0</v>
      </c>
      <c r="U290" s="175">
        <v>1585800.0</v>
      </c>
      <c r="V290" s="175">
        <v>1585800.0</v>
      </c>
      <c r="W290" s="164">
        <f t="shared" ref="W290:AB290" si="515">+J290-Q290</f>
        <v>0</v>
      </c>
      <c r="X290" s="164">
        <f t="shared" si="515"/>
        <v>0</v>
      </c>
      <c r="Y290" s="164">
        <f t="shared" si="515"/>
        <v>0</v>
      </c>
      <c r="Z290" s="164">
        <f t="shared" si="515"/>
        <v>0</v>
      </c>
      <c r="AA290" s="164">
        <f t="shared" si="515"/>
        <v>0</v>
      </c>
      <c r="AB290" s="164">
        <f t="shared" si="515"/>
        <v>0</v>
      </c>
      <c r="AC290" s="183"/>
      <c r="AD290" s="183"/>
      <c r="AE290" s="183"/>
      <c r="AF290" s="183"/>
      <c r="AG290" s="77"/>
      <c r="AH290" s="77"/>
      <c r="AI290" s="183"/>
      <c r="AJ290" s="183"/>
      <c r="AK290" s="183"/>
      <c r="AL290" s="183"/>
      <c r="AM290" s="183"/>
      <c r="AN290" s="183"/>
      <c r="AO290" s="183"/>
      <c r="AP290" s="183"/>
    </row>
    <row r="291" ht="38.25" customHeight="1">
      <c r="A291" s="183"/>
      <c r="B291" s="183"/>
      <c r="C291" s="130"/>
      <c r="D291" s="126" t="s">
        <v>100</v>
      </c>
      <c r="E291" s="126" t="s">
        <v>86</v>
      </c>
      <c r="F291" s="126"/>
      <c r="G291" s="126"/>
      <c r="H291" s="126" t="s">
        <v>112</v>
      </c>
      <c r="I291" s="126">
        <v>294.0</v>
      </c>
      <c r="J291" s="161">
        <v>3410000.0</v>
      </c>
      <c r="K291" s="161">
        <v>3410000.0</v>
      </c>
      <c r="L291" s="161">
        <v>3125808.0</v>
      </c>
      <c r="M291" s="161">
        <v>3125808.0</v>
      </c>
      <c r="N291" s="163">
        <f t="shared" ref="N291:O291" si="516">J291+L291</f>
        <v>6535808</v>
      </c>
      <c r="O291" s="163">
        <f t="shared" si="516"/>
        <v>6535808</v>
      </c>
      <c r="P291" s="183"/>
      <c r="Q291" s="175">
        <v>3410000.0</v>
      </c>
      <c r="R291" s="175">
        <v>3410000.0</v>
      </c>
      <c r="S291" s="175">
        <v>3125808.0</v>
      </c>
      <c r="T291" s="175">
        <v>3125808.0</v>
      </c>
      <c r="U291" s="175">
        <v>6535808.0</v>
      </c>
      <c r="V291" s="175">
        <v>6535808.0</v>
      </c>
      <c r="W291" s="164">
        <f t="shared" ref="W291:AB291" si="517">+J291-Q291</f>
        <v>0</v>
      </c>
      <c r="X291" s="164">
        <f t="shared" si="517"/>
        <v>0</v>
      </c>
      <c r="Y291" s="164">
        <f t="shared" si="517"/>
        <v>0</v>
      </c>
      <c r="Z291" s="164">
        <f t="shared" si="517"/>
        <v>0</v>
      </c>
      <c r="AA291" s="164">
        <f t="shared" si="517"/>
        <v>0</v>
      </c>
      <c r="AB291" s="164">
        <f t="shared" si="517"/>
        <v>0</v>
      </c>
      <c r="AC291" s="183"/>
      <c r="AD291" s="183"/>
      <c r="AE291" s="183"/>
      <c r="AF291" s="183"/>
      <c r="AG291" s="77"/>
      <c r="AH291" s="77"/>
      <c r="AI291" s="183"/>
      <c r="AJ291" s="183"/>
      <c r="AK291" s="183"/>
      <c r="AL291" s="183"/>
      <c r="AM291" s="183"/>
      <c r="AN291" s="183"/>
      <c r="AO291" s="183"/>
      <c r="AP291" s="183"/>
    </row>
    <row r="292" ht="38.25" customHeight="1">
      <c r="A292" s="183"/>
      <c r="B292" s="183"/>
      <c r="C292" s="130"/>
      <c r="D292" s="126" t="s">
        <v>91</v>
      </c>
      <c r="E292" s="126" t="s">
        <v>101</v>
      </c>
      <c r="F292" s="126"/>
      <c r="G292" s="126"/>
      <c r="H292" s="126"/>
      <c r="I292" s="126">
        <v>30.0</v>
      </c>
      <c r="J292" s="161">
        <v>1460000.0</v>
      </c>
      <c r="K292" s="161">
        <v>1460000.0</v>
      </c>
      <c r="L292" s="161">
        <v>318960.0</v>
      </c>
      <c r="M292" s="161">
        <v>318960.0</v>
      </c>
      <c r="N292" s="163">
        <f t="shared" ref="N292:O292" si="518">J292+L292</f>
        <v>1778960</v>
      </c>
      <c r="O292" s="163">
        <f t="shared" si="518"/>
        <v>1778960</v>
      </c>
      <c r="P292" s="183"/>
      <c r="Q292" s="175">
        <v>1460000.0</v>
      </c>
      <c r="R292" s="175">
        <v>1460000.0</v>
      </c>
      <c r="S292" s="175">
        <v>318960.0</v>
      </c>
      <c r="T292" s="175">
        <v>318960.0</v>
      </c>
      <c r="U292" s="175">
        <v>1778960.0</v>
      </c>
      <c r="V292" s="175">
        <v>1778960.0</v>
      </c>
      <c r="W292" s="164">
        <f t="shared" ref="W292:AB292" si="519">+J292-Q292</f>
        <v>0</v>
      </c>
      <c r="X292" s="164">
        <f t="shared" si="519"/>
        <v>0</v>
      </c>
      <c r="Y292" s="164">
        <f t="shared" si="519"/>
        <v>0</v>
      </c>
      <c r="Z292" s="164">
        <f t="shared" si="519"/>
        <v>0</v>
      </c>
      <c r="AA292" s="164">
        <f t="shared" si="519"/>
        <v>0</v>
      </c>
      <c r="AB292" s="164">
        <f t="shared" si="519"/>
        <v>0</v>
      </c>
      <c r="AC292" s="183"/>
      <c r="AD292" s="183"/>
      <c r="AE292" s="183"/>
      <c r="AF292" s="183"/>
      <c r="AG292" s="77"/>
      <c r="AH292" s="77"/>
      <c r="AI292" s="183"/>
      <c r="AJ292" s="183"/>
      <c r="AK292" s="183"/>
      <c r="AL292" s="183"/>
      <c r="AM292" s="183"/>
      <c r="AN292" s="183"/>
      <c r="AO292" s="183"/>
      <c r="AP292" s="183"/>
    </row>
    <row r="293" ht="38.25" customHeight="1">
      <c r="A293" s="183"/>
      <c r="B293" s="183"/>
      <c r="C293" s="130"/>
      <c r="D293" s="126" t="s">
        <v>101</v>
      </c>
      <c r="E293" s="126" t="s">
        <v>84</v>
      </c>
      <c r="F293" s="126"/>
      <c r="G293" s="126"/>
      <c r="H293" s="126" t="s">
        <v>112</v>
      </c>
      <c r="I293" s="126">
        <v>302.0</v>
      </c>
      <c r="J293" s="161">
        <v>3720000.0</v>
      </c>
      <c r="K293" s="161">
        <v>3720000.0</v>
      </c>
      <c r="L293" s="161">
        <v>3210864.0</v>
      </c>
      <c r="M293" s="161">
        <v>3210864.0</v>
      </c>
      <c r="N293" s="163">
        <f t="shared" ref="N293:O293" si="520">J293+L293</f>
        <v>6930864</v>
      </c>
      <c r="O293" s="163">
        <f t="shared" si="520"/>
        <v>6930864</v>
      </c>
      <c r="P293" s="183"/>
      <c r="Q293" s="175">
        <v>3720000.0</v>
      </c>
      <c r="R293" s="175">
        <v>3720000.0</v>
      </c>
      <c r="S293" s="175">
        <v>3210864.0</v>
      </c>
      <c r="T293" s="175">
        <v>3210864.0</v>
      </c>
      <c r="U293" s="175">
        <v>6930864.0</v>
      </c>
      <c r="V293" s="175">
        <v>6930864.0</v>
      </c>
      <c r="W293" s="164">
        <f t="shared" ref="W293:AB293" si="521">+J293-Q293</f>
        <v>0</v>
      </c>
      <c r="X293" s="164">
        <f t="shared" si="521"/>
        <v>0</v>
      </c>
      <c r="Y293" s="164">
        <f t="shared" si="521"/>
        <v>0</v>
      </c>
      <c r="Z293" s="164">
        <f t="shared" si="521"/>
        <v>0</v>
      </c>
      <c r="AA293" s="164">
        <f t="shared" si="521"/>
        <v>0</v>
      </c>
      <c r="AB293" s="164">
        <f t="shared" si="521"/>
        <v>0</v>
      </c>
      <c r="AC293" s="183"/>
      <c r="AD293" s="183"/>
      <c r="AE293" s="183"/>
      <c r="AF293" s="183"/>
      <c r="AG293" s="77"/>
      <c r="AH293" s="77"/>
      <c r="AI293" s="183"/>
      <c r="AJ293" s="183"/>
      <c r="AK293" s="183"/>
      <c r="AL293" s="183"/>
      <c r="AM293" s="183"/>
      <c r="AN293" s="183"/>
      <c r="AO293" s="183"/>
      <c r="AP293" s="183"/>
    </row>
    <row r="294" ht="38.25" customHeight="1">
      <c r="A294" s="183"/>
      <c r="B294" s="183"/>
      <c r="C294" s="130"/>
      <c r="D294" s="126" t="s">
        <v>91</v>
      </c>
      <c r="E294" s="126" t="s">
        <v>101</v>
      </c>
      <c r="F294" s="126"/>
      <c r="G294" s="126"/>
      <c r="H294" s="126"/>
      <c r="I294" s="126">
        <v>30.0</v>
      </c>
      <c r="J294" s="161">
        <v>1460000.0</v>
      </c>
      <c r="K294" s="161">
        <v>1460000.0</v>
      </c>
      <c r="L294" s="161">
        <v>318960.0</v>
      </c>
      <c r="M294" s="161">
        <v>318960.0</v>
      </c>
      <c r="N294" s="163">
        <f t="shared" ref="N294:O294" si="522">J294+L294</f>
        <v>1778960</v>
      </c>
      <c r="O294" s="163">
        <f t="shared" si="522"/>
        <v>1778960</v>
      </c>
      <c r="P294" s="183"/>
      <c r="Q294" s="175">
        <v>1460000.0</v>
      </c>
      <c r="R294" s="175">
        <v>1460000.0</v>
      </c>
      <c r="S294" s="175">
        <v>318960.0</v>
      </c>
      <c r="T294" s="175">
        <v>318960.0</v>
      </c>
      <c r="U294" s="175">
        <v>1778960.0</v>
      </c>
      <c r="V294" s="175">
        <v>1778960.0</v>
      </c>
      <c r="W294" s="164">
        <f t="shared" ref="W294:AB294" si="523">+J294-Q294</f>
        <v>0</v>
      </c>
      <c r="X294" s="164">
        <f t="shared" si="523"/>
        <v>0</v>
      </c>
      <c r="Y294" s="164">
        <f t="shared" si="523"/>
        <v>0</v>
      </c>
      <c r="Z294" s="164">
        <f t="shared" si="523"/>
        <v>0</v>
      </c>
      <c r="AA294" s="164">
        <f t="shared" si="523"/>
        <v>0</v>
      </c>
      <c r="AB294" s="164">
        <f t="shared" si="523"/>
        <v>0</v>
      </c>
      <c r="AC294" s="183"/>
      <c r="AD294" s="183"/>
      <c r="AE294" s="183"/>
      <c r="AF294" s="183"/>
      <c r="AG294" s="77"/>
      <c r="AH294" s="77"/>
      <c r="AI294" s="183"/>
      <c r="AJ294" s="183"/>
      <c r="AK294" s="183"/>
      <c r="AL294" s="183"/>
      <c r="AM294" s="183"/>
      <c r="AN294" s="183"/>
      <c r="AO294" s="183"/>
      <c r="AP294" s="183"/>
    </row>
    <row r="295" ht="38.25" customHeight="1">
      <c r="A295" s="183"/>
      <c r="B295" s="183"/>
      <c r="C295" s="130"/>
      <c r="D295" s="126" t="s">
        <v>101</v>
      </c>
      <c r="E295" s="126" t="s">
        <v>85</v>
      </c>
      <c r="F295" s="126"/>
      <c r="G295" s="126"/>
      <c r="H295" s="126" t="s">
        <v>112</v>
      </c>
      <c r="I295" s="126">
        <v>289.0</v>
      </c>
      <c r="J295" s="161">
        <v>3210000.0</v>
      </c>
      <c r="K295" s="161">
        <v>3210000.0</v>
      </c>
      <c r="L295" s="161">
        <v>3072648.0</v>
      </c>
      <c r="M295" s="161">
        <v>3072648.0</v>
      </c>
      <c r="N295" s="163">
        <f t="shared" ref="N295:O295" si="524">J295+L295</f>
        <v>6282648</v>
      </c>
      <c r="O295" s="163">
        <f t="shared" si="524"/>
        <v>6282648</v>
      </c>
      <c r="P295" s="183"/>
      <c r="Q295" s="175">
        <v>3210000.0</v>
      </c>
      <c r="R295" s="175">
        <v>3210000.0</v>
      </c>
      <c r="S295" s="175">
        <v>3072648.0</v>
      </c>
      <c r="T295" s="175">
        <v>3072648.0</v>
      </c>
      <c r="U295" s="175">
        <v>6282648.0</v>
      </c>
      <c r="V295" s="175">
        <v>6282648.0</v>
      </c>
      <c r="W295" s="164">
        <f t="shared" ref="W295:AB295" si="525">+J295-Q295</f>
        <v>0</v>
      </c>
      <c r="X295" s="164">
        <f t="shared" si="525"/>
        <v>0</v>
      </c>
      <c r="Y295" s="164">
        <f t="shared" si="525"/>
        <v>0</v>
      </c>
      <c r="Z295" s="164">
        <f t="shared" si="525"/>
        <v>0</v>
      </c>
      <c r="AA295" s="164">
        <f t="shared" si="525"/>
        <v>0</v>
      </c>
      <c r="AB295" s="164">
        <f t="shared" si="525"/>
        <v>0</v>
      </c>
      <c r="AC295" s="183"/>
      <c r="AD295" s="183"/>
      <c r="AE295" s="183"/>
      <c r="AF295" s="183"/>
      <c r="AG295" s="77"/>
      <c r="AH295" s="77"/>
      <c r="AI295" s="183"/>
      <c r="AJ295" s="183"/>
      <c r="AK295" s="183"/>
      <c r="AL295" s="183"/>
      <c r="AM295" s="183"/>
      <c r="AN295" s="183"/>
      <c r="AO295" s="183"/>
      <c r="AP295" s="183"/>
    </row>
    <row r="296" ht="38.25" customHeight="1">
      <c r="A296" s="183"/>
      <c r="B296" s="183"/>
      <c r="C296" s="130"/>
      <c r="D296" s="126" t="s">
        <v>91</v>
      </c>
      <c r="E296" s="126" t="s">
        <v>101</v>
      </c>
      <c r="F296" s="126"/>
      <c r="G296" s="126"/>
      <c r="H296" s="126"/>
      <c r="I296" s="126">
        <v>30.0</v>
      </c>
      <c r="J296" s="161">
        <v>1460000.0</v>
      </c>
      <c r="K296" s="161">
        <v>1460000.0</v>
      </c>
      <c r="L296" s="161">
        <v>318960.0</v>
      </c>
      <c r="M296" s="161">
        <v>318960.0</v>
      </c>
      <c r="N296" s="163">
        <f t="shared" ref="N296:O296" si="526">J296+L296</f>
        <v>1778960</v>
      </c>
      <c r="O296" s="163">
        <f t="shared" si="526"/>
        <v>1778960</v>
      </c>
      <c r="P296" s="183"/>
      <c r="Q296" s="175">
        <v>1460000.0</v>
      </c>
      <c r="R296" s="175">
        <v>1460000.0</v>
      </c>
      <c r="S296" s="175">
        <v>318960.0</v>
      </c>
      <c r="T296" s="175">
        <v>318960.0</v>
      </c>
      <c r="U296" s="175">
        <v>1778960.0</v>
      </c>
      <c r="V296" s="175">
        <v>1778960.0</v>
      </c>
      <c r="W296" s="164">
        <f t="shared" ref="W296:AB296" si="527">+J296-Q296</f>
        <v>0</v>
      </c>
      <c r="X296" s="164">
        <f t="shared" si="527"/>
        <v>0</v>
      </c>
      <c r="Y296" s="164">
        <f t="shared" si="527"/>
        <v>0</v>
      </c>
      <c r="Z296" s="164">
        <f t="shared" si="527"/>
        <v>0</v>
      </c>
      <c r="AA296" s="164">
        <f t="shared" si="527"/>
        <v>0</v>
      </c>
      <c r="AB296" s="164">
        <f t="shared" si="527"/>
        <v>0</v>
      </c>
      <c r="AC296" s="183"/>
      <c r="AD296" s="183"/>
      <c r="AE296" s="183"/>
      <c r="AF296" s="183"/>
      <c r="AG296" s="77"/>
      <c r="AH296" s="77"/>
      <c r="AI296" s="183"/>
      <c r="AJ296" s="183"/>
      <c r="AK296" s="183"/>
      <c r="AL296" s="183"/>
      <c r="AM296" s="183"/>
      <c r="AN296" s="183"/>
      <c r="AO296" s="183"/>
      <c r="AP296" s="183"/>
    </row>
    <row r="297" ht="38.25" customHeight="1">
      <c r="A297" s="183"/>
      <c r="B297" s="183"/>
      <c r="C297" s="118"/>
      <c r="D297" s="126" t="s">
        <v>101</v>
      </c>
      <c r="E297" s="126" t="s">
        <v>86</v>
      </c>
      <c r="F297" s="126"/>
      <c r="G297" s="126"/>
      <c r="H297" s="126" t="s">
        <v>112</v>
      </c>
      <c r="I297" s="126">
        <v>258.0</v>
      </c>
      <c r="J297" s="161">
        <v>2940000.0</v>
      </c>
      <c r="K297" s="161">
        <v>2940000.0</v>
      </c>
      <c r="L297" s="161">
        <v>2743056.0</v>
      </c>
      <c r="M297" s="161">
        <v>2743056.0</v>
      </c>
      <c r="N297" s="163">
        <f t="shared" ref="N297:O297" si="528">J297+L297</f>
        <v>5683056</v>
      </c>
      <c r="O297" s="163">
        <f t="shared" si="528"/>
        <v>5683056</v>
      </c>
      <c r="P297" s="183"/>
      <c r="Q297" s="175">
        <v>2940000.0</v>
      </c>
      <c r="R297" s="175">
        <v>2940000.0</v>
      </c>
      <c r="S297" s="175">
        <v>2743055.9999999995</v>
      </c>
      <c r="T297" s="175">
        <v>2743055.9999999995</v>
      </c>
      <c r="U297" s="175">
        <v>5683056.0</v>
      </c>
      <c r="V297" s="175">
        <v>5683056.0</v>
      </c>
      <c r="W297" s="164">
        <f t="shared" ref="W297:AB297" si="529">+J297-Q297</f>
        <v>0</v>
      </c>
      <c r="X297" s="164">
        <f t="shared" si="529"/>
        <v>0</v>
      </c>
      <c r="Y297" s="164">
        <f t="shared" si="529"/>
        <v>0.0000000004656612873</v>
      </c>
      <c r="Z297" s="164">
        <f t="shared" si="529"/>
        <v>0.0000000004656612873</v>
      </c>
      <c r="AA297" s="164">
        <f t="shared" si="529"/>
        <v>0</v>
      </c>
      <c r="AB297" s="164">
        <f t="shared" si="529"/>
        <v>0</v>
      </c>
      <c r="AC297" s="183"/>
      <c r="AD297" s="183"/>
      <c r="AE297" s="183"/>
      <c r="AF297" s="183"/>
      <c r="AG297" s="77"/>
      <c r="AH297" s="77"/>
      <c r="AI297" s="183"/>
      <c r="AJ297" s="183"/>
      <c r="AK297" s="183"/>
      <c r="AL297" s="183"/>
      <c r="AM297" s="183"/>
      <c r="AN297" s="183"/>
      <c r="AO297" s="183"/>
      <c r="AP297" s="183"/>
    </row>
    <row r="298" ht="34.5" customHeight="1">
      <c r="A298" s="183"/>
      <c r="B298" s="183"/>
      <c r="C298" s="167" t="s">
        <v>102</v>
      </c>
      <c r="D298" s="126" t="s">
        <v>103</v>
      </c>
      <c r="E298" s="126" t="s">
        <v>84</v>
      </c>
      <c r="F298" s="126"/>
      <c r="G298" s="126"/>
      <c r="H298" s="126" t="s">
        <v>112</v>
      </c>
      <c r="I298" s="126">
        <v>239.0</v>
      </c>
      <c r="J298" s="161">
        <v>2800000.0</v>
      </c>
      <c r="K298" s="161">
        <v>2800000.0</v>
      </c>
      <c r="L298" s="161">
        <v>2541048.0</v>
      </c>
      <c r="M298" s="161">
        <v>2541048.0</v>
      </c>
      <c r="N298" s="163">
        <f t="shared" ref="N298:O298" si="530">J298+L298</f>
        <v>5341048</v>
      </c>
      <c r="O298" s="163">
        <f t="shared" si="530"/>
        <v>5341048</v>
      </c>
      <c r="P298" s="183"/>
      <c r="Q298" s="175">
        <v>2800000.0</v>
      </c>
      <c r="R298" s="175">
        <v>2800000.0</v>
      </c>
      <c r="S298" s="175">
        <v>2541048.0</v>
      </c>
      <c r="T298" s="175">
        <v>2541048.0</v>
      </c>
      <c r="U298" s="175">
        <v>5341048.0</v>
      </c>
      <c r="V298" s="175">
        <v>5341048.0</v>
      </c>
      <c r="W298" s="164">
        <f t="shared" ref="W298:AB298" si="531">+J298-Q298</f>
        <v>0</v>
      </c>
      <c r="X298" s="164">
        <f t="shared" si="531"/>
        <v>0</v>
      </c>
      <c r="Y298" s="164">
        <f t="shared" si="531"/>
        <v>0</v>
      </c>
      <c r="Z298" s="164">
        <f t="shared" si="531"/>
        <v>0</v>
      </c>
      <c r="AA298" s="164">
        <f t="shared" si="531"/>
        <v>0</v>
      </c>
      <c r="AB298" s="164">
        <f t="shared" si="531"/>
        <v>0</v>
      </c>
      <c r="AC298" s="183"/>
      <c r="AD298" s="183"/>
      <c r="AE298" s="183"/>
      <c r="AF298" s="183"/>
      <c r="AG298" s="77"/>
      <c r="AH298" s="77"/>
      <c r="AI298" s="183"/>
      <c r="AJ298" s="183"/>
      <c r="AK298" s="183"/>
      <c r="AL298" s="183"/>
      <c r="AM298" s="183"/>
      <c r="AN298" s="183"/>
      <c r="AO298" s="183"/>
      <c r="AP298" s="183"/>
    </row>
    <row r="299" ht="34.5" customHeight="1">
      <c r="A299" s="183"/>
      <c r="B299" s="183"/>
      <c r="C299" s="130"/>
      <c r="D299" s="126" t="s">
        <v>103</v>
      </c>
      <c r="E299" s="126" t="s">
        <v>85</v>
      </c>
      <c r="F299" s="126"/>
      <c r="G299" s="126"/>
      <c r="H299" s="126" t="s">
        <v>112</v>
      </c>
      <c r="I299" s="126">
        <v>227.0</v>
      </c>
      <c r="J299" s="161">
        <v>2800000.0</v>
      </c>
      <c r="K299" s="161">
        <v>2800000.0</v>
      </c>
      <c r="L299" s="161">
        <v>2413464.0</v>
      </c>
      <c r="M299" s="161">
        <v>2413464.0</v>
      </c>
      <c r="N299" s="163">
        <f t="shared" ref="N299:O299" si="532">J299+L299</f>
        <v>5213464</v>
      </c>
      <c r="O299" s="163">
        <f t="shared" si="532"/>
        <v>5213464</v>
      </c>
      <c r="P299" s="183"/>
      <c r="Q299" s="175">
        <v>2800000.0</v>
      </c>
      <c r="R299" s="175">
        <v>2800000.0</v>
      </c>
      <c r="S299" s="175">
        <v>2413464.0</v>
      </c>
      <c r="T299" s="175">
        <v>2413464.0</v>
      </c>
      <c r="U299" s="175">
        <v>5213464.0</v>
      </c>
      <c r="V299" s="175">
        <v>5213464.0</v>
      </c>
      <c r="W299" s="164">
        <f t="shared" ref="W299:AB299" si="533">+J299-Q299</f>
        <v>0</v>
      </c>
      <c r="X299" s="164">
        <f t="shared" si="533"/>
        <v>0</v>
      </c>
      <c r="Y299" s="164">
        <f t="shared" si="533"/>
        <v>0</v>
      </c>
      <c r="Z299" s="164">
        <f t="shared" si="533"/>
        <v>0</v>
      </c>
      <c r="AA299" s="164">
        <f t="shared" si="533"/>
        <v>0</v>
      </c>
      <c r="AB299" s="164">
        <f t="shared" si="533"/>
        <v>0</v>
      </c>
      <c r="AC299" s="183"/>
      <c r="AD299" s="183"/>
      <c r="AE299" s="183"/>
      <c r="AF299" s="183"/>
      <c r="AG299" s="77"/>
      <c r="AH299" s="77"/>
      <c r="AI299" s="183"/>
      <c r="AJ299" s="183"/>
      <c r="AK299" s="183"/>
      <c r="AL299" s="183"/>
      <c r="AM299" s="183"/>
      <c r="AN299" s="183"/>
      <c r="AO299" s="183"/>
      <c r="AP299" s="183"/>
    </row>
    <row r="300" ht="34.5" customHeight="1">
      <c r="A300" s="183"/>
      <c r="B300" s="183"/>
      <c r="C300" s="130"/>
      <c r="D300" s="126" t="s">
        <v>103</v>
      </c>
      <c r="E300" s="126" t="s">
        <v>86</v>
      </c>
      <c r="F300" s="126"/>
      <c r="G300" s="126"/>
      <c r="H300" s="126" t="s">
        <v>112</v>
      </c>
      <c r="I300" s="126">
        <v>234.0</v>
      </c>
      <c r="J300" s="161">
        <v>2820000.0</v>
      </c>
      <c r="K300" s="161">
        <v>2820000.0</v>
      </c>
      <c r="L300" s="161">
        <v>2487888.0</v>
      </c>
      <c r="M300" s="161">
        <v>2487888.0</v>
      </c>
      <c r="N300" s="163">
        <f t="shared" ref="N300:O300" si="534">J300+L300</f>
        <v>5307888</v>
      </c>
      <c r="O300" s="163">
        <f t="shared" si="534"/>
        <v>5307888</v>
      </c>
      <c r="P300" s="183"/>
      <c r="Q300" s="175">
        <v>2820000.0</v>
      </c>
      <c r="R300" s="175">
        <v>2820000.0</v>
      </c>
      <c r="S300" s="175">
        <v>2487888.0</v>
      </c>
      <c r="T300" s="175">
        <v>2487888.0</v>
      </c>
      <c r="U300" s="175">
        <v>5307888.0</v>
      </c>
      <c r="V300" s="175">
        <v>5307888.0</v>
      </c>
      <c r="W300" s="164">
        <f t="shared" ref="W300:AB300" si="535">+J300-Q300</f>
        <v>0</v>
      </c>
      <c r="X300" s="164">
        <f t="shared" si="535"/>
        <v>0</v>
      </c>
      <c r="Y300" s="164">
        <f t="shared" si="535"/>
        <v>0</v>
      </c>
      <c r="Z300" s="164">
        <f t="shared" si="535"/>
        <v>0</v>
      </c>
      <c r="AA300" s="164">
        <f t="shared" si="535"/>
        <v>0</v>
      </c>
      <c r="AB300" s="164">
        <f t="shared" si="535"/>
        <v>0</v>
      </c>
      <c r="AC300" s="183"/>
      <c r="AD300" s="183"/>
      <c r="AE300" s="183"/>
      <c r="AF300" s="183"/>
      <c r="AG300" s="77"/>
      <c r="AH300" s="77"/>
      <c r="AI300" s="183"/>
      <c r="AJ300" s="183"/>
      <c r="AK300" s="183"/>
      <c r="AL300" s="183"/>
      <c r="AM300" s="183"/>
      <c r="AN300" s="183"/>
      <c r="AO300" s="183"/>
      <c r="AP300" s="183"/>
    </row>
    <row r="301" ht="34.5" customHeight="1">
      <c r="A301" s="183"/>
      <c r="B301" s="183"/>
      <c r="C301" s="130"/>
      <c r="D301" s="126" t="s">
        <v>104</v>
      </c>
      <c r="E301" s="126" t="s">
        <v>84</v>
      </c>
      <c r="F301" s="126"/>
      <c r="G301" s="126"/>
      <c r="H301" s="126" t="s">
        <v>112</v>
      </c>
      <c r="I301" s="126">
        <v>258.0</v>
      </c>
      <c r="J301" s="161">
        <v>3670000.0</v>
      </c>
      <c r="K301" s="161">
        <v>3670000.0</v>
      </c>
      <c r="L301" s="161">
        <v>2743056.0</v>
      </c>
      <c r="M301" s="161">
        <v>2743056.0</v>
      </c>
      <c r="N301" s="163">
        <f t="shared" ref="N301:O301" si="536">J301+L301</f>
        <v>6413056</v>
      </c>
      <c r="O301" s="163">
        <f t="shared" si="536"/>
        <v>6413056</v>
      </c>
      <c r="P301" s="183"/>
      <c r="Q301" s="175">
        <v>3670000.0</v>
      </c>
      <c r="R301" s="175">
        <v>3670000.0</v>
      </c>
      <c r="S301" s="175">
        <v>2743055.9999999995</v>
      </c>
      <c r="T301" s="175">
        <v>2743055.9999999995</v>
      </c>
      <c r="U301" s="175">
        <v>6413056.0</v>
      </c>
      <c r="V301" s="175">
        <v>6413056.0</v>
      </c>
      <c r="W301" s="164">
        <f t="shared" ref="W301:AB301" si="537">+J301-Q301</f>
        <v>0</v>
      </c>
      <c r="X301" s="164">
        <f t="shared" si="537"/>
        <v>0</v>
      </c>
      <c r="Y301" s="164">
        <f t="shared" si="537"/>
        <v>0.0000000004656612873</v>
      </c>
      <c r="Z301" s="164">
        <f t="shared" si="537"/>
        <v>0.0000000004656612873</v>
      </c>
      <c r="AA301" s="164">
        <f t="shared" si="537"/>
        <v>0</v>
      </c>
      <c r="AB301" s="164">
        <f t="shared" si="537"/>
        <v>0</v>
      </c>
      <c r="AC301" s="183"/>
      <c r="AD301" s="183"/>
      <c r="AE301" s="183"/>
      <c r="AF301" s="183"/>
      <c r="AG301" s="77"/>
      <c r="AH301" s="77"/>
      <c r="AI301" s="183"/>
      <c r="AJ301" s="183"/>
      <c r="AK301" s="183"/>
      <c r="AL301" s="183"/>
      <c r="AM301" s="183"/>
      <c r="AN301" s="183"/>
      <c r="AO301" s="183"/>
      <c r="AP301" s="183"/>
    </row>
    <row r="302" ht="34.5" customHeight="1">
      <c r="A302" s="183"/>
      <c r="B302" s="183"/>
      <c r="C302" s="130"/>
      <c r="D302" s="126" t="s">
        <v>104</v>
      </c>
      <c r="E302" s="126" t="s">
        <v>85</v>
      </c>
      <c r="F302" s="126"/>
      <c r="G302" s="126"/>
      <c r="H302" s="126" t="s">
        <v>112</v>
      </c>
      <c r="I302" s="126">
        <v>212.0</v>
      </c>
      <c r="J302" s="161">
        <v>3340000.0</v>
      </c>
      <c r="K302" s="161">
        <v>3340000.0</v>
      </c>
      <c r="L302" s="161">
        <v>2253984.0</v>
      </c>
      <c r="M302" s="161">
        <v>2253984.0</v>
      </c>
      <c r="N302" s="163">
        <f t="shared" ref="N302:O302" si="538">J302+L302</f>
        <v>5593984</v>
      </c>
      <c r="O302" s="163">
        <f t="shared" si="538"/>
        <v>5593984</v>
      </c>
      <c r="P302" s="183"/>
      <c r="Q302" s="175">
        <v>3340000.0</v>
      </c>
      <c r="R302" s="175">
        <v>3340000.0</v>
      </c>
      <c r="S302" s="175">
        <v>2253984.0</v>
      </c>
      <c r="T302" s="175">
        <v>2253984.0</v>
      </c>
      <c r="U302" s="175">
        <v>5593984.0</v>
      </c>
      <c r="V302" s="175">
        <v>5593984.0</v>
      </c>
      <c r="W302" s="164">
        <f t="shared" ref="W302:AB302" si="539">+J302-Q302</f>
        <v>0</v>
      </c>
      <c r="X302" s="164">
        <f t="shared" si="539"/>
        <v>0</v>
      </c>
      <c r="Y302" s="164">
        <f t="shared" si="539"/>
        <v>0</v>
      </c>
      <c r="Z302" s="164">
        <f t="shared" si="539"/>
        <v>0</v>
      </c>
      <c r="AA302" s="164">
        <f t="shared" si="539"/>
        <v>0</v>
      </c>
      <c r="AB302" s="164">
        <f t="shared" si="539"/>
        <v>0</v>
      </c>
      <c r="AC302" s="183"/>
      <c r="AD302" s="183"/>
      <c r="AE302" s="183"/>
      <c r="AF302" s="183"/>
      <c r="AG302" s="77"/>
      <c r="AH302" s="77"/>
      <c r="AI302" s="183"/>
      <c r="AJ302" s="183"/>
      <c r="AK302" s="183"/>
      <c r="AL302" s="183"/>
      <c r="AM302" s="183"/>
      <c r="AN302" s="183"/>
      <c r="AO302" s="183"/>
      <c r="AP302" s="183"/>
    </row>
    <row r="303" ht="34.5" customHeight="1">
      <c r="A303" s="183"/>
      <c r="B303" s="183"/>
      <c r="C303" s="130"/>
      <c r="D303" s="126" t="s">
        <v>104</v>
      </c>
      <c r="E303" s="126" t="s">
        <v>86</v>
      </c>
      <c r="F303" s="126"/>
      <c r="G303" s="126"/>
      <c r="H303" s="126" t="s">
        <v>112</v>
      </c>
      <c r="I303" s="126">
        <v>191.0</v>
      </c>
      <c r="J303" s="161">
        <v>3280000.0</v>
      </c>
      <c r="K303" s="161">
        <v>3280000.0</v>
      </c>
      <c r="L303" s="161">
        <v>2030712.0</v>
      </c>
      <c r="M303" s="161">
        <v>2030712.0</v>
      </c>
      <c r="N303" s="163">
        <f t="shared" ref="N303:O303" si="540">J303+L303</f>
        <v>5310712</v>
      </c>
      <c r="O303" s="163">
        <f t="shared" si="540"/>
        <v>5310712</v>
      </c>
      <c r="P303" s="183"/>
      <c r="Q303" s="175">
        <v>3280000.0</v>
      </c>
      <c r="R303" s="175">
        <v>3280000.0</v>
      </c>
      <c r="S303" s="175">
        <v>2030712.0</v>
      </c>
      <c r="T303" s="175">
        <v>2030712.0</v>
      </c>
      <c r="U303" s="175">
        <v>5310712.0</v>
      </c>
      <c r="V303" s="175">
        <v>5310712.0</v>
      </c>
      <c r="W303" s="164">
        <f t="shared" ref="W303:AB303" si="541">+J303-Q303</f>
        <v>0</v>
      </c>
      <c r="X303" s="164">
        <f t="shared" si="541"/>
        <v>0</v>
      </c>
      <c r="Y303" s="164">
        <f t="shared" si="541"/>
        <v>0</v>
      </c>
      <c r="Z303" s="164">
        <f t="shared" si="541"/>
        <v>0</v>
      </c>
      <c r="AA303" s="164">
        <f t="shared" si="541"/>
        <v>0</v>
      </c>
      <c r="AB303" s="164">
        <f t="shared" si="541"/>
        <v>0</v>
      </c>
      <c r="AC303" s="183"/>
      <c r="AD303" s="183"/>
      <c r="AE303" s="183"/>
      <c r="AF303" s="183"/>
      <c r="AG303" s="77"/>
      <c r="AH303" s="77"/>
      <c r="AI303" s="183"/>
      <c r="AJ303" s="183"/>
      <c r="AK303" s="183"/>
      <c r="AL303" s="183"/>
      <c r="AM303" s="183"/>
      <c r="AN303" s="183"/>
      <c r="AO303" s="183"/>
      <c r="AP303" s="183"/>
    </row>
    <row r="304" ht="34.5" customHeight="1">
      <c r="A304" s="183"/>
      <c r="B304" s="183"/>
      <c r="C304" s="130"/>
      <c r="D304" s="126" t="s">
        <v>105</v>
      </c>
      <c r="E304" s="126" t="s">
        <v>84</v>
      </c>
      <c r="F304" s="126"/>
      <c r="G304" s="126"/>
      <c r="H304" s="126" t="s">
        <v>112</v>
      </c>
      <c r="I304" s="126">
        <v>228.0</v>
      </c>
      <c r="J304" s="161">
        <v>2750000.0</v>
      </c>
      <c r="K304" s="161">
        <v>2750000.0</v>
      </c>
      <c r="L304" s="161">
        <v>2424096.0</v>
      </c>
      <c r="M304" s="161">
        <v>2424096.0</v>
      </c>
      <c r="N304" s="163">
        <f t="shared" ref="N304:O304" si="542">J304+L304</f>
        <v>5174096</v>
      </c>
      <c r="O304" s="163">
        <f t="shared" si="542"/>
        <v>5174096</v>
      </c>
      <c r="P304" s="183"/>
      <c r="Q304" s="175">
        <v>2750000.0</v>
      </c>
      <c r="R304" s="175">
        <v>2750000.0</v>
      </c>
      <c r="S304" s="175">
        <v>2424095.9999999995</v>
      </c>
      <c r="T304" s="175">
        <v>2424095.9999999995</v>
      </c>
      <c r="U304" s="175">
        <v>5174096.0</v>
      </c>
      <c r="V304" s="175">
        <v>5174096.0</v>
      </c>
      <c r="W304" s="164">
        <f t="shared" ref="W304:AB304" si="543">+J304-Q304</f>
        <v>0</v>
      </c>
      <c r="X304" s="164">
        <f t="shared" si="543"/>
        <v>0</v>
      </c>
      <c r="Y304" s="164">
        <f t="shared" si="543"/>
        <v>0.0000000004656612873</v>
      </c>
      <c r="Z304" s="164">
        <f t="shared" si="543"/>
        <v>0.0000000004656612873</v>
      </c>
      <c r="AA304" s="164">
        <f t="shared" si="543"/>
        <v>0</v>
      </c>
      <c r="AB304" s="164">
        <f t="shared" si="543"/>
        <v>0</v>
      </c>
      <c r="AC304" s="183"/>
      <c r="AD304" s="183"/>
      <c r="AE304" s="183"/>
      <c r="AF304" s="183"/>
      <c r="AG304" s="77"/>
      <c r="AH304" s="77"/>
      <c r="AI304" s="183"/>
      <c r="AJ304" s="183"/>
      <c r="AK304" s="183"/>
      <c r="AL304" s="183"/>
      <c r="AM304" s="183"/>
      <c r="AN304" s="183"/>
      <c r="AO304" s="183"/>
      <c r="AP304" s="183"/>
    </row>
    <row r="305" ht="34.5" customHeight="1">
      <c r="A305" s="183"/>
      <c r="B305" s="183"/>
      <c r="C305" s="130"/>
      <c r="D305" s="126" t="s">
        <v>105</v>
      </c>
      <c r="E305" s="126" t="s">
        <v>85</v>
      </c>
      <c r="F305" s="126"/>
      <c r="G305" s="126"/>
      <c r="H305" s="126" t="s">
        <v>112</v>
      </c>
      <c r="I305" s="126">
        <v>207.0</v>
      </c>
      <c r="J305" s="161">
        <v>2700000.0</v>
      </c>
      <c r="K305" s="161">
        <v>2700000.0</v>
      </c>
      <c r="L305" s="161">
        <v>2200824.0</v>
      </c>
      <c r="M305" s="161">
        <v>2200824.0</v>
      </c>
      <c r="N305" s="163">
        <f t="shared" ref="N305:O305" si="544">J305+L305</f>
        <v>4900824</v>
      </c>
      <c r="O305" s="163">
        <f t="shared" si="544"/>
        <v>4900824</v>
      </c>
      <c r="P305" s="183"/>
      <c r="Q305" s="175">
        <v>2700000.0</v>
      </c>
      <c r="R305" s="175">
        <v>2700000.0</v>
      </c>
      <c r="S305" s="175">
        <v>2200824.0</v>
      </c>
      <c r="T305" s="175">
        <v>2200824.0</v>
      </c>
      <c r="U305" s="175">
        <v>4900824.0</v>
      </c>
      <c r="V305" s="175">
        <v>4900824.0</v>
      </c>
      <c r="W305" s="164">
        <f t="shared" ref="W305:AB305" si="545">+J305-Q305</f>
        <v>0</v>
      </c>
      <c r="X305" s="164">
        <f t="shared" si="545"/>
        <v>0</v>
      </c>
      <c r="Y305" s="164">
        <f t="shared" si="545"/>
        <v>0</v>
      </c>
      <c r="Z305" s="164">
        <f t="shared" si="545"/>
        <v>0</v>
      </c>
      <c r="AA305" s="164">
        <f t="shared" si="545"/>
        <v>0</v>
      </c>
      <c r="AB305" s="164">
        <f t="shared" si="545"/>
        <v>0</v>
      </c>
      <c r="AC305" s="183"/>
      <c r="AD305" s="183"/>
      <c r="AE305" s="183"/>
      <c r="AF305" s="183"/>
      <c r="AG305" s="77"/>
      <c r="AH305" s="77"/>
      <c r="AI305" s="183"/>
      <c r="AJ305" s="183"/>
      <c r="AK305" s="183"/>
      <c r="AL305" s="183"/>
      <c r="AM305" s="183"/>
      <c r="AN305" s="183"/>
      <c r="AO305" s="183"/>
      <c r="AP305" s="183"/>
    </row>
    <row r="306" ht="34.5" customHeight="1">
      <c r="A306" s="183"/>
      <c r="B306" s="183"/>
      <c r="C306" s="118"/>
      <c r="D306" s="126" t="s">
        <v>105</v>
      </c>
      <c r="E306" s="126" t="s">
        <v>86</v>
      </c>
      <c r="F306" s="126"/>
      <c r="G306" s="126"/>
      <c r="H306" s="126" t="s">
        <v>112</v>
      </c>
      <c r="I306" s="126">
        <v>221.0</v>
      </c>
      <c r="J306" s="161">
        <v>2750000.0</v>
      </c>
      <c r="K306" s="161">
        <v>2750000.0</v>
      </c>
      <c r="L306" s="161">
        <v>2349672.0</v>
      </c>
      <c r="M306" s="161">
        <v>2349672.0</v>
      </c>
      <c r="N306" s="163">
        <f t="shared" ref="N306:O306" si="546">J306+L306</f>
        <v>5099672</v>
      </c>
      <c r="O306" s="163">
        <f t="shared" si="546"/>
        <v>5099672</v>
      </c>
      <c r="P306" s="183"/>
      <c r="Q306" s="175">
        <v>2750000.0</v>
      </c>
      <c r="R306" s="175">
        <v>2750000.0</v>
      </c>
      <c r="S306" s="175">
        <v>2349672.0</v>
      </c>
      <c r="T306" s="175">
        <v>2349672.0</v>
      </c>
      <c r="U306" s="175">
        <v>5099672.0</v>
      </c>
      <c r="V306" s="175">
        <v>5099672.0</v>
      </c>
      <c r="W306" s="164">
        <f t="shared" ref="W306:AB306" si="547">+J306-Q306</f>
        <v>0</v>
      </c>
      <c r="X306" s="164">
        <f t="shared" si="547"/>
        <v>0</v>
      </c>
      <c r="Y306" s="164">
        <f t="shared" si="547"/>
        <v>0</v>
      </c>
      <c r="Z306" s="164">
        <f t="shared" si="547"/>
        <v>0</v>
      </c>
      <c r="AA306" s="164">
        <f t="shared" si="547"/>
        <v>0</v>
      </c>
      <c r="AB306" s="164">
        <f t="shared" si="547"/>
        <v>0</v>
      </c>
      <c r="AC306" s="183"/>
      <c r="AD306" s="183"/>
      <c r="AE306" s="183"/>
      <c r="AF306" s="183"/>
      <c r="AG306" s="77"/>
      <c r="AH306" s="77"/>
      <c r="AI306" s="183"/>
      <c r="AJ306" s="183"/>
      <c r="AK306" s="183"/>
      <c r="AL306" s="183"/>
      <c r="AM306" s="183"/>
      <c r="AN306" s="183"/>
      <c r="AO306" s="183"/>
      <c r="AP306" s="183"/>
    </row>
    <row r="307" ht="21.0" customHeight="1">
      <c r="A307" s="169"/>
      <c r="B307" s="169"/>
      <c r="C307" s="170"/>
      <c r="D307" s="171"/>
      <c r="E307" s="171"/>
      <c r="F307" s="171"/>
      <c r="G307" s="171"/>
      <c r="H307" s="171"/>
      <c r="I307" s="171"/>
      <c r="J307" s="172"/>
      <c r="K307" s="172"/>
      <c r="L307" s="173"/>
      <c r="M307" s="173"/>
      <c r="N307" s="174"/>
      <c r="O307" s="174"/>
      <c r="P307" s="169"/>
      <c r="Q307" s="175"/>
      <c r="R307" s="175"/>
      <c r="S307" s="175"/>
      <c r="T307" s="175"/>
      <c r="U307" s="175"/>
      <c r="V307" s="175"/>
      <c r="W307" s="176"/>
      <c r="X307" s="176"/>
      <c r="Y307" s="176"/>
      <c r="Z307" s="176"/>
      <c r="AA307" s="176"/>
      <c r="AB307" s="176"/>
      <c r="AC307" s="169"/>
      <c r="AD307" s="169"/>
      <c r="AE307" s="169"/>
      <c r="AF307" s="169"/>
      <c r="AG307" s="77"/>
      <c r="AH307" s="77"/>
      <c r="AI307" s="169"/>
      <c r="AJ307" s="169"/>
      <c r="AK307" s="169"/>
      <c r="AL307" s="169"/>
      <c r="AM307" s="169"/>
      <c r="AN307" s="169"/>
      <c r="AO307" s="169"/>
      <c r="AP307" s="169"/>
    </row>
    <row r="308" ht="6.0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72"/>
      <c r="M308" s="172"/>
      <c r="N308" s="169"/>
      <c r="O308" s="169"/>
      <c r="P308" s="169"/>
      <c r="Q308" s="175"/>
      <c r="R308" s="175"/>
      <c r="S308" s="175"/>
      <c r="T308" s="175"/>
      <c r="U308" s="175"/>
      <c r="V308" s="175"/>
      <c r="W308" s="176"/>
      <c r="X308" s="176"/>
      <c r="Y308" s="176"/>
      <c r="Z308" s="176"/>
      <c r="AA308" s="176"/>
      <c r="AB308" s="176"/>
      <c r="AC308" s="169"/>
      <c r="AD308" s="169"/>
      <c r="AE308" s="169"/>
      <c r="AF308" s="169"/>
      <c r="AG308" s="77"/>
      <c r="AH308" s="77"/>
      <c r="AI308" s="169"/>
      <c r="AJ308" s="169"/>
      <c r="AK308" s="169"/>
      <c r="AL308" s="169"/>
      <c r="AM308" s="169"/>
      <c r="AN308" s="169"/>
      <c r="AO308" s="169"/>
      <c r="AP308" s="169"/>
    </row>
    <row r="309" ht="24.75" customHeight="1">
      <c r="A309" s="177"/>
      <c r="B309" s="178" t="s">
        <v>113</v>
      </c>
      <c r="C309" s="178" t="s">
        <v>114</v>
      </c>
      <c r="D309" s="169"/>
      <c r="E309" s="169"/>
      <c r="F309" s="177"/>
      <c r="G309" s="177"/>
      <c r="H309" s="177"/>
      <c r="I309" s="177"/>
      <c r="J309" s="177"/>
      <c r="K309" s="177"/>
      <c r="L309" s="179"/>
      <c r="M309" s="179"/>
      <c r="N309" s="177"/>
      <c r="O309" s="177"/>
      <c r="P309" s="177"/>
      <c r="Q309" s="180"/>
      <c r="R309" s="180"/>
      <c r="S309" s="180"/>
      <c r="T309" s="180"/>
      <c r="U309" s="180"/>
      <c r="V309" s="180"/>
      <c r="W309" s="181"/>
      <c r="X309" s="181"/>
      <c r="Y309" s="181"/>
      <c r="Z309" s="181"/>
      <c r="AA309" s="181"/>
      <c r="AB309" s="181"/>
      <c r="AC309" s="177"/>
      <c r="AD309" s="177"/>
      <c r="AE309" s="177"/>
      <c r="AF309" s="177"/>
      <c r="AG309" s="77"/>
      <c r="AH309" s="77"/>
      <c r="AI309" s="177"/>
      <c r="AJ309" s="177"/>
      <c r="AK309" s="177"/>
      <c r="AL309" s="177"/>
      <c r="AM309" s="177"/>
      <c r="AN309" s="177"/>
      <c r="AO309" s="177"/>
      <c r="AP309" s="177"/>
    </row>
    <row r="310" ht="12.75" customHeight="1">
      <c r="A310" s="177"/>
      <c r="B310" s="178"/>
      <c r="C310" s="178"/>
      <c r="D310" s="169"/>
      <c r="E310" s="169"/>
      <c r="F310" s="177"/>
      <c r="G310" s="177"/>
      <c r="H310" s="177"/>
      <c r="I310" s="177"/>
      <c r="J310" s="177"/>
      <c r="K310" s="177"/>
      <c r="L310" s="179"/>
      <c r="M310" s="179"/>
      <c r="N310" s="177"/>
      <c r="O310" s="177"/>
      <c r="P310" s="177"/>
      <c r="Q310" s="180"/>
      <c r="R310" s="180"/>
      <c r="S310" s="180"/>
      <c r="T310" s="180"/>
      <c r="U310" s="180"/>
      <c r="V310" s="180"/>
      <c r="W310" s="181"/>
      <c r="X310" s="181"/>
      <c r="Y310" s="181"/>
      <c r="Z310" s="181"/>
      <c r="AA310" s="181"/>
      <c r="AB310" s="181"/>
      <c r="AC310" s="177"/>
      <c r="AD310" s="177"/>
      <c r="AE310" s="177"/>
      <c r="AF310" s="177"/>
      <c r="AG310" s="77"/>
      <c r="AH310" s="77"/>
      <c r="AI310" s="177"/>
      <c r="AJ310" s="177"/>
      <c r="AK310" s="177"/>
      <c r="AL310" s="177"/>
      <c r="AM310" s="177"/>
      <c r="AN310" s="177"/>
      <c r="AO310" s="177"/>
      <c r="AP310" s="177"/>
    </row>
    <row r="311" ht="35.25" customHeight="1">
      <c r="A311" s="169"/>
      <c r="B311" s="169"/>
      <c r="C311" s="151" t="s">
        <v>76</v>
      </c>
      <c r="D311" s="152" t="s">
        <v>77</v>
      </c>
      <c r="E311" s="136"/>
      <c r="F311" s="136"/>
      <c r="G311" s="136"/>
      <c r="H311" s="137"/>
      <c r="I311" s="153" t="s">
        <v>78</v>
      </c>
      <c r="J311" s="154" t="s">
        <v>79</v>
      </c>
      <c r="K311" s="137"/>
      <c r="L311" s="155" t="s">
        <v>80</v>
      </c>
      <c r="M311" s="137"/>
      <c r="N311" s="152" t="s">
        <v>65</v>
      </c>
      <c r="O311" s="137"/>
      <c r="P311" s="169"/>
      <c r="Q311" s="175"/>
      <c r="R311" s="175"/>
      <c r="S311" s="175"/>
      <c r="T311" s="175"/>
      <c r="U311" s="175"/>
      <c r="V311" s="175"/>
      <c r="W311" s="176"/>
      <c r="X311" s="176"/>
      <c r="Y311" s="176"/>
      <c r="Z311" s="176"/>
      <c r="AA311" s="176"/>
      <c r="AB311" s="176"/>
      <c r="AC311" s="169"/>
      <c r="AD311" s="169"/>
      <c r="AE311" s="169"/>
      <c r="AF311" s="169"/>
      <c r="AG311" s="77"/>
      <c r="AH311" s="77"/>
      <c r="AI311" s="169"/>
      <c r="AJ311" s="169"/>
      <c r="AK311" s="169"/>
      <c r="AL311" s="169"/>
      <c r="AM311" s="169"/>
      <c r="AN311" s="169"/>
      <c r="AO311" s="169"/>
      <c r="AP311" s="169"/>
    </row>
    <row r="312" ht="35.25" customHeight="1">
      <c r="A312" s="169"/>
      <c r="B312" s="169"/>
      <c r="C312" s="118"/>
      <c r="D312" s="158" t="s">
        <v>81</v>
      </c>
      <c r="E312" s="158" t="s">
        <v>82</v>
      </c>
      <c r="F312" s="158" t="s">
        <v>82</v>
      </c>
      <c r="G312" s="158" t="s">
        <v>82</v>
      </c>
      <c r="H312" s="158" t="s">
        <v>82</v>
      </c>
      <c r="I312" s="118"/>
      <c r="J312" s="158" t="s">
        <v>53</v>
      </c>
      <c r="K312" s="158" t="s">
        <v>54</v>
      </c>
      <c r="L312" s="159" t="s">
        <v>53</v>
      </c>
      <c r="M312" s="159" t="s">
        <v>54</v>
      </c>
      <c r="N312" s="158" t="s">
        <v>53</v>
      </c>
      <c r="O312" s="158" t="s">
        <v>54</v>
      </c>
      <c r="P312" s="169"/>
      <c r="Q312" s="175"/>
      <c r="R312" s="175"/>
      <c r="S312" s="175"/>
      <c r="T312" s="175"/>
      <c r="U312" s="175"/>
      <c r="V312" s="175"/>
      <c r="W312" s="176"/>
      <c r="X312" s="176"/>
      <c r="Y312" s="176"/>
      <c r="Z312" s="176"/>
      <c r="AA312" s="176"/>
      <c r="AB312" s="176"/>
      <c r="AC312" s="169"/>
      <c r="AD312" s="169"/>
      <c r="AE312" s="169"/>
      <c r="AF312" s="169"/>
      <c r="AG312" s="77"/>
      <c r="AH312" s="77"/>
      <c r="AI312" s="169"/>
      <c r="AJ312" s="169"/>
      <c r="AK312" s="169"/>
      <c r="AL312" s="169"/>
      <c r="AM312" s="169"/>
      <c r="AN312" s="169"/>
      <c r="AO312" s="169"/>
      <c r="AP312" s="169"/>
    </row>
    <row r="313" ht="36.75" customHeight="1">
      <c r="A313" s="169"/>
      <c r="B313" s="169"/>
      <c r="C313" s="167" t="s">
        <v>89</v>
      </c>
      <c r="D313" s="165" t="s">
        <v>83</v>
      </c>
      <c r="E313" s="165" t="s">
        <v>84</v>
      </c>
      <c r="F313" s="165"/>
      <c r="G313" s="165"/>
      <c r="H313" s="165" t="s">
        <v>112</v>
      </c>
      <c r="I313" s="165">
        <v>331.0</v>
      </c>
      <c r="J313" s="166">
        <v>3720000.0</v>
      </c>
      <c r="K313" s="166">
        <v>3720000.0</v>
      </c>
      <c r="L313" s="161">
        <v>3049966.0</v>
      </c>
      <c r="M313" s="161">
        <v>3049966.0</v>
      </c>
      <c r="N313" s="163">
        <f t="shared" ref="N313:O313" si="548">J313+L313</f>
        <v>6769966</v>
      </c>
      <c r="O313" s="163">
        <f t="shared" si="548"/>
        <v>6769966</v>
      </c>
      <c r="P313" s="169"/>
      <c r="Q313" s="175">
        <v>3720000.0</v>
      </c>
      <c r="R313" s="175">
        <v>3720000.0</v>
      </c>
      <c r="S313" s="175">
        <v>3049966.4</v>
      </c>
      <c r="T313" s="175">
        <v>3049966.4</v>
      </c>
      <c r="U313" s="175">
        <v>6769966.4</v>
      </c>
      <c r="V313" s="175">
        <v>6769966.4</v>
      </c>
      <c r="W313" s="164">
        <f t="shared" ref="W313:AB313" si="549">+J313-Q313</f>
        <v>0</v>
      </c>
      <c r="X313" s="164">
        <f t="shared" si="549"/>
        <v>0</v>
      </c>
      <c r="Y313" s="164">
        <f t="shared" si="549"/>
        <v>-0.3999999999</v>
      </c>
      <c r="Z313" s="164">
        <f t="shared" si="549"/>
        <v>-0.3999999999</v>
      </c>
      <c r="AA313" s="164">
        <f t="shared" si="549"/>
        <v>-0.4000000004</v>
      </c>
      <c r="AB313" s="164">
        <f t="shared" si="549"/>
        <v>-0.4000000004</v>
      </c>
      <c r="AC313" s="169"/>
      <c r="AD313" s="169"/>
      <c r="AE313" s="169"/>
      <c r="AF313" s="169"/>
      <c r="AG313" s="77"/>
      <c r="AH313" s="77"/>
      <c r="AI313" s="169"/>
      <c r="AJ313" s="169"/>
      <c r="AK313" s="169"/>
      <c r="AL313" s="169"/>
      <c r="AM313" s="169"/>
      <c r="AN313" s="169"/>
      <c r="AO313" s="169"/>
      <c r="AP313" s="169"/>
    </row>
    <row r="314" ht="36.75" customHeight="1">
      <c r="A314" s="169"/>
      <c r="B314" s="169"/>
      <c r="C314" s="130"/>
      <c r="D314" s="165" t="s">
        <v>83</v>
      </c>
      <c r="E314" s="165" t="s">
        <v>85</v>
      </c>
      <c r="F314" s="165"/>
      <c r="G314" s="165"/>
      <c r="H314" s="165" t="s">
        <v>112</v>
      </c>
      <c r="I314" s="165">
        <v>310.0</v>
      </c>
      <c r="J314" s="166">
        <v>3400000.0</v>
      </c>
      <c r="K314" s="166">
        <v>3400000.0</v>
      </c>
      <c r="L314" s="161">
        <v>2856464.0</v>
      </c>
      <c r="M314" s="161">
        <v>2856464.0</v>
      </c>
      <c r="N314" s="163">
        <f t="shared" ref="N314:O314" si="550">J314+L314</f>
        <v>6256464</v>
      </c>
      <c r="O314" s="163">
        <f t="shared" si="550"/>
        <v>6256464</v>
      </c>
      <c r="P314" s="169"/>
      <c r="Q314" s="175">
        <v>3400000.0</v>
      </c>
      <c r="R314" s="175">
        <v>3400000.0</v>
      </c>
      <c r="S314" s="175">
        <v>2856464.0000000005</v>
      </c>
      <c r="T314" s="175">
        <v>2856464.0000000005</v>
      </c>
      <c r="U314" s="175">
        <v>6256464.0</v>
      </c>
      <c r="V314" s="175">
        <v>6256464.0</v>
      </c>
      <c r="W314" s="164">
        <f t="shared" ref="W314:AB314" si="551">+J314-Q314</f>
        <v>0</v>
      </c>
      <c r="X314" s="164">
        <f t="shared" si="551"/>
        <v>0</v>
      </c>
      <c r="Y314" s="164">
        <f t="shared" si="551"/>
        <v>-0.0000000004656612873</v>
      </c>
      <c r="Z314" s="164">
        <f t="shared" si="551"/>
        <v>-0.0000000004656612873</v>
      </c>
      <c r="AA314" s="164">
        <f t="shared" si="551"/>
        <v>0</v>
      </c>
      <c r="AB314" s="164">
        <f t="shared" si="551"/>
        <v>0</v>
      </c>
      <c r="AC314" s="169"/>
      <c r="AD314" s="169"/>
      <c r="AE314" s="169"/>
      <c r="AF314" s="169"/>
      <c r="AG314" s="77"/>
      <c r="AH314" s="77"/>
      <c r="AI314" s="169"/>
      <c r="AJ314" s="169"/>
      <c r="AK314" s="169"/>
      <c r="AL314" s="169"/>
      <c r="AM314" s="169"/>
      <c r="AN314" s="169"/>
      <c r="AO314" s="169"/>
      <c r="AP314" s="169"/>
    </row>
    <row r="315" ht="36.75" customHeight="1">
      <c r="A315" s="169"/>
      <c r="B315" s="169"/>
      <c r="C315" s="130"/>
      <c r="D315" s="165" t="s">
        <v>83</v>
      </c>
      <c r="E315" s="165" t="s">
        <v>86</v>
      </c>
      <c r="F315" s="165"/>
      <c r="G315" s="165"/>
      <c r="H315" s="165" t="s">
        <v>112</v>
      </c>
      <c r="I315" s="165">
        <v>299.0</v>
      </c>
      <c r="J315" s="166">
        <v>3400000.0</v>
      </c>
      <c r="K315" s="166">
        <v>3400000.0</v>
      </c>
      <c r="L315" s="161">
        <v>2755106.0</v>
      </c>
      <c r="M315" s="161">
        <v>2755106.0</v>
      </c>
      <c r="N315" s="163">
        <f t="shared" ref="N315:O315" si="552">J315+L315</f>
        <v>6155106</v>
      </c>
      <c r="O315" s="163">
        <f t="shared" si="552"/>
        <v>6155106</v>
      </c>
      <c r="P315" s="169"/>
      <c r="Q315" s="175">
        <v>3400000.0</v>
      </c>
      <c r="R315" s="175">
        <v>3400000.0</v>
      </c>
      <c r="S315" s="175">
        <v>2755105.6</v>
      </c>
      <c r="T315" s="175">
        <v>2755105.6</v>
      </c>
      <c r="U315" s="175">
        <v>6155105.6</v>
      </c>
      <c r="V315" s="175">
        <v>6155105.6</v>
      </c>
      <c r="W315" s="164">
        <f t="shared" ref="W315:AB315" si="553">+J315-Q315</f>
        <v>0</v>
      </c>
      <c r="X315" s="164">
        <f t="shared" si="553"/>
        <v>0</v>
      </c>
      <c r="Y315" s="164">
        <f t="shared" si="553"/>
        <v>0.3999999999</v>
      </c>
      <c r="Z315" s="164">
        <f t="shared" si="553"/>
        <v>0.3999999999</v>
      </c>
      <c r="AA315" s="164">
        <f t="shared" si="553"/>
        <v>0.4000000004</v>
      </c>
      <c r="AB315" s="164">
        <f t="shared" si="553"/>
        <v>0.4000000004</v>
      </c>
      <c r="AC315" s="169"/>
      <c r="AD315" s="169"/>
      <c r="AE315" s="169"/>
      <c r="AF315" s="169"/>
      <c r="AG315" s="77"/>
      <c r="AH315" s="77"/>
      <c r="AI315" s="169"/>
      <c r="AJ315" s="169"/>
      <c r="AK315" s="169"/>
      <c r="AL315" s="169"/>
      <c r="AM315" s="169"/>
      <c r="AN315" s="169"/>
      <c r="AO315" s="169"/>
      <c r="AP315" s="169"/>
    </row>
    <row r="316" ht="36.75" customHeight="1">
      <c r="A316" s="169"/>
      <c r="B316" s="169"/>
      <c r="C316" s="130"/>
      <c r="D316" s="165" t="s">
        <v>83</v>
      </c>
      <c r="E316" s="165" t="s">
        <v>84</v>
      </c>
      <c r="F316" s="165" t="s">
        <v>85</v>
      </c>
      <c r="G316" s="165"/>
      <c r="H316" s="165" t="s">
        <v>112</v>
      </c>
      <c r="I316" s="165">
        <v>356.0</v>
      </c>
      <c r="J316" s="166">
        <v>4200000.0</v>
      </c>
      <c r="K316" s="166">
        <v>4200000.0</v>
      </c>
      <c r="L316" s="161">
        <v>3280326.0</v>
      </c>
      <c r="M316" s="161">
        <v>3280326.0</v>
      </c>
      <c r="N316" s="163">
        <f t="shared" ref="N316:O316" si="554">J316+L316</f>
        <v>7480326</v>
      </c>
      <c r="O316" s="163">
        <f t="shared" si="554"/>
        <v>7480326</v>
      </c>
      <c r="P316" s="169"/>
      <c r="Q316" s="175">
        <v>4200000.0</v>
      </c>
      <c r="R316" s="175">
        <v>4200000.0</v>
      </c>
      <c r="S316" s="175">
        <v>3280326.4</v>
      </c>
      <c r="T316" s="175">
        <v>3280326.4</v>
      </c>
      <c r="U316" s="175">
        <v>7480326.4</v>
      </c>
      <c r="V316" s="175">
        <v>7480326.4</v>
      </c>
      <c r="W316" s="164">
        <f t="shared" ref="W316:AB316" si="555">+J316-Q316</f>
        <v>0</v>
      </c>
      <c r="X316" s="164">
        <f t="shared" si="555"/>
        <v>0</v>
      </c>
      <c r="Y316" s="164">
        <f t="shared" si="555"/>
        <v>-0.3999999999</v>
      </c>
      <c r="Z316" s="164">
        <f t="shared" si="555"/>
        <v>-0.3999999999</v>
      </c>
      <c r="AA316" s="164">
        <f t="shared" si="555"/>
        <v>-0.4000000004</v>
      </c>
      <c r="AB316" s="164">
        <f t="shared" si="555"/>
        <v>-0.4000000004</v>
      </c>
      <c r="AC316" s="169"/>
      <c r="AD316" s="169"/>
      <c r="AE316" s="169"/>
      <c r="AF316" s="169"/>
      <c r="AG316" s="77"/>
      <c r="AH316" s="77"/>
      <c r="AI316" s="169"/>
      <c r="AJ316" s="169"/>
      <c r="AK316" s="169"/>
      <c r="AL316" s="169"/>
      <c r="AM316" s="169"/>
      <c r="AN316" s="169"/>
      <c r="AO316" s="169"/>
      <c r="AP316" s="169"/>
    </row>
    <row r="317" ht="36.75" customHeight="1">
      <c r="A317" s="169"/>
      <c r="B317" s="169"/>
      <c r="C317" s="130"/>
      <c r="D317" s="165" t="s">
        <v>83</v>
      </c>
      <c r="E317" s="165" t="s">
        <v>84</v>
      </c>
      <c r="F317" s="165" t="s">
        <v>86</v>
      </c>
      <c r="G317" s="165"/>
      <c r="H317" s="165" t="s">
        <v>112</v>
      </c>
      <c r="I317" s="165">
        <v>364.0</v>
      </c>
      <c r="J317" s="166">
        <v>4220000.0</v>
      </c>
      <c r="K317" s="166">
        <v>4220000.0</v>
      </c>
      <c r="L317" s="161">
        <v>3354042.0</v>
      </c>
      <c r="M317" s="161">
        <v>3354042.0</v>
      </c>
      <c r="N317" s="163">
        <f t="shared" ref="N317:O317" si="556">J317+L317</f>
        <v>7574042</v>
      </c>
      <c r="O317" s="163">
        <f t="shared" si="556"/>
        <v>7574042</v>
      </c>
      <c r="P317" s="169"/>
      <c r="Q317" s="175">
        <v>4220000.0</v>
      </c>
      <c r="R317" s="175">
        <v>4220000.0</v>
      </c>
      <c r="S317" s="175">
        <v>3354041.6</v>
      </c>
      <c r="T317" s="175">
        <v>3354041.6</v>
      </c>
      <c r="U317" s="175">
        <v>7574041.6</v>
      </c>
      <c r="V317" s="175">
        <v>7574041.6</v>
      </c>
      <c r="W317" s="164">
        <f t="shared" ref="W317:AB317" si="557">+J317-Q317</f>
        <v>0</v>
      </c>
      <c r="X317" s="164">
        <f t="shared" si="557"/>
        <v>0</v>
      </c>
      <c r="Y317" s="164">
        <f t="shared" si="557"/>
        <v>0.3999999999</v>
      </c>
      <c r="Z317" s="164">
        <f t="shared" si="557"/>
        <v>0.3999999999</v>
      </c>
      <c r="AA317" s="164">
        <f t="shared" si="557"/>
        <v>0.4000000004</v>
      </c>
      <c r="AB317" s="164">
        <f t="shared" si="557"/>
        <v>0.4000000004</v>
      </c>
      <c r="AC317" s="169"/>
      <c r="AD317" s="169"/>
      <c r="AE317" s="169"/>
      <c r="AF317" s="169"/>
      <c r="AG317" s="77"/>
      <c r="AH317" s="77"/>
      <c r="AI317" s="169"/>
      <c r="AJ317" s="169"/>
      <c r="AK317" s="169"/>
      <c r="AL317" s="169"/>
      <c r="AM317" s="169"/>
      <c r="AN317" s="169"/>
      <c r="AO317" s="169"/>
      <c r="AP317" s="169"/>
    </row>
    <row r="318" ht="36.75" customHeight="1">
      <c r="A318" s="169"/>
      <c r="B318" s="169"/>
      <c r="C318" s="130"/>
      <c r="D318" s="165" t="s">
        <v>83</v>
      </c>
      <c r="E318" s="165" t="s">
        <v>85</v>
      </c>
      <c r="F318" s="165" t="s">
        <v>86</v>
      </c>
      <c r="G318" s="165"/>
      <c r="H318" s="165" t="s">
        <v>112</v>
      </c>
      <c r="I318" s="165">
        <v>324.0</v>
      </c>
      <c r="J318" s="166">
        <v>3790000.0</v>
      </c>
      <c r="K318" s="166">
        <v>3790000.0</v>
      </c>
      <c r="L318" s="161">
        <v>2985466.0</v>
      </c>
      <c r="M318" s="161">
        <v>2985466.0</v>
      </c>
      <c r="N318" s="163">
        <f t="shared" ref="N318:O318" si="558">J318+L318</f>
        <v>6775466</v>
      </c>
      <c r="O318" s="163">
        <f t="shared" si="558"/>
        <v>6775466</v>
      </c>
      <c r="P318" s="169"/>
      <c r="Q318" s="175">
        <v>3790000.0</v>
      </c>
      <c r="R318" s="175">
        <v>3790000.0</v>
      </c>
      <c r="S318" s="175">
        <v>2985465.6</v>
      </c>
      <c r="T318" s="175">
        <v>2985465.6</v>
      </c>
      <c r="U318" s="175">
        <v>6775465.6</v>
      </c>
      <c r="V318" s="175">
        <v>6775465.6</v>
      </c>
      <c r="W318" s="164">
        <f t="shared" ref="W318:AB318" si="559">+J318-Q318</f>
        <v>0</v>
      </c>
      <c r="X318" s="164">
        <f t="shared" si="559"/>
        <v>0</v>
      </c>
      <c r="Y318" s="164">
        <f t="shared" si="559"/>
        <v>0.3999999999</v>
      </c>
      <c r="Z318" s="164">
        <f t="shared" si="559"/>
        <v>0.3999999999</v>
      </c>
      <c r="AA318" s="164">
        <f t="shared" si="559"/>
        <v>0.4000000004</v>
      </c>
      <c r="AB318" s="164">
        <f t="shared" si="559"/>
        <v>0.4000000004</v>
      </c>
      <c r="AC318" s="169"/>
      <c r="AD318" s="169"/>
      <c r="AE318" s="169"/>
      <c r="AF318" s="169"/>
      <c r="AG318" s="77"/>
      <c r="AH318" s="77"/>
      <c r="AI318" s="169"/>
      <c r="AJ318" s="169"/>
      <c r="AK318" s="169"/>
      <c r="AL318" s="169"/>
      <c r="AM318" s="169"/>
      <c r="AN318" s="169"/>
      <c r="AO318" s="169"/>
      <c r="AP318" s="169"/>
    </row>
    <row r="319" ht="36.75" customHeight="1">
      <c r="A319" s="169"/>
      <c r="B319" s="169"/>
      <c r="C319" s="130"/>
      <c r="D319" s="165" t="s">
        <v>83</v>
      </c>
      <c r="E319" s="165" t="s">
        <v>84</v>
      </c>
      <c r="F319" s="165" t="s">
        <v>85</v>
      </c>
      <c r="G319" s="165" t="s">
        <v>86</v>
      </c>
      <c r="H319" s="165" t="s">
        <v>112</v>
      </c>
      <c r="I319" s="165">
        <v>410.0</v>
      </c>
      <c r="J319" s="166">
        <v>4520000.0</v>
      </c>
      <c r="K319" s="166">
        <v>4520000.0</v>
      </c>
      <c r="L319" s="161">
        <v>3777904.0</v>
      </c>
      <c r="M319" s="161">
        <v>3777904.0</v>
      </c>
      <c r="N319" s="163">
        <f t="shared" ref="N319:O319" si="560">J319+L319</f>
        <v>8297904</v>
      </c>
      <c r="O319" s="163">
        <f t="shared" si="560"/>
        <v>8297904</v>
      </c>
      <c r="P319" s="169"/>
      <c r="Q319" s="175">
        <v>4520000.0</v>
      </c>
      <c r="R319" s="175">
        <v>4520000.0</v>
      </c>
      <c r="S319" s="175">
        <v>3777904.0000000005</v>
      </c>
      <c r="T319" s="175">
        <v>3777904.0000000005</v>
      </c>
      <c r="U319" s="175">
        <v>8297904.0</v>
      </c>
      <c r="V319" s="175">
        <v>8297904.0</v>
      </c>
      <c r="W319" s="164">
        <f t="shared" ref="W319:AB319" si="561">+J319-Q319</f>
        <v>0</v>
      </c>
      <c r="X319" s="164">
        <f t="shared" si="561"/>
        <v>0</v>
      </c>
      <c r="Y319" s="164">
        <f t="shared" si="561"/>
        <v>-0.0000000004656612873</v>
      </c>
      <c r="Z319" s="164">
        <f t="shared" si="561"/>
        <v>-0.0000000004656612873</v>
      </c>
      <c r="AA319" s="164">
        <f t="shared" si="561"/>
        <v>0</v>
      </c>
      <c r="AB319" s="164">
        <f t="shared" si="561"/>
        <v>0</v>
      </c>
      <c r="AC319" s="169"/>
      <c r="AD319" s="169"/>
      <c r="AE319" s="169"/>
      <c r="AF319" s="169"/>
      <c r="AG319" s="77"/>
      <c r="AH319" s="77"/>
      <c r="AI319" s="169"/>
      <c r="AJ319" s="169"/>
      <c r="AK319" s="169"/>
      <c r="AL319" s="169"/>
      <c r="AM319" s="169"/>
      <c r="AN319" s="169"/>
      <c r="AO319" s="169"/>
      <c r="AP319" s="169"/>
    </row>
    <row r="320" ht="36.75" customHeight="1">
      <c r="A320" s="169"/>
      <c r="B320" s="169"/>
      <c r="C320" s="130"/>
      <c r="D320" s="165" t="s">
        <v>83</v>
      </c>
      <c r="E320" s="165" t="s">
        <v>87</v>
      </c>
      <c r="F320" s="165"/>
      <c r="G320" s="165"/>
      <c r="H320" s="165" t="s">
        <v>112</v>
      </c>
      <c r="I320" s="165">
        <v>239.0</v>
      </c>
      <c r="J320" s="166">
        <v>3120000.0</v>
      </c>
      <c r="K320" s="166">
        <v>3120000.0</v>
      </c>
      <c r="L320" s="161">
        <v>2202242.0</v>
      </c>
      <c r="M320" s="161">
        <v>2202242.0</v>
      </c>
      <c r="N320" s="163">
        <f t="shared" ref="N320:O320" si="562">J320+L320</f>
        <v>5322242</v>
      </c>
      <c r="O320" s="163">
        <f t="shared" si="562"/>
        <v>5322242</v>
      </c>
      <c r="P320" s="169"/>
      <c r="Q320" s="175">
        <v>3120000.0</v>
      </c>
      <c r="R320" s="175">
        <v>3120000.0</v>
      </c>
      <c r="S320" s="175">
        <v>2202241.6</v>
      </c>
      <c r="T320" s="175">
        <v>2202241.6</v>
      </c>
      <c r="U320" s="175">
        <v>5322241.6</v>
      </c>
      <c r="V320" s="175">
        <v>5322241.6</v>
      </c>
      <c r="W320" s="164">
        <f t="shared" ref="W320:AB320" si="563">+J320-Q320</f>
        <v>0</v>
      </c>
      <c r="X320" s="164">
        <f t="shared" si="563"/>
        <v>0</v>
      </c>
      <c r="Y320" s="164">
        <f t="shared" si="563"/>
        <v>0.3999999999</v>
      </c>
      <c r="Z320" s="164">
        <f t="shared" si="563"/>
        <v>0.3999999999</v>
      </c>
      <c r="AA320" s="164">
        <f t="shared" si="563"/>
        <v>0.4000000004</v>
      </c>
      <c r="AB320" s="164">
        <f t="shared" si="563"/>
        <v>0.4000000004</v>
      </c>
      <c r="AC320" s="169"/>
      <c r="AD320" s="169"/>
      <c r="AE320" s="169"/>
      <c r="AF320" s="169"/>
      <c r="AG320" s="77"/>
      <c r="AH320" s="77"/>
      <c r="AI320" s="169"/>
      <c r="AJ320" s="169"/>
      <c r="AK320" s="169"/>
      <c r="AL320" s="169"/>
      <c r="AM320" s="169"/>
      <c r="AN320" s="169"/>
      <c r="AO320" s="169"/>
      <c r="AP320" s="169"/>
    </row>
    <row r="321" ht="36.75" customHeight="1">
      <c r="A321" s="169"/>
      <c r="B321" s="169"/>
      <c r="C321" s="130"/>
      <c r="D321" s="165" t="s">
        <v>83</v>
      </c>
      <c r="E321" s="165" t="s">
        <v>87</v>
      </c>
      <c r="F321" s="165" t="s">
        <v>84</v>
      </c>
      <c r="G321" s="165"/>
      <c r="H321" s="165" t="s">
        <v>112</v>
      </c>
      <c r="I321" s="165">
        <v>332.0</v>
      </c>
      <c r="J321" s="166">
        <v>3870000.0</v>
      </c>
      <c r="K321" s="166">
        <v>3870000.0</v>
      </c>
      <c r="L321" s="161">
        <v>3059181.0</v>
      </c>
      <c r="M321" s="161">
        <v>3059181.0</v>
      </c>
      <c r="N321" s="163">
        <f t="shared" ref="N321:O321" si="564">J321+L321</f>
        <v>6929181</v>
      </c>
      <c r="O321" s="163">
        <f t="shared" si="564"/>
        <v>6929181</v>
      </c>
      <c r="P321" s="169"/>
      <c r="Q321" s="175">
        <v>3870000.0</v>
      </c>
      <c r="R321" s="175">
        <v>3870000.0</v>
      </c>
      <c r="S321" s="175">
        <v>3059180.8000000003</v>
      </c>
      <c r="T321" s="175">
        <v>3059180.8000000003</v>
      </c>
      <c r="U321" s="175">
        <v>6929180.800000001</v>
      </c>
      <c r="V321" s="175">
        <v>6929180.800000001</v>
      </c>
      <c r="W321" s="164">
        <f t="shared" ref="W321:AB321" si="565">+J321-Q321</f>
        <v>0</v>
      </c>
      <c r="X321" s="164">
        <f t="shared" si="565"/>
        <v>0</v>
      </c>
      <c r="Y321" s="164">
        <f t="shared" si="565"/>
        <v>0.1999999997</v>
      </c>
      <c r="Z321" s="164">
        <f t="shared" si="565"/>
        <v>0.1999999997</v>
      </c>
      <c r="AA321" s="164">
        <f t="shared" si="565"/>
        <v>0.1999999993</v>
      </c>
      <c r="AB321" s="164">
        <f t="shared" si="565"/>
        <v>0.1999999993</v>
      </c>
      <c r="AC321" s="169"/>
      <c r="AD321" s="169"/>
      <c r="AE321" s="169"/>
      <c r="AF321" s="169"/>
      <c r="AG321" s="77"/>
      <c r="AH321" s="77"/>
      <c r="AI321" s="169"/>
      <c r="AJ321" s="169"/>
      <c r="AK321" s="169"/>
      <c r="AL321" s="169"/>
      <c r="AM321" s="169"/>
      <c r="AN321" s="169"/>
      <c r="AO321" s="169"/>
      <c r="AP321" s="169"/>
    </row>
    <row r="322" ht="36.75" customHeight="1">
      <c r="A322" s="169"/>
      <c r="B322" s="169"/>
      <c r="C322" s="130"/>
      <c r="D322" s="165" t="s">
        <v>83</v>
      </c>
      <c r="E322" s="165" t="s">
        <v>87</v>
      </c>
      <c r="F322" s="165" t="s">
        <v>85</v>
      </c>
      <c r="G322" s="165"/>
      <c r="H322" s="165" t="s">
        <v>112</v>
      </c>
      <c r="I322" s="165">
        <v>320.0</v>
      </c>
      <c r="J322" s="166">
        <v>3830000.0</v>
      </c>
      <c r="K322" s="166">
        <v>3830000.0</v>
      </c>
      <c r="L322" s="161">
        <v>2948608.0</v>
      </c>
      <c r="M322" s="161">
        <v>2948608.0</v>
      </c>
      <c r="N322" s="163">
        <f t="shared" ref="N322:O322" si="566">J322+L322</f>
        <v>6778608</v>
      </c>
      <c r="O322" s="163">
        <f t="shared" si="566"/>
        <v>6778608</v>
      </c>
      <c r="P322" s="169"/>
      <c r="Q322" s="175">
        <v>3830000.0</v>
      </c>
      <c r="R322" s="175">
        <v>3830000.0</v>
      </c>
      <c r="S322" s="175">
        <v>2948608.0</v>
      </c>
      <c r="T322" s="175">
        <v>2948608.0</v>
      </c>
      <c r="U322" s="175">
        <v>6778608.0</v>
      </c>
      <c r="V322" s="175">
        <v>6778608.0</v>
      </c>
      <c r="W322" s="164">
        <f t="shared" ref="W322:AB322" si="567">+J322-Q322</f>
        <v>0</v>
      </c>
      <c r="X322" s="164">
        <f t="shared" si="567"/>
        <v>0</v>
      </c>
      <c r="Y322" s="164">
        <f t="shared" si="567"/>
        <v>0</v>
      </c>
      <c r="Z322" s="164">
        <f t="shared" si="567"/>
        <v>0</v>
      </c>
      <c r="AA322" s="164">
        <f t="shared" si="567"/>
        <v>0</v>
      </c>
      <c r="AB322" s="164">
        <f t="shared" si="567"/>
        <v>0</v>
      </c>
      <c r="AC322" s="169"/>
      <c r="AD322" s="169"/>
      <c r="AE322" s="169"/>
      <c r="AF322" s="169"/>
      <c r="AG322" s="77"/>
      <c r="AH322" s="77"/>
      <c r="AI322" s="169"/>
      <c r="AJ322" s="169"/>
      <c r="AK322" s="169"/>
      <c r="AL322" s="169"/>
      <c r="AM322" s="169"/>
      <c r="AN322" s="169"/>
      <c r="AO322" s="169"/>
      <c r="AP322" s="169"/>
    </row>
    <row r="323" ht="36.75" customHeight="1">
      <c r="A323" s="169"/>
      <c r="B323" s="169"/>
      <c r="C323" s="130"/>
      <c r="D323" s="165" t="s">
        <v>83</v>
      </c>
      <c r="E323" s="165" t="s">
        <v>88</v>
      </c>
      <c r="F323" s="165"/>
      <c r="G323" s="165"/>
      <c r="H323" s="165" t="s">
        <v>112</v>
      </c>
      <c r="I323" s="165">
        <v>290.0</v>
      </c>
      <c r="J323" s="166">
        <v>3470000.0</v>
      </c>
      <c r="K323" s="166">
        <v>3470000.0</v>
      </c>
      <c r="L323" s="161">
        <v>2672176.0</v>
      </c>
      <c r="M323" s="161">
        <v>2672176.0</v>
      </c>
      <c r="N323" s="163">
        <f t="shared" ref="N323:O323" si="568">J323+L323</f>
        <v>6142176</v>
      </c>
      <c r="O323" s="163">
        <f t="shared" si="568"/>
        <v>6142176</v>
      </c>
      <c r="P323" s="169"/>
      <c r="Q323" s="175">
        <v>3470000.0</v>
      </c>
      <c r="R323" s="175">
        <v>3470000.0</v>
      </c>
      <c r="S323" s="175">
        <v>2672176.0</v>
      </c>
      <c r="T323" s="175">
        <v>2672176.0</v>
      </c>
      <c r="U323" s="175">
        <v>6142176.0</v>
      </c>
      <c r="V323" s="175">
        <v>6142176.0</v>
      </c>
      <c r="W323" s="164">
        <f t="shared" ref="W323:AB323" si="569">+J323-Q323</f>
        <v>0</v>
      </c>
      <c r="X323" s="164">
        <f t="shared" si="569"/>
        <v>0</v>
      </c>
      <c r="Y323" s="164">
        <f t="shared" si="569"/>
        <v>0</v>
      </c>
      <c r="Z323" s="164">
        <f t="shared" si="569"/>
        <v>0</v>
      </c>
      <c r="AA323" s="164">
        <f t="shared" si="569"/>
        <v>0</v>
      </c>
      <c r="AB323" s="164">
        <f t="shared" si="569"/>
        <v>0</v>
      </c>
      <c r="AC323" s="169"/>
      <c r="AD323" s="169"/>
      <c r="AE323" s="169"/>
      <c r="AF323" s="169"/>
      <c r="AG323" s="77"/>
      <c r="AH323" s="77"/>
      <c r="AI323" s="169"/>
      <c r="AJ323" s="169"/>
      <c r="AK323" s="169"/>
      <c r="AL323" s="169"/>
      <c r="AM323" s="169"/>
      <c r="AN323" s="169"/>
      <c r="AO323" s="169"/>
      <c r="AP323" s="169"/>
    </row>
    <row r="324" ht="36.75" customHeight="1">
      <c r="A324" s="169"/>
      <c r="B324" s="169"/>
      <c r="C324" s="130"/>
      <c r="D324" s="165" t="s">
        <v>83</v>
      </c>
      <c r="E324" s="165" t="s">
        <v>88</v>
      </c>
      <c r="F324" s="165" t="s">
        <v>85</v>
      </c>
      <c r="G324" s="165"/>
      <c r="H324" s="165" t="s">
        <v>112</v>
      </c>
      <c r="I324" s="165">
        <v>310.0</v>
      </c>
      <c r="J324" s="166">
        <v>3800000.0</v>
      </c>
      <c r="K324" s="166">
        <v>3800000.0</v>
      </c>
      <c r="L324" s="161">
        <v>2856464.0</v>
      </c>
      <c r="M324" s="161">
        <v>2856464.0</v>
      </c>
      <c r="N324" s="163">
        <f t="shared" ref="N324:O324" si="570">J324+L324</f>
        <v>6656464</v>
      </c>
      <c r="O324" s="163">
        <f t="shared" si="570"/>
        <v>6656464</v>
      </c>
      <c r="P324" s="169"/>
      <c r="Q324" s="175">
        <v>3800000.0</v>
      </c>
      <c r="R324" s="175">
        <v>3800000.0</v>
      </c>
      <c r="S324" s="175">
        <v>2856464.0000000005</v>
      </c>
      <c r="T324" s="175">
        <v>2856464.0000000005</v>
      </c>
      <c r="U324" s="175">
        <v>6656464.0</v>
      </c>
      <c r="V324" s="175">
        <v>6656464.0</v>
      </c>
      <c r="W324" s="164">
        <f t="shared" ref="W324:AB324" si="571">+J324-Q324</f>
        <v>0</v>
      </c>
      <c r="X324" s="164">
        <f t="shared" si="571"/>
        <v>0</v>
      </c>
      <c r="Y324" s="164">
        <f t="shared" si="571"/>
        <v>-0.0000000004656612873</v>
      </c>
      <c r="Z324" s="164">
        <f t="shared" si="571"/>
        <v>-0.0000000004656612873</v>
      </c>
      <c r="AA324" s="164">
        <f t="shared" si="571"/>
        <v>0</v>
      </c>
      <c r="AB324" s="164">
        <f t="shared" si="571"/>
        <v>0</v>
      </c>
      <c r="AC324" s="169"/>
      <c r="AD324" s="169"/>
      <c r="AE324" s="169"/>
      <c r="AF324" s="169"/>
      <c r="AG324" s="77"/>
      <c r="AH324" s="77"/>
      <c r="AI324" s="169"/>
      <c r="AJ324" s="169"/>
      <c r="AK324" s="169"/>
      <c r="AL324" s="169"/>
      <c r="AM324" s="169"/>
      <c r="AN324" s="169"/>
      <c r="AO324" s="169"/>
      <c r="AP324" s="169"/>
    </row>
    <row r="325" ht="36.75" customHeight="1">
      <c r="A325" s="169"/>
      <c r="B325" s="169"/>
      <c r="C325" s="130"/>
      <c r="D325" s="165" t="s">
        <v>83</v>
      </c>
      <c r="E325" s="165" t="s">
        <v>88</v>
      </c>
      <c r="F325" s="165" t="s">
        <v>86</v>
      </c>
      <c r="G325" s="165"/>
      <c r="H325" s="165" t="s">
        <v>112</v>
      </c>
      <c r="I325" s="165">
        <v>312.0</v>
      </c>
      <c r="J325" s="166">
        <v>3810000.0</v>
      </c>
      <c r="K325" s="166">
        <v>3810000.0</v>
      </c>
      <c r="L325" s="161">
        <v>2874893.0</v>
      </c>
      <c r="M325" s="161">
        <v>2874893.0</v>
      </c>
      <c r="N325" s="163">
        <f t="shared" ref="N325:O325" si="572">J325+L325</f>
        <v>6684893</v>
      </c>
      <c r="O325" s="163">
        <f t="shared" si="572"/>
        <v>6684893</v>
      </c>
      <c r="P325" s="169"/>
      <c r="Q325" s="175">
        <v>3810000.0</v>
      </c>
      <c r="R325" s="175">
        <v>3810000.0</v>
      </c>
      <c r="S325" s="175">
        <v>2874892.8000000003</v>
      </c>
      <c r="T325" s="175">
        <v>2874892.8000000003</v>
      </c>
      <c r="U325" s="175">
        <v>6684892.800000001</v>
      </c>
      <c r="V325" s="175">
        <v>6684892.800000001</v>
      </c>
      <c r="W325" s="164">
        <f t="shared" ref="W325:AB325" si="573">+J325-Q325</f>
        <v>0</v>
      </c>
      <c r="X325" s="164">
        <f t="shared" si="573"/>
        <v>0</v>
      </c>
      <c r="Y325" s="164">
        <f t="shared" si="573"/>
        <v>0.1999999997</v>
      </c>
      <c r="Z325" s="164">
        <f t="shared" si="573"/>
        <v>0.1999999997</v>
      </c>
      <c r="AA325" s="164">
        <f t="shared" si="573"/>
        <v>0.1999999993</v>
      </c>
      <c r="AB325" s="164">
        <f t="shared" si="573"/>
        <v>0.1999999993</v>
      </c>
      <c r="AC325" s="169"/>
      <c r="AD325" s="169"/>
      <c r="AE325" s="169"/>
      <c r="AF325" s="169"/>
      <c r="AG325" s="77"/>
      <c r="AH325" s="77"/>
      <c r="AI325" s="169"/>
      <c r="AJ325" s="169"/>
      <c r="AK325" s="169"/>
      <c r="AL325" s="169"/>
      <c r="AM325" s="169"/>
      <c r="AN325" s="169"/>
      <c r="AO325" s="169"/>
      <c r="AP325" s="169"/>
    </row>
    <row r="326" ht="36.75" customHeight="1">
      <c r="A326" s="169"/>
      <c r="B326" s="169"/>
      <c r="C326" s="118"/>
      <c r="D326" s="165" t="s">
        <v>83</v>
      </c>
      <c r="E326" s="165" t="s">
        <v>88</v>
      </c>
      <c r="F326" s="165" t="s">
        <v>85</v>
      </c>
      <c r="G326" s="165" t="s">
        <v>86</v>
      </c>
      <c r="H326" s="165" t="s">
        <v>112</v>
      </c>
      <c r="I326" s="165">
        <v>332.0</v>
      </c>
      <c r="J326" s="166">
        <v>4020000.0</v>
      </c>
      <c r="K326" s="166">
        <v>4020000.0</v>
      </c>
      <c r="L326" s="161">
        <v>3059181.0</v>
      </c>
      <c r="M326" s="161">
        <v>3059181.0</v>
      </c>
      <c r="N326" s="163">
        <f t="shared" ref="N326:O326" si="574">J326+L326</f>
        <v>7079181</v>
      </c>
      <c r="O326" s="163">
        <f t="shared" si="574"/>
        <v>7079181</v>
      </c>
      <c r="P326" s="169"/>
      <c r="Q326" s="175">
        <v>4020000.0</v>
      </c>
      <c r="R326" s="175">
        <v>4020000.0</v>
      </c>
      <c r="S326" s="175">
        <v>3059180.8000000003</v>
      </c>
      <c r="T326" s="175">
        <v>3059180.8000000003</v>
      </c>
      <c r="U326" s="175">
        <v>7079180.800000001</v>
      </c>
      <c r="V326" s="175">
        <v>7079180.800000001</v>
      </c>
      <c r="W326" s="164">
        <f t="shared" ref="W326:AB326" si="575">+J326-Q326</f>
        <v>0</v>
      </c>
      <c r="X326" s="164">
        <f t="shared" si="575"/>
        <v>0</v>
      </c>
      <c r="Y326" s="164">
        <f t="shared" si="575"/>
        <v>0.1999999997</v>
      </c>
      <c r="Z326" s="164">
        <f t="shared" si="575"/>
        <v>0.1999999997</v>
      </c>
      <c r="AA326" s="164">
        <f t="shared" si="575"/>
        <v>0.1999999993</v>
      </c>
      <c r="AB326" s="164">
        <f t="shared" si="575"/>
        <v>0.1999999993</v>
      </c>
      <c r="AC326" s="169"/>
      <c r="AD326" s="169"/>
      <c r="AE326" s="169"/>
      <c r="AF326" s="169"/>
      <c r="AG326" s="77"/>
      <c r="AH326" s="77"/>
      <c r="AI326" s="169"/>
      <c r="AJ326" s="169"/>
      <c r="AK326" s="169"/>
      <c r="AL326" s="169"/>
      <c r="AM326" s="169"/>
      <c r="AN326" s="169"/>
      <c r="AO326" s="169"/>
      <c r="AP326" s="169"/>
    </row>
    <row r="327" ht="36.75" customHeight="1">
      <c r="A327" s="169"/>
      <c r="B327" s="169"/>
      <c r="C327" s="167" t="s">
        <v>89</v>
      </c>
      <c r="D327" s="165" t="s">
        <v>90</v>
      </c>
      <c r="E327" s="165" t="s">
        <v>84</v>
      </c>
      <c r="F327" s="165"/>
      <c r="G327" s="165"/>
      <c r="H327" s="165" t="s">
        <v>112</v>
      </c>
      <c r="I327" s="165">
        <v>331.0</v>
      </c>
      <c r="J327" s="166">
        <v>3720000.0</v>
      </c>
      <c r="K327" s="166">
        <v>3720000.0</v>
      </c>
      <c r="L327" s="161">
        <v>3049966.0</v>
      </c>
      <c r="M327" s="161">
        <v>3049966.0</v>
      </c>
      <c r="N327" s="163">
        <f t="shared" ref="N327:O327" si="576">J327+L327</f>
        <v>6769966</v>
      </c>
      <c r="O327" s="163">
        <f t="shared" si="576"/>
        <v>6769966</v>
      </c>
      <c r="P327" s="169"/>
      <c r="Q327" s="175">
        <v>3720000.0</v>
      </c>
      <c r="R327" s="175">
        <v>3720000.0</v>
      </c>
      <c r="S327" s="175">
        <v>3049966.4</v>
      </c>
      <c r="T327" s="175">
        <v>3049966.4</v>
      </c>
      <c r="U327" s="175">
        <v>6769966.4</v>
      </c>
      <c r="V327" s="175">
        <v>6769966.4</v>
      </c>
      <c r="W327" s="164">
        <f t="shared" ref="W327:AB327" si="577">+J327-Q327</f>
        <v>0</v>
      </c>
      <c r="X327" s="164">
        <f t="shared" si="577"/>
        <v>0</v>
      </c>
      <c r="Y327" s="164">
        <f t="shared" si="577"/>
        <v>-0.3999999999</v>
      </c>
      <c r="Z327" s="164">
        <f t="shared" si="577"/>
        <v>-0.3999999999</v>
      </c>
      <c r="AA327" s="164">
        <f t="shared" si="577"/>
        <v>-0.4000000004</v>
      </c>
      <c r="AB327" s="164">
        <f t="shared" si="577"/>
        <v>-0.4000000004</v>
      </c>
      <c r="AC327" s="169"/>
      <c r="AD327" s="169"/>
      <c r="AE327" s="169"/>
      <c r="AF327" s="169"/>
      <c r="AG327" s="77"/>
      <c r="AH327" s="77"/>
      <c r="AI327" s="169"/>
      <c r="AJ327" s="169"/>
      <c r="AK327" s="169"/>
      <c r="AL327" s="169"/>
      <c r="AM327" s="169"/>
      <c r="AN327" s="169"/>
      <c r="AO327" s="169"/>
      <c r="AP327" s="169"/>
    </row>
    <row r="328" ht="36.75" customHeight="1">
      <c r="A328" s="169"/>
      <c r="B328" s="169"/>
      <c r="C328" s="130"/>
      <c r="D328" s="165" t="s">
        <v>90</v>
      </c>
      <c r="E328" s="165" t="s">
        <v>85</v>
      </c>
      <c r="F328" s="165"/>
      <c r="G328" s="165"/>
      <c r="H328" s="165" t="s">
        <v>112</v>
      </c>
      <c r="I328" s="165">
        <v>310.0</v>
      </c>
      <c r="J328" s="166">
        <v>3450000.0</v>
      </c>
      <c r="K328" s="166">
        <v>3450000.0</v>
      </c>
      <c r="L328" s="161">
        <v>2856464.0</v>
      </c>
      <c r="M328" s="161">
        <v>2856464.0</v>
      </c>
      <c r="N328" s="163">
        <f t="shared" ref="N328:O328" si="578">J328+L328</f>
        <v>6306464</v>
      </c>
      <c r="O328" s="163">
        <f t="shared" si="578"/>
        <v>6306464</v>
      </c>
      <c r="P328" s="169"/>
      <c r="Q328" s="175">
        <v>3450000.0</v>
      </c>
      <c r="R328" s="175">
        <v>3450000.0</v>
      </c>
      <c r="S328" s="175">
        <v>2856464.0000000005</v>
      </c>
      <c r="T328" s="175">
        <v>2856464.0000000005</v>
      </c>
      <c r="U328" s="175">
        <v>6306464.0</v>
      </c>
      <c r="V328" s="175">
        <v>6306464.0</v>
      </c>
      <c r="W328" s="164">
        <f t="shared" ref="W328:AB328" si="579">+J328-Q328</f>
        <v>0</v>
      </c>
      <c r="X328" s="164">
        <f t="shared" si="579"/>
        <v>0</v>
      </c>
      <c r="Y328" s="164">
        <f t="shared" si="579"/>
        <v>-0.0000000004656612873</v>
      </c>
      <c r="Z328" s="164">
        <f t="shared" si="579"/>
        <v>-0.0000000004656612873</v>
      </c>
      <c r="AA328" s="164">
        <f t="shared" si="579"/>
        <v>0</v>
      </c>
      <c r="AB328" s="164">
        <f t="shared" si="579"/>
        <v>0</v>
      </c>
      <c r="AC328" s="169"/>
      <c r="AD328" s="169"/>
      <c r="AE328" s="169"/>
      <c r="AF328" s="169"/>
      <c r="AG328" s="77"/>
      <c r="AH328" s="77"/>
      <c r="AI328" s="169"/>
      <c r="AJ328" s="169"/>
      <c r="AK328" s="169"/>
      <c r="AL328" s="169"/>
      <c r="AM328" s="169"/>
      <c r="AN328" s="169"/>
      <c r="AO328" s="169"/>
      <c r="AP328" s="169"/>
    </row>
    <row r="329" ht="36.75" customHeight="1">
      <c r="A329" s="169"/>
      <c r="B329" s="169"/>
      <c r="C329" s="130"/>
      <c r="D329" s="165" t="s">
        <v>90</v>
      </c>
      <c r="E329" s="165" t="s">
        <v>86</v>
      </c>
      <c r="F329" s="165"/>
      <c r="G329" s="165"/>
      <c r="H329" s="165" t="s">
        <v>112</v>
      </c>
      <c r="I329" s="165">
        <v>299.0</v>
      </c>
      <c r="J329" s="166">
        <v>3410000.0</v>
      </c>
      <c r="K329" s="166">
        <v>3410000.0</v>
      </c>
      <c r="L329" s="161">
        <v>2755106.0</v>
      </c>
      <c r="M329" s="161">
        <v>2755106.0</v>
      </c>
      <c r="N329" s="163">
        <f t="shared" ref="N329:O329" si="580">J329+L329</f>
        <v>6165106</v>
      </c>
      <c r="O329" s="163">
        <f t="shared" si="580"/>
        <v>6165106</v>
      </c>
      <c r="P329" s="169"/>
      <c r="Q329" s="175">
        <v>3410000.0</v>
      </c>
      <c r="R329" s="175">
        <v>3410000.0</v>
      </c>
      <c r="S329" s="175">
        <v>2755105.6</v>
      </c>
      <c r="T329" s="175">
        <v>2755105.6</v>
      </c>
      <c r="U329" s="175">
        <v>6165105.6</v>
      </c>
      <c r="V329" s="175">
        <v>6165105.6</v>
      </c>
      <c r="W329" s="164">
        <f t="shared" ref="W329:AB329" si="581">+J329-Q329</f>
        <v>0</v>
      </c>
      <c r="X329" s="164">
        <f t="shared" si="581"/>
        <v>0</v>
      </c>
      <c r="Y329" s="164">
        <f t="shared" si="581"/>
        <v>0.3999999999</v>
      </c>
      <c r="Z329" s="164">
        <f t="shared" si="581"/>
        <v>0.3999999999</v>
      </c>
      <c r="AA329" s="164">
        <f t="shared" si="581"/>
        <v>0.4000000004</v>
      </c>
      <c r="AB329" s="164">
        <f t="shared" si="581"/>
        <v>0.4000000004</v>
      </c>
      <c r="AC329" s="169"/>
      <c r="AD329" s="169"/>
      <c r="AE329" s="169"/>
      <c r="AF329" s="169"/>
      <c r="AG329" s="77"/>
      <c r="AH329" s="77"/>
      <c r="AI329" s="169"/>
      <c r="AJ329" s="169"/>
      <c r="AK329" s="169"/>
      <c r="AL329" s="169"/>
      <c r="AM329" s="169"/>
      <c r="AN329" s="169"/>
      <c r="AO329" s="169"/>
      <c r="AP329" s="169"/>
    </row>
    <row r="330" ht="36.75" customHeight="1">
      <c r="A330" s="169"/>
      <c r="B330" s="169"/>
      <c r="C330" s="130"/>
      <c r="D330" s="165" t="s">
        <v>90</v>
      </c>
      <c r="E330" s="165" t="s">
        <v>84</v>
      </c>
      <c r="F330" s="165" t="s">
        <v>85</v>
      </c>
      <c r="G330" s="165"/>
      <c r="H330" s="165" t="s">
        <v>112</v>
      </c>
      <c r="I330" s="165">
        <v>356.0</v>
      </c>
      <c r="J330" s="166">
        <v>4200000.0</v>
      </c>
      <c r="K330" s="166">
        <v>4200000.0</v>
      </c>
      <c r="L330" s="161">
        <v>3280326.0</v>
      </c>
      <c r="M330" s="161">
        <v>3280326.0</v>
      </c>
      <c r="N330" s="163">
        <f t="shared" ref="N330:O330" si="582">J330+L330</f>
        <v>7480326</v>
      </c>
      <c r="O330" s="163">
        <f t="shared" si="582"/>
        <v>7480326</v>
      </c>
      <c r="P330" s="169"/>
      <c r="Q330" s="175">
        <v>4200000.0</v>
      </c>
      <c r="R330" s="175">
        <v>4200000.0</v>
      </c>
      <c r="S330" s="175">
        <v>3280326.4</v>
      </c>
      <c r="T330" s="175">
        <v>3280326.4</v>
      </c>
      <c r="U330" s="175">
        <v>7480326.4</v>
      </c>
      <c r="V330" s="175">
        <v>7480326.4</v>
      </c>
      <c r="W330" s="164">
        <f t="shared" ref="W330:AB330" si="583">+J330-Q330</f>
        <v>0</v>
      </c>
      <c r="X330" s="164">
        <f t="shared" si="583"/>
        <v>0</v>
      </c>
      <c r="Y330" s="164">
        <f t="shared" si="583"/>
        <v>-0.3999999999</v>
      </c>
      <c r="Z330" s="164">
        <f t="shared" si="583"/>
        <v>-0.3999999999</v>
      </c>
      <c r="AA330" s="164">
        <f t="shared" si="583"/>
        <v>-0.4000000004</v>
      </c>
      <c r="AB330" s="164">
        <f t="shared" si="583"/>
        <v>-0.4000000004</v>
      </c>
      <c r="AC330" s="169"/>
      <c r="AD330" s="169"/>
      <c r="AE330" s="169"/>
      <c r="AF330" s="169"/>
      <c r="AG330" s="77"/>
      <c r="AH330" s="77"/>
      <c r="AI330" s="169"/>
      <c r="AJ330" s="169"/>
      <c r="AK330" s="169"/>
      <c r="AL330" s="169"/>
      <c r="AM330" s="169"/>
      <c r="AN330" s="169"/>
      <c r="AO330" s="169"/>
      <c r="AP330" s="169"/>
    </row>
    <row r="331" ht="36.75" customHeight="1">
      <c r="A331" s="169"/>
      <c r="B331" s="169"/>
      <c r="C331" s="130"/>
      <c r="D331" s="165" t="s">
        <v>90</v>
      </c>
      <c r="E331" s="165" t="s">
        <v>84</v>
      </c>
      <c r="F331" s="165" t="s">
        <v>86</v>
      </c>
      <c r="G331" s="165"/>
      <c r="H331" s="165" t="s">
        <v>112</v>
      </c>
      <c r="I331" s="165">
        <v>364.0</v>
      </c>
      <c r="J331" s="166">
        <v>4220000.0</v>
      </c>
      <c r="K331" s="166">
        <v>4220000.0</v>
      </c>
      <c r="L331" s="161">
        <v>3354042.0</v>
      </c>
      <c r="M331" s="161">
        <v>3354042.0</v>
      </c>
      <c r="N331" s="163">
        <f t="shared" ref="N331:O331" si="584">J331+L331</f>
        <v>7574042</v>
      </c>
      <c r="O331" s="163">
        <f t="shared" si="584"/>
        <v>7574042</v>
      </c>
      <c r="P331" s="169"/>
      <c r="Q331" s="175">
        <v>4220000.0</v>
      </c>
      <c r="R331" s="175">
        <v>4220000.0</v>
      </c>
      <c r="S331" s="175">
        <v>3354041.6</v>
      </c>
      <c r="T331" s="175">
        <v>3354041.6</v>
      </c>
      <c r="U331" s="175">
        <v>7574041.6</v>
      </c>
      <c r="V331" s="175">
        <v>7574041.6</v>
      </c>
      <c r="W331" s="164">
        <f t="shared" ref="W331:AB331" si="585">+J331-Q331</f>
        <v>0</v>
      </c>
      <c r="X331" s="164">
        <f t="shared" si="585"/>
        <v>0</v>
      </c>
      <c r="Y331" s="164">
        <f t="shared" si="585"/>
        <v>0.3999999999</v>
      </c>
      <c r="Z331" s="164">
        <f t="shared" si="585"/>
        <v>0.3999999999</v>
      </c>
      <c r="AA331" s="164">
        <f t="shared" si="585"/>
        <v>0.4000000004</v>
      </c>
      <c r="AB331" s="164">
        <f t="shared" si="585"/>
        <v>0.4000000004</v>
      </c>
      <c r="AC331" s="169"/>
      <c r="AD331" s="169"/>
      <c r="AE331" s="169"/>
      <c r="AF331" s="169"/>
      <c r="AG331" s="77"/>
      <c r="AH331" s="77"/>
      <c r="AI331" s="169"/>
      <c r="AJ331" s="169"/>
      <c r="AK331" s="169"/>
      <c r="AL331" s="169"/>
      <c r="AM331" s="169"/>
      <c r="AN331" s="169"/>
      <c r="AO331" s="169"/>
      <c r="AP331" s="169"/>
    </row>
    <row r="332" ht="36.75" customHeight="1">
      <c r="A332" s="169"/>
      <c r="B332" s="169"/>
      <c r="C332" s="130"/>
      <c r="D332" s="165" t="s">
        <v>90</v>
      </c>
      <c r="E332" s="165" t="s">
        <v>85</v>
      </c>
      <c r="F332" s="165" t="s">
        <v>86</v>
      </c>
      <c r="G332" s="165"/>
      <c r="H332" s="165" t="s">
        <v>112</v>
      </c>
      <c r="I332" s="165">
        <v>324.0</v>
      </c>
      <c r="J332" s="166">
        <v>3790000.0</v>
      </c>
      <c r="K332" s="166">
        <v>3790000.0</v>
      </c>
      <c r="L332" s="161">
        <v>2985466.0</v>
      </c>
      <c r="M332" s="161">
        <v>2985466.0</v>
      </c>
      <c r="N332" s="163">
        <f t="shared" ref="N332:O332" si="586">J332+L332</f>
        <v>6775466</v>
      </c>
      <c r="O332" s="163">
        <f t="shared" si="586"/>
        <v>6775466</v>
      </c>
      <c r="P332" s="169"/>
      <c r="Q332" s="175">
        <v>3790000.0</v>
      </c>
      <c r="R332" s="175">
        <v>3790000.0</v>
      </c>
      <c r="S332" s="175">
        <v>2985465.6</v>
      </c>
      <c r="T332" s="175">
        <v>2985465.6</v>
      </c>
      <c r="U332" s="175">
        <v>6775465.6</v>
      </c>
      <c r="V332" s="175">
        <v>6775465.6</v>
      </c>
      <c r="W332" s="164">
        <f t="shared" ref="W332:AB332" si="587">+J332-Q332</f>
        <v>0</v>
      </c>
      <c r="X332" s="164">
        <f t="shared" si="587"/>
        <v>0</v>
      </c>
      <c r="Y332" s="164">
        <f t="shared" si="587"/>
        <v>0.3999999999</v>
      </c>
      <c r="Z332" s="164">
        <f t="shared" si="587"/>
        <v>0.3999999999</v>
      </c>
      <c r="AA332" s="164">
        <f t="shared" si="587"/>
        <v>0.4000000004</v>
      </c>
      <c r="AB332" s="164">
        <f t="shared" si="587"/>
        <v>0.4000000004</v>
      </c>
      <c r="AC332" s="169"/>
      <c r="AD332" s="169"/>
      <c r="AE332" s="169"/>
      <c r="AF332" s="169"/>
      <c r="AG332" s="77"/>
      <c r="AH332" s="77"/>
      <c r="AI332" s="169"/>
      <c r="AJ332" s="169"/>
      <c r="AK332" s="169"/>
      <c r="AL332" s="169"/>
      <c r="AM332" s="169"/>
      <c r="AN332" s="169"/>
      <c r="AO332" s="169"/>
      <c r="AP332" s="169"/>
    </row>
    <row r="333" ht="36.75" customHeight="1">
      <c r="A333" s="169"/>
      <c r="B333" s="169"/>
      <c r="C333" s="130"/>
      <c r="D333" s="165" t="s">
        <v>90</v>
      </c>
      <c r="E333" s="165" t="s">
        <v>84</v>
      </c>
      <c r="F333" s="165" t="s">
        <v>85</v>
      </c>
      <c r="G333" s="165" t="s">
        <v>86</v>
      </c>
      <c r="H333" s="165" t="s">
        <v>112</v>
      </c>
      <c r="I333" s="165">
        <v>410.0</v>
      </c>
      <c r="J333" s="166">
        <v>4520000.0</v>
      </c>
      <c r="K333" s="166">
        <v>4520000.0</v>
      </c>
      <c r="L333" s="161">
        <v>3777904.0</v>
      </c>
      <c r="M333" s="161">
        <v>3777904.0</v>
      </c>
      <c r="N333" s="163">
        <f t="shared" ref="N333:O333" si="588">J333+L333</f>
        <v>8297904</v>
      </c>
      <c r="O333" s="163">
        <f t="shared" si="588"/>
        <v>8297904</v>
      </c>
      <c r="P333" s="169"/>
      <c r="Q333" s="175">
        <v>4520000.0</v>
      </c>
      <c r="R333" s="175">
        <v>4520000.0</v>
      </c>
      <c r="S333" s="175">
        <v>3777904.0000000005</v>
      </c>
      <c r="T333" s="175">
        <v>3777904.0000000005</v>
      </c>
      <c r="U333" s="175">
        <v>8297904.0</v>
      </c>
      <c r="V333" s="175">
        <v>8297904.0</v>
      </c>
      <c r="W333" s="164">
        <f t="shared" ref="W333:AB333" si="589">+J333-Q333</f>
        <v>0</v>
      </c>
      <c r="X333" s="164">
        <f t="shared" si="589"/>
        <v>0</v>
      </c>
      <c r="Y333" s="164">
        <f t="shared" si="589"/>
        <v>-0.0000000004656612873</v>
      </c>
      <c r="Z333" s="164">
        <f t="shared" si="589"/>
        <v>-0.0000000004656612873</v>
      </c>
      <c r="AA333" s="164">
        <f t="shared" si="589"/>
        <v>0</v>
      </c>
      <c r="AB333" s="164">
        <f t="shared" si="589"/>
        <v>0</v>
      </c>
      <c r="AC333" s="169"/>
      <c r="AD333" s="169"/>
      <c r="AE333" s="169"/>
      <c r="AF333" s="169"/>
      <c r="AG333" s="77"/>
      <c r="AH333" s="77"/>
      <c r="AI333" s="169"/>
      <c r="AJ333" s="169"/>
      <c r="AK333" s="169"/>
      <c r="AL333" s="169"/>
      <c r="AM333" s="169"/>
      <c r="AN333" s="169"/>
      <c r="AO333" s="169"/>
      <c r="AP333" s="169"/>
    </row>
    <row r="334" ht="36.75" customHeight="1">
      <c r="A334" s="169"/>
      <c r="B334" s="169"/>
      <c r="C334" s="130"/>
      <c r="D334" s="165" t="s">
        <v>91</v>
      </c>
      <c r="E334" s="165" t="s">
        <v>84</v>
      </c>
      <c r="F334" s="165"/>
      <c r="G334" s="165"/>
      <c r="H334" s="165" t="s">
        <v>112</v>
      </c>
      <c r="I334" s="165">
        <v>331.0</v>
      </c>
      <c r="J334" s="166">
        <v>3720000.0</v>
      </c>
      <c r="K334" s="166">
        <v>3720000.0</v>
      </c>
      <c r="L334" s="161">
        <v>3049966.0</v>
      </c>
      <c r="M334" s="161">
        <v>3049966.0</v>
      </c>
      <c r="N334" s="163">
        <f t="shared" ref="N334:O334" si="590">J334+L334</f>
        <v>6769966</v>
      </c>
      <c r="O334" s="163">
        <f t="shared" si="590"/>
        <v>6769966</v>
      </c>
      <c r="P334" s="169"/>
      <c r="Q334" s="175">
        <v>3720000.0</v>
      </c>
      <c r="R334" s="175">
        <v>3720000.0</v>
      </c>
      <c r="S334" s="175">
        <v>3049966.4</v>
      </c>
      <c r="T334" s="175">
        <v>3049966.4</v>
      </c>
      <c r="U334" s="175">
        <v>6769966.4</v>
      </c>
      <c r="V334" s="175">
        <v>6769966.4</v>
      </c>
      <c r="W334" s="164">
        <f t="shared" ref="W334:AB334" si="591">+J334-Q334</f>
        <v>0</v>
      </c>
      <c r="X334" s="164">
        <f t="shared" si="591"/>
        <v>0</v>
      </c>
      <c r="Y334" s="164">
        <f t="shared" si="591"/>
        <v>-0.3999999999</v>
      </c>
      <c r="Z334" s="164">
        <f t="shared" si="591"/>
        <v>-0.3999999999</v>
      </c>
      <c r="AA334" s="164">
        <f t="shared" si="591"/>
        <v>-0.4000000004</v>
      </c>
      <c r="AB334" s="164">
        <f t="shared" si="591"/>
        <v>-0.4000000004</v>
      </c>
      <c r="AC334" s="169"/>
      <c r="AD334" s="169"/>
      <c r="AE334" s="169"/>
      <c r="AF334" s="169"/>
      <c r="AG334" s="77"/>
      <c r="AH334" s="77"/>
      <c r="AI334" s="169"/>
      <c r="AJ334" s="169"/>
      <c r="AK334" s="169"/>
      <c r="AL334" s="169"/>
      <c r="AM334" s="169"/>
      <c r="AN334" s="169"/>
      <c r="AO334" s="169"/>
      <c r="AP334" s="169"/>
    </row>
    <row r="335" ht="36.75" customHeight="1">
      <c r="A335" s="169"/>
      <c r="B335" s="169"/>
      <c r="C335" s="130"/>
      <c r="D335" s="165" t="s">
        <v>91</v>
      </c>
      <c r="E335" s="165" t="s">
        <v>85</v>
      </c>
      <c r="F335" s="165"/>
      <c r="G335" s="165"/>
      <c r="H335" s="165" t="s">
        <v>112</v>
      </c>
      <c r="I335" s="165">
        <v>310.0</v>
      </c>
      <c r="J335" s="166">
        <v>3450000.0</v>
      </c>
      <c r="K335" s="166">
        <v>3450000.0</v>
      </c>
      <c r="L335" s="161">
        <v>2856464.0</v>
      </c>
      <c r="M335" s="161">
        <v>2856464.0</v>
      </c>
      <c r="N335" s="163">
        <f t="shared" ref="N335:O335" si="592">J335+L335</f>
        <v>6306464</v>
      </c>
      <c r="O335" s="163">
        <f t="shared" si="592"/>
        <v>6306464</v>
      </c>
      <c r="P335" s="169"/>
      <c r="Q335" s="175">
        <v>3450000.0</v>
      </c>
      <c r="R335" s="175">
        <v>3450000.0</v>
      </c>
      <c r="S335" s="175">
        <v>2856464.0000000005</v>
      </c>
      <c r="T335" s="175">
        <v>2856464.0000000005</v>
      </c>
      <c r="U335" s="175">
        <v>6306464.0</v>
      </c>
      <c r="V335" s="175">
        <v>6306464.0</v>
      </c>
      <c r="W335" s="164">
        <f t="shared" ref="W335:AB335" si="593">+J335-Q335</f>
        <v>0</v>
      </c>
      <c r="X335" s="164">
        <f t="shared" si="593"/>
        <v>0</v>
      </c>
      <c r="Y335" s="164">
        <f t="shared" si="593"/>
        <v>-0.0000000004656612873</v>
      </c>
      <c r="Z335" s="164">
        <f t="shared" si="593"/>
        <v>-0.0000000004656612873</v>
      </c>
      <c r="AA335" s="164">
        <f t="shared" si="593"/>
        <v>0</v>
      </c>
      <c r="AB335" s="164">
        <f t="shared" si="593"/>
        <v>0</v>
      </c>
      <c r="AC335" s="169"/>
      <c r="AD335" s="169"/>
      <c r="AE335" s="169"/>
      <c r="AF335" s="169"/>
      <c r="AG335" s="77"/>
      <c r="AH335" s="77"/>
      <c r="AI335" s="169"/>
      <c r="AJ335" s="169"/>
      <c r="AK335" s="169"/>
      <c r="AL335" s="169"/>
      <c r="AM335" s="169"/>
      <c r="AN335" s="169"/>
      <c r="AO335" s="169"/>
      <c r="AP335" s="169"/>
    </row>
    <row r="336" ht="36.75" customHeight="1">
      <c r="A336" s="169"/>
      <c r="B336" s="169"/>
      <c r="C336" s="130"/>
      <c r="D336" s="165" t="s">
        <v>91</v>
      </c>
      <c r="E336" s="165" t="s">
        <v>86</v>
      </c>
      <c r="F336" s="165"/>
      <c r="G336" s="165"/>
      <c r="H336" s="165" t="s">
        <v>112</v>
      </c>
      <c r="I336" s="165">
        <v>299.0</v>
      </c>
      <c r="J336" s="166">
        <v>3410000.0</v>
      </c>
      <c r="K336" s="166">
        <v>3410000.0</v>
      </c>
      <c r="L336" s="161">
        <v>2755106.0</v>
      </c>
      <c r="M336" s="161">
        <v>2755106.0</v>
      </c>
      <c r="N336" s="163">
        <f t="shared" ref="N336:O336" si="594">J336+L336</f>
        <v>6165106</v>
      </c>
      <c r="O336" s="163">
        <f t="shared" si="594"/>
        <v>6165106</v>
      </c>
      <c r="P336" s="169"/>
      <c r="Q336" s="175">
        <v>3410000.0</v>
      </c>
      <c r="R336" s="175">
        <v>3410000.0</v>
      </c>
      <c r="S336" s="175">
        <v>2755105.6</v>
      </c>
      <c r="T336" s="175">
        <v>2755105.6</v>
      </c>
      <c r="U336" s="175">
        <v>6165105.6</v>
      </c>
      <c r="V336" s="175">
        <v>6165105.6</v>
      </c>
      <c r="W336" s="164">
        <f t="shared" ref="W336:AB336" si="595">+J336-Q336</f>
        <v>0</v>
      </c>
      <c r="X336" s="164">
        <f t="shared" si="595"/>
        <v>0</v>
      </c>
      <c r="Y336" s="164">
        <f t="shared" si="595"/>
        <v>0.3999999999</v>
      </c>
      <c r="Z336" s="164">
        <f t="shared" si="595"/>
        <v>0.3999999999</v>
      </c>
      <c r="AA336" s="164">
        <f t="shared" si="595"/>
        <v>0.4000000004</v>
      </c>
      <c r="AB336" s="164">
        <f t="shared" si="595"/>
        <v>0.4000000004</v>
      </c>
      <c r="AC336" s="169"/>
      <c r="AD336" s="169"/>
      <c r="AE336" s="169"/>
      <c r="AF336" s="169"/>
      <c r="AG336" s="77"/>
      <c r="AH336" s="77"/>
      <c r="AI336" s="169"/>
      <c r="AJ336" s="169"/>
      <c r="AK336" s="169"/>
      <c r="AL336" s="169"/>
      <c r="AM336" s="169"/>
      <c r="AN336" s="169"/>
      <c r="AO336" s="169"/>
      <c r="AP336" s="169"/>
    </row>
    <row r="337" ht="36.75" customHeight="1">
      <c r="A337" s="169"/>
      <c r="B337" s="169"/>
      <c r="C337" s="130"/>
      <c r="D337" s="165" t="s">
        <v>91</v>
      </c>
      <c r="E337" s="165" t="s">
        <v>84</v>
      </c>
      <c r="F337" s="165" t="s">
        <v>85</v>
      </c>
      <c r="G337" s="165"/>
      <c r="H337" s="165" t="s">
        <v>112</v>
      </c>
      <c r="I337" s="165">
        <v>356.0</v>
      </c>
      <c r="J337" s="166">
        <v>4200000.0</v>
      </c>
      <c r="K337" s="166">
        <v>4200000.0</v>
      </c>
      <c r="L337" s="161">
        <v>3280326.0</v>
      </c>
      <c r="M337" s="161">
        <v>3280326.0</v>
      </c>
      <c r="N337" s="163">
        <f t="shared" ref="N337:O337" si="596">J337+L337</f>
        <v>7480326</v>
      </c>
      <c r="O337" s="163">
        <f t="shared" si="596"/>
        <v>7480326</v>
      </c>
      <c r="P337" s="169"/>
      <c r="Q337" s="175">
        <v>4200000.0</v>
      </c>
      <c r="R337" s="175">
        <v>4200000.0</v>
      </c>
      <c r="S337" s="175">
        <v>3280326.4</v>
      </c>
      <c r="T337" s="175">
        <v>3280326.4</v>
      </c>
      <c r="U337" s="175">
        <v>7480326.4</v>
      </c>
      <c r="V337" s="175">
        <v>7480326.4</v>
      </c>
      <c r="W337" s="164">
        <f t="shared" ref="W337:AB337" si="597">+J337-Q337</f>
        <v>0</v>
      </c>
      <c r="X337" s="164">
        <f t="shared" si="597"/>
        <v>0</v>
      </c>
      <c r="Y337" s="164">
        <f t="shared" si="597"/>
        <v>-0.3999999999</v>
      </c>
      <c r="Z337" s="164">
        <f t="shared" si="597"/>
        <v>-0.3999999999</v>
      </c>
      <c r="AA337" s="164">
        <f t="shared" si="597"/>
        <v>-0.4000000004</v>
      </c>
      <c r="AB337" s="164">
        <f t="shared" si="597"/>
        <v>-0.4000000004</v>
      </c>
      <c r="AC337" s="169"/>
      <c r="AD337" s="169"/>
      <c r="AE337" s="169"/>
      <c r="AF337" s="169"/>
      <c r="AG337" s="77"/>
      <c r="AH337" s="77"/>
      <c r="AI337" s="169"/>
      <c r="AJ337" s="169"/>
      <c r="AK337" s="169"/>
      <c r="AL337" s="169"/>
      <c r="AM337" s="169"/>
      <c r="AN337" s="169"/>
      <c r="AO337" s="169"/>
      <c r="AP337" s="169"/>
    </row>
    <row r="338" ht="36.75" customHeight="1">
      <c r="A338" s="169"/>
      <c r="B338" s="169"/>
      <c r="C338" s="130"/>
      <c r="D338" s="165" t="s">
        <v>91</v>
      </c>
      <c r="E338" s="165" t="s">
        <v>84</v>
      </c>
      <c r="F338" s="165" t="s">
        <v>86</v>
      </c>
      <c r="G338" s="165"/>
      <c r="H338" s="165" t="s">
        <v>112</v>
      </c>
      <c r="I338" s="165">
        <v>364.0</v>
      </c>
      <c r="J338" s="166">
        <v>4220000.0</v>
      </c>
      <c r="K338" s="166">
        <v>4220000.0</v>
      </c>
      <c r="L338" s="161">
        <v>3354042.0</v>
      </c>
      <c r="M338" s="161">
        <v>3354042.0</v>
      </c>
      <c r="N338" s="163">
        <f t="shared" ref="N338:O338" si="598">J338+L338</f>
        <v>7574042</v>
      </c>
      <c r="O338" s="163">
        <f t="shared" si="598"/>
        <v>7574042</v>
      </c>
      <c r="P338" s="169"/>
      <c r="Q338" s="175">
        <v>4220000.0</v>
      </c>
      <c r="R338" s="175">
        <v>4220000.0</v>
      </c>
      <c r="S338" s="175">
        <v>3354041.6</v>
      </c>
      <c r="T338" s="175">
        <v>3354041.6</v>
      </c>
      <c r="U338" s="175">
        <v>7574041.6</v>
      </c>
      <c r="V338" s="175">
        <v>7574041.6</v>
      </c>
      <c r="W338" s="164">
        <f t="shared" ref="W338:AB338" si="599">+J338-Q338</f>
        <v>0</v>
      </c>
      <c r="X338" s="164">
        <f t="shared" si="599"/>
        <v>0</v>
      </c>
      <c r="Y338" s="164">
        <f t="shared" si="599"/>
        <v>0.3999999999</v>
      </c>
      <c r="Z338" s="164">
        <f t="shared" si="599"/>
        <v>0.3999999999</v>
      </c>
      <c r="AA338" s="164">
        <f t="shared" si="599"/>
        <v>0.4000000004</v>
      </c>
      <c r="AB338" s="164">
        <f t="shared" si="599"/>
        <v>0.4000000004</v>
      </c>
      <c r="AC338" s="169"/>
      <c r="AD338" s="169"/>
      <c r="AE338" s="169"/>
      <c r="AF338" s="169"/>
      <c r="AG338" s="77"/>
      <c r="AH338" s="77"/>
      <c r="AI338" s="169"/>
      <c r="AJ338" s="169"/>
      <c r="AK338" s="169"/>
      <c r="AL338" s="169"/>
      <c r="AM338" s="169"/>
      <c r="AN338" s="169"/>
      <c r="AO338" s="169"/>
      <c r="AP338" s="169"/>
    </row>
    <row r="339" ht="36.75" customHeight="1">
      <c r="A339" s="169"/>
      <c r="B339" s="169"/>
      <c r="C339" s="130"/>
      <c r="D339" s="165" t="s">
        <v>91</v>
      </c>
      <c r="E339" s="165" t="s">
        <v>85</v>
      </c>
      <c r="F339" s="165" t="s">
        <v>86</v>
      </c>
      <c r="G339" s="165"/>
      <c r="H339" s="165" t="s">
        <v>112</v>
      </c>
      <c r="I339" s="165">
        <v>324.0</v>
      </c>
      <c r="J339" s="166">
        <v>3790000.0</v>
      </c>
      <c r="K339" s="166">
        <v>3790000.0</v>
      </c>
      <c r="L339" s="161">
        <v>2985466.0</v>
      </c>
      <c r="M339" s="161">
        <v>2985466.0</v>
      </c>
      <c r="N339" s="163">
        <f t="shared" ref="N339:O339" si="600">J339+L339</f>
        <v>6775466</v>
      </c>
      <c r="O339" s="163">
        <f t="shared" si="600"/>
        <v>6775466</v>
      </c>
      <c r="P339" s="169"/>
      <c r="Q339" s="175">
        <v>3790000.0</v>
      </c>
      <c r="R339" s="175">
        <v>3790000.0</v>
      </c>
      <c r="S339" s="175">
        <v>2985465.6</v>
      </c>
      <c r="T339" s="175">
        <v>2985465.6</v>
      </c>
      <c r="U339" s="175">
        <v>6775465.6</v>
      </c>
      <c r="V339" s="175">
        <v>6775465.6</v>
      </c>
      <c r="W339" s="164">
        <f t="shared" ref="W339:AB339" si="601">+J339-Q339</f>
        <v>0</v>
      </c>
      <c r="X339" s="164">
        <f t="shared" si="601"/>
        <v>0</v>
      </c>
      <c r="Y339" s="164">
        <f t="shared" si="601"/>
        <v>0.3999999999</v>
      </c>
      <c r="Z339" s="164">
        <f t="shared" si="601"/>
        <v>0.3999999999</v>
      </c>
      <c r="AA339" s="164">
        <f t="shared" si="601"/>
        <v>0.4000000004</v>
      </c>
      <c r="AB339" s="164">
        <f t="shared" si="601"/>
        <v>0.4000000004</v>
      </c>
      <c r="AC339" s="169"/>
      <c r="AD339" s="169"/>
      <c r="AE339" s="169"/>
      <c r="AF339" s="169"/>
      <c r="AG339" s="77"/>
      <c r="AH339" s="77"/>
      <c r="AI339" s="169"/>
      <c r="AJ339" s="169"/>
      <c r="AK339" s="169"/>
      <c r="AL339" s="169"/>
      <c r="AM339" s="169"/>
      <c r="AN339" s="169"/>
      <c r="AO339" s="169"/>
      <c r="AP339" s="169"/>
    </row>
    <row r="340" ht="36.75" customHeight="1">
      <c r="A340" s="169"/>
      <c r="B340" s="169"/>
      <c r="C340" s="118"/>
      <c r="D340" s="165" t="s">
        <v>91</v>
      </c>
      <c r="E340" s="165" t="s">
        <v>84</v>
      </c>
      <c r="F340" s="165" t="s">
        <v>85</v>
      </c>
      <c r="G340" s="165" t="s">
        <v>86</v>
      </c>
      <c r="H340" s="165" t="s">
        <v>112</v>
      </c>
      <c r="I340" s="165">
        <v>410.0</v>
      </c>
      <c r="J340" s="166">
        <v>4520000.0</v>
      </c>
      <c r="K340" s="166">
        <v>4520000.0</v>
      </c>
      <c r="L340" s="161">
        <v>3777904.0</v>
      </c>
      <c r="M340" s="161">
        <v>3777904.0</v>
      </c>
      <c r="N340" s="163">
        <f t="shared" ref="N340:O340" si="602">J340+L340</f>
        <v>8297904</v>
      </c>
      <c r="O340" s="163">
        <f t="shared" si="602"/>
        <v>8297904</v>
      </c>
      <c r="P340" s="169"/>
      <c r="Q340" s="175">
        <v>4520000.0</v>
      </c>
      <c r="R340" s="175">
        <v>4520000.0</v>
      </c>
      <c r="S340" s="175">
        <v>3777904.0000000005</v>
      </c>
      <c r="T340" s="175">
        <v>3777904.0000000005</v>
      </c>
      <c r="U340" s="175">
        <v>8297904.0</v>
      </c>
      <c r="V340" s="175">
        <v>8297904.0</v>
      </c>
      <c r="W340" s="164">
        <f t="shared" ref="W340:AB340" si="603">+J340-Q340</f>
        <v>0</v>
      </c>
      <c r="X340" s="164">
        <f t="shared" si="603"/>
        <v>0</v>
      </c>
      <c r="Y340" s="164">
        <f t="shared" si="603"/>
        <v>-0.0000000004656612873</v>
      </c>
      <c r="Z340" s="164">
        <f t="shared" si="603"/>
        <v>-0.0000000004656612873</v>
      </c>
      <c r="AA340" s="164">
        <f t="shared" si="603"/>
        <v>0</v>
      </c>
      <c r="AB340" s="164">
        <f t="shared" si="603"/>
        <v>0</v>
      </c>
      <c r="AC340" s="169"/>
      <c r="AD340" s="169"/>
      <c r="AE340" s="169"/>
      <c r="AF340" s="169"/>
      <c r="AG340" s="77"/>
      <c r="AH340" s="77"/>
      <c r="AI340" s="169"/>
      <c r="AJ340" s="169"/>
      <c r="AK340" s="169"/>
      <c r="AL340" s="169"/>
      <c r="AM340" s="169"/>
      <c r="AN340" s="169"/>
      <c r="AO340" s="169"/>
      <c r="AP340" s="169"/>
    </row>
    <row r="341" ht="36.75" customHeight="1">
      <c r="A341" s="169"/>
      <c r="B341" s="169"/>
      <c r="C341" s="167" t="s">
        <v>92</v>
      </c>
      <c r="D341" s="165" t="s">
        <v>83</v>
      </c>
      <c r="E341" s="165" t="s">
        <v>93</v>
      </c>
      <c r="F341" s="165"/>
      <c r="G341" s="165"/>
      <c r="H341" s="165"/>
      <c r="I341" s="165">
        <v>144.0</v>
      </c>
      <c r="J341" s="166">
        <v>2650000.0</v>
      </c>
      <c r="K341" s="166">
        <v>2650000.0</v>
      </c>
      <c r="L341" s="161">
        <v>1531008.0</v>
      </c>
      <c r="M341" s="161">
        <v>1531008.0</v>
      </c>
      <c r="N341" s="163">
        <f t="shared" ref="N341:O341" si="604">J341+L341</f>
        <v>4181008</v>
      </c>
      <c r="O341" s="163">
        <f t="shared" si="604"/>
        <v>4181008</v>
      </c>
      <c r="P341" s="169"/>
      <c r="Q341" s="175">
        <v>2650000.0</v>
      </c>
      <c r="R341" s="175">
        <v>2650000.0</v>
      </c>
      <c r="S341" s="175">
        <v>1531007.9999999998</v>
      </c>
      <c r="T341" s="175">
        <v>1531007.9999999998</v>
      </c>
      <c r="U341" s="175">
        <v>4181008.0</v>
      </c>
      <c r="V341" s="175">
        <v>4181008.0</v>
      </c>
      <c r="W341" s="164">
        <f t="shared" ref="W341:AB341" si="605">+J341-Q341</f>
        <v>0</v>
      </c>
      <c r="X341" s="164">
        <f t="shared" si="605"/>
        <v>0</v>
      </c>
      <c r="Y341" s="164">
        <f t="shared" si="605"/>
        <v>0.0000000002328306437</v>
      </c>
      <c r="Z341" s="164">
        <f t="shared" si="605"/>
        <v>0.0000000002328306437</v>
      </c>
      <c r="AA341" s="164">
        <f t="shared" si="605"/>
        <v>0</v>
      </c>
      <c r="AB341" s="164">
        <f t="shared" si="605"/>
        <v>0</v>
      </c>
      <c r="AC341" s="169"/>
      <c r="AD341" s="169"/>
      <c r="AE341" s="169"/>
      <c r="AF341" s="169"/>
      <c r="AG341" s="77"/>
      <c r="AH341" s="77"/>
      <c r="AI341" s="169"/>
      <c r="AJ341" s="169"/>
      <c r="AK341" s="169"/>
      <c r="AL341" s="169"/>
      <c r="AM341" s="169"/>
      <c r="AN341" s="169"/>
      <c r="AO341" s="169"/>
      <c r="AP341" s="169"/>
    </row>
    <row r="342" ht="36.75" customHeight="1">
      <c r="A342" s="169"/>
      <c r="B342" s="169"/>
      <c r="C342" s="130"/>
      <c r="D342" s="165" t="s">
        <v>93</v>
      </c>
      <c r="E342" s="165" t="s">
        <v>84</v>
      </c>
      <c r="F342" s="165"/>
      <c r="G342" s="165"/>
      <c r="H342" s="165" t="s">
        <v>112</v>
      </c>
      <c r="I342" s="165">
        <v>188.0</v>
      </c>
      <c r="J342" s="166">
        <v>2700000.0</v>
      </c>
      <c r="K342" s="166">
        <v>2700000.0</v>
      </c>
      <c r="L342" s="161">
        <v>1998816.0</v>
      </c>
      <c r="M342" s="161">
        <v>1998816.0</v>
      </c>
      <c r="N342" s="163">
        <f t="shared" ref="N342:O342" si="606">J342+L342</f>
        <v>4698816</v>
      </c>
      <c r="O342" s="163">
        <f t="shared" si="606"/>
        <v>4698816</v>
      </c>
      <c r="P342" s="169"/>
      <c r="Q342" s="175">
        <v>2700000.0</v>
      </c>
      <c r="R342" s="175">
        <v>2700000.0</v>
      </c>
      <c r="S342" s="175">
        <v>1998816.0</v>
      </c>
      <c r="T342" s="175">
        <v>1998816.0</v>
      </c>
      <c r="U342" s="175">
        <v>4698816.0</v>
      </c>
      <c r="V342" s="175">
        <v>4698816.0</v>
      </c>
      <c r="W342" s="164">
        <f t="shared" ref="W342:AB342" si="607">+J342-Q342</f>
        <v>0</v>
      </c>
      <c r="X342" s="164">
        <f t="shared" si="607"/>
        <v>0</v>
      </c>
      <c r="Y342" s="164">
        <f t="shared" si="607"/>
        <v>0</v>
      </c>
      <c r="Z342" s="164">
        <f t="shared" si="607"/>
        <v>0</v>
      </c>
      <c r="AA342" s="164">
        <f t="shared" si="607"/>
        <v>0</v>
      </c>
      <c r="AB342" s="164">
        <f t="shared" si="607"/>
        <v>0</v>
      </c>
      <c r="AC342" s="169"/>
      <c r="AD342" s="169"/>
      <c r="AE342" s="169"/>
      <c r="AF342" s="169"/>
      <c r="AG342" s="77"/>
      <c r="AH342" s="77"/>
      <c r="AI342" s="169"/>
      <c r="AJ342" s="169"/>
      <c r="AK342" s="169"/>
      <c r="AL342" s="169"/>
      <c r="AM342" s="169"/>
      <c r="AN342" s="169"/>
      <c r="AO342" s="169"/>
      <c r="AP342" s="169"/>
    </row>
    <row r="343" ht="36.75" customHeight="1">
      <c r="A343" s="169"/>
      <c r="B343" s="169"/>
      <c r="C343" s="130"/>
      <c r="D343" s="165" t="s">
        <v>83</v>
      </c>
      <c r="E343" s="165" t="s">
        <v>93</v>
      </c>
      <c r="F343" s="165"/>
      <c r="G343" s="165"/>
      <c r="H343" s="165"/>
      <c r="I343" s="165">
        <v>144.0</v>
      </c>
      <c r="J343" s="166">
        <v>2650000.0</v>
      </c>
      <c r="K343" s="166">
        <v>2650000.0</v>
      </c>
      <c r="L343" s="161">
        <v>1531008.0</v>
      </c>
      <c r="M343" s="161">
        <v>1531008.0</v>
      </c>
      <c r="N343" s="163">
        <f t="shared" ref="N343:O343" si="608">J343+L343</f>
        <v>4181008</v>
      </c>
      <c r="O343" s="163">
        <f t="shared" si="608"/>
        <v>4181008</v>
      </c>
      <c r="P343" s="169"/>
      <c r="Q343" s="175">
        <v>2650000.0</v>
      </c>
      <c r="R343" s="175">
        <v>2650000.0</v>
      </c>
      <c r="S343" s="175">
        <v>1531007.9999999998</v>
      </c>
      <c r="T343" s="175">
        <v>1531007.9999999998</v>
      </c>
      <c r="U343" s="175">
        <v>4181008.0</v>
      </c>
      <c r="V343" s="175">
        <v>4181008.0</v>
      </c>
      <c r="W343" s="164">
        <f t="shared" ref="W343:AB343" si="609">+J343-Q343</f>
        <v>0</v>
      </c>
      <c r="X343" s="164">
        <f t="shared" si="609"/>
        <v>0</v>
      </c>
      <c r="Y343" s="164">
        <f t="shared" si="609"/>
        <v>0.0000000002328306437</v>
      </c>
      <c r="Z343" s="164">
        <f t="shared" si="609"/>
        <v>0.0000000002328306437</v>
      </c>
      <c r="AA343" s="164">
        <f t="shared" si="609"/>
        <v>0</v>
      </c>
      <c r="AB343" s="164">
        <f t="shared" si="609"/>
        <v>0</v>
      </c>
      <c r="AC343" s="169"/>
      <c r="AD343" s="169"/>
      <c r="AE343" s="169"/>
      <c r="AF343" s="169"/>
      <c r="AG343" s="77"/>
      <c r="AH343" s="77"/>
      <c r="AI343" s="169"/>
      <c r="AJ343" s="169"/>
      <c r="AK343" s="169"/>
      <c r="AL343" s="169"/>
      <c r="AM343" s="169"/>
      <c r="AN343" s="169"/>
      <c r="AO343" s="169"/>
      <c r="AP343" s="169"/>
    </row>
    <row r="344" ht="36.75" customHeight="1">
      <c r="A344" s="169"/>
      <c r="B344" s="169"/>
      <c r="C344" s="130"/>
      <c r="D344" s="165" t="s">
        <v>93</v>
      </c>
      <c r="E344" s="165" t="s">
        <v>85</v>
      </c>
      <c r="F344" s="165"/>
      <c r="G344" s="165"/>
      <c r="H344" s="165" t="s">
        <v>112</v>
      </c>
      <c r="I344" s="165">
        <v>212.0</v>
      </c>
      <c r="J344" s="166">
        <v>2950000.0</v>
      </c>
      <c r="K344" s="166">
        <v>2950000.0</v>
      </c>
      <c r="L344" s="161">
        <v>2253984.0</v>
      </c>
      <c r="M344" s="161">
        <v>2253984.0</v>
      </c>
      <c r="N344" s="163">
        <f t="shared" ref="N344:O344" si="610">J344+L344</f>
        <v>5203984</v>
      </c>
      <c r="O344" s="163">
        <f t="shared" si="610"/>
        <v>5203984</v>
      </c>
      <c r="P344" s="169"/>
      <c r="Q344" s="175">
        <v>2950000.0</v>
      </c>
      <c r="R344" s="175">
        <v>2950000.0</v>
      </c>
      <c r="S344" s="175">
        <v>2253984.0</v>
      </c>
      <c r="T344" s="175">
        <v>2253984.0</v>
      </c>
      <c r="U344" s="175">
        <v>5203984.0</v>
      </c>
      <c r="V344" s="175">
        <v>5203984.0</v>
      </c>
      <c r="W344" s="164">
        <f t="shared" ref="W344:AB344" si="611">+J344-Q344</f>
        <v>0</v>
      </c>
      <c r="X344" s="164">
        <f t="shared" si="611"/>
        <v>0</v>
      </c>
      <c r="Y344" s="164">
        <f t="shared" si="611"/>
        <v>0</v>
      </c>
      <c r="Z344" s="164">
        <f t="shared" si="611"/>
        <v>0</v>
      </c>
      <c r="AA344" s="164">
        <f t="shared" si="611"/>
        <v>0</v>
      </c>
      <c r="AB344" s="164">
        <f t="shared" si="611"/>
        <v>0</v>
      </c>
      <c r="AC344" s="169"/>
      <c r="AD344" s="169"/>
      <c r="AE344" s="169"/>
      <c r="AF344" s="169"/>
      <c r="AG344" s="77"/>
      <c r="AH344" s="77"/>
      <c r="AI344" s="169"/>
      <c r="AJ344" s="169"/>
      <c r="AK344" s="169"/>
      <c r="AL344" s="169"/>
      <c r="AM344" s="169"/>
      <c r="AN344" s="169"/>
      <c r="AO344" s="169"/>
      <c r="AP344" s="169"/>
    </row>
    <row r="345" ht="36.75" customHeight="1">
      <c r="A345" s="169"/>
      <c r="B345" s="169"/>
      <c r="C345" s="130"/>
      <c r="D345" s="165" t="s">
        <v>83</v>
      </c>
      <c r="E345" s="165" t="s">
        <v>93</v>
      </c>
      <c r="F345" s="165"/>
      <c r="G345" s="165"/>
      <c r="H345" s="165"/>
      <c r="I345" s="165">
        <v>144.0</v>
      </c>
      <c r="J345" s="166">
        <v>2650000.0</v>
      </c>
      <c r="K345" s="166">
        <v>2650000.0</v>
      </c>
      <c r="L345" s="161">
        <v>1531008.0</v>
      </c>
      <c r="M345" s="161">
        <v>1531008.0</v>
      </c>
      <c r="N345" s="163">
        <f t="shared" ref="N345:O345" si="612">J345+L345</f>
        <v>4181008</v>
      </c>
      <c r="O345" s="163">
        <f t="shared" si="612"/>
        <v>4181008</v>
      </c>
      <c r="P345" s="169"/>
      <c r="Q345" s="175">
        <v>2650000.0</v>
      </c>
      <c r="R345" s="175">
        <v>2650000.0</v>
      </c>
      <c r="S345" s="175">
        <v>1531007.9999999998</v>
      </c>
      <c r="T345" s="175">
        <v>1531007.9999999998</v>
      </c>
      <c r="U345" s="175">
        <v>4181008.0</v>
      </c>
      <c r="V345" s="175">
        <v>4181008.0</v>
      </c>
      <c r="W345" s="164">
        <f t="shared" ref="W345:AB345" si="613">+J345-Q345</f>
        <v>0</v>
      </c>
      <c r="X345" s="164">
        <f t="shared" si="613"/>
        <v>0</v>
      </c>
      <c r="Y345" s="164">
        <f t="shared" si="613"/>
        <v>0.0000000002328306437</v>
      </c>
      <c r="Z345" s="164">
        <f t="shared" si="613"/>
        <v>0.0000000002328306437</v>
      </c>
      <c r="AA345" s="164">
        <f t="shared" si="613"/>
        <v>0</v>
      </c>
      <c r="AB345" s="164">
        <f t="shared" si="613"/>
        <v>0</v>
      </c>
      <c r="AC345" s="169"/>
      <c r="AD345" s="169"/>
      <c r="AE345" s="169"/>
      <c r="AF345" s="169"/>
      <c r="AG345" s="77"/>
      <c r="AH345" s="77"/>
      <c r="AI345" s="169"/>
      <c r="AJ345" s="169"/>
      <c r="AK345" s="169"/>
      <c r="AL345" s="169"/>
      <c r="AM345" s="169"/>
      <c r="AN345" s="169"/>
      <c r="AO345" s="169"/>
      <c r="AP345" s="169"/>
    </row>
    <row r="346" ht="36.75" customHeight="1">
      <c r="A346" s="169"/>
      <c r="B346" s="169"/>
      <c r="C346" s="130"/>
      <c r="D346" s="165" t="s">
        <v>93</v>
      </c>
      <c r="E346" s="165" t="s">
        <v>86</v>
      </c>
      <c r="F346" s="165"/>
      <c r="G346" s="165"/>
      <c r="H346" s="165" t="s">
        <v>112</v>
      </c>
      <c r="I346" s="165">
        <v>221.0</v>
      </c>
      <c r="J346" s="166">
        <v>2980000.0</v>
      </c>
      <c r="K346" s="166">
        <v>2980000.0</v>
      </c>
      <c r="L346" s="161">
        <v>2349672.0</v>
      </c>
      <c r="M346" s="161">
        <v>2349672.0</v>
      </c>
      <c r="N346" s="163">
        <f t="shared" ref="N346:O346" si="614">J346+L346</f>
        <v>5329672</v>
      </c>
      <c r="O346" s="163">
        <f t="shared" si="614"/>
        <v>5329672</v>
      </c>
      <c r="P346" s="169"/>
      <c r="Q346" s="175">
        <v>2980000.0</v>
      </c>
      <c r="R346" s="175">
        <v>2980000.0</v>
      </c>
      <c r="S346" s="175">
        <v>2349672.0</v>
      </c>
      <c r="T346" s="175">
        <v>2349672.0</v>
      </c>
      <c r="U346" s="175">
        <v>5329672.0</v>
      </c>
      <c r="V346" s="175">
        <v>5329672.0</v>
      </c>
      <c r="W346" s="164">
        <f t="shared" ref="W346:AB346" si="615">+J346-Q346</f>
        <v>0</v>
      </c>
      <c r="X346" s="164">
        <f t="shared" si="615"/>
        <v>0</v>
      </c>
      <c r="Y346" s="164">
        <f t="shared" si="615"/>
        <v>0</v>
      </c>
      <c r="Z346" s="164">
        <f t="shared" si="615"/>
        <v>0</v>
      </c>
      <c r="AA346" s="164">
        <f t="shared" si="615"/>
        <v>0</v>
      </c>
      <c r="AB346" s="164">
        <f t="shared" si="615"/>
        <v>0</v>
      </c>
      <c r="AC346" s="169"/>
      <c r="AD346" s="169"/>
      <c r="AE346" s="169"/>
      <c r="AF346" s="169"/>
      <c r="AG346" s="77"/>
      <c r="AH346" s="77"/>
      <c r="AI346" s="169"/>
      <c r="AJ346" s="169"/>
      <c r="AK346" s="169"/>
      <c r="AL346" s="169"/>
      <c r="AM346" s="169"/>
      <c r="AN346" s="169"/>
      <c r="AO346" s="169"/>
      <c r="AP346" s="169"/>
    </row>
    <row r="347" ht="36.75" customHeight="1">
      <c r="A347" s="183"/>
      <c r="B347" s="183"/>
      <c r="C347" s="130"/>
      <c r="D347" s="165" t="s">
        <v>83</v>
      </c>
      <c r="E347" s="165" t="s">
        <v>94</v>
      </c>
      <c r="F347" s="165"/>
      <c r="G347" s="165"/>
      <c r="H347" s="165"/>
      <c r="I347" s="165">
        <v>133.0</v>
      </c>
      <c r="J347" s="166">
        <v>2560000.0</v>
      </c>
      <c r="K347" s="166">
        <v>2560000.0</v>
      </c>
      <c r="L347" s="161">
        <v>1414056.0</v>
      </c>
      <c r="M347" s="161">
        <v>1414056.0</v>
      </c>
      <c r="N347" s="163">
        <f t="shared" ref="N347:O347" si="616">J347+L347</f>
        <v>3974056</v>
      </c>
      <c r="O347" s="163">
        <f t="shared" si="616"/>
        <v>3974056</v>
      </c>
      <c r="P347" s="183"/>
      <c r="Q347" s="175">
        <v>2560000.0</v>
      </c>
      <c r="R347" s="175">
        <v>2560000.0</v>
      </c>
      <c r="S347" s="175">
        <v>1414056.0</v>
      </c>
      <c r="T347" s="175">
        <v>1414056.0</v>
      </c>
      <c r="U347" s="175">
        <v>3974056.0</v>
      </c>
      <c r="V347" s="175">
        <v>3974056.0</v>
      </c>
      <c r="W347" s="164">
        <f t="shared" ref="W347:AB347" si="617">+J347-Q347</f>
        <v>0</v>
      </c>
      <c r="X347" s="164">
        <f t="shared" si="617"/>
        <v>0</v>
      </c>
      <c r="Y347" s="164">
        <f t="shared" si="617"/>
        <v>0</v>
      </c>
      <c r="Z347" s="164">
        <f t="shared" si="617"/>
        <v>0</v>
      </c>
      <c r="AA347" s="164">
        <f t="shared" si="617"/>
        <v>0</v>
      </c>
      <c r="AB347" s="164">
        <f t="shared" si="617"/>
        <v>0</v>
      </c>
      <c r="AC347" s="183"/>
      <c r="AD347" s="183"/>
      <c r="AE347" s="183"/>
      <c r="AF347" s="183"/>
      <c r="AG347" s="77"/>
      <c r="AH347" s="77"/>
      <c r="AI347" s="183"/>
      <c r="AJ347" s="183"/>
      <c r="AK347" s="183"/>
      <c r="AL347" s="183"/>
      <c r="AM347" s="183"/>
      <c r="AN347" s="183"/>
      <c r="AO347" s="183"/>
      <c r="AP347" s="183"/>
    </row>
    <row r="348" ht="36.75" customHeight="1">
      <c r="A348" s="183"/>
      <c r="B348" s="183"/>
      <c r="C348" s="130"/>
      <c r="D348" s="165" t="s">
        <v>94</v>
      </c>
      <c r="E348" s="165" t="s">
        <v>84</v>
      </c>
      <c r="F348" s="165"/>
      <c r="G348" s="165"/>
      <c r="H348" s="165" t="s">
        <v>112</v>
      </c>
      <c r="I348" s="165">
        <v>223.0</v>
      </c>
      <c r="J348" s="166">
        <v>2930000.0</v>
      </c>
      <c r="K348" s="166">
        <v>2930000.0</v>
      </c>
      <c r="L348" s="161">
        <v>2370936.0</v>
      </c>
      <c r="M348" s="161">
        <v>2370936.0</v>
      </c>
      <c r="N348" s="163">
        <f t="shared" ref="N348:O348" si="618">J348+L348</f>
        <v>5300936</v>
      </c>
      <c r="O348" s="163">
        <f t="shared" si="618"/>
        <v>5300936</v>
      </c>
      <c r="P348" s="183"/>
      <c r="Q348" s="175">
        <v>2930000.0</v>
      </c>
      <c r="R348" s="175">
        <v>2930000.0</v>
      </c>
      <c r="S348" s="175">
        <v>2370935.9999999995</v>
      </c>
      <c r="T348" s="175">
        <v>2370935.9999999995</v>
      </c>
      <c r="U348" s="175">
        <v>5300936.0</v>
      </c>
      <c r="V348" s="175">
        <v>5300936.0</v>
      </c>
      <c r="W348" s="164">
        <f t="shared" ref="W348:AB348" si="619">+J348-Q348</f>
        <v>0</v>
      </c>
      <c r="X348" s="164">
        <f t="shared" si="619"/>
        <v>0</v>
      </c>
      <c r="Y348" s="164">
        <f t="shared" si="619"/>
        <v>0.0000000004656612873</v>
      </c>
      <c r="Z348" s="164">
        <f t="shared" si="619"/>
        <v>0.0000000004656612873</v>
      </c>
      <c r="AA348" s="164">
        <f t="shared" si="619"/>
        <v>0</v>
      </c>
      <c r="AB348" s="164">
        <f t="shared" si="619"/>
        <v>0</v>
      </c>
      <c r="AC348" s="183"/>
      <c r="AD348" s="183"/>
      <c r="AE348" s="183"/>
      <c r="AF348" s="183"/>
      <c r="AG348" s="77"/>
      <c r="AH348" s="77"/>
      <c r="AI348" s="183"/>
      <c r="AJ348" s="183"/>
      <c r="AK348" s="183"/>
      <c r="AL348" s="183"/>
      <c r="AM348" s="183"/>
      <c r="AN348" s="183"/>
      <c r="AO348" s="183"/>
      <c r="AP348" s="183"/>
    </row>
    <row r="349" ht="36.75" customHeight="1">
      <c r="A349" s="183"/>
      <c r="B349" s="183"/>
      <c r="C349" s="130"/>
      <c r="D349" s="165" t="s">
        <v>83</v>
      </c>
      <c r="E349" s="165" t="s">
        <v>94</v>
      </c>
      <c r="F349" s="165"/>
      <c r="G349" s="165"/>
      <c r="H349" s="165"/>
      <c r="I349" s="165">
        <v>133.0</v>
      </c>
      <c r="J349" s="166">
        <v>2560000.0</v>
      </c>
      <c r="K349" s="166">
        <v>2560000.0</v>
      </c>
      <c r="L349" s="161">
        <v>1414056.0</v>
      </c>
      <c r="M349" s="161">
        <v>1414056.0</v>
      </c>
      <c r="N349" s="163">
        <f t="shared" ref="N349:O349" si="620">J349+L349</f>
        <v>3974056</v>
      </c>
      <c r="O349" s="163">
        <f t="shared" si="620"/>
        <v>3974056</v>
      </c>
      <c r="P349" s="183"/>
      <c r="Q349" s="175">
        <v>2560000.0</v>
      </c>
      <c r="R349" s="175">
        <v>2560000.0</v>
      </c>
      <c r="S349" s="175">
        <v>1414056.0</v>
      </c>
      <c r="T349" s="175">
        <v>1414056.0</v>
      </c>
      <c r="U349" s="175">
        <v>3974056.0</v>
      </c>
      <c r="V349" s="175">
        <v>3974056.0</v>
      </c>
      <c r="W349" s="164">
        <f t="shared" ref="W349:AB349" si="621">+J349-Q349</f>
        <v>0</v>
      </c>
      <c r="X349" s="164">
        <f t="shared" si="621"/>
        <v>0</v>
      </c>
      <c r="Y349" s="164">
        <f t="shared" si="621"/>
        <v>0</v>
      </c>
      <c r="Z349" s="164">
        <f t="shared" si="621"/>
        <v>0</v>
      </c>
      <c r="AA349" s="164">
        <f t="shared" si="621"/>
        <v>0</v>
      </c>
      <c r="AB349" s="164">
        <f t="shared" si="621"/>
        <v>0</v>
      </c>
      <c r="AC349" s="183"/>
      <c r="AD349" s="183"/>
      <c r="AE349" s="183"/>
      <c r="AF349" s="183"/>
      <c r="AG349" s="77"/>
      <c r="AH349" s="77"/>
      <c r="AI349" s="183"/>
      <c r="AJ349" s="183"/>
      <c r="AK349" s="183"/>
      <c r="AL349" s="183"/>
      <c r="AM349" s="183"/>
      <c r="AN349" s="183"/>
      <c r="AO349" s="183"/>
      <c r="AP349" s="183"/>
    </row>
    <row r="350" ht="36.75" customHeight="1">
      <c r="A350" s="183"/>
      <c r="B350" s="183"/>
      <c r="C350" s="130"/>
      <c r="D350" s="165" t="s">
        <v>94</v>
      </c>
      <c r="E350" s="165" t="s">
        <v>85</v>
      </c>
      <c r="F350" s="165"/>
      <c r="G350" s="165"/>
      <c r="H350" s="165" t="s">
        <v>112</v>
      </c>
      <c r="I350" s="165">
        <v>177.0</v>
      </c>
      <c r="J350" s="166">
        <v>2610000.0</v>
      </c>
      <c r="K350" s="166">
        <v>2610000.0</v>
      </c>
      <c r="L350" s="161">
        <v>1881864.0</v>
      </c>
      <c r="M350" s="161">
        <v>1881864.0</v>
      </c>
      <c r="N350" s="163">
        <f t="shared" ref="N350:O350" si="622">J350+L350</f>
        <v>4491864</v>
      </c>
      <c r="O350" s="163">
        <f t="shared" si="622"/>
        <v>4491864</v>
      </c>
      <c r="P350" s="183"/>
      <c r="Q350" s="175">
        <v>2610000.0</v>
      </c>
      <c r="R350" s="175">
        <v>2610000.0</v>
      </c>
      <c r="S350" s="175">
        <v>1881864.0</v>
      </c>
      <c r="T350" s="175">
        <v>1881864.0</v>
      </c>
      <c r="U350" s="175">
        <v>4491864.0</v>
      </c>
      <c r="V350" s="175">
        <v>4491864.0</v>
      </c>
      <c r="W350" s="164">
        <f t="shared" ref="W350:AB350" si="623">+J350-Q350</f>
        <v>0</v>
      </c>
      <c r="X350" s="164">
        <f t="shared" si="623"/>
        <v>0</v>
      </c>
      <c r="Y350" s="164">
        <f t="shared" si="623"/>
        <v>0</v>
      </c>
      <c r="Z350" s="164">
        <f t="shared" si="623"/>
        <v>0</v>
      </c>
      <c r="AA350" s="164">
        <f t="shared" si="623"/>
        <v>0</v>
      </c>
      <c r="AB350" s="164">
        <f t="shared" si="623"/>
        <v>0</v>
      </c>
      <c r="AC350" s="183"/>
      <c r="AD350" s="183"/>
      <c r="AE350" s="183"/>
      <c r="AF350" s="183"/>
      <c r="AG350" s="77"/>
      <c r="AH350" s="77"/>
      <c r="AI350" s="183"/>
      <c r="AJ350" s="183"/>
      <c r="AK350" s="183"/>
      <c r="AL350" s="183"/>
      <c r="AM350" s="183"/>
      <c r="AN350" s="183"/>
      <c r="AO350" s="183"/>
      <c r="AP350" s="183"/>
    </row>
    <row r="351" ht="36.75" customHeight="1">
      <c r="A351" s="183"/>
      <c r="B351" s="183"/>
      <c r="C351" s="130"/>
      <c r="D351" s="165" t="s">
        <v>83</v>
      </c>
      <c r="E351" s="165" t="s">
        <v>94</v>
      </c>
      <c r="F351" s="165"/>
      <c r="G351" s="165"/>
      <c r="H351" s="165"/>
      <c r="I351" s="165">
        <v>133.0</v>
      </c>
      <c r="J351" s="166">
        <v>2560000.0</v>
      </c>
      <c r="K351" s="166">
        <v>2560000.0</v>
      </c>
      <c r="L351" s="161">
        <v>1414056.0</v>
      </c>
      <c r="M351" s="161">
        <v>1414056.0</v>
      </c>
      <c r="N351" s="163">
        <f t="shared" ref="N351:O351" si="624">J351+L351</f>
        <v>3974056</v>
      </c>
      <c r="O351" s="163">
        <f t="shared" si="624"/>
        <v>3974056</v>
      </c>
      <c r="P351" s="183"/>
      <c r="Q351" s="175">
        <v>2560000.0</v>
      </c>
      <c r="R351" s="175">
        <v>2560000.0</v>
      </c>
      <c r="S351" s="175">
        <v>1414056.0</v>
      </c>
      <c r="T351" s="175">
        <v>1414056.0</v>
      </c>
      <c r="U351" s="175">
        <v>3974056.0</v>
      </c>
      <c r="V351" s="175">
        <v>3974056.0</v>
      </c>
      <c r="W351" s="164">
        <f t="shared" ref="W351:AB351" si="625">+J351-Q351</f>
        <v>0</v>
      </c>
      <c r="X351" s="164">
        <f t="shared" si="625"/>
        <v>0</v>
      </c>
      <c r="Y351" s="164">
        <f t="shared" si="625"/>
        <v>0</v>
      </c>
      <c r="Z351" s="164">
        <f t="shared" si="625"/>
        <v>0</v>
      </c>
      <c r="AA351" s="164">
        <f t="shared" si="625"/>
        <v>0</v>
      </c>
      <c r="AB351" s="164">
        <f t="shared" si="625"/>
        <v>0</v>
      </c>
      <c r="AC351" s="183"/>
      <c r="AD351" s="183"/>
      <c r="AE351" s="183"/>
      <c r="AF351" s="183"/>
      <c r="AG351" s="77"/>
      <c r="AH351" s="77"/>
      <c r="AI351" s="183"/>
      <c r="AJ351" s="183"/>
      <c r="AK351" s="183"/>
      <c r="AL351" s="183"/>
      <c r="AM351" s="183"/>
      <c r="AN351" s="183"/>
      <c r="AO351" s="183"/>
      <c r="AP351" s="183"/>
    </row>
    <row r="352" ht="36.75" customHeight="1">
      <c r="A352" s="183"/>
      <c r="B352" s="183"/>
      <c r="C352" s="130"/>
      <c r="D352" s="165" t="s">
        <v>94</v>
      </c>
      <c r="E352" s="165" t="s">
        <v>86</v>
      </c>
      <c r="F352" s="165"/>
      <c r="G352" s="165"/>
      <c r="H352" s="165" t="s">
        <v>112</v>
      </c>
      <c r="I352" s="165">
        <v>191.0</v>
      </c>
      <c r="J352" s="166">
        <v>2820000.0</v>
      </c>
      <c r="K352" s="166">
        <v>2820000.0</v>
      </c>
      <c r="L352" s="161">
        <v>2030712.0</v>
      </c>
      <c r="M352" s="161">
        <v>2030712.0</v>
      </c>
      <c r="N352" s="163">
        <f t="shared" ref="N352:O352" si="626">J352+L352</f>
        <v>4850712</v>
      </c>
      <c r="O352" s="163">
        <f t="shared" si="626"/>
        <v>4850712</v>
      </c>
      <c r="P352" s="183"/>
      <c r="Q352" s="175">
        <v>2820000.0</v>
      </c>
      <c r="R352" s="175">
        <v>2820000.0</v>
      </c>
      <c r="S352" s="175">
        <v>2030712.0</v>
      </c>
      <c r="T352" s="175">
        <v>2030712.0</v>
      </c>
      <c r="U352" s="175">
        <v>4850712.0</v>
      </c>
      <c r="V352" s="175">
        <v>4850712.0</v>
      </c>
      <c r="W352" s="164">
        <f t="shared" ref="W352:AB352" si="627">+J352-Q352</f>
        <v>0</v>
      </c>
      <c r="X352" s="164">
        <f t="shared" si="627"/>
        <v>0</v>
      </c>
      <c r="Y352" s="164">
        <f t="shared" si="627"/>
        <v>0</v>
      </c>
      <c r="Z352" s="164">
        <f t="shared" si="627"/>
        <v>0</v>
      </c>
      <c r="AA352" s="164">
        <f t="shared" si="627"/>
        <v>0</v>
      </c>
      <c r="AB352" s="164">
        <f t="shared" si="627"/>
        <v>0</v>
      </c>
      <c r="AC352" s="183"/>
      <c r="AD352" s="183"/>
      <c r="AE352" s="183"/>
      <c r="AF352" s="183"/>
      <c r="AG352" s="77"/>
      <c r="AH352" s="77"/>
      <c r="AI352" s="183"/>
      <c r="AJ352" s="183"/>
      <c r="AK352" s="183"/>
      <c r="AL352" s="183"/>
      <c r="AM352" s="183"/>
      <c r="AN352" s="183"/>
      <c r="AO352" s="183"/>
      <c r="AP352" s="183"/>
    </row>
    <row r="353" ht="36.75" customHeight="1">
      <c r="A353" s="183"/>
      <c r="B353" s="183"/>
      <c r="C353" s="130"/>
      <c r="D353" s="165" t="s">
        <v>83</v>
      </c>
      <c r="E353" s="165" t="s">
        <v>95</v>
      </c>
      <c r="F353" s="165"/>
      <c r="G353" s="165"/>
      <c r="H353" s="165"/>
      <c r="I353" s="165">
        <v>122.0</v>
      </c>
      <c r="J353" s="166">
        <v>2520000.0</v>
      </c>
      <c r="K353" s="166">
        <v>2520000.0</v>
      </c>
      <c r="L353" s="161">
        <v>1297104.0</v>
      </c>
      <c r="M353" s="161">
        <v>1297104.0</v>
      </c>
      <c r="N353" s="163">
        <f t="shared" ref="N353:O353" si="628">J353+L353</f>
        <v>3817104</v>
      </c>
      <c r="O353" s="163">
        <f t="shared" si="628"/>
        <v>3817104</v>
      </c>
      <c r="P353" s="183"/>
      <c r="Q353" s="175">
        <v>2520000.0</v>
      </c>
      <c r="R353" s="175">
        <v>2520000.0</v>
      </c>
      <c r="S353" s="175">
        <v>1297104.0</v>
      </c>
      <c r="T353" s="175">
        <v>1297104.0</v>
      </c>
      <c r="U353" s="175">
        <v>3817104.0</v>
      </c>
      <c r="V353" s="175">
        <v>3817104.0</v>
      </c>
      <c r="W353" s="164">
        <f t="shared" ref="W353:AB353" si="629">+J353-Q353</f>
        <v>0</v>
      </c>
      <c r="X353" s="164">
        <f t="shared" si="629"/>
        <v>0</v>
      </c>
      <c r="Y353" s="164">
        <f t="shared" si="629"/>
        <v>0</v>
      </c>
      <c r="Z353" s="164">
        <f t="shared" si="629"/>
        <v>0</v>
      </c>
      <c r="AA353" s="164">
        <f t="shared" si="629"/>
        <v>0</v>
      </c>
      <c r="AB353" s="164">
        <f t="shared" si="629"/>
        <v>0</v>
      </c>
      <c r="AC353" s="183"/>
      <c r="AD353" s="183"/>
      <c r="AE353" s="183"/>
      <c r="AF353" s="183"/>
      <c r="AG353" s="77"/>
      <c r="AH353" s="77"/>
      <c r="AI353" s="183"/>
      <c r="AJ353" s="183"/>
      <c r="AK353" s="183"/>
      <c r="AL353" s="183"/>
      <c r="AM353" s="183"/>
      <c r="AN353" s="183"/>
      <c r="AO353" s="183"/>
      <c r="AP353" s="183"/>
    </row>
    <row r="354" ht="36.75" customHeight="1">
      <c r="A354" s="183"/>
      <c r="B354" s="183"/>
      <c r="C354" s="130"/>
      <c r="D354" s="165" t="s">
        <v>95</v>
      </c>
      <c r="E354" s="165" t="s">
        <v>84</v>
      </c>
      <c r="F354" s="165"/>
      <c r="G354" s="165"/>
      <c r="H354" s="165" t="s">
        <v>112</v>
      </c>
      <c r="I354" s="165">
        <v>243.0</v>
      </c>
      <c r="J354" s="166">
        <v>3010000.0</v>
      </c>
      <c r="K354" s="166">
        <v>3010000.0</v>
      </c>
      <c r="L354" s="161">
        <v>2583576.0</v>
      </c>
      <c r="M354" s="161">
        <v>2583576.0</v>
      </c>
      <c r="N354" s="163">
        <f t="shared" ref="N354:O354" si="630">J354+L354</f>
        <v>5593576</v>
      </c>
      <c r="O354" s="163">
        <f t="shared" si="630"/>
        <v>5593576</v>
      </c>
      <c r="P354" s="183"/>
      <c r="Q354" s="175">
        <v>3010000.0</v>
      </c>
      <c r="R354" s="175">
        <v>3010000.0</v>
      </c>
      <c r="S354" s="175">
        <v>2583575.9999999995</v>
      </c>
      <c r="T354" s="175">
        <v>2583575.9999999995</v>
      </c>
      <c r="U354" s="175">
        <v>5593576.0</v>
      </c>
      <c r="V354" s="175">
        <v>5593576.0</v>
      </c>
      <c r="W354" s="164">
        <f t="shared" ref="W354:AB354" si="631">+J354-Q354</f>
        <v>0</v>
      </c>
      <c r="X354" s="164">
        <f t="shared" si="631"/>
        <v>0</v>
      </c>
      <c r="Y354" s="164">
        <f t="shared" si="631"/>
        <v>0.0000000004656612873</v>
      </c>
      <c r="Z354" s="164">
        <f t="shared" si="631"/>
        <v>0.0000000004656612873</v>
      </c>
      <c r="AA354" s="164">
        <f t="shared" si="631"/>
        <v>0</v>
      </c>
      <c r="AB354" s="164">
        <f t="shared" si="631"/>
        <v>0</v>
      </c>
      <c r="AC354" s="183"/>
      <c r="AD354" s="183"/>
      <c r="AE354" s="183"/>
      <c r="AF354" s="183"/>
      <c r="AG354" s="77"/>
      <c r="AH354" s="77"/>
      <c r="AI354" s="183"/>
      <c r="AJ354" s="183"/>
      <c r="AK354" s="183"/>
      <c r="AL354" s="183"/>
      <c r="AM354" s="183"/>
      <c r="AN354" s="183"/>
      <c r="AO354" s="183"/>
      <c r="AP354" s="183"/>
    </row>
    <row r="355" ht="36.75" customHeight="1">
      <c r="A355" s="183"/>
      <c r="B355" s="183"/>
      <c r="C355" s="130"/>
      <c r="D355" s="165" t="s">
        <v>83</v>
      </c>
      <c r="E355" s="165" t="s">
        <v>95</v>
      </c>
      <c r="F355" s="165"/>
      <c r="G355" s="165"/>
      <c r="H355" s="165"/>
      <c r="I355" s="165">
        <v>122.0</v>
      </c>
      <c r="J355" s="166">
        <v>2520000.0</v>
      </c>
      <c r="K355" s="166">
        <v>2520000.0</v>
      </c>
      <c r="L355" s="161">
        <v>1297104.0</v>
      </c>
      <c r="M355" s="161">
        <v>1297104.0</v>
      </c>
      <c r="N355" s="163">
        <f t="shared" ref="N355:O355" si="632">J355+L355</f>
        <v>3817104</v>
      </c>
      <c r="O355" s="163">
        <f t="shared" si="632"/>
        <v>3817104</v>
      </c>
      <c r="P355" s="183"/>
      <c r="Q355" s="175">
        <v>2520000.0</v>
      </c>
      <c r="R355" s="175">
        <v>2520000.0</v>
      </c>
      <c r="S355" s="175">
        <v>1297104.0</v>
      </c>
      <c r="T355" s="175">
        <v>1297104.0</v>
      </c>
      <c r="U355" s="175">
        <v>3817104.0</v>
      </c>
      <c r="V355" s="175">
        <v>3817104.0</v>
      </c>
      <c r="W355" s="164">
        <f t="shared" ref="W355:AB355" si="633">+J355-Q355</f>
        <v>0</v>
      </c>
      <c r="X355" s="164">
        <f t="shared" si="633"/>
        <v>0</v>
      </c>
      <c r="Y355" s="164">
        <f t="shared" si="633"/>
        <v>0</v>
      </c>
      <c r="Z355" s="164">
        <f t="shared" si="633"/>
        <v>0</v>
      </c>
      <c r="AA355" s="164">
        <f t="shared" si="633"/>
        <v>0</v>
      </c>
      <c r="AB355" s="164">
        <f t="shared" si="633"/>
        <v>0</v>
      </c>
      <c r="AC355" s="183"/>
      <c r="AD355" s="183"/>
      <c r="AE355" s="183"/>
      <c r="AF355" s="183"/>
      <c r="AG355" s="77"/>
      <c r="AH355" s="77"/>
      <c r="AI355" s="183"/>
      <c r="AJ355" s="183"/>
      <c r="AK355" s="183"/>
      <c r="AL355" s="183"/>
      <c r="AM355" s="183"/>
      <c r="AN355" s="183"/>
      <c r="AO355" s="183"/>
      <c r="AP355" s="183"/>
    </row>
    <row r="356" ht="36.75" customHeight="1">
      <c r="A356" s="183"/>
      <c r="B356" s="183"/>
      <c r="C356" s="130"/>
      <c r="D356" s="165" t="s">
        <v>95</v>
      </c>
      <c r="E356" s="165" t="s">
        <v>85</v>
      </c>
      <c r="F356" s="165"/>
      <c r="G356" s="165"/>
      <c r="H356" s="165" t="s">
        <v>112</v>
      </c>
      <c r="I356" s="165">
        <v>197.0</v>
      </c>
      <c r="J356" s="166">
        <v>2840000.0</v>
      </c>
      <c r="K356" s="166">
        <v>2840000.0</v>
      </c>
      <c r="L356" s="161">
        <v>2094504.0</v>
      </c>
      <c r="M356" s="161">
        <v>2094504.0</v>
      </c>
      <c r="N356" s="163">
        <f t="shared" ref="N356:O356" si="634">J356+L356</f>
        <v>4934504</v>
      </c>
      <c r="O356" s="163">
        <f t="shared" si="634"/>
        <v>4934504</v>
      </c>
      <c r="P356" s="183"/>
      <c r="Q356" s="175">
        <v>2840000.0</v>
      </c>
      <c r="R356" s="175">
        <v>2840000.0</v>
      </c>
      <c r="S356" s="175">
        <v>2094503.9999999998</v>
      </c>
      <c r="T356" s="175">
        <v>2094503.9999999998</v>
      </c>
      <c r="U356" s="175">
        <v>4934504.0</v>
      </c>
      <c r="V356" s="175">
        <v>4934504.0</v>
      </c>
      <c r="W356" s="164">
        <f t="shared" ref="W356:AB356" si="635">+J356-Q356</f>
        <v>0</v>
      </c>
      <c r="X356" s="164">
        <f t="shared" si="635"/>
        <v>0</v>
      </c>
      <c r="Y356" s="164">
        <f t="shared" si="635"/>
        <v>0.0000000002328306437</v>
      </c>
      <c r="Z356" s="164">
        <f t="shared" si="635"/>
        <v>0.0000000002328306437</v>
      </c>
      <c r="AA356" s="164">
        <f t="shared" si="635"/>
        <v>0</v>
      </c>
      <c r="AB356" s="164">
        <f t="shared" si="635"/>
        <v>0</v>
      </c>
      <c r="AC356" s="183"/>
      <c r="AD356" s="183"/>
      <c r="AE356" s="183"/>
      <c r="AF356" s="183"/>
      <c r="AG356" s="77"/>
      <c r="AH356" s="77"/>
      <c r="AI356" s="183"/>
      <c r="AJ356" s="183"/>
      <c r="AK356" s="183"/>
      <c r="AL356" s="183"/>
      <c r="AM356" s="183"/>
      <c r="AN356" s="183"/>
      <c r="AO356" s="183"/>
      <c r="AP356" s="183"/>
    </row>
    <row r="357" ht="36.75" customHeight="1">
      <c r="A357" s="183"/>
      <c r="B357" s="183"/>
      <c r="C357" s="130"/>
      <c r="D357" s="126" t="s">
        <v>83</v>
      </c>
      <c r="E357" s="126" t="s">
        <v>95</v>
      </c>
      <c r="F357" s="126"/>
      <c r="G357" s="126"/>
      <c r="H357" s="126"/>
      <c r="I357" s="126">
        <v>122.0</v>
      </c>
      <c r="J357" s="161">
        <v>2520000.0</v>
      </c>
      <c r="K357" s="161">
        <v>2520000.0</v>
      </c>
      <c r="L357" s="161">
        <v>1297104.0</v>
      </c>
      <c r="M357" s="161">
        <v>1297104.0</v>
      </c>
      <c r="N357" s="163">
        <f t="shared" ref="N357:O357" si="636">J357+L357</f>
        <v>3817104</v>
      </c>
      <c r="O357" s="163">
        <f t="shared" si="636"/>
        <v>3817104</v>
      </c>
      <c r="P357" s="183"/>
      <c r="Q357" s="175">
        <v>2520000.0</v>
      </c>
      <c r="R357" s="175">
        <v>2520000.0</v>
      </c>
      <c r="S357" s="175">
        <v>1297104.0</v>
      </c>
      <c r="T357" s="175">
        <v>1297104.0</v>
      </c>
      <c r="U357" s="175">
        <v>3817104.0</v>
      </c>
      <c r="V357" s="175">
        <v>3817104.0</v>
      </c>
      <c r="W357" s="164">
        <f t="shared" ref="W357:AB357" si="637">+J357-Q357</f>
        <v>0</v>
      </c>
      <c r="X357" s="164">
        <f t="shared" si="637"/>
        <v>0</v>
      </c>
      <c r="Y357" s="164">
        <f t="shared" si="637"/>
        <v>0</v>
      </c>
      <c r="Z357" s="164">
        <f t="shared" si="637"/>
        <v>0</v>
      </c>
      <c r="AA357" s="164">
        <f t="shared" si="637"/>
        <v>0</v>
      </c>
      <c r="AB357" s="164">
        <f t="shared" si="637"/>
        <v>0</v>
      </c>
      <c r="AC357" s="183"/>
      <c r="AD357" s="183"/>
      <c r="AE357" s="183"/>
      <c r="AF357" s="183"/>
      <c r="AG357" s="77"/>
      <c r="AH357" s="77"/>
      <c r="AI357" s="183"/>
      <c r="AJ357" s="183"/>
      <c r="AK357" s="183"/>
      <c r="AL357" s="183"/>
      <c r="AM357" s="183"/>
      <c r="AN357" s="183"/>
      <c r="AO357" s="183"/>
      <c r="AP357" s="183"/>
    </row>
    <row r="358" ht="36.75" customHeight="1">
      <c r="A358" s="183"/>
      <c r="B358" s="183"/>
      <c r="C358" s="118"/>
      <c r="D358" s="126" t="s">
        <v>95</v>
      </c>
      <c r="E358" s="126" t="s">
        <v>86</v>
      </c>
      <c r="F358" s="126"/>
      <c r="G358" s="126"/>
      <c r="H358" s="126" t="s">
        <v>112</v>
      </c>
      <c r="I358" s="126">
        <v>166.0</v>
      </c>
      <c r="J358" s="161">
        <v>2570000.0</v>
      </c>
      <c r="K358" s="161">
        <v>2570000.0</v>
      </c>
      <c r="L358" s="161">
        <v>1764912.0</v>
      </c>
      <c r="M358" s="161">
        <v>1764912.0</v>
      </c>
      <c r="N358" s="163">
        <f t="shared" ref="N358:O358" si="638">J358+L358</f>
        <v>4334912</v>
      </c>
      <c r="O358" s="163">
        <f t="shared" si="638"/>
        <v>4334912</v>
      </c>
      <c r="P358" s="183"/>
      <c r="Q358" s="175">
        <v>2570000.0</v>
      </c>
      <c r="R358" s="175">
        <v>2570000.0</v>
      </c>
      <c r="S358" s="175">
        <v>1764912.0</v>
      </c>
      <c r="T358" s="175">
        <v>1764912.0</v>
      </c>
      <c r="U358" s="175">
        <v>4334912.0</v>
      </c>
      <c r="V358" s="175">
        <v>4334912.0</v>
      </c>
      <c r="W358" s="164">
        <f t="shared" ref="W358:AB358" si="639">+J358-Q358</f>
        <v>0</v>
      </c>
      <c r="X358" s="164">
        <f t="shared" si="639"/>
        <v>0</v>
      </c>
      <c r="Y358" s="164">
        <f t="shared" si="639"/>
        <v>0</v>
      </c>
      <c r="Z358" s="164">
        <f t="shared" si="639"/>
        <v>0</v>
      </c>
      <c r="AA358" s="164">
        <f t="shared" si="639"/>
        <v>0</v>
      </c>
      <c r="AB358" s="164">
        <f t="shared" si="639"/>
        <v>0</v>
      </c>
      <c r="AC358" s="183"/>
      <c r="AD358" s="183"/>
      <c r="AE358" s="183"/>
      <c r="AF358" s="183"/>
      <c r="AG358" s="77"/>
      <c r="AH358" s="77"/>
      <c r="AI358" s="183"/>
      <c r="AJ358" s="183"/>
      <c r="AK358" s="183"/>
      <c r="AL358" s="183"/>
      <c r="AM358" s="183"/>
      <c r="AN358" s="183"/>
      <c r="AO358" s="183"/>
      <c r="AP358" s="183"/>
    </row>
    <row r="359" ht="36.75" customHeight="1">
      <c r="A359" s="183"/>
      <c r="B359" s="183"/>
      <c r="C359" s="167" t="s">
        <v>92</v>
      </c>
      <c r="D359" s="126" t="s">
        <v>90</v>
      </c>
      <c r="E359" s="126" t="s">
        <v>96</v>
      </c>
      <c r="F359" s="126"/>
      <c r="G359" s="126"/>
      <c r="H359" s="126"/>
      <c r="I359" s="126">
        <v>85.0</v>
      </c>
      <c r="J359" s="161">
        <v>1950000.0</v>
      </c>
      <c r="K359" s="161">
        <v>1950000.0</v>
      </c>
      <c r="L359" s="161">
        <v>903720.0</v>
      </c>
      <c r="M359" s="161">
        <v>903720.0</v>
      </c>
      <c r="N359" s="163">
        <f t="shared" ref="N359:O359" si="640">J359+L359</f>
        <v>2853720</v>
      </c>
      <c r="O359" s="163">
        <f t="shared" si="640"/>
        <v>2853720</v>
      </c>
      <c r="P359" s="183"/>
      <c r="Q359" s="175">
        <v>1950000.0</v>
      </c>
      <c r="R359" s="175">
        <v>1950000.0</v>
      </c>
      <c r="S359" s="175">
        <v>903720.0</v>
      </c>
      <c r="T359" s="175">
        <v>903720.0</v>
      </c>
      <c r="U359" s="175">
        <v>2853720.0</v>
      </c>
      <c r="V359" s="175">
        <v>2853720.0</v>
      </c>
      <c r="W359" s="164">
        <f t="shared" ref="W359:AB359" si="641">+J359-Q359</f>
        <v>0</v>
      </c>
      <c r="X359" s="164">
        <f t="shared" si="641"/>
        <v>0</v>
      </c>
      <c r="Y359" s="164">
        <f t="shared" si="641"/>
        <v>0</v>
      </c>
      <c r="Z359" s="164">
        <f t="shared" si="641"/>
        <v>0</v>
      </c>
      <c r="AA359" s="164">
        <f t="shared" si="641"/>
        <v>0</v>
      </c>
      <c r="AB359" s="164">
        <f t="shared" si="641"/>
        <v>0</v>
      </c>
      <c r="AC359" s="183"/>
      <c r="AD359" s="183"/>
      <c r="AE359" s="183"/>
      <c r="AF359" s="183"/>
      <c r="AG359" s="77"/>
      <c r="AH359" s="77"/>
      <c r="AI359" s="183"/>
      <c r="AJ359" s="183"/>
      <c r="AK359" s="183"/>
      <c r="AL359" s="183"/>
      <c r="AM359" s="183"/>
      <c r="AN359" s="183"/>
      <c r="AO359" s="183"/>
      <c r="AP359" s="183"/>
    </row>
    <row r="360" ht="36.75" customHeight="1">
      <c r="A360" s="183"/>
      <c r="B360" s="183"/>
      <c r="C360" s="130"/>
      <c r="D360" s="126" t="s">
        <v>96</v>
      </c>
      <c r="E360" s="126" t="s">
        <v>84</v>
      </c>
      <c r="F360" s="126"/>
      <c r="G360" s="126"/>
      <c r="H360" s="126" t="s">
        <v>112</v>
      </c>
      <c r="I360" s="126">
        <v>246.0</v>
      </c>
      <c r="J360" s="161">
        <v>3400000.0</v>
      </c>
      <c r="K360" s="161">
        <v>3400000.0</v>
      </c>
      <c r="L360" s="161">
        <v>2615472.0</v>
      </c>
      <c r="M360" s="161">
        <v>2615472.0</v>
      </c>
      <c r="N360" s="163">
        <f t="shared" ref="N360:O360" si="642">J360+L360</f>
        <v>6015472</v>
      </c>
      <c r="O360" s="163">
        <f t="shared" si="642"/>
        <v>6015472</v>
      </c>
      <c r="P360" s="183"/>
      <c r="Q360" s="175">
        <v>3400000.0</v>
      </c>
      <c r="R360" s="175">
        <v>3400000.0</v>
      </c>
      <c r="S360" s="175">
        <v>2615472.0</v>
      </c>
      <c r="T360" s="175">
        <v>2615472.0</v>
      </c>
      <c r="U360" s="175">
        <v>6015472.0</v>
      </c>
      <c r="V360" s="175">
        <v>6015472.0</v>
      </c>
      <c r="W360" s="164">
        <f t="shared" ref="W360:AB360" si="643">+J360-Q360</f>
        <v>0</v>
      </c>
      <c r="X360" s="164">
        <f t="shared" si="643"/>
        <v>0</v>
      </c>
      <c r="Y360" s="164">
        <f t="shared" si="643"/>
        <v>0</v>
      </c>
      <c r="Z360" s="164">
        <f t="shared" si="643"/>
        <v>0</v>
      </c>
      <c r="AA360" s="164">
        <f t="shared" si="643"/>
        <v>0</v>
      </c>
      <c r="AB360" s="164">
        <f t="shared" si="643"/>
        <v>0</v>
      </c>
      <c r="AC360" s="183"/>
      <c r="AD360" s="183"/>
      <c r="AE360" s="183"/>
      <c r="AF360" s="183"/>
      <c r="AG360" s="77"/>
      <c r="AH360" s="77"/>
      <c r="AI360" s="183"/>
      <c r="AJ360" s="183"/>
      <c r="AK360" s="183"/>
      <c r="AL360" s="183"/>
      <c r="AM360" s="183"/>
      <c r="AN360" s="183"/>
      <c r="AO360" s="183"/>
      <c r="AP360" s="183"/>
    </row>
    <row r="361" ht="36.75" customHeight="1">
      <c r="A361" s="183"/>
      <c r="B361" s="183"/>
      <c r="C361" s="130"/>
      <c r="D361" s="126" t="s">
        <v>90</v>
      </c>
      <c r="E361" s="126" t="s">
        <v>96</v>
      </c>
      <c r="F361" s="126"/>
      <c r="G361" s="126"/>
      <c r="H361" s="126"/>
      <c r="I361" s="126">
        <v>85.0</v>
      </c>
      <c r="J361" s="161">
        <v>1950000.0</v>
      </c>
      <c r="K361" s="161">
        <v>1950000.0</v>
      </c>
      <c r="L361" s="161">
        <v>903720.0</v>
      </c>
      <c r="M361" s="161">
        <v>903720.0</v>
      </c>
      <c r="N361" s="163">
        <f t="shared" ref="N361:O361" si="644">J361+L361</f>
        <v>2853720</v>
      </c>
      <c r="O361" s="163">
        <f t="shared" si="644"/>
        <v>2853720</v>
      </c>
      <c r="P361" s="183"/>
      <c r="Q361" s="175">
        <v>1950000.0</v>
      </c>
      <c r="R361" s="175">
        <v>1950000.0</v>
      </c>
      <c r="S361" s="175">
        <v>903720.0</v>
      </c>
      <c r="T361" s="175">
        <v>903720.0</v>
      </c>
      <c r="U361" s="175">
        <v>2853720.0</v>
      </c>
      <c r="V361" s="175">
        <v>2853720.0</v>
      </c>
      <c r="W361" s="164">
        <f t="shared" ref="W361:AB361" si="645">+J361-Q361</f>
        <v>0</v>
      </c>
      <c r="X361" s="164">
        <f t="shared" si="645"/>
        <v>0</v>
      </c>
      <c r="Y361" s="164">
        <f t="shared" si="645"/>
        <v>0</v>
      </c>
      <c r="Z361" s="164">
        <f t="shared" si="645"/>
        <v>0</v>
      </c>
      <c r="AA361" s="164">
        <f t="shared" si="645"/>
        <v>0</v>
      </c>
      <c r="AB361" s="164">
        <f t="shared" si="645"/>
        <v>0</v>
      </c>
      <c r="AC361" s="183"/>
      <c r="AD361" s="183"/>
      <c r="AE361" s="183"/>
      <c r="AF361" s="183"/>
      <c r="AG361" s="77"/>
      <c r="AH361" s="77"/>
      <c r="AI361" s="183"/>
      <c r="AJ361" s="183"/>
      <c r="AK361" s="183"/>
      <c r="AL361" s="183"/>
      <c r="AM361" s="183"/>
      <c r="AN361" s="183"/>
      <c r="AO361" s="183"/>
      <c r="AP361" s="183"/>
    </row>
    <row r="362" ht="36.75" customHeight="1">
      <c r="A362" s="183"/>
      <c r="B362" s="183"/>
      <c r="C362" s="130"/>
      <c r="D362" s="126" t="s">
        <v>96</v>
      </c>
      <c r="E362" s="126" t="s">
        <v>85</v>
      </c>
      <c r="F362" s="126"/>
      <c r="G362" s="126"/>
      <c r="H362" s="126" t="s">
        <v>112</v>
      </c>
      <c r="I362" s="126">
        <v>271.0</v>
      </c>
      <c r="J362" s="161">
        <v>3640000.0</v>
      </c>
      <c r="K362" s="161">
        <v>3640000.0</v>
      </c>
      <c r="L362" s="161">
        <v>2881272.0</v>
      </c>
      <c r="M362" s="161">
        <v>2881272.0</v>
      </c>
      <c r="N362" s="163">
        <f t="shared" ref="N362:O362" si="646">J362+L362</f>
        <v>6521272</v>
      </c>
      <c r="O362" s="163">
        <f t="shared" si="646"/>
        <v>6521272</v>
      </c>
      <c r="P362" s="183"/>
      <c r="Q362" s="175">
        <v>3640000.0</v>
      </c>
      <c r="R362" s="175">
        <v>3640000.0</v>
      </c>
      <c r="S362" s="175">
        <v>2881272.0</v>
      </c>
      <c r="T362" s="175">
        <v>2881272.0</v>
      </c>
      <c r="U362" s="175">
        <v>6521272.0</v>
      </c>
      <c r="V362" s="175">
        <v>6521272.0</v>
      </c>
      <c r="W362" s="164">
        <f t="shared" ref="W362:AB362" si="647">+J362-Q362</f>
        <v>0</v>
      </c>
      <c r="X362" s="164">
        <f t="shared" si="647"/>
        <v>0</v>
      </c>
      <c r="Y362" s="164">
        <f t="shared" si="647"/>
        <v>0</v>
      </c>
      <c r="Z362" s="164">
        <f t="shared" si="647"/>
        <v>0</v>
      </c>
      <c r="AA362" s="164">
        <f t="shared" si="647"/>
        <v>0</v>
      </c>
      <c r="AB362" s="164">
        <f t="shared" si="647"/>
        <v>0</v>
      </c>
      <c r="AC362" s="183"/>
      <c r="AD362" s="183"/>
      <c r="AE362" s="183"/>
      <c r="AF362" s="183"/>
      <c r="AG362" s="77"/>
      <c r="AH362" s="77"/>
      <c r="AI362" s="183"/>
      <c r="AJ362" s="183"/>
      <c r="AK362" s="183"/>
      <c r="AL362" s="183"/>
      <c r="AM362" s="183"/>
      <c r="AN362" s="183"/>
      <c r="AO362" s="183"/>
      <c r="AP362" s="183"/>
    </row>
    <row r="363" ht="35.25" customHeight="1">
      <c r="A363" s="183"/>
      <c r="B363" s="183"/>
      <c r="C363" s="130"/>
      <c r="D363" s="126" t="s">
        <v>90</v>
      </c>
      <c r="E363" s="126" t="s">
        <v>96</v>
      </c>
      <c r="F363" s="126"/>
      <c r="G363" s="126"/>
      <c r="H363" s="126"/>
      <c r="I363" s="126">
        <v>85.0</v>
      </c>
      <c r="J363" s="161">
        <v>1950000.0</v>
      </c>
      <c r="K363" s="161">
        <v>1950000.0</v>
      </c>
      <c r="L363" s="161">
        <v>903720.0</v>
      </c>
      <c r="M363" s="161">
        <v>903720.0</v>
      </c>
      <c r="N363" s="163">
        <f t="shared" ref="N363:O363" si="648">J363+L363</f>
        <v>2853720</v>
      </c>
      <c r="O363" s="163">
        <f t="shared" si="648"/>
        <v>2853720</v>
      </c>
      <c r="P363" s="183"/>
      <c r="Q363" s="175">
        <v>1950000.0</v>
      </c>
      <c r="R363" s="175">
        <v>1950000.0</v>
      </c>
      <c r="S363" s="175">
        <v>903720.0</v>
      </c>
      <c r="T363" s="175">
        <v>903720.0</v>
      </c>
      <c r="U363" s="175">
        <v>2853720.0</v>
      </c>
      <c r="V363" s="175">
        <v>2853720.0</v>
      </c>
      <c r="W363" s="164">
        <f t="shared" ref="W363:AB363" si="649">+J363-Q363</f>
        <v>0</v>
      </c>
      <c r="X363" s="164">
        <f t="shared" si="649"/>
        <v>0</v>
      </c>
      <c r="Y363" s="164">
        <f t="shared" si="649"/>
        <v>0</v>
      </c>
      <c r="Z363" s="164">
        <f t="shared" si="649"/>
        <v>0</v>
      </c>
      <c r="AA363" s="164">
        <f t="shared" si="649"/>
        <v>0</v>
      </c>
      <c r="AB363" s="164">
        <f t="shared" si="649"/>
        <v>0</v>
      </c>
      <c r="AC363" s="183"/>
      <c r="AD363" s="183"/>
      <c r="AE363" s="183"/>
      <c r="AF363" s="183"/>
      <c r="AG363" s="77"/>
      <c r="AH363" s="77"/>
      <c r="AI363" s="183"/>
      <c r="AJ363" s="183"/>
      <c r="AK363" s="183"/>
      <c r="AL363" s="183"/>
      <c r="AM363" s="183"/>
      <c r="AN363" s="183"/>
      <c r="AO363" s="183"/>
      <c r="AP363" s="183"/>
    </row>
    <row r="364" ht="35.25" customHeight="1">
      <c r="A364" s="183"/>
      <c r="B364" s="183"/>
      <c r="C364" s="130"/>
      <c r="D364" s="126" t="s">
        <v>96</v>
      </c>
      <c r="E364" s="126" t="s">
        <v>86</v>
      </c>
      <c r="F364" s="126"/>
      <c r="G364" s="126"/>
      <c r="H364" s="126" t="s">
        <v>112</v>
      </c>
      <c r="I364" s="126">
        <v>280.0</v>
      </c>
      <c r="J364" s="161">
        <v>3670000.0</v>
      </c>
      <c r="K364" s="161">
        <v>3670000.0</v>
      </c>
      <c r="L364" s="161">
        <v>2976960.0</v>
      </c>
      <c r="M364" s="161">
        <v>2976960.0</v>
      </c>
      <c r="N364" s="163">
        <f t="shared" ref="N364:O364" si="650">J364+L364</f>
        <v>6646960</v>
      </c>
      <c r="O364" s="163">
        <f t="shared" si="650"/>
        <v>6646960</v>
      </c>
      <c r="P364" s="183"/>
      <c r="Q364" s="175">
        <v>3670000.0</v>
      </c>
      <c r="R364" s="175">
        <v>3670000.0</v>
      </c>
      <c r="S364" s="175">
        <v>2976960.0</v>
      </c>
      <c r="T364" s="175">
        <v>2976960.0</v>
      </c>
      <c r="U364" s="175">
        <v>6646960.0</v>
      </c>
      <c r="V364" s="175">
        <v>6646960.0</v>
      </c>
      <c r="W364" s="164">
        <f t="shared" ref="W364:AB364" si="651">+J364-Q364</f>
        <v>0</v>
      </c>
      <c r="X364" s="164">
        <f t="shared" si="651"/>
        <v>0</v>
      </c>
      <c r="Y364" s="164">
        <f t="shared" si="651"/>
        <v>0</v>
      </c>
      <c r="Z364" s="164">
        <f t="shared" si="651"/>
        <v>0</v>
      </c>
      <c r="AA364" s="164">
        <f t="shared" si="651"/>
        <v>0</v>
      </c>
      <c r="AB364" s="164">
        <f t="shared" si="651"/>
        <v>0</v>
      </c>
      <c r="AC364" s="183"/>
      <c r="AD364" s="183"/>
      <c r="AE364" s="183"/>
      <c r="AF364" s="183"/>
      <c r="AG364" s="77"/>
      <c r="AH364" s="77"/>
      <c r="AI364" s="183"/>
      <c r="AJ364" s="183"/>
      <c r="AK364" s="183"/>
      <c r="AL364" s="183"/>
      <c r="AM364" s="183"/>
      <c r="AN364" s="183"/>
      <c r="AO364" s="183"/>
      <c r="AP364" s="183"/>
    </row>
    <row r="365" ht="35.25" customHeight="1">
      <c r="A365" s="183"/>
      <c r="B365" s="183"/>
      <c r="C365" s="130"/>
      <c r="D365" s="126" t="s">
        <v>90</v>
      </c>
      <c r="E365" s="126" t="s">
        <v>97</v>
      </c>
      <c r="F365" s="126"/>
      <c r="G365" s="126"/>
      <c r="H365" s="126"/>
      <c r="I365" s="126">
        <v>35.0</v>
      </c>
      <c r="J365" s="161">
        <v>1450000.0</v>
      </c>
      <c r="K365" s="161">
        <v>1450000.0</v>
      </c>
      <c r="L365" s="161">
        <v>372120.0</v>
      </c>
      <c r="M365" s="161">
        <v>372120.0</v>
      </c>
      <c r="N365" s="163">
        <f t="shared" ref="N365:O365" si="652">J365+L365</f>
        <v>1822120</v>
      </c>
      <c r="O365" s="163">
        <f t="shared" si="652"/>
        <v>1822120</v>
      </c>
      <c r="P365" s="183"/>
      <c r="Q365" s="175">
        <v>1450000.0</v>
      </c>
      <c r="R365" s="175">
        <v>1450000.0</v>
      </c>
      <c r="S365" s="175">
        <v>372120.0</v>
      </c>
      <c r="T365" s="175">
        <v>372120.0</v>
      </c>
      <c r="U365" s="175">
        <v>1822120.0</v>
      </c>
      <c r="V365" s="175">
        <v>1822120.0</v>
      </c>
      <c r="W365" s="164">
        <f t="shared" ref="W365:AB365" si="653">+J365-Q365</f>
        <v>0</v>
      </c>
      <c r="X365" s="164">
        <f t="shared" si="653"/>
        <v>0</v>
      </c>
      <c r="Y365" s="164">
        <f t="shared" si="653"/>
        <v>0</v>
      </c>
      <c r="Z365" s="164">
        <f t="shared" si="653"/>
        <v>0</v>
      </c>
      <c r="AA365" s="164">
        <f t="shared" si="653"/>
        <v>0</v>
      </c>
      <c r="AB365" s="164">
        <f t="shared" si="653"/>
        <v>0</v>
      </c>
      <c r="AC365" s="183"/>
      <c r="AD365" s="183"/>
      <c r="AE365" s="183"/>
      <c r="AF365" s="183"/>
      <c r="AG365" s="77"/>
      <c r="AH365" s="77"/>
      <c r="AI365" s="183"/>
      <c r="AJ365" s="183"/>
      <c r="AK365" s="183"/>
      <c r="AL365" s="183"/>
      <c r="AM365" s="183"/>
      <c r="AN365" s="183"/>
      <c r="AO365" s="183"/>
      <c r="AP365" s="183"/>
    </row>
    <row r="366" ht="35.25" customHeight="1">
      <c r="A366" s="183"/>
      <c r="B366" s="183"/>
      <c r="C366" s="130"/>
      <c r="D366" s="126" t="s">
        <v>97</v>
      </c>
      <c r="E366" s="126" t="s">
        <v>84</v>
      </c>
      <c r="F366" s="126"/>
      <c r="G366" s="126"/>
      <c r="H366" s="126" t="s">
        <v>112</v>
      </c>
      <c r="I366" s="126">
        <v>321.0</v>
      </c>
      <c r="J366" s="161">
        <v>4000000.0</v>
      </c>
      <c r="K366" s="161">
        <v>4000000.0</v>
      </c>
      <c r="L366" s="161">
        <v>3412872.0</v>
      </c>
      <c r="M366" s="161">
        <v>3412872.0</v>
      </c>
      <c r="N366" s="163">
        <f t="shared" ref="N366:O366" si="654">J366+L366</f>
        <v>7412872</v>
      </c>
      <c r="O366" s="163">
        <f t="shared" si="654"/>
        <v>7412872</v>
      </c>
      <c r="P366" s="183"/>
      <c r="Q366" s="175">
        <v>4000000.0</v>
      </c>
      <c r="R366" s="175">
        <v>4000000.0</v>
      </c>
      <c r="S366" s="175">
        <v>3412872.0</v>
      </c>
      <c r="T366" s="175">
        <v>3412872.0</v>
      </c>
      <c r="U366" s="175">
        <v>7412872.0</v>
      </c>
      <c r="V366" s="175">
        <v>7412872.0</v>
      </c>
      <c r="W366" s="164">
        <f t="shared" ref="W366:AB366" si="655">+J366-Q366</f>
        <v>0</v>
      </c>
      <c r="X366" s="164">
        <f t="shared" si="655"/>
        <v>0</v>
      </c>
      <c r="Y366" s="164">
        <f t="shared" si="655"/>
        <v>0</v>
      </c>
      <c r="Z366" s="164">
        <f t="shared" si="655"/>
        <v>0</v>
      </c>
      <c r="AA366" s="164">
        <f t="shared" si="655"/>
        <v>0</v>
      </c>
      <c r="AB366" s="164">
        <f t="shared" si="655"/>
        <v>0</v>
      </c>
      <c r="AC366" s="183"/>
      <c r="AD366" s="183"/>
      <c r="AE366" s="183"/>
      <c r="AF366" s="183"/>
      <c r="AG366" s="77"/>
      <c r="AH366" s="77"/>
      <c r="AI366" s="183"/>
      <c r="AJ366" s="183"/>
      <c r="AK366" s="183"/>
      <c r="AL366" s="183"/>
      <c r="AM366" s="183"/>
      <c r="AN366" s="183"/>
      <c r="AO366" s="183"/>
      <c r="AP366" s="183"/>
    </row>
    <row r="367" ht="35.25" customHeight="1">
      <c r="A367" s="183"/>
      <c r="B367" s="183"/>
      <c r="C367" s="130"/>
      <c r="D367" s="126" t="s">
        <v>90</v>
      </c>
      <c r="E367" s="126" t="s">
        <v>97</v>
      </c>
      <c r="F367" s="126"/>
      <c r="G367" s="126"/>
      <c r="H367" s="126"/>
      <c r="I367" s="126">
        <v>35.0</v>
      </c>
      <c r="J367" s="161">
        <v>1450000.0</v>
      </c>
      <c r="K367" s="161">
        <v>1450000.0</v>
      </c>
      <c r="L367" s="161">
        <v>372120.0</v>
      </c>
      <c r="M367" s="161">
        <v>372120.0</v>
      </c>
      <c r="N367" s="163">
        <f t="shared" ref="N367:O367" si="656">J367+L367</f>
        <v>1822120</v>
      </c>
      <c r="O367" s="163">
        <f t="shared" si="656"/>
        <v>1822120</v>
      </c>
      <c r="P367" s="183"/>
      <c r="Q367" s="175">
        <v>1450000.0</v>
      </c>
      <c r="R367" s="175">
        <v>1450000.0</v>
      </c>
      <c r="S367" s="175">
        <v>372120.0</v>
      </c>
      <c r="T367" s="175">
        <v>372120.0</v>
      </c>
      <c r="U367" s="175">
        <v>1822120.0</v>
      </c>
      <c r="V367" s="175">
        <v>1822120.0</v>
      </c>
      <c r="W367" s="164">
        <f t="shared" ref="W367:AB367" si="657">+J367-Q367</f>
        <v>0</v>
      </c>
      <c r="X367" s="164">
        <f t="shared" si="657"/>
        <v>0</v>
      </c>
      <c r="Y367" s="164">
        <f t="shared" si="657"/>
        <v>0</v>
      </c>
      <c r="Z367" s="164">
        <f t="shared" si="657"/>
        <v>0</v>
      </c>
      <c r="AA367" s="164">
        <f t="shared" si="657"/>
        <v>0</v>
      </c>
      <c r="AB367" s="164">
        <f t="shared" si="657"/>
        <v>0</v>
      </c>
      <c r="AC367" s="183"/>
      <c r="AD367" s="183"/>
      <c r="AE367" s="183"/>
      <c r="AF367" s="183"/>
      <c r="AG367" s="77"/>
      <c r="AH367" s="77"/>
      <c r="AI367" s="183"/>
      <c r="AJ367" s="183"/>
      <c r="AK367" s="183"/>
      <c r="AL367" s="183"/>
      <c r="AM367" s="183"/>
      <c r="AN367" s="183"/>
      <c r="AO367" s="183"/>
      <c r="AP367" s="183"/>
    </row>
    <row r="368" ht="35.25" customHeight="1">
      <c r="A368" s="183"/>
      <c r="B368" s="183"/>
      <c r="C368" s="130"/>
      <c r="D368" s="126" t="s">
        <v>97</v>
      </c>
      <c r="E368" s="126" t="s">
        <v>85</v>
      </c>
      <c r="F368" s="126"/>
      <c r="G368" s="126"/>
      <c r="H368" s="126" t="s">
        <v>112</v>
      </c>
      <c r="I368" s="126">
        <v>275.0</v>
      </c>
      <c r="J368" s="161">
        <v>3700000.0</v>
      </c>
      <c r="K368" s="161">
        <v>3700000.0</v>
      </c>
      <c r="L368" s="161">
        <v>2923800.0</v>
      </c>
      <c r="M368" s="161">
        <v>2923800.0</v>
      </c>
      <c r="N368" s="163">
        <f t="shared" ref="N368:O368" si="658">J368+L368</f>
        <v>6623800</v>
      </c>
      <c r="O368" s="163">
        <f t="shared" si="658"/>
        <v>6623800</v>
      </c>
      <c r="P368" s="183"/>
      <c r="Q368" s="175">
        <v>3700000.0</v>
      </c>
      <c r="R368" s="175">
        <v>3700000.0</v>
      </c>
      <c r="S368" s="175">
        <v>2923800.0</v>
      </c>
      <c r="T368" s="175">
        <v>2923800.0</v>
      </c>
      <c r="U368" s="175">
        <v>6623800.0</v>
      </c>
      <c r="V368" s="175">
        <v>6623800.0</v>
      </c>
      <c r="W368" s="164">
        <f t="shared" ref="W368:AB368" si="659">+J368-Q368</f>
        <v>0</v>
      </c>
      <c r="X368" s="164">
        <f t="shared" si="659"/>
        <v>0</v>
      </c>
      <c r="Y368" s="164">
        <f t="shared" si="659"/>
        <v>0</v>
      </c>
      <c r="Z368" s="164">
        <f t="shared" si="659"/>
        <v>0</v>
      </c>
      <c r="AA368" s="164">
        <f t="shared" si="659"/>
        <v>0</v>
      </c>
      <c r="AB368" s="164">
        <f t="shared" si="659"/>
        <v>0</v>
      </c>
      <c r="AC368" s="183"/>
      <c r="AD368" s="183"/>
      <c r="AE368" s="183"/>
      <c r="AF368" s="183"/>
      <c r="AG368" s="77"/>
      <c r="AH368" s="77"/>
      <c r="AI368" s="183"/>
      <c r="AJ368" s="183"/>
      <c r="AK368" s="183"/>
      <c r="AL368" s="183"/>
      <c r="AM368" s="183"/>
      <c r="AN368" s="183"/>
      <c r="AO368" s="183"/>
      <c r="AP368" s="183"/>
    </row>
    <row r="369" ht="35.25" customHeight="1">
      <c r="A369" s="183"/>
      <c r="B369" s="183"/>
      <c r="C369" s="130"/>
      <c r="D369" s="126" t="s">
        <v>90</v>
      </c>
      <c r="E369" s="126" t="s">
        <v>97</v>
      </c>
      <c r="F369" s="126"/>
      <c r="G369" s="126"/>
      <c r="H369" s="126"/>
      <c r="I369" s="126">
        <v>35.0</v>
      </c>
      <c r="J369" s="161">
        <v>1450000.0</v>
      </c>
      <c r="K369" s="161">
        <v>1450000.0</v>
      </c>
      <c r="L369" s="161">
        <v>372120.0</v>
      </c>
      <c r="M369" s="161">
        <v>372120.0</v>
      </c>
      <c r="N369" s="163">
        <f t="shared" ref="N369:O369" si="660">J369+L369</f>
        <v>1822120</v>
      </c>
      <c r="O369" s="163">
        <f t="shared" si="660"/>
        <v>1822120</v>
      </c>
      <c r="P369" s="183"/>
      <c r="Q369" s="175">
        <v>1450000.0</v>
      </c>
      <c r="R369" s="175">
        <v>1450000.0</v>
      </c>
      <c r="S369" s="175">
        <v>372120.0</v>
      </c>
      <c r="T369" s="175">
        <v>372120.0</v>
      </c>
      <c r="U369" s="175">
        <v>1822120.0</v>
      </c>
      <c r="V369" s="175">
        <v>1822120.0</v>
      </c>
      <c r="W369" s="164">
        <f t="shared" ref="W369:AB369" si="661">+J369-Q369</f>
        <v>0</v>
      </c>
      <c r="X369" s="164">
        <f t="shared" si="661"/>
        <v>0</v>
      </c>
      <c r="Y369" s="164">
        <f t="shared" si="661"/>
        <v>0</v>
      </c>
      <c r="Z369" s="164">
        <f t="shared" si="661"/>
        <v>0</v>
      </c>
      <c r="AA369" s="164">
        <f t="shared" si="661"/>
        <v>0</v>
      </c>
      <c r="AB369" s="164">
        <f t="shared" si="661"/>
        <v>0</v>
      </c>
      <c r="AC369" s="183"/>
      <c r="AD369" s="183"/>
      <c r="AE369" s="183"/>
      <c r="AF369" s="183"/>
      <c r="AG369" s="77"/>
      <c r="AH369" s="77"/>
      <c r="AI369" s="183"/>
      <c r="AJ369" s="183"/>
      <c r="AK369" s="183"/>
      <c r="AL369" s="183"/>
      <c r="AM369" s="183"/>
      <c r="AN369" s="183"/>
      <c r="AO369" s="183"/>
      <c r="AP369" s="183"/>
    </row>
    <row r="370" ht="35.25" customHeight="1">
      <c r="A370" s="183"/>
      <c r="B370" s="183"/>
      <c r="C370" s="130"/>
      <c r="D370" s="126" t="s">
        <v>97</v>
      </c>
      <c r="E370" s="126" t="s">
        <v>86</v>
      </c>
      <c r="F370" s="126"/>
      <c r="G370" s="126"/>
      <c r="H370" s="126" t="s">
        <v>112</v>
      </c>
      <c r="I370" s="126">
        <v>289.0</v>
      </c>
      <c r="J370" s="161">
        <v>3700000.0</v>
      </c>
      <c r="K370" s="161">
        <v>3700000.0</v>
      </c>
      <c r="L370" s="161">
        <v>3072648.0</v>
      </c>
      <c r="M370" s="161">
        <v>3072648.0</v>
      </c>
      <c r="N370" s="163">
        <f t="shared" ref="N370:O370" si="662">J370+L370</f>
        <v>6772648</v>
      </c>
      <c r="O370" s="163">
        <f t="shared" si="662"/>
        <v>6772648</v>
      </c>
      <c r="P370" s="183"/>
      <c r="Q370" s="175">
        <v>3700000.0</v>
      </c>
      <c r="R370" s="175">
        <v>3700000.0</v>
      </c>
      <c r="S370" s="175">
        <v>3072648.0</v>
      </c>
      <c r="T370" s="175">
        <v>3072648.0</v>
      </c>
      <c r="U370" s="175">
        <v>6772648.0</v>
      </c>
      <c r="V370" s="175">
        <v>6772648.0</v>
      </c>
      <c r="W370" s="164">
        <f t="shared" ref="W370:AB370" si="663">+J370-Q370</f>
        <v>0</v>
      </c>
      <c r="X370" s="164">
        <f t="shared" si="663"/>
        <v>0</v>
      </c>
      <c r="Y370" s="164">
        <f t="shared" si="663"/>
        <v>0</v>
      </c>
      <c r="Z370" s="164">
        <f t="shared" si="663"/>
        <v>0</v>
      </c>
      <c r="AA370" s="164">
        <f t="shared" si="663"/>
        <v>0</v>
      </c>
      <c r="AB370" s="164">
        <f t="shared" si="663"/>
        <v>0</v>
      </c>
      <c r="AC370" s="183"/>
      <c r="AD370" s="183"/>
      <c r="AE370" s="183"/>
      <c r="AF370" s="183"/>
      <c r="AG370" s="77"/>
      <c r="AH370" s="77"/>
      <c r="AI370" s="183"/>
      <c r="AJ370" s="183"/>
      <c r="AK370" s="183"/>
      <c r="AL370" s="183"/>
      <c r="AM370" s="183"/>
      <c r="AN370" s="183"/>
      <c r="AO370" s="183"/>
      <c r="AP370" s="183"/>
    </row>
    <row r="371" ht="35.25" customHeight="1">
      <c r="A371" s="183"/>
      <c r="B371" s="183"/>
      <c r="C371" s="130"/>
      <c r="D371" s="126" t="s">
        <v>90</v>
      </c>
      <c r="E371" s="126" t="s">
        <v>98</v>
      </c>
      <c r="F371" s="126"/>
      <c r="G371" s="126"/>
      <c r="H371" s="126"/>
      <c r="I371" s="126">
        <v>25.0</v>
      </c>
      <c r="J371" s="161">
        <v>1350000.0</v>
      </c>
      <c r="K371" s="161">
        <v>1350000.0</v>
      </c>
      <c r="L371" s="161">
        <v>265800.0</v>
      </c>
      <c r="M371" s="161">
        <v>265800.0</v>
      </c>
      <c r="N371" s="163">
        <f t="shared" ref="N371:O371" si="664">J371+L371</f>
        <v>1615800</v>
      </c>
      <c r="O371" s="163">
        <f t="shared" si="664"/>
        <v>1615800</v>
      </c>
      <c r="P371" s="183"/>
      <c r="Q371" s="175">
        <v>1350000.0</v>
      </c>
      <c r="R371" s="175">
        <v>1350000.0</v>
      </c>
      <c r="S371" s="175">
        <v>265800.0</v>
      </c>
      <c r="T371" s="175">
        <v>265800.0</v>
      </c>
      <c r="U371" s="175">
        <v>1615800.0</v>
      </c>
      <c r="V371" s="175">
        <v>1615800.0</v>
      </c>
      <c r="W371" s="164">
        <f t="shared" ref="W371:AB371" si="665">+J371-Q371</f>
        <v>0</v>
      </c>
      <c r="X371" s="164">
        <f t="shared" si="665"/>
        <v>0</v>
      </c>
      <c r="Y371" s="164">
        <f t="shared" si="665"/>
        <v>0</v>
      </c>
      <c r="Z371" s="164">
        <f t="shared" si="665"/>
        <v>0</v>
      </c>
      <c r="AA371" s="164">
        <f t="shared" si="665"/>
        <v>0</v>
      </c>
      <c r="AB371" s="164">
        <f t="shared" si="665"/>
        <v>0</v>
      </c>
      <c r="AC371" s="183"/>
      <c r="AD371" s="183"/>
      <c r="AE371" s="183"/>
      <c r="AF371" s="183"/>
      <c r="AG371" s="77"/>
      <c r="AH371" s="77"/>
      <c r="AI371" s="183"/>
      <c r="AJ371" s="183"/>
      <c r="AK371" s="183"/>
      <c r="AL371" s="183"/>
      <c r="AM371" s="183"/>
      <c r="AN371" s="183"/>
      <c r="AO371" s="183"/>
      <c r="AP371" s="183"/>
    </row>
    <row r="372" ht="35.25" customHeight="1">
      <c r="A372" s="183"/>
      <c r="B372" s="183"/>
      <c r="C372" s="130"/>
      <c r="D372" s="126" t="s">
        <v>98</v>
      </c>
      <c r="E372" s="126" t="s">
        <v>84</v>
      </c>
      <c r="F372" s="126"/>
      <c r="G372" s="126"/>
      <c r="H372" s="126" t="s">
        <v>112</v>
      </c>
      <c r="I372" s="126">
        <v>340.0</v>
      </c>
      <c r="J372" s="161">
        <v>4000000.0</v>
      </c>
      <c r="K372" s="161">
        <v>4000000.0</v>
      </c>
      <c r="L372" s="161">
        <v>3614880.0</v>
      </c>
      <c r="M372" s="161">
        <v>3614880.0</v>
      </c>
      <c r="N372" s="163">
        <f t="shared" ref="N372:O372" si="666">J372+L372</f>
        <v>7614880</v>
      </c>
      <c r="O372" s="163">
        <f t="shared" si="666"/>
        <v>7614880</v>
      </c>
      <c r="P372" s="183"/>
      <c r="Q372" s="175">
        <v>4000000.0</v>
      </c>
      <c r="R372" s="175">
        <v>4000000.0</v>
      </c>
      <c r="S372" s="175">
        <v>3614880.0</v>
      </c>
      <c r="T372" s="175">
        <v>3614880.0</v>
      </c>
      <c r="U372" s="175">
        <v>7614880.0</v>
      </c>
      <c r="V372" s="175">
        <v>7614880.0</v>
      </c>
      <c r="W372" s="164">
        <f t="shared" ref="W372:AB372" si="667">+J372-Q372</f>
        <v>0</v>
      </c>
      <c r="X372" s="164">
        <f t="shared" si="667"/>
        <v>0</v>
      </c>
      <c r="Y372" s="164">
        <f t="shared" si="667"/>
        <v>0</v>
      </c>
      <c r="Z372" s="164">
        <f t="shared" si="667"/>
        <v>0</v>
      </c>
      <c r="AA372" s="164">
        <f t="shared" si="667"/>
        <v>0</v>
      </c>
      <c r="AB372" s="164">
        <f t="shared" si="667"/>
        <v>0</v>
      </c>
      <c r="AC372" s="183"/>
      <c r="AD372" s="183"/>
      <c r="AE372" s="183"/>
      <c r="AF372" s="183"/>
      <c r="AG372" s="77"/>
      <c r="AH372" s="77"/>
      <c r="AI372" s="183"/>
      <c r="AJ372" s="183"/>
      <c r="AK372" s="183"/>
      <c r="AL372" s="183"/>
      <c r="AM372" s="183"/>
      <c r="AN372" s="183"/>
      <c r="AO372" s="183"/>
      <c r="AP372" s="183"/>
    </row>
    <row r="373" ht="35.25" customHeight="1">
      <c r="A373" s="183"/>
      <c r="B373" s="183"/>
      <c r="C373" s="130"/>
      <c r="D373" s="126" t="s">
        <v>90</v>
      </c>
      <c r="E373" s="126" t="s">
        <v>98</v>
      </c>
      <c r="F373" s="126"/>
      <c r="G373" s="126"/>
      <c r="H373" s="126"/>
      <c r="I373" s="126">
        <v>25.0</v>
      </c>
      <c r="J373" s="161">
        <v>1350000.0</v>
      </c>
      <c r="K373" s="161">
        <v>1350000.0</v>
      </c>
      <c r="L373" s="161">
        <v>265800.0</v>
      </c>
      <c r="M373" s="161">
        <v>265800.0</v>
      </c>
      <c r="N373" s="163">
        <f t="shared" ref="N373:O373" si="668">J373+L373</f>
        <v>1615800</v>
      </c>
      <c r="O373" s="163">
        <f t="shared" si="668"/>
        <v>1615800</v>
      </c>
      <c r="P373" s="183"/>
      <c r="Q373" s="175">
        <v>1350000.0</v>
      </c>
      <c r="R373" s="175">
        <v>1350000.0</v>
      </c>
      <c r="S373" s="175">
        <v>265800.0</v>
      </c>
      <c r="T373" s="175">
        <v>265800.0</v>
      </c>
      <c r="U373" s="175">
        <v>1615800.0</v>
      </c>
      <c r="V373" s="175">
        <v>1615800.0</v>
      </c>
      <c r="W373" s="164">
        <f t="shared" ref="W373:AB373" si="669">+J373-Q373</f>
        <v>0</v>
      </c>
      <c r="X373" s="164">
        <f t="shared" si="669"/>
        <v>0</v>
      </c>
      <c r="Y373" s="164">
        <f t="shared" si="669"/>
        <v>0</v>
      </c>
      <c r="Z373" s="164">
        <f t="shared" si="669"/>
        <v>0</v>
      </c>
      <c r="AA373" s="164">
        <f t="shared" si="669"/>
        <v>0</v>
      </c>
      <c r="AB373" s="164">
        <f t="shared" si="669"/>
        <v>0</v>
      </c>
      <c r="AC373" s="183"/>
      <c r="AD373" s="183"/>
      <c r="AE373" s="183"/>
      <c r="AF373" s="183"/>
      <c r="AG373" s="77"/>
      <c r="AH373" s="77"/>
      <c r="AI373" s="183"/>
      <c r="AJ373" s="183"/>
      <c r="AK373" s="183"/>
      <c r="AL373" s="183"/>
      <c r="AM373" s="183"/>
      <c r="AN373" s="183"/>
      <c r="AO373" s="183"/>
      <c r="AP373" s="183"/>
    </row>
    <row r="374" ht="35.25" customHeight="1">
      <c r="A374" s="183"/>
      <c r="B374" s="183"/>
      <c r="C374" s="130"/>
      <c r="D374" s="126" t="s">
        <v>98</v>
      </c>
      <c r="E374" s="126" t="s">
        <v>85</v>
      </c>
      <c r="F374" s="126"/>
      <c r="G374" s="126"/>
      <c r="H374" s="126" t="s">
        <v>112</v>
      </c>
      <c r="I374" s="126">
        <v>294.0</v>
      </c>
      <c r="J374" s="161">
        <v>3700000.0</v>
      </c>
      <c r="K374" s="161">
        <v>3700000.0</v>
      </c>
      <c r="L374" s="161">
        <v>3125808.0</v>
      </c>
      <c r="M374" s="161">
        <v>3125808.0</v>
      </c>
      <c r="N374" s="163">
        <f t="shared" ref="N374:O374" si="670">J374+L374</f>
        <v>6825808</v>
      </c>
      <c r="O374" s="163">
        <f t="shared" si="670"/>
        <v>6825808</v>
      </c>
      <c r="P374" s="183"/>
      <c r="Q374" s="175">
        <v>3700000.0</v>
      </c>
      <c r="R374" s="175">
        <v>3700000.0</v>
      </c>
      <c r="S374" s="175">
        <v>3125808.0</v>
      </c>
      <c r="T374" s="175">
        <v>3125808.0</v>
      </c>
      <c r="U374" s="175">
        <v>6825808.0</v>
      </c>
      <c r="V374" s="175">
        <v>6825808.0</v>
      </c>
      <c r="W374" s="164">
        <f t="shared" ref="W374:AB374" si="671">+J374-Q374</f>
        <v>0</v>
      </c>
      <c r="X374" s="164">
        <f t="shared" si="671"/>
        <v>0</v>
      </c>
      <c r="Y374" s="164">
        <f t="shared" si="671"/>
        <v>0</v>
      </c>
      <c r="Z374" s="164">
        <f t="shared" si="671"/>
        <v>0</v>
      </c>
      <c r="AA374" s="164">
        <f t="shared" si="671"/>
        <v>0</v>
      </c>
      <c r="AB374" s="164">
        <f t="shared" si="671"/>
        <v>0</v>
      </c>
      <c r="AC374" s="183"/>
      <c r="AD374" s="183"/>
      <c r="AE374" s="183"/>
      <c r="AF374" s="183"/>
      <c r="AG374" s="77"/>
      <c r="AH374" s="77"/>
      <c r="AI374" s="183"/>
      <c r="AJ374" s="183"/>
      <c r="AK374" s="183"/>
      <c r="AL374" s="183"/>
      <c r="AM374" s="183"/>
      <c r="AN374" s="183"/>
      <c r="AO374" s="183"/>
      <c r="AP374" s="183"/>
    </row>
    <row r="375" ht="35.25" customHeight="1">
      <c r="A375" s="183"/>
      <c r="B375" s="183"/>
      <c r="C375" s="130"/>
      <c r="D375" s="126" t="s">
        <v>90</v>
      </c>
      <c r="E375" s="126" t="s">
        <v>98</v>
      </c>
      <c r="F375" s="126"/>
      <c r="G375" s="126"/>
      <c r="H375" s="126"/>
      <c r="I375" s="126">
        <v>25.0</v>
      </c>
      <c r="J375" s="161">
        <v>1350000.0</v>
      </c>
      <c r="K375" s="161">
        <v>1350000.0</v>
      </c>
      <c r="L375" s="161">
        <v>265800.0</v>
      </c>
      <c r="M375" s="161">
        <v>265800.0</v>
      </c>
      <c r="N375" s="163">
        <f t="shared" ref="N375:O375" si="672">J375+L375</f>
        <v>1615800</v>
      </c>
      <c r="O375" s="163">
        <f t="shared" si="672"/>
        <v>1615800</v>
      </c>
      <c r="P375" s="183"/>
      <c r="Q375" s="175">
        <v>1350000.0</v>
      </c>
      <c r="R375" s="175">
        <v>1350000.0</v>
      </c>
      <c r="S375" s="175">
        <v>265800.0</v>
      </c>
      <c r="T375" s="175">
        <v>265800.0</v>
      </c>
      <c r="U375" s="175">
        <v>1615800.0</v>
      </c>
      <c r="V375" s="175">
        <v>1615800.0</v>
      </c>
      <c r="W375" s="164">
        <f t="shared" ref="W375:AB375" si="673">+J375-Q375</f>
        <v>0</v>
      </c>
      <c r="X375" s="164">
        <f t="shared" si="673"/>
        <v>0</v>
      </c>
      <c r="Y375" s="164">
        <f t="shared" si="673"/>
        <v>0</v>
      </c>
      <c r="Z375" s="164">
        <f t="shared" si="673"/>
        <v>0</v>
      </c>
      <c r="AA375" s="164">
        <f t="shared" si="673"/>
        <v>0</v>
      </c>
      <c r="AB375" s="164">
        <f t="shared" si="673"/>
        <v>0</v>
      </c>
      <c r="AC375" s="183"/>
      <c r="AD375" s="183"/>
      <c r="AE375" s="183"/>
      <c r="AF375" s="183"/>
      <c r="AG375" s="77"/>
      <c r="AH375" s="77"/>
      <c r="AI375" s="183"/>
      <c r="AJ375" s="183"/>
      <c r="AK375" s="183"/>
      <c r="AL375" s="183"/>
      <c r="AM375" s="183"/>
      <c r="AN375" s="183"/>
      <c r="AO375" s="183"/>
      <c r="AP375" s="183"/>
    </row>
    <row r="376" ht="35.25" customHeight="1">
      <c r="A376" s="183"/>
      <c r="B376" s="183"/>
      <c r="C376" s="184"/>
      <c r="D376" s="126" t="s">
        <v>98</v>
      </c>
      <c r="E376" s="126" t="s">
        <v>86</v>
      </c>
      <c r="F376" s="126"/>
      <c r="G376" s="126"/>
      <c r="H376" s="126" t="s">
        <v>112</v>
      </c>
      <c r="I376" s="126">
        <v>263.0</v>
      </c>
      <c r="J376" s="161">
        <v>3400000.0</v>
      </c>
      <c r="K376" s="161">
        <v>3400000.0</v>
      </c>
      <c r="L376" s="161">
        <v>2796216.0</v>
      </c>
      <c r="M376" s="161">
        <v>2796216.0</v>
      </c>
      <c r="N376" s="163">
        <f t="shared" ref="N376:O376" si="674">J376+L376</f>
        <v>6196216</v>
      </c>
      <c r="O376" s="163">
        <f t="shared" si="674"/>
        <v>6196216</v>
      </c>
      <c r="P376" s="183"/>
      <c r="Q376" s="175">
        <v>3400000.0</v>
      </c>
      <c r="R376" s="175">
        <v>3400000.0</v>
      </c>
      <c r="S376" s="175">
        <v>2796215.9999999995</v>
      </c>
      <c r="T376" s="175">
        <v>2796215.9999999995</v>
      </c>
      <c r="U376" s="175">
        <v>6196216.0</v>
      </c>
      <c r="V376" s="175">
        <v>6196216.0</v>
      </c>
      <c r="W376" s="164">
        <f t="shared" ref="W376:AB376" si="675">+J376-Q376</f>
        <v>0</v>
      </c>
      <c r="X376" s="164">
        <f t="shared" si="675"/>
        <v>0</v>
      </c>
      <c r="Y376" s="164">
        <f t="shared" si="675"/>
        <v>0.0000000004656612873</v>
      </c>
      <c r="Z376" s="164">
        <f t="shared" si="675"/>
        <v>0.0000000004656612873</v>
      </c>
      <c r="AA376" s="164">
        <f t="shared" si="675"/>
        <v>0</v>
      </c>
      <c r="AB376" s="164">
        <f t="shared" si="675"/>
        <v>0</v>
      </c>
      <c r="AC376" s="183"/>
      <c r="AD376" s="183"/>
      <c r="AE376" s="183"/>
      <c r="AF376" s="183"/>
      <c r="AG376" s="77"/>
      <c r="AH376" s="77"/>
      <c r="AI376" s="183"/>
      <c r="AJ376" s="183"/>
      <c r="AK376" s="183"/>
      <c r="AL376" s="183"/>
      <c r="AM376" s="183"/>
      <c r="AN376" s="183"/>
      <c r="AO376" s="183"/>
      <c r="AP376" s="183"/>
    </row>
    <row r="377" ht="35.25" customHeight="1">
      <c r="A377" s="183"/>
      <c r="B377" s="183"/>
      <c r="C377" s="167" t="s">
        <v>92</v>
      </c>
      <c r="D377" s="126" t="s">
        <v>91</v>
      </c>
      <c r="E377" s="126" t="s">
        <v>99</v>
      </c>
      <c r="F377" s="126"/>
      <c r="G377" s="126"/>
      <c r="H377" s="126"/>
      <c r="I377" s="126">
        <v>65.0</v>
      </c>
      <c r="J377" s="161">
        <v>1930000.0</v>
      </c>
      <c r="K377" s="161">
        <v>1930000.0</v>
      </c>
      <c r="L377" s="161">
        <v>691080.0</v>
      </c>
      <c r="M377" s="161">
        <v>691080.0</v>
      </c>
      <c r="N377" s="163">
        <f t="shared" ref="N377:O377" si="676">J377+L377</f>
        <v>2621080</v>
      </c>
      <c r="O377" s="163">
        <f t="shared" si="676"/>
        <v>2621080</v>
      </c>
      <c r="P377" s="183"/>
      <c r="Q377" s="175">
        <v>1930000.0</v>
      </c>
      <c r="R377" s="175">
        <v>1930000.0</v>
      </c>
      <c r="S377" s="175">
        <v>691080.0</v>
      </c>
      <c r="T377" s="175">
        <v>691080.0</v>
      </c>
      <c r="U377" s="175">
        <v>2621080.0</v>
      </c>
      <c r="V377" s="175">
        <v>2621080.0</v>
      </c>
      <c r="W377" s="164">
        <f t="shared" ref="W377:AB377" si="677">+J377-Q377</f>
        <v>0</v>
      </c>
      <c r="X377" s="164">
        <f t="shared" si="677"/>
        <v>0</v>
      </c>
      <c r="Y377" s="164">
        <f t="shared" si="677"/>
        <v>0</v>
      </c>
      <c r="Z377" s="164">
        <f t="shared" si="677"/>
        <v>0</v>
      </c>
      <c r="AA377" s="164">
        <f t="shared" si="677"/>
        <v>0</v>
      </c>
      <c r="AB377" s="164">
        <f t="shared" si="677"/>
        <v>0</v>
      </c>
      <c r="AC377" s="183"/>
      <c r="AD377" s="183"/>
      <c r="AE377" s="183"/>
      <c r="AF377" s="183"/>
      <c r="AG377" s="77"/>
      <c r="AH377" s="77"/>
      <c r="AI377" s="183"/>
      <c r="AJ377" s="183"/>
      <c r="AK377" s="183"/>
      <c r="AL377" s="183"/>
      <c r="AM377" s="183"/>
      <c r="AN377" s="183"/>
      <c r="AO377" s="183"/>
      <c r="AP377" s="183"/>
    </row>
    <row r="378" ht="35.25" customHeight="1">
      <c r="A378" s="183"/>
      <c r="B378" s="183"/>
      <c r="C378" s="130"/>
      <c r="D378" s="126" t="s">
        <v>99</v>
      </c>
      <c r="E378" s="126" t="s">
        <v>84</v>
      </c>
      <c r="F378" s="126"/>
      <c r="G378" s="126"/>
      <c r="H378" s="126" t="s">
        <v>112</v>
      </c>
      <c r="I378" s="126">
        <v>267.0</v>
      </c>
      <c r="J378" s="161">
        <v>3410000.0</v>
      </c>
      <c r="K378" s="161">
        <v>3410000.0</v>
      </c>
      <c r="L378" s="161">
        <v>2838744.0</v>
      </c>
      <c r="M378" s="161">
        <v>2838744.0</v>
      </c>
      <c r="N378" s="163">
        <f t="shared" ref="N378:O378" si="678">J378+L378</f>
        <v>6248744</v>
      </c>
      <c r="O378" s="163">
        <f t="shared" si="678"/>
        <v>6248744</v>
      </c>
      <c r="P378" s="183"/>
      <c r="Q378" s="175">
        <v>3410000.0</v>
      </c>
      <c r="R378" s="175">
        <v>3410000.0</v>
      </c>
      <c r="S378" s="175">
        <v>2838744.0</v>
      </c>
      <c r="T378" s="175">
        <v>2838744.0</v>
      </c>
      <c r="U378" s="175">
        <v>6248744.0</v>
      </c>
      <c r="V378" s="175">
        <v>6248744.0</v>
      </c>
      <c r="W378" s="164">
        <f t="shared" ref="W378:AB378" si="679">+J378-Q378</f>
        <v>0</v>
      </c>
      <c r="X378" s="164">
        <f t="shared" si="679"/>
        <v>0</v>
      </c>
      <c r="Y378" s="164">
        <f t="shared" si="679"/>
        <v>0</v>
      </c>
      <c r="Z378" s="164">
        <f t="shared" si="679"/>
        <v>0</v>
      </c>
      <c r="AA378" s="164">
        <f t="shared" si="679"/>
        <v>0</v>
      </c>
      <c r="AB378" s="164">
        <f t="shared" si="679"/>
        <v>0</v>
      </c>
      <c r="AC378" s="183"/>
      <c r="AD378" s="183"/>
      <c r="AE378" s="183"/>
      <c r="AF378" s="183"/>
      <c r="AG378" s="77"/>
      <c r="AH378" s="77"/>
      <c r="AI378" s="183"/>
      <c r="AJ378" s="183"/>
      <c r="AK378" s="183"/>
      <c r="AL378" s="183"/>
      <c r="AM378" s="183"/>
      <c r="AN378" s="183"/>
      <c r="AO378" s="183"/>
      <c r="AP378" s="183"/>
    </row>
    <row r="379" ht="35.25" customHeight="1">
      <c r="A379" s="183"/>
      <c r="B379" s="183"/>
      <c r="C379" s="130"/>
      <c r="D379" s="126" t="s">
        <v>91</v>
      </c>
      <c r="E379" s="126" t="s">
        <v>99</v>
      </c>
      <c r="F379" s="126"/>
      <c r="G379" s="126"/>
      <c r="H379" s="126"/>
      <c r="I379" s="126">
        <v>65.0</v>
      </c>
      <c r="J379" s="161">
        <v>1930000.0</v>
      </c>
      <c r="K379" s="161">
        <v>1930000.0</v>
      </c>
      <c r="L379" s="161">
        <v>691080.0</v>
      </c>
      <c r="M379" s="161">
        <v>691080.0</v>
      </c>
      <c r="N379" s="163">
        <f t="shared" ref="N379:O379" si="680">J379+L379</f>
        <v>2621080</v>
      </c>
      <c r="O379" s="163">
        <f t="shared" si="680"/>
        <v>2621080</v>
      </c>
      <c r="P379" s="183"/>
      <c r="Q379" s="175">
        <v>1930000.0</v>
      </c>
      <c r="R379" s="175">
        <v>1930000.0</v>
      </c>
      <c r="S379" s="175">
        <v>691080.0</v>
      </c>
      <c r="T379" s="175">
        <v>691080.0</v>
      </c>
      <c r="U379" s="175">
        <v>2621080.0</v>
      </c>
      <c r="V379" s="175">
        <v>2621080.0</v>
      </c>
      <c r="W379" s="164">
        <f t="shared" ref="W379:AB379" si="681">+J379-Q379</f>
        <v>0</v>
      </c>
      <c r="X379" s="164">
        <f t="shared" si="681"/>
        <v>0</v>
      </c>
      <c r="Y379" s="164">
        <f t="shared" si="681"/>
        <v>0</v>
      </c>
      <c r="Z379" s="164">
        <f t="shared" si="681"/>
        <v>0</v>
      </c>
      <c r="AA379" s="164">
        <f t="shared" si="681"/>
        <v>0</v>
      </c>
      <c r="AB379" s="164">
        <f t="shared" si="681"/>
        <v>0</v>
      </c>
      <c r="AC379" s="183"/>
      <c r="AD379" s="183"/>
      <c r="AE379" s="183"/>
      <c r="AF379" s="183"/>
      <c r="AG379" s="77"/>
      <c r="AH379" s="77"/>
      <c r="AI379" s="183"/>
      <c r="AJ379" s="183"/>
      <c r="AK379" s="183"/>
      <c r="AL379" s="183"/>
      <c r="AM379" s="183"/>
      <c r="AN379" s="183"/>
      <c r="AO379" s="183"/>
      <c r="AP379" s="183"/>
    </row>
    <row r="380" ht="35.25" customHeight="1">
      <c r="A380" s="183"/>
      <c r="B380" s="183"/>
      <c r="C380" s="130"/>
      <c r="D380" s="126" t="s">
        <v>99</v>
      </c>
      <c r="E380" s="126" t="s">
        <v>85</v>
      </c>
      <c r="F380" s="126"/>
      <c r="G380" s="126"/>
      <c r="H380" s="126" t="s">
        <v>112</v>
      </c>
      <c r="I380" s="126">
        <v>291.0</v>
      </c>
      <c r="J380" s="161">
        <v>3660000.0</v>
      </c>
      <c r="K380" s="161">
        <v>3660000.0</v>
      </c>
      <c r="L380" s="161">
        <v>3093912.0</v>
      </c>
      <c r="M380" s="161">
        <v>3093912.0</v>
      </c>
      <c r="N380" s="163">
        <f t="shared" ref="N380:O380" si="682">J380+L380</f>
        <v>6753912</v>
      </c>
      <c r="O380" s="163">
        <f t="shared" si="682"/>
        <v>6753912</v>
      </c>
      <c r="P380" s="183"/>
      <c r="Q380" s="175">
        <v>3660000.0</v>
      </c>
      <c r="R380" s="175">
        <v>3660000.0</v>
      </c>
      <c r="S380" s="175">
        <v>3093912.0</v>
      </c>
      <c r="T380" s="175">
        <v>3093912.0</v>
      </c>
      <c r="U380" s="175">
        <v>6753912.0</v>
      </c>
      <c r="V380" s="175">
        <v>6753912.0</v>
      </c>
      <c r="W380" s="164">
        <f t="shared" ref="W380:AB380" si="683">+J380-Q380</f>
        <v>0</v>
      </c>
      <c r="X380" s="164">
        <f t="shared" si="683"/>
        <v>0</v>
      </c>
      <c r="Y380" s="164">
        <f t="shared" si="683"/>
        <v>0</v>
      </c>
      <c r="Z380" s="164">
        <f t="shared" si="683"/>
        <v>0</v>
      </c>
      <c r="AA380" s="164">
        <f t="shared" si="683"/>
        <v>0</v>
      </c>
      <c r="AB380" s="164">
        <f t="shared" si="683"/>
        <v>0</v>
      </c>
      <c r="AC380" s="183"/>
      <c r="AD380" s="183"/>
      <c r="AE380" s="183"/>
      <c r="AF380" s="183"/>
      <c r="AG380" s="77"/>
      <c r="AH380" s="77"/>
      <c r="AI380" s="183"/>
      <c r="AJ380" s="183"/>
      <c r="AK380" s="183"/>
      <c r="AL380" s="183"/>
      <c r="AM380" s="183"/>
      <c r="AN380" s="183"/>
      <c r="AO380" s="183"/>
      <c r="AP380" s="183"/>
    </row>
    <row r="381" ht="35.25" customHeight="1">
      <c r="A381" s="183"/>
      <c r="B381" s="183"/>
      <c r="C381" s="130"/>
      <c r="D381" s="126" t="s">
        <v>91</v>
      </c>
      <c r="E381" s="126" t="s">
        <v>99</v>
      </c>
      <c r="F381" s="126"/>
      <c r="G381" s="126"/>
      <c r="H381" s="126"/>
      <c r="I381" s="126">
        <v>65.0</v>
      </c>
      <c r="J381" s="161">
        <v>1930000.0</v>
      </c>
      <c r="K381" s="161">
        <v>1930000.0</v>
      </c>
      <c r="L381" s="161">
        <v>691080.0</v>
      </c>
      <c r="M381" s="161">
        <v>691080.0</v>
      </c>
      <c r="N381" s="163">
        <f t="shared" ref="N381:O381" si="684">J381+L381</f>
        <v>2621080</v>
      </c>
      <c r="O381" s="163">
        <f t="shared" si="684"/>
        <v>2621080</v>
      </c>
      <c r="P381" s="183"/>
      <c r="Q381" s="175">
        <v>1930000.0</v>
      </c>
      <c r="R381" s="175">
        <v>1930000.0</v>
      </c>
      <c r="S381" s="175">
        <v>691080.0</v>
      </c>
      <c r="T381" s="175">
        <v>691080.0</v>
      </c>
      <c r="U381" s="175">
        <v>2621080.0</v>
      </c>
      <c r="V381" s="175">
        <v>2621080.0</v>
      </c>
      <c r="W381" s="164">
        <f t="shared" ref="W381:AB381" si="685">+J381-Q381</f>
        <v>0</v>
      </c>
      <c r="X381" s="164">
        <f t="shared" si="685"/>
        <v>0</v>
      </c>
      <c r="Y381" s="164">
        <f t="shared" si="685"/>
        <v>0</v>
      </c>
      <c r="Z381" s="164">
        <f t="shared" si="685"/>
        <v>0</v>
      </c>
      <c r="AA381" s="164">
        <f t="shared" si="685"/>
        <v>0</v>
      </c>
      <c r="AB381" s="164">
        <f t="shared" si="685"/>
        <v>0</v>
      </c>
      <c r="AC381" s="183"/>
      <c r="AD381" s="183"/>
      <c r="AE381" s="183"/>
      <c r="AF381" s="183"/>
      <c r="AG381" s="77"/>
      <c r="AH381" s="77"/>
      <c r="AI381" s="183"/>
      <c r="AJ381" s="183"/>
      <c r="AK381" s="183"/>
      <c r="AL381" s="183"/>
      <c r="AM381" s="183"/>
      <c r="AN381" s="183"/>
      <c r="AO381" s="183"/>
      <c r="AP381" s="183"/>
    </row>
    <row r="382" ht="35.25" customHeight="1">
      <c r="A382" s="183"/>
      <c r="B382" s="183"/>
      <c r="C382" s="130"/>
      <c r="D382" s="126" t="s">
        <v>99</v>
      </c>
      <c r="E382" s="126" t="s">
        <v>86</v>
      </c>
      <c r="F382" s="126"/>
      <c r="G382" s="126"/>
      <c r="H382" s="126" t="s">
        <v>112</v>
      </c>
      <c r="I382" s="126">
        <v>300.0</v>
      </c>
      <c r="J382" s="161">
        <v>3690000.0</v>
      </c>
      <c r="K382" s="161">
        <v>3690000.0</v>
      </c>
      <c r="L382" s="161">
        <v>3189600.0</v>
      </c>
      <c r="M382" s="161">
        <v>3189600.0</v>
      </c>
      <c r="N382" s="163">
        <f t="shared" ref="N382:O382" si="686">J382+L382</f>
        <v>6879600</v>
      </c>
      <c r="O382" s="163">
        <f t="shared" si="686"/>
        <v>6879600</v>
      </c>
      <c r="P382" s="183"/>
      <c r="Q382" s="175">
        <v>3690000.0</v>
      </c>
      <c r="R382" s="175">
        <v>3690000.0</v>
      </c>
      <c r="S382" s="175">
        <v>3189600.0</v>
      </c>
      <c r="T382" s="175">
        <v>3189600.0</v>
      </c>
      <c r="U382" s="175">
        <v>6879600.0</v>
      </c>
      <c r="V382" s="175">
        <v>6879600.0</v>
      </c>
      <c r="W382" s="164">
        <f t="shared" ref="W382:AB382" si="687">+J382-Q382</f>
        <v>0</v>
      </c>
      <c r="X382" s="164">
        <f t="shared" si="687"/>
        <v>0</v>
      </c>
      <c r="Y382" s="164">
        <f t="shared" si="687"/>
        <v>0</v>
      </c>
      <c r="Z382" s="164">
        <f t="shared" si="687"/>
        <v>0</v>
      </c>
      <c r="AA382" s="164">
        <f t="shared" si="687"/>
        <v>0</v>
      </c>
      <c r="AB382" s="164">
        <f t="shared" si="687"/>
        <v>0</v>
      </c>
      <c r="AC382" s="183"/>
      <c r="AD382" s="183"/>
      <c r="AE382" s="183"/>
      <c r="AF382" s="183"/>
      <c r="AG382" s="77"/>
      <c r="AH382" s="77"/>
      <c r="AI382" s="183"/>
      <c r="AJ382" s="183"/>
      <c r="AK382" s="183"/>
      <c r="AL382" s="183"/>
      <c r="AM382" s="183"/>
      <c r="AN382" s="183"/>
      <c r="AO382" s="183"/>
      <c r="AP382" s="183"/>
    </row>
    <row r="383" ht="35.25" customHeight="1">
      <c r="A383" s="183"/>
      <c r="B383" s="183"/>
      <c r="C383" s="130"/>
      <c r="D383" s="126" t="s">
        <v>91</v>
      </c>
      <c r="E383" s="126" t="s">
        <v>100</v>
      </c>
      <c r="F383" s="126"/>
      <c r="G383" s="126"/>
      <c r="H383" s="126"/>
      <c r="I383" s="126">
        <v>25.0</v>
      </c>
      <c r="J383" s="161">
        <v>1670000.0</v>
      </c>
      <c r="K383" s="161">
        <v>1670000.0</v>
      </c>
      <c r="L383" s="161">
        <v>265800.0</v>
      </c>
      <c r="M383" s="161">
        <v>265800.0</v>
      </c>
      <c r="N383" s="163">
        <f t="shared" ref="N383:O383" si="688">J383+L383</f>
        <v>1935800</v>
      </c>
      <c r="O383" s="163">
        <f t="shared" si="688"/>
        <v>1935800</v>
      </c>
      <c r="P383" s="183"/>
      <c r="Q383" s="175">
        <v>1670000.0</v>
      </c>
      <c r="R383" s="175">
        <v>1670000.0</v>
      </c>
      <c r="S383" s="175">
        <v>265800.0</v>
      </c>
      <c r="T383" s="175">
        <v>265800.0</v>
      </c>
      <c r="U383" s="175">
        <v>1935800.0</v>
      </c>
      <c r="V383" s="175">
        <v>1935800.0</v>
      </c>
      <c r="W383" s="164">
        <f t="shared" ref="W383:AB383" si="689">+J383-Q383</f>
        <v>0</v>
      </c>
      <c r="X383" s="164">
        <f t="shared" si="689"/>
        <v>0</v>
      </c>
      <c r="Y383" s="164">
        <f t="shared" si="689"/>
        <v>0</v>
      </c>
      <c r="Z383" s="164">
        <f t="shared" si="689"/>
        <v>0</v>
      </c>
      <c r="AA383" s="164">
        <f t="shared" si="689"/>
        <v>0</v>
      </c>
      <c r="AB383" s="164">
        <f t="shared" si="689"/>
        <v>0</v>
      </c>
      <c r="AC383" s="183"/>
      <c r="AD383" s="183"/>
      <c r="AE383" s="183"/>
      <c r="AF383" s="183"/>
      <c r="AG383" s="77"/>
      <c r="AH383" s="77"/>
      <c r="AI383" s="183"/>
      <c r="AJ383" s="183"/>
      <c r="AK383" s="183"/>
      <c r="AL383" s="183"/>
      <c r="AM383" s="183"/>
      <c r="AN383" s="183"/>
      <c r="AO383" s="183"/>
      <c r="AP383" s="183"/>
    </row>
    <row r="384" ht="35.25" customHeight="1">
      <c r="A384" s="183"/>
      <c r="B384" s="183"/>
      <c r="C384" s="130"/>
      <c r="D384" s="126" t="s">
        <v>100</v>
      </c>
      <c r="E384" s="126" t="s">
        <v>84</v>
      </c>
      <c r="F384" s="126"/>
      <c r="G384" s="126"/>
      <c r="H384" s="126" t="s">
        <v>112</v>
      </c>
      <c r="I384" s="126">
        <v>331.0</v>
      </c>
      <c r="J384" s="161">
        <v>3820000.0</v>
      </c>
      <c r="K384" s="161">
        <v>3820000.0</v>
      </c>
      <c r="L384" s="161">
        <v>3519192.0</v>
      </c>
      <c r="M384" s="161">
        <v>3519192.0</v>
      </c>
      <c r="N384" s="163">
        <f t="shared" ref="N384:O384" si="690">J384+L384</f>
        <v>7339192</v>
      </c>
      <c r="O384" s="163">
        <f t="shared" si="690"/>
        <v>7339192</v>
      </c>
      <c r="P384" s="183"/>
      <c r="Q384" s="175">
        <v>3820000.0</v>
      </c>
      <c r="R384" s="175">
        <v>3820000.0</v>
      </c>
      <c r="S384" s="175">
        <v>3519192.0</v>
      </c>
      <c r="T384" s="175">
        <v>3519192.0</v>
      </c>
      <c r="U384" s="175">
        <v>7339192.0</v>
      </c>
      <c r="V384" s="175">
        <v>7339192.0</v>
      </c>
      <c r="W384" s="164">
        <f t="shared" ref="W384:AB384" si="691">+J384-Q384</f>
        <v>0</v>
      </c>
      <c r="X384" s="164">
        <f t="shared" si="691"/>
        <v>0</v>
      </c>
      <c r="Y384" s="164">
        <f t="shared" si="691"/>
        <v>0</v>
      </c>
      <c r="Z384" s="164">
        <f t="shared" si="691"/>
        <v>0</v>
      </c>
      <c r="AA384" s="164">
        <f t="shared" si="691"/>
        <v>0</v>
      </c>
      <c r="AB384" s="164">
        <f t="shared" si="691"/>
        <v>0</v>
      </c>
      <c r="AC384" s="183"/>
      <c r="AD384" s="183"/>
      <c r="AE384" s="183"/>
      <c r="AF384" s="183"/>
      <c r="AG384" s="77"/>
      <c r="AH384" s="77"/>
      <c r="AI384" s="183"/>
      <c r="AJ384" s="183"/>
      <c r="AK384" s="183"/>
      <c r="AL384" s="183"/>
      <c r="AM384" s="183"/>
      <c r="AN384" s="183"/>
      <c r="AO384" s="183"/>
      <c r="AP384" s="183"/>
    </row>
    <row r="385" ht="35.25" customHeight="1">
      <c r="A385" s="183"/>
      <c r="B385" s="183"/>
      <c r="C385" s="130"/>
      <c r="D385" s="126" t="s">
        <v>91</v>
      </c>
      <c r="E385" s="126" t="s">
        <v>100</v>
      </c>
      <c r="F385" s="126"/>
      <c r="G385" s="126"/>
      <c r="H385" s="126"/>
      <c r="I385" s="126">
        <v>25.0</v>
      </c>
      <c r="J385" s="161">
        <v>1670000.0</v>
      </c>
      <c r="K385" s="161">
        <v>1670000.0</v>
      </c>
      <c r="L385" s="161">
        <v>265800.0</v>
      </c>
      <c r="M385" s="161">
        <v>265800.0</v>
      </c>
      <c r="N385" s="163">
        <f t="shared" ref="N385:O385" si="692">J385+L385</f>
        <v>1935800</v>
      </c>
      <c r="O385" s="163">
        <f t="shared" si="692"/>
        <v>1935800</v>
      </c>
      <c r="P385" s="183"/>
      <c r="Q385" s="175">
        <v>1670000.0</v>
      </c>
      <c r="R385" s="175">
        <v>1670000.0</v>
      </c>
      <c r="S385" s="175">
        <v>265800.0</v>
      </c>
      <c r="T385" s="175">
        <v>265800.0</v>
      </c>
      <c r="U385" s="175">
        <v>1935800.0</v>
      </c>
      <c r="V385" s="175">
        <v>1935800.0</v>
      </c>
      <c r="W385" s="164">
        <f t="shared" ref="W385:AB385" si="693">+J385-Q385</f>
        <v>0</v>
      </c>
      <c r="X385" s="164">
        <f t="shared" si="693"/>
        <v>0</v>
      </c>
      <c r="Y385" s="164">
        <f t="shared" si="693"/>
        <v>0</v>
      </c>
      <c r="Z385" s="164">
        <f t="shared" si="693"/>
        <v>0</v>
      </c>
      <c r="AA385" s="164">
        <f t="shared" si="693"/>
        <v>0</v>
      </c>
      <c r="AB385" s="164">
        <f t="shared" si="693"/>
        <v>0</v>
      </c>
      <c r="AC385" s="183"/>
      <c r="AD385" s="183"/>
      <c r="AE385" s="183"/>
      <c r="AF385" s="183"/>
      <c r="AG385" s="77"/>
      <c r="AH385" s="77"/>
      <c r="AI385" s="183"/>
      <c r="AJ385" s="183"/>
      <c r="AK385" s="183"/>
      <c r="AL385" s="183"/>
      <c r="AM385" s="183"/>
      <c r="AN385" s="183"/>
      <c r="AO385" s="183"/>
      <c r="AP385" s="183"/>
    </row>
    <row r="386" ht="35.25" customHeight="1">
      <c r="A386" s="183"/>
      <c r="B386" s="183"/>
      <c r="C386" s="130"/>
      <c r="D386" s="126" t="s">
        <v>100</v>
      </c>
      <c r="E386" s="126" t="s">
        <v>85</v>
      </c>
      <c r="F386" s="126"/>
      <c r="G386" s="126"/>
      <c r="H386" s="126" t="s">
        <v>112</v>
      </c>
      <c r="I386" s="126">
        <v>285.0</v>
      </c>
      <c r="J386" s="161">
        <v>3500000.0</v>
      </c>
      <c r="K386" s="161">
        <v>3500000.0</v>
      </c>
      <c r="L386" s="161">
        <v>3030120.0</v>
      </c>
      <c r="M386" s="161">
        <v>3030120.0</v>
      </c>
      <c r="N386" s="163">
        <f t="shared" ref="N386:O386" si="694">J386+L386</f>
        <v>6530120</v>
      </c>
      <c r="O386" s="163">
        <f t="shared" si="694"/>
        <v>6530120</v>
      </c>
      <c r="P386" s="183"/>
      <c r="Q386" s="175">
        <v>3500000.0</v>
      </c>
      <c r="R386" s="175">
        <v>3500000.0</v>
      </c>
      <c r="S386" s="175">
        <v>3030120.0</v>
      </c>
      <c r="T386" s="175">
        <v>3030120.0</v>
      </c>
      <c r="U386" s="175">
        <v>6530120.0</v>
      </c>
      <c r="V386" s="175">
        <v>6530120.0</v>
      </c>
      <c r="W386" s="164">
        <f t="shared" ref="W386:AB386" si="695">+J386-Q386</f>
        <v>0</v>
      </c>
      <c r="X386" s="164">
        <f t="shared" si="695"/>
        <v>0</v>
      </c>
      <c r="Y386" s="164">
        <f t="shared" si="695"/>
        <v>0</v>
      </c>
      <c r="Z386" s="164">
        <f t="shared" si="695"/>
        <v>0</v>
      </c>
      <c r="AA386" s="164">
        <f t="shared" si="695"/>
        <v>0</v>
      </c>
      <c r="AB386" s="164">
        <f t="shared" si="695"/>
        <v>0</v>
      </c>
      <c r="AC386" s="183"/>
      <c r="AD386" s="183"/>
      <c r="AE386" s="183"/>
      <c r="AF386" s="183"/>
      <c r="AG386" s="77"/>
      <c r="AH386" s="77"/>
      <c r="AI386" s="183"/>
      <c r="AJ386" s="183"/>
      <c r="AK386" s="183"/>
      <c r="AL386" s="183"/>
      <c r="AM386" s="183"/>
      <c r="AN386" s="183"/>
      <c r="AO386" s="183"/>
      <c r="AP386" s="183"/>
    </row>
    <row r="387" ht="35.25" customHeight="1">
      <c r="A387" s="183"/>
      <c r="B387" s="183"/>
      <c r="C387" s="130"/>
      <c r="D387" s="126" t="s">
        <v>91</v>
      </c>
      <c r="E387" s="126" t="s">
        <v>100</v>
      </c>
      <c r="F387" s="126"/>
      <c r="G387" s="126"/>
      <c r="H387" s="126"/>
      <c r="I387" s="126">
        <v>25.0</v>
      </c>
      <c r="J387" s="161">
        <v>1670000.0</v>
      </c>
      <c r="K387" s="161">
        <v>1670000.0</v>
      </c>
      <c r="L387" s="161">
        <v>265800.0</v>
      </c>
      <c r="M387" s="161">
        <v>265800.0</v>
      </c>
      <c r="N387" s="163">
        <f t="shared" ref="N387:O387" si="696">J387+L387</f>
        <v>1935800</v>
      </c>
      <c r="O387" s="163">
        <f t="shared" si="696"/>
        <v>1935800</v>
      </c>
      <c r="P387" s="183"/>
      <c r="Q387" s="175">
        <v>1670000.0</v>
      </c>
      <c r="R387" s="175">
        <v>1670000.0</v>
      </c>
      <c r="S387" s="175">
        <v>265800.0</v>
      </c>
      <c r="T387" s="175">
        <v>265800.0</v>
      </c>
      <c r="U387" s="175">
        <v>1935800.0</v>
      </c>
      <c r="V387" s="175">
        <v>1935800.0</v>
      </c>
      <c r="W387" s="164">
        <f t="shared" ref="W387:AB387" si="697">+J387-Q387</f>
        <v>0</v>
      </c>
      <c r="X387" s="164">
        <f t="shared" si="697"/>
        <v>0</v>
      </c>
      <c r="Y387" s="164">
        <f t="shared" si="697"/>
        <v>0</v>
      </c>
      <c r="Z387" s="164">
        <f t="shared" si="697"/>
        <v>0</v>
      </c>
      <c r="AA387" s="164">
        <f t="shared" si="697"/>
        <v>0</v>
      </c>
      <c r="AB387" s="164">
        <f t="shared" si="697"/>
        <v>0</v>
      </c>
      <c r="AC387" s="183"/>
      <c r="AD387" s="183"/>
      <c r="AE387" s="183"/>
      <c r="AF387" s="183"/>
      <c r="AG387" s="77"/>
      <c r="AH387" s="77"/>
      <c r="AI387" s="183"/>
      <c r="AJ387" s="183"/>
      <c r="AK387" s="183"/>
      <c r="AL387" s="183"/>
      <c r="AM387" s="183"/>
      <c r="AN387" s="183"/>
      <c r="AO387" s="183"/>
      <c r="AP387" s="183"/>
    </row>
    <row r="388" ht="35.25" customHeight="1">
      <c r="A388" s="183"/>
      <c r="B388" s="183"/>
      <c r="C388" s="130"/>
      <c r="D388" s="126" t="s">
        <v>100</v>
      </c>
      <c r="E388" s="126" t="s">
        <v>86</v>
      </c>
      <c r="F388" s="126"/>
      <c r="G388" s="126"/>
      <c r="H388" s="126" t="s">
        <v>112</v>
      </c>
      <c r="I388" s="126">
        <v>294.0</v>
      </c>
      <c r="J388" s="161">
        <v>3760000.0</v>
      </c>
      <c r="K388" s="161">
        <v>3760000.0</v>
      </c>
      <c r="L388" s="161">
        <v>3125808.0</v>
      </c>
      <c r="M388" s="161">
        <v>3125808.0</v>
      </c>
      <c r="N388" s="163">
        <f t="shared" ref="N388:O388" si="698">J388+L388</f>
        <v>6885808</v>
      </c>
      <c r="O388" s="163">
        <f t="shared" si="698"/>
        <v>6885808</v>
      </c>
      <c r="P388" s="183"/>
      <c r="Q388" s="175">
        <v>3760000.0</v>
      </c>
      <c r="R388" s="175">
        <v>3760000.0</v>
      </c>
      <c r="S388" s="175">
        <v>3125808.0</v>
      </c>
      <c r="T388" s="175">
        <v>3125808.0</v>
      </c>
      <c r="U388" s="175">
        <v>6885808.0</v>
      </c>
      <c r="V388" s="175">
        <v>6885808.0</v>
      </c>
      <c r="W388" s="164">
        <f t="shared" ref="W388:AB388" si="699">+J388-Q388</f>
        <v>0</v>
      </c>
      <c r="X388" s="164">
        <f t="shared" si="699"/>
        <v>0</v>
      </c>
      <c r="Y388" s="164">
        <f t="shared" si="699"/>
        <v>0</v>
      </c>
      <c r="Z388" s="164">
        <f t="shared" si="699"/>
        <v>0</v>
      </c>
      <c r="AA388" s="164">
        <f t="shared" si="699"/>
        <v>0</v>
      </c>
      <c r="AB388" s="164">
        <f t="shared" si="699"/>
        <v>0</v>
      </c>
      <c r="AC388" s="183"/>
      <c r="AD388" s="183"/>
      <c r="AE388" s="183"/>
      <c r="AF388" s="183"/>
      <c r="AG388" s="77"/>
      <c r="AH388" s="77"/>
      <c r="AI388" s="183"/>
      <c r="AJ388" s="183"/>
      <c r="AK388" s="183"/>
      <c r="AL388" s="183"/>
      <c r="AM388" s="183"/>
      <c r="AN388" s="183"/>
      <c r="AO388" s="183"/>
      <c r="AP388" s="183"/>
    </row>
    <row r="389" ht="35.25" customHeight="1">
      <c r="A389" s="183"/>
      <c r="B389" s="183"/>
      <c r="C389" s="130"/>
      <c r="D389" s="126" t="s">
        <v>91</v>
      </c>
      <c r="E389" s="126" t="s">
        <v>101</v>
      </c>
      <c r="F389" s="126"/>
      <c r="G389" s="126"/>
      <c r="H389" s="126"/>
      <c r="I389" s="126">
        <v>30.0</v>
      </c>
      <c r="J389" s="161">
        <v>1810000.0</v>
      </c>
      <c r="K389" s="161">
        <v>1810000.0</v>
      </c>
      <c r="L389" s="161">
        <v>318960.0</v>
      </c>
      <c r="M389" s="161">
        <v>318960.0</v>
      </c>
      <c r="N389" s="163">
        <f t="shared" ref="N389:O389" si="700">J389+L389</f>
        <v>2128960</v>
      </c>
      <c r="O389" s="163">
        <f t="shared" si="700"/>
        <v>2128960</v>
      </c>
      <c r="P389" s="183"/>
      <c r="Q389" s="175">
        <v>1810000.0</v>
      </c>
      <c r="R389" s="175">
        <v>1810000.0</v>
      </c>
      <c r="S389" s="175">
        <v>318960.0</v>
      </c>
      <c r="T389" s="175">
        <v>318960.0</v>
      </c>
      <c r="U389" s="175">
        <v>2128960.0</v>
      </c>
      <c r="V389" s="175">
        <v>2128960.0</v>
      </c>
      <c r="W389" s="164">
        <f t="shared" ref="W389:AB389" si="701">+J389-Q389</f>
        <v>0</v>
      </c>
      <c r="X389" s="164">
        <f t="shared" si="701"/>
        <v>0</v>
      </c>
      <c r="Y389" s="164">
        <f t="shared" si="701"/>
        <v>0</v>
      </c>
      <c r="Z389" s="164">
        <f t="shared" si="701"/>
        <v>0</v>
      </c>
      <c r="AA389" s="164">
        <f t="shared" si="701"/>
        <v>0</v>
      </c>
      <c r="AB389" s="164">
        <f t="shared" si="701"/>
        <v>0</v>
      </c>
      <c r="AC389" s="183"/>
      <c r="AD389" s="183"/>
      <c r="AE389" s="183"/>
      <c r="AF389" s="183"/>
      <c r="AG389" s="77"/>
      <c r="AH389" s="77"/>
      <c r="AI389" s="183"/>
      <c r="AJ389" s="183"/>
      <c r="AK389" s="183"/>
      <c r="AL389" s="183"/>
      <c r="AM389" s="183"/>
      <c r="AN389" s="183"/>
      <c r="AO389" s="183"/>
      <c r="AP389" s="183"/>
    </row>
    <row r="390" ht="35.25" customHeight="1">
      <c r="A390" s="183"/>
      <c r="B390" s="183"/>
      <c r="C390" s="130"/>
      <c r="D390" s="126" t="s">
        <v>101</v>
      </c>
      <c r="E390" s="126" t="s">
        <v>84</v>
      </c>
      <c r="F390" s="126"/>
      <c r="G390" s="126"/>
      <c r="H390" s="126" t="s">
        <v>112</v>
      </c>
      <c r="I390" s="126">
        <v>302.0</v>
      </c>
      <c r="J390" s="161">
        <v>4070000.0</v>
      </c>
      <c r="K390" s="161">
        <v>4070000.0</v>
      </c>
      <c r="L390" s="161">
        <v>3210864.0</v>
      </c>
      <c r="M390" s="161">
        <v>3210864.0</v>
      </c>
      <c r="N390" s="163">
        <f t="shared" ref="N390:O390" si="702">J390+L390</f>
        <v>7280864</v>
      </c>
      <c r="O390" s="163">
        <f t="shared" si="702"/>
        <v>7280864</v>
      </c>
      <c r="P390" s="183"/>
      <c r="Q390" s="175">
        <v>4070000.0</v>
      </c>
      <c r="R390" s="175">
        <v>4070000.0</v>
      </c>
      <c r="S390" s="175">
        <v>3210864.0</v>
      </c>
      <c r="T390" s="175">
        <v>3210864.0</v>
      </c>
      <c r="U390" s="175">
        <v>7280864.0</v>
      </c>
      <c r="V390" s="175">
        <v>7280864.0</v>
      </c>
      <c r="W390" s="164">
        <f t="shared" ref="W390:AB390" si="703">+J390-Q390</f>
        <v>0</v>
      </c>
      <c r="X390" s="164">
        <f t="shared" si="703"/>
        <v>0</v>
      </c>
      <c r="Y390" s="164">
        <f t="shared" si="703"/>
        <v>0</v>
      </c>
      <c r="Z390" s="164">
        <f t="shared" si="703"/>
        <v>0</v>
      </c>
      <c r="AA390" s="164">
        <f t="shared" si="703"/>
        <v>0</v>
      </c>
      <c r="AB390" s="164">
        <f t="shared" si="703"/>
        <v>0</v>
      </c>
      <c r="AC390" s="183"/>
      <c r="AD390" s="183"/>
      <c r="AE390" s="183"/>
      <c r="AF390" s="183"/>
      <c r="AG390" s="77"/>
      <c r="AH390" s="77"/>
      <c r="AI390" s="183"/>
      <c r="AJ390" s="183"/>
      <c r="AK390" s="183"/>
      <c r="AL390" s="183"/>
      <c r="AM390" s="183"/>
      <c r="AN390" s="183"/>
      <c r="AO390" s="183"/>
      <c r="AP390" s="183"/>
    </row>
    <row r="391" ht="35.25" customHeight="1">
      <c r="A391" s="183"/>
      <c r="B391" s="183"/>
      <c r="C391" s="130"/>
      <c r="D391" s="126" t="s">
        <v>91</v>
      </c>
      <c r="E391" s="126" t="s">
        <v>101</v>
      </c>
      <c r="F391" s="126"/>
      <c r="G391" s="126"/>
      <c r="H391" s="126"/>
      <c r="I391" s="126">
        <v>30.0</v>
      </c>
      <c r="J391" s="161">
        <v>1810000.0</v>
      </c>
      <c r="K391" s="161">
        <v>1810000.0</v>
      </c>
      <c r="L391" s="161">
        <v>318960.0</v>
      </c>
      <c r="M391" s="161">
        <v>318960.0</v>
      </c>
      <c r="N391" s="163">
        <f t="shared" ref="N391:O391" si="704">J391+L391</f>
        <v>2128960</v>
      </c>
      <c r="O391" s="163">
        <f t="shared" si="704"/>
        <v>2128960</v>
      </c>
      <c r="P391" s="183"/>
      <c r="Q391" s="175">
        <v>1810000.0</v>
      </c>
      <c r="R391" s="175">
        <v>1810000.0</v>
      </c>
      <c r="S391" s="175">
        <v>318960.0</v>
      </c>
      <c r="T391" s="175">
        <v>318960.0</v>
      </c>
      <c r="U391" s="175">
        <v>2128960.0</v>
      </c>
      <c r="V391" s="175">
        <v>2128960.0</v>
      </c>
      <c r="W391" s="164">
        <f t="shared" ref="W391:AB391" si="705">+J391-Q391</f>
        <v>0</v>
      </c>
      <c r="X391" s="164">
        <f t="shared" si="705"/>
        <v>0</v>
      </c>
      <c r="Y391" s="164">
        <f t="shared" si="705"/>
        <v>0</v>
      </c>
      <c r="Z391" s="164">
        <f t="shared" si="705"/>
        <v>0</v>
      </c>
      <c r="AA391" s="164">
        <f t="shared" si="705"/>
        <v>0</v>
      </c>
      <c r="AB391" s="164">
        <f t="shared" si="705"/>
        <v>0</v>
      </c>
      <c r="AC391" s="183"/>
      <c r="AD391" s="183"/>
      <c r="AE391" s="183"/>
      <c r="AF391" s="183"/>
      <c r="AG391" s="77"/>
      <c r="AH391" s="77"/>
      <c r="AI391" s="183"/>
      <c r="AJ391" s="183"/>
      <c r="AK391" s="183"/>
      <c r="AL391" s="183"/>
      <c r="AM391" s="183"/>
      <c r="AN391" s="183"/>
      <c r="AO391" s="183"/>
      <c r="AP391" s="183"/>
    </row>
    <row r="392" ht="35.25" customHeight="1">
      <c r="A392" s="183"/>
      <c r="B392" s="183"/>
      <c r="C392" s="130"/>
      <c r="D392" s="126" t="s">
        <v>101</v>
      </c>
      <c r="E392" s="126" t="s">
        <v>85</v>
      </c>
      <c r="F392" s="126"/>
      <c r="G392" s="126"/>
      <c r="H392" s="126" t="s">
        <v>112</v>
      </c>
      <c r="I392" s="126">
        <v>289.0</v>
      </c>
      <c r="J392" s="161">
        <v>3560000.0</v>
      </c>
      <c r="K392" s="161">
        <v>3560000.0</v>
      </c>
      <c r="L392" s="161">
        <v>3072648.0</v>
      </c>
      <c r="M392" s="161">
        <v>3072648.0</v>
      </c>
      <c r="N392" s="163">
        <f t="shared" ref="N392:O392" si="706">J392+L392</f>
        <v>6632648</v>
      </c>
      <c r="O392" s="163">
        <f t="shared" si="706"/>
        <v>6632648</v>
      </c>
      <c r="P392" s="183"/>
      <c r="Q392" s="175">
        <v>3560000.0</v>
      </c>
      <c r="R392" s="175">
        <v>3560000.0</v>
      </c>
      <c r="S392" s="175">
        <v>3072648.0</v>
      </c>
      <c r="T392" s="175">
        <v>3072648.0</v>
      </c>
      <c r="U392" s="175">
        <v>6632648.0</v>
      </c>
      <c r="V392" s="175">
        <v>6632648.0</v>
      </c>
      <c r="W392" s="164">
        <f t="shared" ref="W392:AB392" si="707">+J392-Q392</f>
        <v>0</v>
      </c>
      <c r="X392" s="164">
        <f t="shared" si="707"/>
        <v>0</v>
      </c>
      <c r="Y392" s="164">
        <f t="shared" si="707"/>
        <v>0</v>
      </c>
      <c r="Z392" s="164">
        <f t="shared" si="707"/>
        <v>0</v>
      </c>
      <c r="AA392" s="164">
        <f t="shared" si="707"/>
        <v>0</v>
      </c>
      <c r="AB392" s="164">
        <f t="shared" si="707"/>
        <v>0</v>
      </c>
      <c r="AC392" s="183"/>
      <c r="AD392" s="183"/>
      <c r="AE392" s="183"/>
      <c r="AF392" s="183"/>
      <c r="AG392" s="77"/>
      <c r="AH392" s="77"/>
      <c r="AI392" s="183"/>
      <c r="AJ392" s="183"/>
      <c r="AK392" s="183"/>
      <c r="AL392" s="183"/>
      <c r="AM392" s="183"/>
      <c r="AN392" s="183"/>
      <c r="AO392" s="183"/>
      <c r="AP392" s="183"/>
    </row>
    <row r="393" ht="35.25" customHeight="1">
      <c r="A393" s="183"/>
      <c r="B393" s="183"/>
      <c r="C393" s="130"/>
      <c r="D393" s="126" t="s">
        <v>91</v>
      </c>
      <c r="E393" s="126" t="s">
        <v>101</v>
      </c>
      <c r="F393" s="126"/>
      <c r="G393" s="126"/>
      <c r="H393" s="126"/>
      <c r="I393" s="126">
        <v>30.0</v>
      </c>
      <c r="J393" s="161">
        <v>1810000.0</v>
      </c>
      <c r="K393" s="161">
        <v>1810000.0</v>
      </c>
      <c r="L393" s="161">
        <v>318960.0</v>
      </c>
      <c r="M393" s="161">
        <v>318960.0</v>
      </c>
      <c r="N393" s="163">
        <f t="shared" ref="N393:O393" si="708">J393+L393</f>
        <v>2128960</v>
      </c>
      <c r="O393" s="163">
        <f t="shared" si="708"/>
        <v>2128960</v>
      </c>
      <c r="P393" s="183"/>
      <c r="Q393" s="175">
        <v>1810000.0</v>
      </c>
      <c r="R393" s="175">
        <v>1810000.0</v>
      </c>
      <c r="S393" s="175">
        <v>318960.0</v>
      </c>
      <c r="T393" s="175">
        <v>318960.0</v>
      </c>
      <c r="U393" s="175">
        <v>2128960.0</v>
      </c>
      <c r="V393" s="175">
        <v>2128960.0</v>
      </c>
      <c r="W393" s="164">
        <f t="shared" ref="W393:AB393" si="709">+J393-Q393</f>
        <v>0</v>
      </c>
      <c r="X393" s="164">
        <f t="shared" si="709"/>
        <v>0</v>
      </c>
      <c r="Y393" s="164">
        <f t="shared" si="709"/>
        <v>0</v>
      </c>
      <c r="Z393" s="164">
        <f t="shared" si="709"/>
        <v>0</v>
      </c>
      <c r="AA393" s="164">
        <f t="shared" si="709"/>
        <v>0</v>
      </c>
      <c r="AB393" s="164">
        <f t="shared" si="709"/>
        <v>0</v>
      </c>
      <c r="AC393" s="183"/>
      <c r="AD393" s="183"/>
      <c r="AE393" s="183"/>
      <c r="AF393" s="183"/>
      <c r="AG393" s="77"/>
      <c r="AH393" s="77"/>
      <c r="AI393" s="183"/>
      <c r="AJ393" s="183"/>
      <c r="AK393" s="183"/>
      <c r="AL393" s="183"/>
      <c r="AM393" s="183"/>
      <c r="AN393" s="183"/>
      <c r="AO393" s="183"/>
      <c r="AP393" s="183"/>
    </row>
    <row r="394" ht="35.25" customHeight="1">
      <c r="A394" s="183"/>
      <c r="B394" s="183"/>
      <c r="C394" s="118"/>
      <c r="D394" s="126" t="s">
        <v>101</v>
      </c>
      <c r="E394" s="126" t="s">
        <v>86</v>
      </c>
      <c r="F394" s="126"/>
      <c r="G394" s="126"/>
      <c r="H394" s="126" t="s">
        <v>112</v>
      </c>
      <c r="I394" s="126">
        <v>258.0</v>
      </c>
      <c r="J394" s="161">
        <v>3290000.0</v>
      </c>
      <c r="K394" s="161">
        <v>3290000.0</v>
      </c>
      <c r="L394" s="161">
        <v>2743056.0</v>
      </c>
      <c r="M394" s="161">
        <v>2743056.0</v>
      </c>
      <c r="N394" s="163">
        <f t="shared" ref="N394:O394" si="710">J394+L394</f>
        <v>6033056</v>
      </c>
      <c r="O394" s="163">
        <f t="shared" si="710"/>
        <v>6033056</v>
      </c>
      <c r="P394" s="183"/>
      <c r="Q394" s="175">
        <v>3290000.0</v>
      </c>
      <c r="R394" s="175">
        <v>3290000.0</v>
      </c>
      <c r="S394" s="175">
        <v>2743055.9999999995</v>
      </c>
      <c r="T394" s="175">
        <v>2743055.9999999995</v>
      </c>
      <c r="U394" s="175">
        <v>6033056.0</v>
      </c>
      <c r="V394" s="175">
        <v>6033056.0</v>
      </c>
      <c r="W394" s="164">
        <f t="shared" ref="W394:AB394" si="711">+J394-Q394</f>
        <v>0</v>
      </c>
      <c r="X394" s="164">
        <f t="shared" si="711"/>
        <v>0</v>
      </c>
      <c r="Y394" s="164">
        <f t="shared" si="711"/>
        <v>0.0000000004656612873</v>
      </c>
      <c r="Z394" s="164">
        <f t="shared" si="711"/>
        <v>0.0000000004656612873</v>
      </c>
      <c r="AA394" s="164">
        <f t="shared" si="711"/>
        <v>0</v>
      </c>
      <c r="AB394" s="164">
        <f t="shared" si="711"/>
        <v>0</v>
      </c>
      <c r="AC394" s="183"/>
      <c r="AD394" s="183"/>
      <c r="AE394" s="183"/>
      <c r="AF394" s="183"/>
      <c r="AG394" s="77"/>
      <c r="AH394" s="77"/>
      <c r="AI394" s="183"/>
      <c r="AJ394" s="183"/>
      <c r="AK394" s="183"/>
      <c r="AL394" s="183"/>
      <c r="AM394" s="183"/>
      <c r="AN394" s="183"/>
      <c r="AO394" s="183"/>
      <c r="AP394" s="183"/>
    </row>
    <row r="395" ht="30.0" customHeight="1">
      <c r="A395" s="183"/>
      <c r="B395" s="183"/>
      <c r="C395" s="167" t="s">
        <v>102</v>
      </c>
      <c r="D395" s="126" t="s">
        <v>103</v>
      </c>
      <c r="E395" s="126" t="s">
        <v>84</v>
      </c>
      <c r="F395" s="126"/>
      <c r="G395" s="126"/>
      <c r="H395" s="126" t="s">
        <v>112</v>
      </c>
      <c r="I395" s="126">
        <v>239.0</v>
      </c>
      <c r="J395" s="161">
        <v>3150000.0</v>
      </c>
      <c r="K395" s="161">
        <v>3150000.0</v>
      </c>
      <c r="L395" s="161">
        <v>2541048.0</v>
      </c>
      <c r="M395" s="161">
        <v>2541048.0</v>
      </c>
      <c r="N395" s="163">
        <f t="shared" ref="N395:O395" si="712">J395+L395</f>
        <v>5691048</v>
      </c>
      <c r="O395" s="163">
        <f t="shared" si="712"/>
        <v>5691048</v>
      </c>
      <c r="P395" s="183"/>
      <c r="Q395" s="175">
        <v>3150000.0</v>
      </c>
      <c r="R395" s="175">
        <v>3150000.0</v>
      </c>
      <c r="S395" s="175">
        <v>2541048.0</v>
      </c>
      <c r="T395" s="175">
        <v>2541048.0</v>
      </c>
      <c r="U395" s="175">
        <v>5691048.0</v>
      </c>
      <c r="V395" s="175">
        <v>5691048.0</v>
      </c>
      <c r="W395" s="164">
        <f t="shared" ref="W395:AB395" si="713">+J395-Q395</f>
        <v>0</v>
      </c>
      <c r="X395" s="164">
        <f t="shared" si="713"/>
        <v>0</v>
      </c>
      <c r="Y395" s="164">
        <f t="shared" si="713"/>
        <v>0</v>
      </c>
      <c r="Z395" s="164">
        <f t="shared" si="713"/>
        <v>0</v>
      </c>
      <c r="AA395" s="164">
        <f t="shared" si="713"/>
        <v>0</v>
      </c>
      <c r="AB395" s="164">
        <f t="shared" si="713"/>
        <v>0</v>
      </c>
      <c r="AC395" s="183"/>
      <c r="AD395" s="183"/>
      <c r="AE395" s="183"/>
      <c r="AF395" s="183"/>
      <c r="AG395" s="77"/>
      <c r="AH395" s="77"/>
      <c r="AI395" s="183"/>
      <c r="AJ395" s="183"/>
      <c r="AK395" s="183"/>
      <c r="AL395" s="183"/>
      <c r="AM395" s="183"/>
      <c r="AN395" s="183"/>
      <c r="AO395" s="183"/>
      <c r="AP395" s="183"/>
    </row>
    <row r="396" ht="30.0" customHeight="1">
      <c r="A396" s="183"/>
      <c r="B396" s="183"/>
      <c r="C396" s="130"/>
      <c r="D396" s="126" t="s">
        <v>103</v>
      </c>
      <c r="E396" s="126" t="s">
        <v>85</v>
      </c>
      <c r="F396" s="126"/>
      <c r="G396" s="126"/>
      <c r="H396" s="126" t="s">
        <v>112</v>
      </c>
      <c r="I396" s="126">
        <v>227.0</v>
      </c>
      <c r="J396" s="161">
        <v>3150000.0</v>
      </c>
      <c r="K396" s="161">
        <v>3150000.0</v>
      </c>
      <c r="L396" s="161">
        <v>2413464.0</v>
      </c>
      <c r="M396" s="161">
        <v>2413464.0</v>
      </c>
      <c r="N396" s="163">
        <f t="shared" ref="N396:O396" si="714">J396+L396</f>
        <v>5563464</v>
      </c>
      <c r="O396" s="163">
        <f t="shared" si="714"/>
        <v>5563464</v>
      </c>
      <c r="P396" s="183"/>
      <c r="Q396" s="175">
        <v>3150000.0</v>
      </c>
      <c r="R396" s="175">
        <v>3150000.0</v>
      </c>
      <c r="S396" s="175">
        <v>2413464.0</v>
      </c>
      <c r="T396" s="175">
        <v>2413464.0</v>
      </c>
      <c r="U396" s="175">
        <v>5563464.0</v>
      </c>
      <c r="V396" s="175">
        <v>5563464.0</v>
      </c>
      <c r="W396" s="164">
        <f t="shared" ref="W396:AB396" si="715">+J396-Q396</f>
        <v>0</v>
      </c>
      <c r="X396" s="164">
        <f t="shared" si="715"/>
        <v>0</v>
      </c>
      <c r="Y396" s="164">
        <f t="shared" si="715"/>
        <v>0</v>
      </c>
      <c r="Z396" s="164">
        <f t="shared" si="715"/>
        <v>0</v>
      </c>
      <c r="AA396" s="164">
        <f t="shared" si="715"/>
        <v>0</v>
      </c>
      <c r="AB396" s="164">
        <f t="shared" si="715"/>
        <v>0</v>
      </c>
      <c r="AC396" s="183"/>
      <c r="AD396" s="183"/>
      <c r="AE396" s="183"/>
      <c r="AF396" s="183"/>
      <c r="AG396" s="77"/>
      <c r="AH396" s="77"/>
      <c r="AI396" s="183"/>
      <c r="AJ396" s="183"/>
      <c r="AK396" s="183"/>
      <c r="AL396" s="183"/>
      <c r="AM396" s="183"/>
      <c r="AN396" s="183"/>
      <c r="AO396" s="183"/>
      <c r="AP396" s="183"/>
    </row>
    <row r="397" ht="30.0" customHeight="1">
      <c r="A397" s="183"/>
      <c r="B397" s="183"/>
      <c r="C397" s="130"/>
      <c r="D397" s="126" t="s">
        <v>103</v>
      </c>
      <c r="E397" s="126" t="s">
        <v>86</v>
      </c>
      <c r="F397" s="126"/>
      <c r="G397" s="126"/>
      <c r="H397" s="126" t="s">
        <v>112</v>
      </c>
      <c r="I397" s="126">
        <v>234.0</v>
      </c>
      <c r="J397" s="161">
        <v>3170000.0</v>
      </c>
      <c r="K397" s="161">
        <v>3170000.0</v>
      </c>
      <c r="L397" s="161">
        <v>2487888.0</v>
      </c>
      <c r="M397" s="161">
        <v>2487888.0</v>
      </c>
      <c r="N397" s="163">
        <f t="shared" ref="N397:O397" si="716">J397+L397</f>
        <v>5657888</v>
      </c>
      <c r="O397" s="163">
        <f t="shared" si="716"/>
        <v>5657888</v>
      </c>
      <c r="P397" s="183"/>
      <c r="Q397" s="175">
        <v>3170000.0</v>
      </c>
      <c r="R397" s="175">
        <v>3170000.0</v>
      </c>
      <c r="S397" s="175">
        <v>2487888.0</v>
      </c>
      <c r="T397" s="175">
        <v>2487888.0</v>
      </c>
      <c r="U397" s="175">
        <v>5657888.0</v>
      </c>
      <c r="V397" s="175">
        <v>5657888.0</v>
      </c>
      <c r="W397" s="164">
        <f t="shared" ref="W397:AB397" si="717">+J397-Q397</f>
        <v>0</v>
      </c>
      <c r="X397" s="164">
        <f t="shared" si="717"/>
        <v>0</v>
      </c>
      <c r="Y397" s="164">
        <f t="shared" si="717"/>
        <v>0</v>
      </c>
      <c r="Z397" s="164">
        <f t="shared" si="717"/>
        <v>0</v>
      </c>
      <c r="AA397" s="164">
        <f t="shared" si="717"/>
        <v>0</v>
      </c>
      <c r="AB397" s="164">
        <f t="shared" si="717"/>
        <v>0</v>
      </c>
      <c r="AC397" s="183"/>
      <c r="AD397" s="183"/>
      <c r="AE397" s="183"/>
      <c r="AF397" s="183"/>
      <c r="AG397" s="77"/>
      <c r="AH397" s="77"/>
      <c r="AI397" s="183"/>
      <c r="AJ397" s="183"/>
      <c r="AK397" s="183"/>
      <c r="AL397" s="183"/>
      <c r="AM397" s="183"/>
      <c r="AN397" s="183"/>
      <c r="AO397" s="183"/>
      <c r="AP397" s="183"/>
    </row>
    <row r="398" ht="30.0" customHeight="1">
      <c r="A398" s="183"/>
      <c r="B398" s="183"/>
      <c r="C398" s="130"/>
      <c r="D398" s="126" t="s">
        <v>104</v>
      </c>
      <c r="E398" s="126" t="s">
        <v>84</v>
      </c>
      <c r="F398" s="126"/>
      <c r="G398" s="126"/>
      <c r="H398" s="126" t="s">
        <v>112</v>
      </c>
      <c r="I398" s="126">
        <v>258.0</v>
      </c>
      <c r="J398" s="161">
        <v>4020000.0</v>
      </c>
      <c r="K398" s="161">
        <v>4020000.0</v>
      </c>
      <c r="L398" s="161">
        <v>2743056.0</v>
      </c>
      <c r="M398" s="161">
        <v>2743056.0</v>
      </c>
      <c r="N398" s="163">
        <f t="shared" ref="N398:O398" si="718">J398+L398</f>
        <v>6763056</v>
      </c>
      <c r="O398" s="163">
        <f t="shared" si="718"/>
        <v>6763056</v>
      </c>
      <c r="P398" s="183"/>
      <c r="Q398" s="175">
        <v>4020000.0</v>
      </c>
      <c r="R398" s="175">
        <v>4020000.0</v>
      </c>
      <c r="S398" s="175">
        <v>2743055.9999999995</v>
      </c>
      <c r="T398" s="175">
        <v>2743055.9999999995</v>
      </c>
      <c r="U398" s="175">
        <v>6763056.0</v>
      </c>
      <c r="V398" s="175">
        <v>6763056.0</v>
      </c>
      <c r="W398" s="164">
        <f t="shared" ref="W398:AB398" si="719">+J398-Q398</f>
        <v>0</v>
      </c>
      <c r="X398" s="164">
        <f t="shared" si="719"/>
        <v>0</v>
      </c>
      <c r="Y398" s="164">
        <f t="shared" si="719"/>
        <v>0.0000000004656612873</v>
      </c>
      <c r="Z398" s="164">
        <f t="shared" si="719"/>
        <v>0.0000000004656612873</v>
      </c>
      <c r="AA398" s="164">
        <f t="shared" si="719"/>
        <v>0</v>
      </c>
      <c r="AB398" s="164">
        <f t="shared" si="719"/>
        <v>0</v>
      </c>
      <c r="AC398" s="183"/>
      <c r="AD398" s="183"/>
      <c r="AE398" s="183"/>
      <c r="AF398" s="183"/>
      <c r="AG398" s="77"/>
      <c r="AH398" s="77"/>
      <c r="AI398" s="183"/>
      <c r="AJ398" s="183"/>
      <c r="AK398" s="183"/>
      <c r="AL398" s="183"/>
      <c r="AM398" s="183"/>
      <c r="AN398" s="183"/>
      <c r="AO398" s="183"/>
      <c r="AP398" s="183"/>
    </row>
    <row r="399" ht="30.0" customHeight="1">
      <c r="A399" s="183"/>
      <c r="B399" s="183"/>
      <c r="C399" s="130"/>
      <c r="D399" s="126" t="s">
        <v>104</v>
      </c>
      <c r="E399" s="126" t="s">
        <v>85</v>
      </c>
      <c r="F399" s="126"/>
      <c r="G399" s="126"/>
      <c r="H399" s="126" t="s">
        <v>112</v>
      </c>
      <c r="I399" s="126">
        <v>212.0</v>
      </c>
      <c r="J399" s="161">
        <v>3690000.0</v>
      </c>
      <c r="K399" s="161">
        <v>3690000.0</v>
      </c>
      <c r="L399" s="161">
        <v>2253984.0</v>
      </c>
      <c r="M399" s="161">
        <v>2253984.0</v>
      </c>
      <c r="N399" s="163">
        <f t="shared" ref="N399:O399" si="720">J399+L399</f>
        <v>5943984</v>
      </c>
      <c r="O399" s="163">
        <f t="shared" si="720"/>
        <v>5943984</v>
      </c>
      <c r="P399" s="183"/>
      <c r="Q399" s="175">
        <v>3690000.0</v>
      </c>
      <c r="R399" s="175">
        <v>3690000.0</v>
      </c>
      <c r="S399" s="175">
        <v>2253984.0</v>
      </c>
      <c r="T399" s="175">
        <v>2253984.0</v>
      </c>
      <c r="U399" s="175">
        <v>5943984.0</v>
      </c>
      <c r="V399" s="175">
        <v>5943984.0</v>
      </c>
      <c r="W399" s="164">
        <f t="shared" ref="W399:AB399" si="721">+J399-Q399</f>
        <v>0</v>
      </c>
      <c r="X399" s="164">
        <f t="shared" si="721"/>
        <v>0</v>
      </c>
      <c r="Y399" s="164">
        <f t="shared" si="721"/>
        <v>0</v>
      </c>
      <c r="Z399" s="164">
        <f t="shared" si="721"/>
        <v>0</v>
      </c>
      <c r="AA399" s="164">
        <f t="shared" si="721"/>
        <v>0</v>
      </c>
      <c r="AB399" s="164">
        <f t="shared" si="721"/>
        <v>0</v>
      </c>
      <c r="AC399" s="183"/>
      <c r="AD399" s="183"/>
      <c r="AE399" s="183"/>
      <c r="AF399" s="183"/>
      <c r="AG399" s="77"/>
      <c r="AH399" s="77"/>
      <c r="AI399" s="183"/>
      <c r="AJ399" s="183"/>
      <c r="AK399" s="183"/>
      <c r="AL399" s="183"/>
      <c r="AM399" s="183"/>
      <c r="AN399" s="183"/>
      <c r="AO399" s="183"/>
      <c r="AP399" s="183"/>
    </row>
    <row r="400" ht="30.0" customHeight="1">
      <c r="A400" s="183"/>
      <c r="B400" s="183"/>
      <c r="C400" s="130"/>
      <c r="D400" s="126" t="s">
        <v>104</v>
      </c>
      <c r="E400" s="126" t="s">
        <v>86</v>
      </c>
      <c r="F400" s="126"/>
      <c r="G400" s="126"/>
      <c r="H400" s="126" t="s">
        <v>112</v>
      </c>
      <c r="I400" s="126">
        <v>191.0</v>
      </c>
      <c r="J400" s="161">
        <v>3630000.0</v>
      </c>
      <c r="K400" s="161">
        <v>3630000.0</v>
      </c>
      <c r="L400" s="161">
        <v>2030712.0</v>
      </c>
      <c r="M400" s="161">
        <v>2030712.0</v>
      </c>
      <c r="N400" s="163">
        <f t="shared" ref="N400:O400" si="722">J400+L400</f>
        <v>5660712</v>
      </c>
      <c r="O400" s="163">
        <f t="shared" si="722"/>
        <v>5660712</v>
      </c>
      <c r="P400" s="183"/>
      <c r="Q400" s="175">
        <v>3630000.0</v>
      </c>
      <c r="R400" s="175">
        <v>3630000.0</v>
      </c>
      <c r="S400" s="175">
        <v>2030712.0</v>
      </c>
      <c r="T400" s="175">
        <v>2030712.0</v>
      </c>
      <c r="U400" s="175">
        <v>5660712.0</v>
      </c>
      <c r="V400" s="175">
        <v>5660712.0</v>
      </c>
      <c r="W400" s="164">
        <f t="shared" ref="W400:AB400" si="723">+J400-Q400</f>
        <v>0</v>
      </c>
      <c r="X400" s="164">
        <f t="shared" si="723"/>
        <v>0</v>
      </c>
      <c r="Y400" s="164">
        <f t="shared" si="723"/>
        <v>0</v>
      </c>
      <c r="Z400" s="164">
        <f t="shared" si="723"/>
        <v>0</v>
      </c>
      <c r="AA400" s="164">
        <f t="shared" si="723"/>
        <v>0</v>
      </c>
      <c r="AB400" s="164">
        <f t="shared" si="723"/>
        <v>0</v>
      </c>
      <c r="AC400" s="183"/>
      <c r="AD400" s="183"/>
      <c r="AE400" s="183"/>
      <c r="AF400" s="183"/>
      <c r="AG400" s="77"/>
      <c r="AH400" s="77"/>
      <c r="AI400" s="183"/>
      <c r="AJ400" s="183"/>
      <c r="AK400" s="183"/>
      <c r="AL400" s="183"/>
      <c r="AM400" s="183"/>
      <c r="AN400" s="183"/>
      <c r="AO400" s="183"/>
      <c r="AP400" s="183"/>
    </row>
    <row r="401" ht="30.0" customHeight="1">
      <c r="A401" s="183"/>
      <c r="B401" s="183"/>
      <c r="C401" s="130"/>
      <c r="D401" s="126" t="s">
        <v>105</v>
      </c>
      <c r="E401" s="126" t="s">
        <v>84</v>
      </c>
      <c r="F401" s="126"/>
      <c r="G401" s="126"/>
      <c r="H401" s="126" t="s">
        <v>112</v>
      </c>
      <c r="I401" s="126">
        <v>228.0</v>
      </c>
      <c r="J401" s="161">
        <v>3100000.0</v>
      </c>
      <c r="K401" s="161">
        <v>3100000.0</v>
      </c>
      <c r="L401" s="161">
        <v>2424096.0</v>
      </c>
      <c r="M401" s="161">
        <v>2424096.0</v>
      </c>
      <c r="N401" s="163">
        <f t="shared" ref="N401:O401" si="724">J401+L401</f>
        <v>5524096</v>
      </c>
      <c r="O401" s="163">
        <f t="shared" si="724"/>
        <v>5524096</v>
      </c>
      <c r="P401" s="183"/>
      <c r="Q401" s="175">
        <v>3100000.0</v>
      </c>
      <c r="R401" s="175">
        <v>3100000.0</v>
      </c>
      <c r="S401" s="175">
        <v>2424095.9999999995</v>
      </c>
      <c r="T401" s="175">
        <v>2424095.9999999995</v>
      </c>
      <c r="U401" s="175">
        <v>5524096.0</v>
      </c>
      <c r="V401" s="175">
        <v>5524096.0</v>
      </c>
      <c r="W401" s="164">
        <f t="shared" ref="W401:AB401" si="725">+J401-Q401</f>
        <v>0</v>
      </c>
      <c r="X401" s="164">
        <f t="shared" si="725"/>
        <v>0</v>
      </c>
      <c r="Y401" s="164">
        <f t="shared" si="725"/>
        <v>0.0000000004656612873</v>
      </c>
      <c r="Z401" s="164">
        <f t="shared" si="725"/>
        <v>0.0000000004656612873</v>
      </c>
      <c r="AA401" s="164">
        <f t="shared" si="725"/>
        <v>0</v>
      </c>
      <c r="AB401" s="164">
        <f t="shared" si="725"/>
        <v>0</v>
      </c>
      <c r="AC401" s="183"/>
      <c r="AD401" s="183"/>
      <c r="AE401" s="183"/>
      <c r="AF401" s="183"/>
      <c r="AG401" s="77"/>
      <c r="AH401" s="77"/>
      <c r="AI401" s="183"/>
      <c r="AJ401" s="183"/>
      <c r="AK401" s="183"/>
      <c r="AL401" s="183"/>
      <c r="AM401" s="183"/>
      <c r="AN401" s="183"/>
      <c r="AO401" s="183"/>
      <c r="AP401" s="183"/>
    </row>
    <row r="402" ht="30.0" customHeight="1">
      <c r="A402" s="183"/>
      <c r="B402" s="183"/>
      <c r="C402" s="130"/>
      <c r="D402" s="126" t="s">
        <v>105</v>
      </c>
      <c r="E402" s="126" t="s">
        <v>85</v>
      </c>
      <c r="F402" s="126"/>
      <c r="G402" s="126"/>
      <c r="H402" s="126" t="s">
        <v>112</v>
      </c>
      <c r="I402" s="126">
        <v>207.0</v>
      </c>
      <c r="J402" s="161">
        <v>3050000.0</v>
      </c>
      <c r="K402" s="161">
        <v>3050000.0</v>
      </c>
      <c r="L402" s="161">
        <v>2200824.0</v>
      </c>
      <c r="M402" s="161">
        <v>2200824.0</v>
      </c>
      <c r="N402" s="163">
        <f t="shared" ref="N402:O402" si="726">J402+L402</f>
        <v>5250824</v>
      </c>
      <c r="O402" s="163">
        <f t="shared" si="726"/>
        <v>5250824</v>
      </c>
      <c r="P402" s="183"/>
      <c r="Q402" s="175">
        <v>3050000.0</v>
      </c>
      <c r="R402" s="175">
        <v>3050000.0</v>
      </c>
      <c r="S402" s="175">
        <v>2200824.0</v>
      </c>
      <c r="T402" s="175">
        <v>2200824.0</v>
      </c>
      <c r="U402" s="175">
        <v>5250824.0</v>
      </c>
      <c r="V402" s="175">
        <v>5250824.0</v>
      </c>
      <c r="W402" s="164">
        <f t="shared" ref="W402:AB402" si="727">+J402-Q402</f>
        <v>0</v>
      </c>
      <c r="X402" s="164">
        <f t="shared" si="727"/>
        <v>0</v>
      </c>
      <c r="Y402" s="164">
        <f t="shared" si="727"/>
        <v>0</v>
      </c>
      <c r="Z402" s="164">
        <f t="shared" si="727"/>
        <v>0</v>
      </c>
      <c r="AA402" s="164">
        <f t="shared" si="727"/>
        <v>0</v>
      </c>
      <c r="AB402" s="164">
        <f t="shared" si="727"/>
        <v>0</v>
      </c>
      <c r="AC402" s="183"/>
      <c r="AD402" s="183"/>
      <c r="AE402" s="183"/>
      <c r="AF402" s="183"/>
      <c r="AG402" s="77"/>
      <c r="AH402" s="77"/>
      <c r="AI402" s="183"/>
      <c r="AJ402" s="183"/>
      <c r="AK402" s="183"/>
      <c r="AL402" s="183"/>
      <c r="AM402" s="183"/>
      <c r="AN402" s="183"/>
      <c r="AO402" s="183"/>
      <c r="AP402" s="183"/>
    </row>
    <row r="403" ht="30.0" customHeight="1">
      <c r="A403" s="183"/>
      <c r="B403" s="183"/>
      <c r="C403" s="118"/>
      <c r="D403" s="126" t="s">
        <v>105</v>
      </c>
      <c r="E403" s="126" t="s">
        <v>86</v>
      </c>
      <c r="F403" s="126"/>
      <c r="G403" s="126"/>
      <c r="H403" s="126" t="s">
        <v>112</v>
      </c>
      <c r="I403" s="126">
        <v>221.0</v>
      </c>
      <c r="J403" s="161">
        <v>3100000.0</v>
      </c>
      <c r="K403" s="161">
        <v>3100000.0</v>
      </c>
      <c r="L403" s="161">
        <v>2349672.0</v>
      </c>
      <c r="M403" s="161">
        <v>2349672.0</v>
      </c>
      <c r="N403" s="163">
        <f t="shared" ref="N403:O403" si="728">J403+L403</f>
        <v>5449672</v>
      </c>
      <c r="O403" s="163">
        <f t="shared" si="728"/>
        <v>5449672</v>
      </c>
      <c r="P403" s="183"/>
      <c r="Q403" s="175">
        <v>3100000.0</v>
      </c>
      <c r="R403" s="175">
        <v>3100000.0</v>
      </c>
      <c r="S403" s="175">
        <v>2349672.0</v>
      </c>
      <c r="T403" s="175">
        <v>2349672.0</v>
      </c>
      <c r="U403" s="175">
        <v>5449672.0</v>
      </c>
      <c r="V403" s="175">
        <v>5449672.0</v>
      </c>
      <c r="W403" s="164">
        <f t="shared" ref="W403:AB403" si="729">+J403-Q403</f>
        <v>0</v>
      </c>
      <c r="X403" s="164">
        <f t="shared" si="729"/>
        <v>0</v>
      </c>
      <c r="Y403" s="164">
        <f t="shared" si="729"/>
        <v>0</v>
      </c>
      <c r="Z403" s="164">
        <f t="shared" si="729"/>
        <v>0</v>
      </c>
      <c r="AA403" s="164">
        <f t="shared" si="729"/>
        <v>0</v>
      </c>
      <c r="AB403" s="164">
        <f t="shared" si="729"/>
        <v>0</v>
      </c>
      <c r="AC403" s="183"/>
      <c r="AD403" s="183"/>
      <c r="AE403" s="183"/>
      <c r="AF403" s="183"/>
      <c r="AG403" s="77"/>
      <c r="AH403" s="77"/>
      <c r="AI403" s="183"/>
      <c r="AJ403" s="183"/>
      <c r="AK403" s="183"/>
      <c r="AL403" s="183"/>
      <c r="AM403" s="183"/>
      <c r="AN403" s="183"/>
      <c r="AO403" s="183"/>
      <c r="AP403" s="183"/>
    </row>
    <row r="404" ht="24.75" customHeight="1">
      <c r="A404" s="81"/>
      <c r="B404" s="77"/>
      <c r="C404" s="170"/>
      <c r="D404" s="171"/>
      <c r="E404" s="171"/>
      <c r="F404" s="171"/>
      <c r="G404" s="171"/>
      <c r="H404" s="171"/>
      <c r="I404" s="171"/>
      <c r="J404" s="172"/>
      <c r="K404" s="172"/>
      <c r="L404" s="172"/>
      <c r="M404" s="172"/>
      <c r="N404" s="174"/>
      <c r="O404" s="174"/>
      <c r="P404" s="81"/>
      <c r="Q404" s="127"/>
      <c r="R404" s="127"/>
      <c r="S404" s="127"/>
      <c r="T404" s="127"/>
      <c r="U404" s="127"/>
      <c r="V404" s="127"/>
      <c r="W404" s="144"/>
      <c r="X404" s="144"/>
      <c r="Y404" s="144"/>
      <c r="Z404" s="144"/>
      <c r="AA404" s="144"/>
      <c r="AB404" s="144"/>
      <c r="AC404" s="81"/>
      <c r="AD404" s="81"/>
      <c r="AE404" s="81"/>
      <c r="AF404" s="81"/>
      <c r="AG404" s="77"/>
      <c r="AH404" s="77"/>
      <c r="AI404" s="81"/>
      <c r="AJ404" s="81"/>
      <c r="AK404" s="81"/>
      <c r="AL404" s="81"/>
      <c r="AM404" s="81"/>
      <c r="AN404" s="81"/>
      <c r="AO404" s="81"/>
      <c r="AP404" s="81"/>
    </row>
    <row r="405" ht="24.75" customHeight="1">
      <c r="A405" s="81"/>
      <c r="B405" s="178" t="s">
        <v>115</v>
      </c>
      <c r="C405" s="178" t="s">
        <v>116</v>
      </c>
      <c r="D405" s="171"/>
      <c r="E405" s="171"/>
      <c r="F405" s="171"/>
      <c r="G405" s="171"/>
      <c r="H405" s="171"/>
      <c r="I405" s="171"/>
      <c r="J405" s="172"/>
      <c r="K405" s="172"/>
      <c r="L405" s="172"/>
      <c r="M405" s="172"/>
      <c r="N405" s="174"/>
      <c r="O405" s="174"/>
      <c r="P405" s="81"/>
      <c r="Q405" s="127"/>
      <c r="R405" s="127"/>
      <c r="S405" s="127"/>
      <c r="T405" s="127"/>
      <c r="U405" s="127"/>
      <c r="V405" s="127"/>
      <c r="W405" s="144"/>
      <c r="X405" s="144"/>
      <c r="Y405" s="144"/>
      <c r="Z405" s="144"/>
      <c r="AA405" s="144"/>
      <c r="AB405" s="144"/>
      <c r="AC405" s="81"/>
      <c r="AD405" s="81"/>
      <c r="AE405" s="81"/>
      <c r="AF405" s="81"/>
      <c r="AG405" s="77"/>
      <c r="AH405" s="77"/>
      <c r="AI405" s="81"/>
      <c r="AJ405" s="81"/>
      <c r="AK405" s="81"/>
      <c r="AL405" s="81"/>
      <c r="AM405" s="81"/>
      <c r="AN405" s="81"/>
      <c r="AO405" s="81"/>
      <c r="AP405" s="81"/>
    </row>
    <row r="406" ht="24.75" customHeight="1">
      <c r="A406" s="81"/>
      <c r="B406" s="178" t="s">
        <v>117</v>
      </c>
      <c r="C406" s="178" t="s">
        <v>118</v>
      </c>
      <c r="D406" s="171"/>
      <c r="E406" s="171"/>
      <c r="F406" s="171"/>
      <c r="G406" s="171"/>
      <c r="H406" s="171"/>
      <c r="I406" s="171"/>
      <c r="J406" s="172"/>
      <c r="K406" s="172"/>
      <c r="L406" s="172"/>
      <c r="M406" s="172"/>
      <c r="N406" s="174"/>
      <c r="O406" s="174"/>
      <c r="P406" s="81"/>
      <c r="Q406" s="127"/>
      <c r="R406" s="127"/>
      <c r="S406" s="127"/>
      <c r="T406" s="127"/>
      <c r="U406" s="127"/>
      <c r="V406" s="127"/>
      <c r="W406" s="144"/>
      <c r="X406" s="144"/>
      <c r="Y406" s="144"/>
      <c r="Z406" s="144"/>
      <c r="AA406" s="144"/>
      <c r="AB406" s="144"/>
      <c r="AC406" s="81"/>
      <c r="AD406" s="81"/>
      <c r="AE406" s="81"/>
      <c r="AF406" s="81"/>
      <c r="AG406" s="77"/>
      <c r="AH406" s="77"/>
      <c r="AI406" s="81"/>
      <c r="AJ406" s="81"/>
      <c r="AK406" s="81"/>
      <c r="AL406" s="81"/>
      <c r="AM406" s="81"/>
      <c r="AN406" s="81"/>
      <c r="AO406" s="81"/>
      <c r="AP406" s="81"/>
    </row>
    <row r="407" ht="24.75" customHeight="1">
      <c r="A407" s="81"/>
      <c r="B407" s="77"/>
      <c r="C407" s="170"/>
      <c r="D407" s="171"/>
      <c r="E407" s="171"/>
      <c r="F407" s="171"/>
      <c r="G407" s="171"/>
      <c r="H407" s="171"/>
      <c r="I407" s="171"/>
      <c r="J407" s="172"/>
      <c r="K407" s="172"/>
      <c r="L407" s="172"/>
      <c r="M407" s="172"/>
      <c r="N407" s="174"/>
      <c r="O407" s="174"/>
      <c r="P407" s="81"/>
      <c r="Q407" s="127"/>
      <c r="R407" s="127"/>
      <c r="S407" s="127"/>
      <c r="T407" s="127"/>
      <c r="U407" s="127"/>
      <c r="V407" s="127"/>
      <c r="W407" s="144"/>
      <c r="X407" s="144"/>
      <c r="Y407" s="144"/>
      <c r="Z407" s="144"/>
      <c r="AA407" s="144"/>
      <c r="AB407" s="144"/>
      <c r="AC407" s="81"/>
      <c r="AD407" s="81"/>
      <c r="AE407" s="81"/>
      <c r="AF407" s="81"/>
      <c r="AG407" s="77"/>
      <c r="AH407" s="77"/>
      <c r="AI407" s="81"/>
      <c r="AJ407" s="81"/>
      <c r="AK407" s="81"/>
      <c r="AL407" s="81"/>
      <c r="AM407" s="81"/>
      <c r="AN407" s="81"/>
      <c r="AO407" s="81"/>
      <c r="AP407" s="81"/>
    </row>
    <row r="408" ht="34.5" customHeight="1">
      <c r="A408" s="81"/>
      <c r="B408" s="77"/>
      <c r="C408" s="151" t="s">
        <v>76</v>
      </c>
      <c r="D408" s="152" t="s">
        <v>77</v>
      </c>
      <c r="E408" s="136"/>
      <c r="F408" s="136"/>
      <c r="G408" s="136"/>
      <c r="H408" s="137"/>
      <c r="I408" s="153" t="s">
        <v>78</v>
      </c>
      <c r="J408" s="154" t="s">
        <v>79</v>
      </c>
      <c r="K408" s="137"/>
      <c r="L408" s="155" t="s">
        <v>80</v>
      </c>
      <c r="M408" s="137"/>
      <c r="N408" s="152" t="s">
        <v>65</v>
      </c>
      <c r="O408" s="137"/>
      <c r="P408" s="81"/>
      <c r="Q408" s="127"/>
      <c r="R408" s="127"/>
      <c r="S408" s="127"/>
      <c r="T408" s="127"/>
      <c r="U408" s="127"/>
      <c r="V408" s="127"/>
      <c r="W408" s="144"/>
      <c r="X408" s="144"/>
      <c r="Y408" s="144"/>
      <c r="Z408" s="144"/>
      <c r="AA408" s="144"/>
      <c r="AB408" s="144"/>
      <c r="AC408" s="81"/>
      <c r="AD408" s="81"/>
      <c r="AE408" s="81"/>
      <c r="AF408" s="81"/>
      <c r="AG408" s="77"/>
      <c r="AH408" s="77"/>
      <c r="AI408" s="81"/>
      <c r="AJ408" s="81"/>
      <c r="AK408" s="81"/>
      <c r="AL408" s="81"/>
      <c r="AM408" s="81"/>
      <c r="AN408" s="81"/>
      <c r="AO408" s="81"/>
      <c r="AP408" s="81"/>
    </row>
    <row r="409" ht="34.5" customHeight="1">
      <c r="A409" s="81"/>
      <c r="B409" s="77"/>
      <c r="C409" s="118"/>
      <c r="D409" s="158" t="s">
        <v>81</v>
      </c>
      <c r="E409" s="158" t="s">
        <v>82</v>
      </c>
      <c r="F409" s="158" t="s">
        <v>82</v>
      </c>
      <c r="G409" s="158" t="s">
        <v>82</v>
      </c>
      <c r="H409" s="158" t="s">
        <v>82</v>
      </c>
      <c r="I409" s="118"/>
      <c r="J409" s="158" t="s">
        <v>53</v>
      </c>
      <c r="K409" s="158" t="s">
        <v>54</v>
      </c>
      <c r="L409" s="159" t="s">
        <v>53</v>
      </c>
      <c r="M409" s="159" t="s">
        <v>54</v>
      </c>
      <c r="N409" s="158" t="s">
        <v>53</v>
      </c>
      <c r="O409" s="158" t="s">
        <v>54</v>
      </c>
      <c r="P409" s="81"/>
      <c r="Q409" s="127"/>
      <c r="R409" s="127"/>
      <c r="S409" s="127"/>
      <c r="T409" s="127"/>
      <c r="U409" s="127"/>
      <c r="V409" s="127"/>
      <c r="W409" s="144"/>
      <c r="X409" s="144"/>
      <c r="Y409" s="144"/>
      <c r="Z409" s="144"/>
      <c r="AA409" s="144"/>
      <c r="AB409" s="144"/>
      <c r="AC409" s="81"/>
      <c r="AD409" s="81"/>
      <c r="AE409" s="81"/>
      <c r="AF409" s="81"/>
      <c r="AG409" s="77"/>
      <c r="AH409" s="77"/>
      <c r="AI409" s="81"/>
      <c r="AJ409" s="81"/>
      <c r="AK409" s="81"/>
      <c r="AL409" s="81"/>
      <c r="AM409" s="81"/>
      <c r="AN409" s="81"/>
      <c r="AO409" s="81"/>
      <c r="AP409" s="81"/>
    </row>
    <row r="410" ht="34.5" customHeight="1">
      <c r="A410" s="81"/>
      <c r="B410" s="77"/>
      <c r="C410" s="185" t="s">
        <v>119</v>
      </c>
      <c r="D410" s="165" t="s">
        <v>90</v>
      </c>
      <c r="E410" s="165" t="s">
        <v>84</v>
      </c>
      <c r="F410" s="165"/>
      <c r="G410" s="165"/>
      <c r="H410" s="165" t="s">
        <v>90</v>
      </c>
      <c r="I410" s="165">
        <v>170.0</v>
      </c>
      <c r="J410" s="166">
        <v>2410000.0</v>
      </c>
      <c r="K410" s="166">
        <v>2410000.0</v>
      </c>
      <c r="L410" s="161">
        <v>1566448.0</v>
      </c>
      <c r="M410" s="161">
        <v>1566448.0</v>
      </c>
      <c r="N410" s="186">
        <v>3976448.0</v>
      </c>
      <c r="O410" s="186">
        <v>3976448.0</v>
      </c>
      <c r="P410" s="81"/>
      <c r="Q410" s="127">
        <v>2410000.0</v>
      </c>
      <c r="R410" s="127">
        <v>2410000.0</v>
      </c>
      <c r="S410" s="127">
        <v>1566448.0</v>
      </c>
      <c r="T410" s="127">
        <v>1566448.0</v>
      </c>
      <c r="U410" s="127">
        <v>3976448.0</v>
      </c>
      <c r="V410" s="127">
        <v>3976448.0</v>
      </c>
      <c r="W410" s="164">
        <f t="shared" ref="W410:AB410" si="730">+J410-Q410</f>
        <v>0</v>
      </c>
      <c r="X410" s="164">
        <f t="shared" si="730"/>
        <v>0</v>
      </c>
      <c r="Y410" s="164">
        <f t="shared" si="730"/>
        <v>0</v>
      </c>
      <c r="Z410" s="164">
        <f t="shared" si="730"/>
        <v>0</v>
      </c>
      <c r="AA410" s="164">
        <f t="shared" si="730"/>
        <v>0</v>
      </c>
      <c r="AB410" s="164">
        <f t="shared" si="730"/>
        <v>0</v>
      </c>
      <c r="AC410" s="81"/>
      <c r="AD410" s="81"/>
      <c r="AE410" s="81"/>
      <c r="AF410" s="81"/>
      <c r="AG410" s="77"/>
      <c r="AH410" s="77"/>
      <c r="AI410" s="81"/>
      <c r="AJ410" s="81"/>
      <c r="AK410" s="81"/>
      <c r="AL410" s="81"/>
      <c r="AM410" s="81"/>
      <c r="AN410" s="81"/>
      <c r="AO410" s="81"/>
      <c r="AP410" s="81"/>
    </row>
    <row r="411" ht="34.5" customHeight="1">
      <c r="A411" s="81"/>
      <c r="B411" s="77"/>
      <c r="C411" s="130"/>
      <c r="D411" s="165" t="s">
        <v>90</v>
      </c>
      <c r="E411" s="165" t="s">
        <v>85</v>
      </c>
      <c r="F411" s="165"/>
      <c r="G411" s="165"/>
      <c r="H411" s="165" t="s">
        <v>90</v>
      </c>
      <c r="I411" s="165">
        <v>70.0</v>
      </c>
      <c r="J411" s="166">
        <v>1420000.0</v>
      </c>
      <c r="K411" s="166">
        <v>1420000.0</v>
      </c>
      <c r="L411" s="161">
        <v>645008.0</v>
      </c>
      <c r="M411" s="161">
        <v>645008.0</v>
      </c>
      <c r="N411" s="186">
        <v>2065008.0</v>
      </c>
      <c r="O411" s="186">
        <v>2065008.0</v>
      </c>
      <c r="P411" s="81"/>
      <c r="Q411" s="127">
        <v>1420000.0</v>
      </c>
      <c r="R411" s="127">
        <v>1420000.0</v>
      </c>
      <c r="S411" s="127">
        <v>645008.0</v>
      </c>
      <c r="T411" s="127">
        <v>645008.0</v>
      </c>
      <c r="U411" s="127">
        <v>2065008.0</v>
      </c>
      <c r="V411" s="127">
        <v>2065008.0</v>
      </c>
      <c r="W411" s="164">
        <f t="shared" ref="W411:AB411" si="731">+J411-Q411</f>
        <v>0</v>
      </c>
      <c r="X411" s="164">
        <f t="shared" si="731"/>
        <v>0</v>
      </c>
      <c r="Y411" s="164">
        <f t="shared" si="731"/>
        <v>0</v>
      </c>
      <c r="Z411" s="164">
        <f t="shared" si="731"/>
        <v>0</v>
      </c>
      <c r="AA411" s="164">
        <f t="shared" si="731"/>
        <v>0</v>
      </c>
      <c r="AB411" s="164">
        <f t="shared" si="731"/>
        <v>0</v>
      </c>
      <c r="AC411" s="81"/>
      <c r="AD411" s="81"/>
      <c r="AE411" s="81"/>
      <c r="AF411" s="81"/>
      <c r="AG411" s="77"/>
      <c r="AH411" s="77"/>
      <c r="AI411" s="81"/>
      <c r="AJ411" s="81"/>
      <c r="AK411" s="81"/>
      <c r="AL411" s="81"/>
      <c r="AM411" s="81"/>
      <c r="AN411" s="81"/>
      <c r="AO411" s="81"/>
      <c r="AP411" s="81"/>
    </row>
    <row r="412" ht="34.5" customHeight="1">
      <c r="A412" s="81"/>
      <c r="B412" s="77"/>
      <c r="C412" s="130"/>
      <c r="D412" s="165" t="s">
        <v>90</v>
      </c>
      <c r="E412" s="165" t="s">
        <v>86</v>
      </c>
      <c r="F412" s="165"/>
      <c r="G412" s="165"/>
      <c r="H412" s="165" t="s">
        <v>90</v>
      </c>
      <c r="I412" s="165">
        <v>55.0</v>
      </c>
      <c r="J412" s="166">
        <v>1420000.0</v>
      </c>
      <c r="K412" s="166">
        <v>1420000.0</v>
      </c>
      <c r="L412" s="161">
        <v>506792.0</v>
      </c>
      <c r="M412" s="161">
        <v>506792.0</v>
      </c>
      <c r="N412" s="186">
        <v>1926792.0</v>
      </c>
      <c r="O412" s="186">
        <v>1926792.0</v>
      </c>
      <c r="P412" s="81"/>
      <c r="Q412" s="127">
        <v>1420000.0</v>
      </c>
      <c r="R412" s="127">
        <v>1420000.0</v>
      </c>
      <c r="S412" s="127">
        <v>506792.0</v>
      </c>
      <c r="T412" s="127">
        <v>506792.0</v>
      </c>
      <c r="U412" s="127">
        <v>1926792.0</v>
      </c>
      <c r="V412" s="127">
        <v>1926792.0</v>
      </c>
      <c r="W412" s="164">
        <f t="shared" ref="W412:AB412" si="732">+J412-Q412</f>
        <v>0</v>
      </c>
      <c r="X412" s="164">
        <f t="shared" si="732"/>
        <v>0</v>
      </c>
      <c r="Y412" s="164">
        <f t="shared" si="732"/>
        <v>0</v>
      </c>
      <c r="Z412" s="164">
        <f t="shared" si="732"/>
        <v>0</v>
      </c>
      <c r="AA412" s="164">
        <f t="shared" si="732"/>
        <v>0</v>
      </c>
      <c r="AB412" s="164">
        <f t="shared" si="732"/>
        <v>0</v>
      </c>
      <c r="AC412" s="81"/>
      <c r="AD412" s="81"/>
      <c r="AE412" s="81"/>
      <c r="AF412" s="81"/>
      <c r="AG412" s="77"/>
      <c r="AH412" s="77"/>
      <c r="AI412" s="81"/>
      <c r="AJ412" s="81"/>
      <c r="AK412" s="81"/>
      <c r="AL412" s="81"/>
      <c r="AM412" s="81"/>
      <c r="AN412" s="81"/>
      <c r="AO412" s="81"/>
      <c r="AP412" s="81"/>
    </row>
    <row r="413" ht="34.5" customHeight="1">
      <c r="A413" s="81"/>
      <c r="B413" s="77"/>
      <c r="C413" s="130"/>
      <c r="D413" s="165" t="s">
        <v>90</v>
      </c>
      <c r="E413" s="165" t="s">
        <v>84</v>
      </c>
      <c r="F413" s="165" t="s">
        <v>85</v>
      </c>
      <c r="G413" s="165"/>
      <c r="H413" s="165" t="s">
        <v>90</v>
      </c>
      <c r="I413" s="165">
        <v>175.0</v>
      </c>
      <c r="J413" s="166">
        <v>2550000.0</v>
      </c>
      <c r="K413" s="166">
        <v>2550000.0</v>
      </c>
      <c r="L413" s="161">
        <v>1612520.0</v>
      </c>
      <c r="M413" s="161">
        <v>1612520.0</v>
      </c>
      <c r="N413" s="186">
        <v>4162520.0</v>
      </c>
      <c r="O413" s="186">
        <v>4162520.0</v>
      </c>
      <c r="P413" s="81"/>
      <c r="Q413" s="127">
        <v>2550000.0</v>
      </c>
      <c r="R413" s="127">
        <v>2550000.0</v>
      </c>
      <c r="S413" s="127">
        <v>1612520.0</v>
      </c>
      <c r="T413" s="127">
        <v>1612520.0</v>
      </c>
      <c r="U413" s="127">
        <v>4162520.0</v>
      </c>
      <c r="V413" s="127">
        <v>4162520.0</v>
      </c>
      <c r="W413" s="164">
        <f t="shared" ref="W413:AB413" si="733">+J413-Q413</f>
        <v>0</v>
      </c>
      <c r="X413" s="164">
        <f t="shared" si="733"/>
        <v>0</v>
      </c>
      <c r="Y413" s="164">
        <f t="shared" si="733"/>
        <v>0</v>
      </c>
      <c r="Z413" s="164">
        <f t="shared" si="733"/>
        <v>0</v>
      </c>
      <c r="AA413" s="164">
        <f t="shared" si="733"/>
        <v>0</v>
      </c>
      <c r="AB413" s="164">
        <f t="shared" si="733"/>
        <v>0</v>
      </c>
      <c r="AC413" s="81"/>
      <c r="AD413" s="81"/>
      <c r="AE413" s="81"/>
      <c r="AF413" s="81"/>
      <c r="AG413" s="77"/>
      <c r="AH413" s="77"/>
      <c r="AI413" s="81"/>
      <c r="AJ413" s="81"/>
      <c r="AK413" s="81"/>
      <c r="AL413" s="81"/>
      <c r="AM413" s="81"/>
      <c r="AN413" s="81"/>
      <c r="AO413" s="81"/>
      <c r="AP413" s="81"/>
    </row>
    <row r="414" ht="34.5" customHeight="1">
      <c r="A414" s="81"/>
      <c r="B414" s="77"/>
      <c r="C414" s="130"/>
      <c r="D414" s="165" t="s">
        <v>90</v>
      </c>
      <c r="E414" s="165" t="s">
        <v>84</v>
      </c>
      <c r="F414" s="165" t="s">
        <v>86</v>
      </c>
      <c r="G414" s="165"/>
      <c r="H414" s="165" t="s">
        <v>90</v>
      </c>
      <c r="I414" s="165">
        <v>165.0</v>
      </c>
      <c r="J414" s="166">
        <v>2530000.0</v>
      </c>
      <c r="K414" s="166">
        <v>2530000.0</v>
      </c>
      <c r="L414" s="161">
        <v>1520376.0</v>
      </c>
      <c r="M414" s="161">
        <v>1520376.0</v>
      </c>
      <c r="N414" s="186">
        <v>4050376.0</v>
      </c>
      <c r="O414" s="186">
        <v>4050376.0</v>
      </c>
      <c r="P414" s="81"/>
      <c r="Q414" s="127">
        <v>2530000.0</v>
      </c>
      <c r="R414" s="127">
        <v>2530000.0</v>
      </c>
      <c r="S414" s="127">
        <v>1520376.0</v>
      </c>
      <c r="T414" s="127">
        <v>1520376.0</v>
      </c>
      <c r="U414" s="127">
        <v>4050376.0</v>
      </c>
      <c r="V414" s="127">
        <v>4050376.0</v>
      </c>
      <c r="W414" s="164">
        <f t="shared" ref="W414:AB414" si="734">+J414-Q414</f>
        <v>0</v>
      </c>
      <c r="X414" s="164">
        <f t="shared" si="734"/>
        <v>0</v>
      </c>
      <c r="Y414" s="164">
        <f t="shared" si="734"/>
        <v>0</v>
      </c>
      <c r="Z414" s="164">
        <f t="shared" si="734"/>
        <v>0</v>
      </c>
      <c r="AA414" s="164">
        <f t="shared" si="734"/>
        <v>0</v>
      </c>
      <c r="AB414" s="164">
        <f t="shared" si="734"/>
        <v>0</v>
      </c>
      <c r="AC414" s="81"/>
      <c r="AD414" s="81"/>
      <c r="AE414" s="81"/>
      <c r="AF414" s="81"/>
      <c r="AG414" s="77"/>
      <c r="AH414" s="77"/>
      <c r="AI414" s="81"/>
      <c r="AJ414" s="81"/>
      <c r="AK414" s="81"/>
      <c r="AL414" s="81"/>
      <c r="AM414" s="81"/>
      <c r="AN414" s="81"/>
      <c r="AO414" s="81"/>
      <c r="AP414" s="81"/>
    </row>
    <row r="415" ht="34.5" customHeight="1">
      <c r="A415" s="81"/>
      <c r="B415" s="77"/>
      <c r="C415" s="130"/>
      <c r="D415" s="165" t="s">
        <v>90</v>
      </c>
      <c r="E415" s="165" t="s">
        <v>85</v>
      </c>
      <c r="F415" s="165" t="s">
        <v>86</v>
      </c>
      <c r="G415" s="165"/>
      <c r="H415" s="165" t="s">
        <v>90</v>
      </c>
      <c r="I415" s="165">
        <v>80.0</v>
      </c>
      <c r="J415" s="166">
        <v>1810000.0</v>
      </c>
      <c r="K415" s="166">
        <v>1810000.0</v>
      </c>
      <c r="L415" s="161">
        <v>737152.0</v>
      </c>
      <c r="M415" s="161">
        <v>737152.0</v>
      </c>
      <c r="N415" s="186">
        <v>2547152.0</v>
      </c>
      <c r="O415" s="186">
        <v>2547152.0</v>
      </c>
      <c r="P415" s="81"/>
      <c r="Q415" s="127">
        <v>1810000.0</v>
      </c>
      <c r="R415" s="127">
        <v>1810000.0</v>
      </c>
      <c r="S415" s="127">
        <v>737152.0</v>
      </c>
      <c r="T415" s="127">
        <v>737152.0</v>
      </c>
      <c r="U415" s="127">
        <v>2547152.0</v>
      </c>
      <c r="V415" s="127">
        <v>2547152.0</v>
      </c>
      <c r="W415" s="164">
        <f t="shared" ref="W415:AB415" si="735">+J415-Q415</f>
        <v>0</v>
      </c>
      <c r="X415" s="164">
        <f t="shared" si="735"/>
        <v>0</v>
      </c>
      <c r="Y415" s="164">
        <f t="shared" si="735"/>
        <v>0</v>
      </c>
      <c r="Z415" s="164">
        <f t="shared" si="735"/>
        <v>0</v>
      </c>
      <c r="AA415" s="164">
        <f t="shared" si="735"/>
        <v>0</v>
      </c>
      <c r="AB415" s="164">
        <f t="shared" si="735"/>
        <v>0</v>
      </c>
      <c r="AC415" s="81"/>
      <c r="AD415" s="81"/>
      <c r="AE415" s="81"/>
      <c r="AF415" s="81"/>
      <c r="AG415" s="77"/>
      <c r="AH415" s="77"/>
      <c r="AI415" s="81"/>
      <c r="AJ415" s="81"/>
      <c r="AK415" s="81"/>
      <c r="AL415" s="81"/>
      <c r="AM415" s="81"/>
      <c r="AN415" s="81"/>
      <c r="AO415" s="81"/>
      <c r="AP415" s="81"/>
    </row>
    <row r="416" ht="34.5" customHeight="1">
      <c r="A416" s="81"/>
      <c r="B416" s="77"/>
      <c r="C416" s="130"/>
      <c r="D416" s="165" t="s">
        <v>90</v>
      </c>
      <c r="E416" s="165" t="s">
        <v>84</v>
      </c>
      <c r="F416" s="165" t="s">
        <v>85</v>
      </c>
      <c r="G416" s="165" t="s">
        <v>86</v>
      </c>
      <c r="H416" s="165" t="s">
        <v>90</v>
      </c>
      <c r="I416" s="165">
        <v>180.0</v>
      </c>
      <c r="J416" s="166">
        <v>2860000.0</v>
      </c>
      <c r="K416" s="166">
        <v>2860000.0</v>
      </c>
      <c r="L416" s="161">
        <v>1658592.0</v>
      </c>
      <c r="M416" s="161">
        <v>1658592.0</v>
      </c>
      <c r="N416" s="186">
        <v>4518592.0</v>
      </c>
      <c r="O416" s="186">
        <v>4518592.0</v>
      </c>
      <c r="P416" s="81"/>
      <c r="Q416" s="127">
        <v>2860000.0</v>
      </c>
      <c r="R416" s="127">
        <v>2860000.0</v>
      </c>
      <c r="S416" s="127">
        <v>1658592.0</v>
      </c>
      <c r="T416" s="127">
        <v>1658592.0</v>
      </c>
      <c r="U416" s="127">
        <v>4518592.0</v>
      </c>
      <c r="V416" s="127">
        <v>4518592.0</v>
      </c>
      <c r="W416" s="164">
        <f t="shared" ref="W416:AB416" si="736">+J416-Q416</f>
        <v>0</v>
      </c>
      <c r="X416" s="164">
        <f t="shared" si="736"/>
        <v>0</v>
      </c>
      <c r="Y416" s="164">
        <f t="shared" si="736"/>
        <v>0</v>
      </c>
      <c r="Z416" s="164">
        <f t="shared" si="736"/>
        <v>0</v>
      </c>
      <c r="AA416" s="164">
        <f t="shared" si="736"/>
        <v>0</v>
      </c>
      <c r="AB416" s="164">
        <f t="shared" si="736"/>
        <v>0</v>
      </c>
      <c r="AC416" s="81"/>
      <c r="AD416" s="81"/>
      <c r="AE416" s="81"/>
      <c r="AF416" s="81"/>
      <c r="AG416" s="77"/>
      <c r="AH416" s="77"/>
      <c r="AI416" s="81"/>
      <c r="AJ416" s="81"/>
      <c r="AK416" s="81"/>
      <c r="AL416" s="81"/>
      <c r="AM416" s="81"/>
      <c r="AN416" s="81"/>
      <c r="AO416" s="81"/>
      <c r="AP416" s="81"/>
    </row>
    <row r="417" ht="34.5" customHeight="1">
      <c r="A417" s="81"/>
      <c r="B417" s="77"/>
      <c r="C417" s="130"/>
      <c r="D417" s="165" t="s">
        <v>90</v>
      </c>
      <c r="E417" s="165" t="s">
        <v>87</v>
      </c>
      <c r="F417" s="165"/>
      <c r="G417" s="165"/>
      <c r="H417" s="165" t="s">
        <v>90</v>
      </c>
      <c r="I417" s="165">
        <v>100.0</v>
      </c>
      <c r="J417" s="166">
        <v>2440000.0</v>
      </c>
      <c r="K417" s="166">
        <v>2440000.0</v>
      </c>
      <c r="L417" s="161">
        <v>921440.0</v>
      </c>
      <c r="M417" s="161">
        <v>921440.0</v>
      </c>
      <c r="N417" s="186">
        <v>3361440.0</v>
      </c>
      <c r="O417" s="186">
        <v>3361440.0</v>
      </c>
      <c r="P417" s="81"/>
      <c r="Q417" s="127">
        <v>2440000.0</v>
      </c>
      <c r="R417" s="127">
        <v>2440000.0</v>
      </c>
      <c r="S417" s="127">
        <v>921440.0</v>
      </c>
      <c r="T417" s="127">
        <v>921440.0</v>
      </c>
      <c r="U417" s="127">
        <v>3361440.0</v>
      </c>
      <c r="V417" s="127">
        <v>3361440.0</v>
      </c>
      <c r="W417" s="164">
        <f t="shared" ref="W417:AB417" si="737">+J417-Q417</f>
        <v>0</v>
      </c>
      <c r="X417" s="164">
        <f t="shared" si="737"/>
        <v>0</v>
      </c>
      <c r="Y417" s="164">
        <f t="shared" si="737"/>
        <v>0</v>
      </c>
      <c r="Z417" s="164">
        <f t="shared" si="737"/>
        <v>0</v>
      </c>
      <c r="AA417" s="164">
        <f t="shared" si="737"/>
        <v>0</v>
      </c>
      <c r="AB417" s="164">
        <f t="shared" si="737"/>
        <v>0</v>
      </c>
      <c r="AC417" s="81"/>
      <c r="AD417" s="81"/>
      <c r="AE417" s="81"/>
      <c r="AF417" s="81"/>
      <c r="AG417" s="77"/>
      <c r="AH417" s="77"/>
      <c r="AI417" s="81"/>
      <c r="AJ417" s="81"/>
      <c r="AK417" s="81"/>
      <c r="AL417" s="81"/>
      <c r="AM417" s="81"/>
      <c r="AN417" s="81"/>
      <c r="AO417" s="81"/>
      <c r="AP417" s="81"/>
    </row>
    <row r="418" ht="34.5" customHeight="1">
      <c r="A418" s="81"/>
      <c r="B418" s="77"/>
      <c r="C418" s="130"/>
      <c r="D418" s="165" t="s">
        <v>90</v>
      </c>
      <c r="E418" s="165" t="s">
        <v>87</v>
      </c>
      <c r="F418" s="165" t="s">
        <v>84</v>
      </c>
      <c r="G418" s="165"/>
      <c r="H418" s="165" t="s">
        <v>90</v>
      </c>
      <c r="I418" s="165">
        <v>160.0</v>
      </c>
      <c r="J418" s="166">
        <v>3230000.0</v>
      </c>
      <c r="K418" s="166">
        <v>3230000.0</v>
      </c>
      <c r="L418" s="161">
        <v>1474304.0</v>
      </c>
      <c r="M418" s="161">
        <v>1474304.0</v>
      </c>
      <c r="N418" s="186">
        <v>4704304.0</v>
      </c>
      <c r="O418" s="186">
        <v>4704304.0</v>
      </c>
      <c r="P418" s="81"/>
      <c r="Q418" s="127">
        <v>3230000.0</v>
      </c>
      <c r="R418" s="127">
        <v>3230000.0</v>
      </c>
      <c r="S418" s="127">
        <v>1474304.0</v>
      </c>
      <c r="T418" s="127">
        <v>1474304.0</v>
      </c>
      <c r="U418" s="127">
        <v>4704304.0</v>
      </c>
      <c r="V418" s="127">
        <v>4704304.0</v>
      </c>
      <c r="W418" s="164">
        <f t="shared" ref="W418:AB418" si="738">+J418-Q418</f>
        <v>0</v>
      </c>
      <c r="X418" s="164">
        <f t="shared" si="738"/>
        <v>0</v>
      </c>
      <c r="Y418" s="164">
        <f t="shared" si="738"/>
        <v>0</v>
      </c>
      <c r="Z418" s="164">
        <f t="shared" si="738"/>
        <v>0</v>
      </c>
      <c r="AA418" s="164">
        <f t="shared" si="738"/>
        <v>0</v>
      </c>
      <c r="AB418" s="164">
        <f t="shared" si="738"/>
        <v>0</v>
      </c>
      <c r="AC418" s="81"/>
      <c r="AD418" s="81"/>
      <c r="AE418" s="81"/>
      <c r="AF418" s="81"/>
      <c r="AG418" s="77"/>
      <c r="AH418" s="77"/>
      <c r="AI418" s="81"/>
      <c r="AJ418" s="81"/>
      <c r="AK418" s="81"/>
      <c r="AL418" s="81"/>
      <c r="AM418" s="81"/>
      <c r="AN418" s="81"/>
      <c r="AO418" s="81"/>
      <c r="AP418" s="81"/>
    </row>
    <row r="419" ht="34.5" customHeight="1">
      <c r="A419" s="81"/>
      <c r="B419" s="77"/>
      <c r="C419" s="130"/>
      <c r="D419" s="165" t="s">
        <v>90</v>
      </c>
      <c r="E419" s="165" t="s">
        <v>87</v>
      </c>
      <c r="F419" s="165" t="s">
        <v>85</v>
      </c>
      <c r="G419" s="165"/>
      <c r="H419" s="165" t="s">
        <v>90</v>
      </c>
      <c r="I419" s="165">
        <v>130.0</v>
      </c>
      <c r="J419" s="166">
        <v>3180000.0</v>
      </c>
      <c r="K419" s="166">
        <v>3180000.0</v>
      </c>
      <c r="L419" s="161">
        <v>1197872.0</v>
      </c>
      <c r="M419" s="161">
        <v>1197872.0</v>
      </c>
      <c r="N419" s="186">
        <v>4377872.0</v>
      </c>
      <c r="O419" s="186">
        <v>4377872.0</v>
      </c>
      <c r="P419" s="81"/>
      <c r="Q419" s="127">
        <v>3180000.0</v>
      </c>
      <c r="R419" s="127">
        <v>3180000.0</v>
      </c>
      <c r="S419" s="127">
        <v>1197872.0</v>
      </c>
      <c r="T419" s="127">
        <v>1197872.0</v>
      </c>
      <c r="U419" s="127">
        <v>4377872.0</v>
      </c>
      <c r="V419" s="127">
        <v>4377872.0</v>
      </c>
      <c r="W419" s="164">
        <f t="shared" ref="W419:AB419" si="739">+J419-Q419</f>
        <v>0</v>
      </c>
      <c r="X419" s="164">
        <f t="shared" si="739"/>
        <v>0</v>
      </c>
      <c r="Y419" s="164">
        <f t="shared" si="739"/>
        <v>0</v>
      </c>
      <c r="Z419" s="164">
        <f t="shared" si="739"/>
        <v>0</v>
      </c>
      <c r="AA419" s="164">
        <f t="shared" si="739"/>
        <v>0</v>
      </c>
      <c r="AB419" s="164">
        <f t="shared" si="739"/>
        <v>0</v>
      </c>
      <c r="AC419" s="81"/>
      <c r="AD419" s="81"/>
      <c r="AE419" s="81"/>
      <c r="AF419" s="81"/>
      <c r="AG419" s="77"/>
      <c r="AH419" s="77"/>
      <c r="AI419" s="81"/>
      <c r="AJ419" s="81"/>
      <c r="AK419" s="81"/>
      <c r="AL419" s="81"/>
      <c r="AM419" s="81"/>
      <c r="AN419" s="81"/>
      <c r="AO419" s="81"/>
      <c r="AP419" s="81"/>
    </row>
    <row r="420" ht="34.5" customHeight="1">
      <c r="A420" s="81"/>
      <c r="B420" s="77"/>
      <c r="C420" s="130"/>
      <c r="D420" s="165" t="s">
        <v>90</v>
      </c>
      <c r="E420" s="165" t="s">
        <v>88</v>
      </c>
      <c r="F420" s="165"/>
      <c r="G420" s="165"/>
      <c r="H420" s="165" t="s">
        <v>90</v>
      </c>
      <c r="I420" s="165">
        <v>80.0</v>
      </c>
      <c r="J420" s="166">
        <v>1760000.0</v>
      </c>
      <c r="K420" s="166">
        <v>1760000.0</v>
      </c>
      <c r="L420" s="161">
        <v>737152.0</v>
      </c>
      <c r="M420" s="161">
        <v>737152.0</v>
      </c>
      <c r="N420" s="186">
        <v>2497152.0</v>
      </c>
      <c r="O420" s="186">
        <v>2497152.0</v>
      </c>
      <c r="P420" s="81"/>
      <c r="Q420" s="127">
        <v>1760000.0</v>
      </c>
      <c r="R420" s="127">
        <v>1760000.0</v>
      </c>
      <c r="S420" s="127">
        <v>737152.0</v>
      </c>
      <c r="T420" s="127">
        <v>737152.0</v>
      </c>
      <c r="U420" s="127">
        <v>2497152.0</v>
      </c>
      <c r="V420" s="127">
        <v>2497152.0</v>
      </c>
      <c r="W420" s="164">
        <f t="shared" ref="W420:AB420" si="740">+J420-Q420</f>
        <v>0</v>
      </c>
      <c r="X420" s="164">
        <f t="shared" si="740"/>
        <v>0</v>
      </c>
      <c r="Y420" s="164">
        <f t="shared" si="740"/>
        <v>0</v>
      </c>
      <c r="Z420" s="164">
        <f t="shared" si="740"/>
        <v>0</v>
      </c>
      <c r="AA420" s="164">
        <f t="shared" si="740"/>
        <v>0</v>
      </c>
      <c r="AB420" s="164">
        <f t="shared" si="740"/>
        <v>0</v>
      </c>
      <c r="AC420" s="81"/>
      <c r="AD420" s="81"/>
      <c r="AE420" s="81"/>
      <c r="AF420" s="81"/>
      <c r="AG420" s="77"/>
      <c r="AH420" s="77"/>
      <c r="AI420" s="81"/>
      <c r="AJ420" s="81"/>
      <c r="AK420" s="81"/>
      <c r="AL420" s="81"/>
      <c r="AM420" s="81"/>
      <c r="AN420" s="81"/>
      <c r="AO420" s="81"/>
      <c r="AP420" s="81"/>
    </row>
    <row r="421" ht="34.5" customHeight="1">
      <c r="A421" s="81"/>
      <c r="B421" s="77"/>
      <c r="C421" s="130"/>
      <c r="D421" s="165" t="s">
        <v>90</v>
      </c>
      <c r="E421" s="165" t="s">
        <v>88</v>
      </c>
      <c r="F421" s="165" t="s">
        <v>85</v>
      </c>
      <c r="G421" s="165"/>
      <c r="H421" s="165" t="s">
        <v>90</v>
      </c>
      <c r="I421" s="165">
        <v>90.0</v>
      </c>
      <c r="J421" s="166">
        <v>1780000.0</v>
      </c>
      <c r="K421" s="166">
        <v>1780000.0</v>
      </c>
      <c r="L421" s="161">
        <v>829296.0</v>
      </c>
      <c r="M421" s="161">
        <v>829296.0</v>
      </c>
      <c r="N421" s="186">
        <v>2609296.0</v>
      </c>
      <c r="O421" s="186">
        <v>2609296.0</v>
      </c>
      <c r="P421" s="81"/>
      <c r="Q421" s="127">
        <v>1780000.0</v>
      </c>
      <c r="R421" s="127">
        <v>1780000.0</v>
      </c>
      <c r="S421" s="127">
        <v>829296.0</v>
      </c>
      <c r="T421" s="127">
        <v>829296.0</v>
      </c>
      <c r="U421" s="127">
        <v>2609296.0</v>
      </c>
      <c r="V421" s="127">
        <v>2609296.0</v>
      </c>
      <c r="W421" s="164">
        <f t="shared" ref="W421:AB421" si="741">+J421-Q421</f>
        <v>0</v>
      </c>
      <c r="X421" s="164">
        <f t="shared" si="741"/>
        <v>0</v>
      </c>
      <c r="Y421" s="164">
        <f t="shared" si="741"/>
        <v>0</v>
      </c>
      <c r="Z421" s="164">
        <f t="shared" si="741"/>
        <v>0</v>
      </c>
      <c r="AA421" s="164">
        <f t="shared" si="741"/>
        <v>0</v>
      </c>
      <c r="AB421" s="164">
        <f t="shared" si="741"/>
        <v>0</v>
      </c>
      <c r="AC421" s="81"/>
      <c r="AD421" s="81"/>
      <c r="AE421" s="81"/>
      <c r="AF421" s="81"/>
      <c r="AG421" s="77"/>
      <c r="AH421" s="77"/>
      <c r="AI421" s="81"/>
      <c r="AJ421" s="81"/>
      <c r="AK421" s="81"/>
      <c r="AL421" s="81"/>
      <c r="AM421" s="81"/>
      <c r="AN421" s="81"/>
      <c r="AO421" s="81"/>
      <c r="AP421" s="81"/>
    </row>
    <row r="422" ht="34.5" customHeight="1">
      <c r="A422" s="81"/>
      <c r="B422" s="77"/>
      <c r="C422" s="130"/>
      <c r="D422" s="165" t="s">
        <v>90</v>
      </c>
      <c r="E422" s="165" t="s">
        <v>88</v>
      </c>
      <c r="F422" s="165" t="s">
        <v>86</v>
      </c>
      <c r="G422" s="165"/>
      <c r="H422" s="165" t="s">
        <v>90</v>
      </c>
      <c r="I422" s="165">
        <v>100.0</v>
      </c>
      <c r="J422" s="166">
        <v>1840000.0</v>
      </c>
      <c r="K422" s="166">
        <v>1840000.0</v>
      </c>
      <c r="L422" s="161">
        <v>921440.0</v>
      </c>
      <c r="M422" s="161">
        <v>921440.0</v>
      </c>
      <c r="N422" s="186">
        <v>2761440.0</v>
      </c>
      <c r="O422" s="186">
        <v>2761440.0</v>
      </c>
      <c r="P422" s="81"/>
      <c r="Q422" s="127">
        <v>1840000.0</v>
      </c>
      <c r="R422" s="127">
        <v>1840000.0</v>
      </c>
      <c r="S422" s="127">
        <v>921440.0</v>
      </c>
      <c r="T422" s="127">
        <v>921440.0</v>
      </c>
      <c r="U422" s="127">
        <v>2761440.0</v>
      </c>
      <c r="V422" s="127">
        <v>2761440.0</v>
      </c>
      <c r="W422" s="164">
        <f t="shared" ref="W422:AB422" si="742">+J422-Q422</f>
        <v>0</v>
      </c>
      <c r="X422" s="164">
        <f t="shared" si="742"/>
        <v>0</v>
      </c>
      <c r="Y422" s="164">
        <f t="shared" si="742"/>
        <v>0</v>
      </c>
      <c r="Z422" s="164">
        <f t="shared" si="742"/>
        <v>0</v>
      </c>
      <c r="AA422" s="164">
        <f t="shared" si="742"/>
        <v>0</v>
      </c>
      <c r="AB422" s="164">
        <f t="shared" si="742"/>
        <v>0</v>
      </c>
      <c r="AC422" s="81"/>
      <c r="AD422" s="81"/>
      <c r="AE422" s="81"/>
      <c r="AF422" s="81"/>
      <c r="AG422" s="77"/>
      <c r="AH422" s="77"/>
      <c r="AI422" s="81"/>
      <c r="AJ422" s="81"/>
      <c r="AK422" s="81"/>
      <c r="AL422" s="81"/>
      <c r="AM422" s="81"/>
      <c r="AN422" s="81"/>
      <c r="AO422" s="81"/>
      <c r="AP422" s="81"/>
    </row>
    <row r="423" ht="34.5" customHeight="1">
      <c r="A423" s="81"/>
      <c r="B423" s="77"/>
      <c r="C423" s="118"/>
      <c r="D423" s="165" t="s">
        <v>90</v>
      </c>
      <c r="E423" s="165" t="s">
        <v>88</v>
      </c>
      <c r="F423" s="165" t="s">
        <v>85</v>
      </c>
      <c r="G423" s="165" t="s">
        <v>86</v>
      </c>
      <c r="H423" s="165" t="s">
        <v>90</v>
      </c>
      <c r="I423" s="165">
        <v>110.0</v>
      </c>
      <c r="J423" s="166">
        <v>2200000.0</v>
      </c>
      <c r="K423" s="166">
        <v>2200000.0</v>
      </c>
      <c r="L423" s="161">
        <v>1013584.0</v>
      </c>
      <c r="M423" s="161">
        <v>1013584.0</v>
      </c>
      <c r="N423" s="186">
        <v>3213584.0</v>
      </c>
      <c r="O423" s="186">
        <v>3213584.0</v>
      </c>
      <c r="P423" s="81"/>
      <c r="Q423" s="127">
        <v>2200000.0</v>
      </c>
      <c r="R423" s="127">
        <v>2200000.0</v>
      </c>
      <c r="S423" s="127">
        <v>1013584.0</v>
      </c>
      <c r="T423" s="127">
        <v>1013584.0</v>
      </c>
      <c r="U423" s="127">
        <v>3213584.0</v>
      </c>
      <c r="V423" s="127">
        <v>3213584.0</v>
      </c>
      <c r="W423" s="164">
        <f t="shared" ref="W423:AB423" si="743">+J423-Q423</f>
        <v>0</v>
      </c>
      <c r="X423" s="164">
        <f t="shared" si="743"/>
        <v>0</v>
      </c>
      <c r="Y423" s="164">
        <f t="shared" si="743"/>
        <v>0</v>
      </c>
      <c r="Z423" s="164">
        <f t="shared" si="743"/>
        <v>0</v>
      </c>
      <c r="AA423" s="164">
        <f t="shared" si="743"/>
        <v>0</v>
      </c>
      <c r="AB423" s="164">
        <f t="shared" si="743"/>
        <v>0</v>
      </c>
      <c r="AC423" s="81"/>
      <c r="AD423" s="81"/>
      <c r="AE423" s="81"/>
      <c r="AF423" s="81"/>
      <c r="AG423" s="77"/>
      <c r="AH423" s="77"/>
      <c r="AI423" s="81"/>
      <c r="AJ423" s="81"/>
      <c r="AK423" s="81"/>
      <c r="AL423" s="81"/>
      <c r="AM423" s="81"/>
      <c r="AN423" s="81"/>
      <c r="AO423" s="81"/>
      <c r="AP423" s="81"/>
    </row>
    <row r="424" ht="34.5" customHeight="1">
      <c r="A424" s="81"/>
      <c r="B424" s="77"/>
      <c r="C424" s="167" t="s">
        <v>92</v>
      </c>
      <c r="D424" s="165" t="s">
        <v>90</v>
      </c>
      <c r="E424" s="165" t="s">
        <v>96</v>
      </c>
      <c r="F424" s="165"/>
      <c r="G424" s="165"/>
      <c r="H424" s="165"/>
      <c r="I424" s="165">
        <v>85.0</v>
      </c>
      <c r="J424" s="166">
        <v>1600000.0</v>
      </c>
      <c r="K424" s="166">
        <v>1600000.0</v>
      </c>
      <c r="L424" s="161">
        <v>903720.0</v>
      </c>
      <c r="M424" s="161">
        <v>903720.0</v>
      </c>
      <c r="N424" s="186">
        <v>2503720.0</v>
      </c>
      <c r="O424" s="186">
        <v>2503720.0</v>
      </c>
      <c r="P424" s="81"/>
      <c r="Q424" s="127">
        <v>1600000.0</v>
      </c>
      <c r="R424" s="127">
        <v>1600000.0</v>
      </c>
      <c r="S424" s="127">
        <v>903720.0</v>
      </c>
      <c r="T424" s="127">
        <v>903720.0</v>
      </c>
      <c r="U424" s="127">
        <v>2503720.0</v>
      </c>
      <c r="V424" s="127">
        <v>2503720.0</v>
      </c>
      <c r="W424" s="164">
        <f t="shared" ref="W424:AB424" si="744">+J424-Q424</f>
        <v>0</v>
      </c>
      <c r="X424" s="164">
        <f t="shared" si="744"/>
        <v>0</v>
      </c>
      <c r="Y424" s="164">
        <f t="shared" si="744"/>
        <v>0</v>
      </c>
      <c r="Z424" s="164">
        <f t="shared" si="744"/>
        <v>0</v>
      </c>
      <c r="AA424" s="164">
        <f t="shared" si="744"/>
        <v>0</v>
      </c>
      <c r="AB424" s="164">
        <f t="shared" si="744"/>
        <v>0</v>
      </c>
      <c r="AC424" s="81"/>
      <c r="AD424" s="81"/>
      <c r="AE424" s="81"/>
      <c r="AF424" s="81"/>
      <c r="AG424" s="77"/>
      <c r="AH424" s="77"/>
      <c r="AI424" s="81"/>
      <c r="AJ424" s="81"/>
      <c r="AK424" s="81"/>
      <c r="AL424" s="81"/>
      <c r="AM424" s="81"/>
      <c r="AN424" s="81"/>
      <c r="AO424" s="81"/>
      <c r="AP424" s="81"/>
    </row>
    <row r="425" ht="34.5" customHeight="1">
      <c r="A425" s="81"/>
      <c r="B425" s="77"/>
      <c r="C425" s="130"/>
      <c r="D425" s="165" t="s">
        <v>96</v>
      </c>
      <c r="E425" s="165" t="s">
        <v>84</v>
      </c>
      <c r="F425" s="165"/>
      <c r="G425" s="165"/>
      <c r="H425" s="165" t="s">
        <v>90</v>
      </c>
      <c r="I425" s="165">
        <v>85.0</v>
      </c>
      <c r="J425" s="166">
        <v>1600000.0</v>
      </c>
      <c r="K425" s="166">
        <v>1600000.0</v>
      </c>
      <c r="L425" s="161">
        <v>903720.0</v>
      </c>
      <c r="M425" s="161">
        <v>903720.0</v>
      </c>
      <c r="N425" s="186">
        <v>2503720.0</v>
      </c>
      <c r="O425" s="186">
        <v>2503720.0</v>
      </c>
      <c r="P425" s="81"/>
      <c r="Q425" s="127">
        <v>1600000.0</v>
      </c>
      <c r="R425" s="127">
        <v>1600000.0</v>
      </c>
      <c r="S425" s="127">
        <v>903720.0</v>
      </c>
      <c r="T425" s="127">
        <v>903720.0</v>
      </c>
      <c r="U425" s="127">
        <v>2503720.0</v>
      </c>
      <c r="V425" s="127">
        <v>2503720.0</v>
      </c>
      <c r="W425" s="164">
        <f t="shared" ref="W425:AB425" si="745">+J425-Q425</f>
        <v>0</v>
      </c>
      <c r="X425" s="164">
        <f t="shared" si="745"/>
        <v>0</v>
      </c>
      <c r="Y425" s="164">
        <f t="shared" si="745"/>
        <v>0</v>
      </c>
      <c r="Z425" s="164">
        <f t="shared" si="745"/>
        <v>0</v>
      </c>
      <c r="AA425" s="164">
        <f t="shared" si="745"/>
        <v>0</v>
      </c>
      <c r="AB425" s="164">
        <f t="shared" si="745"/>
        <v>0</v>
      </c>
      <c r="AC425" s="81"/>
      <c r="AD425" s="81"/>
      <c r="AE425" s="81"/>
      <c r="AF425" s="81"/>
      <c r="AG425" s="77"/>
      <c r="AH425" s="77"/>
      <c r="AI425" s="81"/>
      <c r="AJ425" s="81"/>
      <c r="AK425" s="81"/>
      <c r="AL425" s="81"/>
      <c r="AM425" s="81"/>
      <c r="AN425" s="81"/>
      <c r="AO425" s="81"/>
      <c r="AP425" s="81"/>
    </row>
    <row r="426" ht="34.5" customHeight="1">
      <c r="A426" s="81"/>
      <c r="B426" s="77"/>
      <c r="C426" s="130"/>
      <c r="D426" s="165" t="s">
        <v>90</v>
      </c>
      <c r="E426" s="165" t="s">
        <v>96</v>
      </c>
      <c r="F426" s="165"/>
      <c r="G426" s="165"/>
      <c r="H426" s="165"/>
      <c r="I426" s="165">
        <v>85.0</v>
      </c>
      <c r="J426" s="166">
        <v>1600000.0</v>
      </c>
      <c r="K426" s="166">
        <v>1600000.0</v>
      </c>
      <c r="L426" s="161">
        <v>903720.0</v>
      </c>
      <c r="M426" s="161">
        <v>903720.0</v>
      </c>
      <c r="N426" s="186">
        <v>2503720.0</v>
      </c>
      <c r="O426" s="186">
        <v>2503720.0</v>
      </c>
      <c r="P426" s="81"/>
      <c r="Q426" s="127">
        <v>1600000.0</v>
      </c>
      <c r="R426" s="127">
        <v>1600000.0</v>
      </c>
      <c r="S426" s="127">
        <v>903720.0</v>
      </c>
      <c r="T426" s="127">
        <v>903720.0</v>
      </c>
      <c r="U426" s="127">
        <v>2503720.0</v>
      </c>
      <c r="V426" s="127">
        <v>2503720.0</v>
      </c>
      <c r="W426" s="164">
        <f t="shared" ref="W426:AB426" si="746">+J426-Q426</f>
        <v>0</v>
      </c>
      <c r="X426" s="164">
        <f t="shared" si="746"/>
        <v>0</v>
      </c>
      <c r="Y426" s="164">
        <f t="shared" si="746"/>
        <v>0</v>
      </c>
      <c r="Z426" s="164">
        <f t="shared" si="746"/>
        <v>0</v>
      </c>
      <c r="AA426" s="164">
        <f t="shared" si="746"/>
        <v>0</v>
      </c>
      <c r="AB426" s="164">
        <f t="shared" si="746"/>
        <v>0</v>
      </c>
      <c r="AC426" s="81"/>
      <c r="AD426" s="81"/>
      <c r="AE426" s="81"/>
      <c r="AF426" s="81"/>
      <c r="AG426" s="77"/>
      <c r="AH426" s="77"/>
      <c r="AI426" s="81"/>
      <c r="AJ426" s="81"/>
      <c r="AK426" s="81"/>
      <c r="AL426" s="81"/>
      <c r="AM426" s="81"/>
      <c r="AN426" s="81"/>
      <c r="AO426" s="81"/>
      <c r="AP426" s="81"/>
    </row>
    <row r="427" ht="34.5" customHeight="1">
      <c r="A427" s="81"/>
      <c r="B427" s="77"/>
      <c r="C427" s="130"/>
      <c r="D427" s="165" t="s">
        <v>96</v>
      </c>
      <c r="E427" s="165" t="s">
        <v>85</v>
      </c>
      <c r="F427" s="165"/>
      <c r="G427" s="165"/>
      <c r="H427" s="165" t="s">
        <v>90</v>
      </c>
      <c r="I427" s="165">
        <v>70.0</v>
      </c>
      <c r="J427" s="166">
        <v>1700000.0</v>
      </c>
      <c r="K427" s="166">
        <v>1700000.0</v>
      </c>
      <c r="L427" s="161">
        <v>744240.0</v>
      </c>
      <c r="M427" s="161">
        <v>744240.0</v>
      </c>
      <c r="N427" s="186">
        <v>2444240.0</v>
      </c>
      <c r="O427" s="186">
        <v>2444240.0</v>
      </c>
      <c r="P427" s="81"/>
      <c r="Q427" s="127">
        <v>1700000.0</v>
      </c>
      <c r="R427" s="127">
        <v>1700000.0</v>
      </c>
      <c r="S427" s="127">
        <v>744240.0</v>
      </c>
      <c r="T427" s="127">
        <v>744240.0</v>
      </c>
      <c r="U427" s="127">
        <v>2444240.0</v>
      </c>
      <c r="V427" s="127">
        <v>2444240.0</v>
      </c>
      <c r="W427" s="164">
        <f t="shared" ref="W427:AB427" si="747">+J427-Q427</f>
        <v>0</v>
      </c>
      <c r="X427" s="164">
        <f t="shared" si="747"/>
        <v>0</v>
      </c>
      <c r="Y427" s="164">
        <f t="shared" si="747"/>
        <v>0</v>
      </c>
      <c r="Z427" s="164">
        <f t="shared" si="747"/>
        <v>0</v>
      </c>
      <c r="AA427" s="164">
        <f t="shared" si="747"/>
        <v>0</v>
      </c>
      <c r="AB427" s="164">
        <f t="shared" si="747"/>
        <v>0</v>
      </c>
      <c r="AC427" s="81"/>
      <c r="AD427" s="81"/>
      <c r="AE427" s="81"/>
      <c r="AF427" s="81"/>
      <c r="AG427" s="77"/>
      <c r="AH427" s="77"/>
      <c r="AI427" s="81"/>
      <c r="AJ427" s="81"/>
      <c r="AK427" s="81"/>
      <c r="AL427" s="81"/>
      <c r="AM427" s="81"/>
      <c r="AN427" s="81"/>
      <c r="AO427" s="81"/>
      <c r="AP427" s="81"/>
    </row>
    <row r="428" ht="34.5" customHeight="1">
      <c r="A428" s="81"/>
      <c r="B428" s="77"/>
      <c r="C428" s="130"/>
      <c r="D428" s="165" t="s">
        <v>90</v>
      </c>
      <c r="E428" s="165" t="s">
        <v>96</v>
      </c>
      <c r="F428" s="165"/>
      <c r="G428" s="165"/>
      <c r="H428" s="165"/>
      <c r="I428" s="165">
        <v>85.0</v>
      </c>
      <c r="J428" s="161">
        <v>1600000.0</v>
      </c>
      <c r="K428" s="161">
        <v>1600000.0</v>
      </c>
      <c r="L428" s="161">
        <v>903720.0</v>
      </c>
      <c r="M428" s="161">
        <v>903720.0</v>
      </c>
      <c r="N428" s="186">
        <v>2503720.0</v>
      </c>
      <c r="O428" s="186">
        <v>2503720.0</v>
      </c>
      <c r="P428" s="81"/>
      <c r="Q428" s="127">
        <v>1600000.0</v>
      </c>
      <c r="R428" s="127">
        <v>1600000.0</v>
      </c>
      <c r="S428" s="127">
        <v>903720.0</v>
      </c>
      <c r="T428" s="127">
        <v>903720.0</v>
      </c>
      <c r="U428" s="127">
        <v>2503720.0</v>
      </c>
      <c r="V428" s="127">
        <v>2503720.0</v>
      </c>
      <c r="W428" s="164">
        <f t="shared" ref="W428:AB428" si="748">+J428-Q428</f>
        <v>0</v>
      </c>
      <c r="X428" s="164">
        <f t="shared" si="748"/>
        <v>0</v>
      </c>
      <c r="Y428" s="164">
        <f t="shared" si="748"/>
        <v>0</v>
      </c>
      <c r="Z428" s="164">
        <f t="shared" si="748"/>
        <v>0</v>
      </c>
      <c r="AA428" s="164">
        <f t="shared" si="748"/>
        <v>0</v>
      </c>
      <c r="AB428" s="164">
        <f t="shared" si="748"/>
        <v>0</v>
      </c>
      <c r="AC428" s="81"/>
      <c r="AD428" s="81"/>
      <c r="AE428" s="81"/>
      <c r="AF428" s="81"/>
      <c r="AG428" s="77"/>
      <c r="AH428" s="77"/>
      <c r="AI428" s="81"/>
      <c r="AJ428" s="81"/>
      <c r="AK428" s="81"/>
      <c r="AL428" s="81"/>
      <c r="AM428" s="81"/>
      <c r="AN428" s="81"/>
      <c r="AO428" s="81"/>
      <c r="AP428" s="81"/>
    </row>
    <row r="429" ht="34.5" customHeight="1">
      <c r="A429" s="81"/>
      <c r="B429" s="77"/>
      <c r="C429" s="130"/>
      <c r="D429" s="165" t="s">
        <v>96</v>
      </c>
      <c r="E429" s="165" t="s">
        <v>86</v>
      </c>
      <c r="F429" s="165"/>
      <c r="G429" s="165"/>
      <c r="H429" s="165" t="s">
        <v>90</v>
      </c>
      <c r="I429" s="165">
        <v>80.0</v>
      </c>
      <c r="J429" s="166">
        <v>1700000.0</v>
      </c>
      <c r="K429" s="166">
        <v>1700000.0</v>
      </c>
      <c r="L429" s="161">
        <v>850560.0</v>
      </c>
      <c r="M429" s="161">
        <v>850560.0</v>
      </c>
      <c r="N429" s="186">
        <v>2550560.0</v>
      </c>
      <c r="O429" s="186">
        <v>2550560.0</v>
      </c>
      <c r="P429" s="81"/>
      <c r="Q429" s="127">
        <v>1700000.0</v>
      </c>
      <c r="R429" s="127">
        <v>1700000.0</v>
      </c>
      <c r="S429" s="127">
        <v>850560.0</v>
      </c>
      <c r="T429" s="127">
        <v>850560.0</v>
      </c>
      <c r="U429" s="127">
        <v>2550560.0</v>
      </c>
      <c r="V429" s="127">
        <v>2550560.0</v>
      </c>
      <c r="W429" s="164">
        <f t="shared" ref="W429:AB429" si="749">+J429-Q429</f>
        <v>0</v>
      </c>
      <c r="X429" s="164">
        <f t="shared" si="749"/>
        <v>0</v>
      </c>
      <c r="Y429" s="164">
        <f t="shared" si="749"/>
        <v>0</v>
      </c>
      <c r="Z429" s="164">
        <f t="shared" si="749"/>
        <v>0</v>
      </c>
      <c r="AA429" s="164">
        <f t="shared" si="749"/>
        <v>0</v>
      </c>
      <c r="AB429" s="164">
        <f t="shared" si="749"/>
        <v>0</v>
      </c>
      <c r="AC429" s="81"/>
      <c r="AD429" s="81"/>
      <c r="AE429" s="81"/>
      <c r="AF429" s="81"/>
      <c r="AG429" s="77"/>
      <c r="AH429" s="77"/>
      <c r="AI429" s="81"/>
      <c r="AJ429" s="81"/>
      <c r="AK429" s="81"/>
      <c r="AL429" s="81"/>
      <c r="AM429" s="81"/>
      <c r="AN429" s="81"/>
      <c r="AO429" s="81"/>
      <c r="AP429" s="81"/>
    </row>
    <row r="430" ht="34.5" customHeight="1">
      <c r="A430" s="81"/>
      <c r="B430" s="77"/>
      <c r="C430" s="130"/>
      <c r="D430" s="165" t="s">
        <v>90</v>
      </c>
      <c r="E430" s="165" t="s">
        <v>97</v>
      </c>
      <c r="F430" s="165"/>
      <c r="G430" s="165"/>
      <c r="H430" s="165"/>
      <c r="I430" s="165">
        <v>35.0</v>
      </c>
      <c r="J430" s="166">
        <v>1100000.0</v>
      </c>
      <c r="K430" s="166">
        <v>1100000.0</v>
      </c>
      <c r="L430" s="161">
        <v>372120.0</v>
      </c>
      <c r="M430" s="161">
        <v>372120.0</v>
      </c>
      <c r="N430" s="186">
        <v>1472120.0</v>
      </c>
      <c r="O430" s="186">
        <v>1472120.0</v>
      </c>
      <c r="P430" s="81"/>
      <c r="Q430" s="127">
        <v>1100000.0</v>
      </c>
      <c r="R430" s="127">
        <v>1100000.0</v>
      </c>
      <c r="S430" s="127">
        <v>372120.0</v>
      </c>
      <c r="T430" s="127">
        <v>372120.0</v>
      </c>
      <c r="U430" s="127">
        <v>1472120.0</v>
      </c>
      <c r="V430" s="127">
        <v>1472120.0</v>
      </c>
      <c r="W430" s="164">
        <f t="shared" ref="W430:AB430" si="750">+J430-Q430</f>
        <v>0</v>
      </c>
      <c r="X430" s="164">
        <f t="shared" si="750"/>
        <v>0</v>
      </c>
      <c r="Y430" s="164">
        <f t="shared" si="750"/>
        <v>0</v>
      </c>
      <c r="Z430" s="164">
        <f t="shared" si="750"/>
        <v>0</v>
      </c>
      <c r="AA430" s="164">
        <f t="shared" si="750"/>
        <v>0</v>
      </c>
      <c r="AB430" s="164">
        <f t="shared" si="750"/>
        <v>0</v>
      </c>
      <c r="AC430" s="81"/>
      <c r="AD430" s="81"/>
      <c r="AE430" s="81"/>
      <c r="AF430" s="81"/>
      <c r="AG430" s="77"/>
      <c r="AH430" s="77"/>
      <c r="AI430" s="81"/>
      <c r="AJ430" s="81"/>
      <c r="AK430" s="81"/>
      <c r="AL430" s="81"/>
      <c r="AM430" s="81"/>
      <c r="AN430" s="81"/>
      <c r="AO430" s="81"/>
      <c r="AP430" s="81"/>
    </row>
    <row r="431" ht="34.5" customHeight="1">
      <c r="A431" s="81"/>
      <c r="B431" s="77"/>
      <c r="C431" s="130"/>
      <c r="D431" s="165" t="s">
        <v>97</v>
      </c>
      <c r="E431" s="165" t="s">
        <v>84</v>
      </c>
      <c r="F431" s="165"/>
      <c r="G431" s="165"/>
      <c r="H431" s="165" t="s">
        <v>90</v>
      </c>
      <c r="I431" s="165">
        <v>130.0</v>
      </c>
      <c r="J431" s="166">
        <v>2000000.0</v>
      </c>
      <c r="K431" s="166">
        <v>2000000.0</v>
      </c>
      <c r="L431" s="161">
        <v>1382160.0</v>
      </c>
      <c r="M431" s="161">
        <v>1382160.0</v>
      </c>
      <c r="N431" s="186">
        <v>3382160.0</v>
      </c>
      <c r="O431" s="186">
        <v>3382160.0</v>
      </c>
      <c r="P431" s="81"/>
      <c r="Q431" s="127">
        <v>2000000.0</v>
      </c>
      <c r="R431" s="127">
        <v>2000000.0</v>
      </c>
      <c r="S431" s="127">
        <v>1382160.0</v>
      </c>
      <c r="T431" s="127">
        <v>1382160.0</v>
      </c>
      <c r="U431" s="127">
        <v>3382160.0</v>
      </c>
      <c r="V431" s="127">
        <v>3382160.0</v>
      </c>
      <c r="W431" s="164">
        <f t="shared" ref="W431:AB431" si="751">+J431-Q431</f>
        <v>0</v>
      </c>
      <c r="X431" s="164">
        <f t="shared" si="751"/>
        <v>0</v>
      </c>
      <c r="Y431" s="164">
        <f t="shared" si="751"/>
        <v>0</v>
      </c>
      <c r="Z431" s="164">
        <f t="shared" si="751"/>
        <v>0</v>
      </c>
      <c r="AA431" s="164">
        <f t="shared" si="751"/>
        <v>0</v>
      </c>
      <c r="AB431" s="164">
        <f t="shared" si="751"/>
        <v>0</v>
      </c>
      <c r="AC431" s="81"/>
      <c r="AD431" s="81"/>
      <c r="AE431" s="81"/>
      <c r="AF431" s="81"/>
      <c r="AG431" s="77"/>
      <c r="AH431" s="77"/>
      <c r="AI431" s="81"/>
      <c r="AJ431" s="81"/>
      <c r="AK431" s="81"/>
      <c r="AL431" s="81"/>
      <c r="AM431" s="81"/>
      <c r="AN431" s="81"/>
      <c r="AO431" s="81"/>
      <c r="AP431" s="81"/>
    </row>
    <row r="432" ht="34.5" customHeight="1">
      <c r="A432" s="81"/>
      <c r="B432" s="77"/>
      <c r="C432" s="130"/>
      <c r="D432" s="165" t="s">
        <v>90</v>
      </c>
      <c r="E432" s="165" t="s">
        <v>97</v>
      </c>
      <c r="F432" s="165"/>
      <c r="G432" s="165"/>
      <c r="H432" s="165"/>
      <c r="I432" s="165">
        <v>35.0</v>
      </c>
      <c r="J432" s="166">
        <v>1100000.0</v>
      </c>
      <c r="K432" s="166">
        <v>1100000.0</v>
      </c>
      <c r="L432" s="161">
        <v>372120.0</v>
      </c>
      <c r="M432" s="161">
        <v>372120.0</v>
      </c>
      <c r="N432" s="186">
        <v>1472120.0</v>
      </c>
      <c r="O432" s="186">
        <v>1472120.0</v>
      </c>
      <c r="P432" s="81"/>
      <c r="Q432" s="127">
        <v>1100000.0</v>
      </c>
      <c r="R432" s="127">
        <v>1100000.0</v>
      </c>
      <c r="S432" s="127">
        <v>372120.0</v>
      </c>
      <c r="T432" s="127">
        <v>372120.0</v>
      </c>
      <c r="U432" s="127">
        <v>1472120.0</v>
      </c>
      <c r="V432" s="127">
        <v>1472120.0</v>
      </c>
      <c r="W432" s="164">
        <f t="shared" ref="W432:AB432" si="752">+J432-Q432</f>
        <v>0</v>
      </c>
      <c r="X432" s="164">
        <f t="shared" si="752"/>
        <v>0</v>
      </c>
      <c r="Y432" s="164">
        <f t="shared" si="752"/>
        <v>0</v>
      </c>
      <c r="Z432" s="164">
        <f t="shared" si="752"/>
        <v>0</v>
      </c>
      <c r="AA432" s="164">
        <f t="shared" si="752"/>
        <v>0</v>
      </c>
      <c r="AB432" s="164">
        <f t="shared" si="752"/>
        <v>0</v>
      </c>
      <c r="AC432" s="81"/>
      <c r="AD432" s="81"/>
      <c r="AE432" s="81"/>
      <c r="AF432" s="81"/>
      <c r="AG432" s="77"/>
      <c r="AH432" s="77"/>
      <c r="AI432" s="81"/>
      <c r="AJ432" s="81"/>
      <c r="AK432" s="81"/>
      <c r="AL432" s="81"/>
      <c r="AM432" s="81"/>
      <c r="AN432" s="81"/>
      <c r="AO432" s="81"/>
      <c r="AP432" s="81"/>
    </row>
    <row r="433" ht="34.5" customHeight="1">
      <c r="A433" s="81"/>
      <c r="B433" s="77"/>
      <c r="C433" s="130"/>
      <c r="D433" s="165" t="s">
        <v>97</v>
      </c>
      <c r="E433" s="165" t="s">
        <v>85</v>
      </c>
      <c r="F433" s="165"/>
      <c r="G433" s="165"/>
      <c r="H433" s="165" t="s">
        <v>90</v>
      </c>
      <c r="I433" s="165">
        <v>35.0</v>
      </c>
      <c r="J433" s="166">
        <v>1100000.0</v>
      </c>
      <c r="K433" s="166">
        <v>1100000.0</v>
      </c>
      <c r="L433" s="161">
        <v>372120.0</v>
      </c>
      <c r="M433" s="161">
        <v>372120.0</v>
      </c>
      <c r="N433" s="186">
        <v>1472120.0</v>
      </c>
      <c r="O433" s="186">
        <v>1472120.0</v>
      </c>
      <c r="P433" s="81"/>
      <c r="Q433" s="127">
        <v>1100000.0</v>
      </c>
      <c r="R433" s="127">
        <v>1100000.0</v>
      </c>
      <c r="S433" s="127">
        <v>372120.0</v>
      </c>
      <c r="T433" s="127">
        <v>372120.0</v>
      </c>
      <c r="U433" s="127">
        <v>1472120.0</v>
      </c>
      <c r="V433" s="127">
        <v>1472120.0</v>
      </c>
      <c r="W433" s="164">
        <f t="shared" ref="W433:AB433" si="753">+J433-Q433</f>
        <v>0</v>
      </c>
      <c r="X433" s="164">
        <f t="shared" si="753"/>
        <v>0</v>
      </c>
      <c r="Y433" s="164">
        <f t="shared" si="753"/>
        <v>0</v>
      </c>
      <c r="Z433" s="164">
        <f t="shared" si="753"/>
        <v>0</v>
      </c>
      <c r="AA433" s="164">
        <f t="shared" si="753"/>
        <v>0</v>
      </c>
      <c r="AB433" s="164">
        <f t="shared" si="753"/>
        <v>0</v>
      </c>
      <c r="AC433" s="81"/>
      <c r="AD433" s="81"/>
      <c r="AE433" s="81"/>
      <c r="AF433" s="81"/>
      <c r="AG433" s="77"/>
      <c r="AH433" s="77"/>
      <c r="AI433" s="81"/>
      <c r="AJ433" s="81"/>
      <c r="AK433" s="81"/>
      <c r="AL433" s="81"/>
      <c r="AM433" s="81"/>
      <c r="AN433" s="81"/>
      <c r="AO433" s="81"/>
      <c r="AP433" s="81"/>
    </row>
    <row r="434" ht="34.5" customHeight="1">
      <c r="A434" s="81"/>
      <c r="B434" s="77"/>
      <c r="C434" s="130"/>
      <c r="D434" s="165" t="s">
        <v>90</v>
      </c>
      <c r="E434" s="165" t="s">
        <v>97</v>
      </c>
      <c r="F434" s="165"/>
      <c r="G434" s="165"/>
      <c r="H434" s="165"/>
      <c r="I434" s="165">
        <v>35.0</v>
      </c>
      <c r="J434" s="166">
        <v>1100000.0</v>
      </c>
      <c r="K434" s="166">
        <v>1100000.0</v>
      </c>
      <c r="L434" s="161">
        <v>372120.0</v>
      </c>
      <c r="M434" s="161">
        <v>372120.0</v>
      </c>
      <c r="N434" s="186">
        <v>1472120.0</v>
      </c>
      <c r="O434" s="186">
        <v>1472120.0</v>
      </c>
      <c r="P434" s="81"/>
      <c r="Q434" s="127">
        <v>1100000.0</v>
      </c>
      <c r="R434" s="127">
        <v>1100000.0</v>
      </c>
      <c r="S434" s="127">
        <v>372120.0</v>
      </c>
      <c r="T434" s="127">
        <v>372120.0</v>
      </c>
      <c r="U434" s="127">
        <v>1472120.0</v>
      </c>
      <c r="V434" s="127">
        <v>1472120.0</v>
      </c>
      <c r="W434" s="164">
        <f t="shared" ref="W434:AB434" si="754">+J434-Q434</f>
        <v>0</v>
      </c>
      <c r="X434" s="164">
        <f t="shared" si="754"/>
        <v>0</v>
      </c>
      <c r="Y434" s="164">
        <f t="shared" si="754"/>
        <v>0</v>
      </c>
      <c r="Z434" s="164">
        <f t="shared" si="754"/>
        <v>0</v>
      </c>
      <c r="AA434" s="164">
        <f t="shared" si="754"/>
        <v>0</v>
      </c>
      <c r="AB434" s="164">
        <f t="shared" si="754"/>
        <v>0</v>
      </c>
      <c r="AC434" s="81"/>
      <c r="AD434" s="81"/>
      <c r="AE434" s="81"/>
      <c r="AF434" s="81"/>
      <c r="AG434" s="77"/>
      <c r="AH434" s="77"/>
      <c r="AI434" s="81"/>
      <c r="AJ434" s="81"/>
      <c r="AK434" s="81"/>
      <c r="AL434" s="81"/>
      <c r="AM434" s="81"/>
      <c r="AN434" s="81"/>
      <c r="AO434" s="81"/>
      <c r="AP434" s="81"/>
    </row>
    <row r="435" ht="34.5" customHeight="1">
      <c r="A435" s="81"/>
      <c r="B435" s="77"/>
      <c r="C435" s="130"/>
      <c r="D435" s="165" t="s">
        <v>97</v>
      </c>
      <c r="E435" s="165" t="s">
        <v>86</v>
      </c>
      <c r="F435" s="165"/>
      <c r="G435" s="165"/>
      <c r="H435" s="165" t="s">
        <v>90</v>
      </c>
      <c r="I435" s="165">
        <v>45.0</v>
      </c>
      <c r="J435" s="166">
        <v>1200000.0</v>
      </c>
      <c r="K435" s="166">
        <v>1200000.0</v>
      </c>
      <c r="L435" s="161">
        <v>478440.0</v>
      </c>
      <c r="M435" s="161">
        <v>478440.0</v>
      </c>
      <c r="N435" s="186">
        <v>1678440.0</v>
      </c>
      <c r="O435" s="186">
        <v>1678440.0</v>
      </c>
      <c r="P435" s="81"/>
      <c r="Q435" s="127">
        <v>1200000.0</v>
      </c>
      <c r="R435" s="127">
        <v>1200000.0</v>
      </c>
      <c r="S435" s="127">
        <v>478440.0</v>
      </c>
      <c r="T435" s="127">
        <v>478440.0</v>
      </c>
      <c r="U435" s="127">
        <v>1678440.0</v>
      </c>
      <c r="V435" s="127">
        <v>1678440.0</v>
      </c>
      <c r="W435" s="164">
        <f t="shared" ref="W435:AB435" si="755">+J435-Q435</f>
        <v>0</v>
      </c>
      <c r="X435" s="164">
        <f t="shared" si="755"/>
        <v>0</v>
      </c>
      <c r="Y435" s="164">
        <f t="shared" si="755"/>
        <v>0</v>
      </c>
      <c r="Z435" s="164">
        <f t="shared" si="755"/>
        <v>0</v>
      </c>
      <c r="AA435" s="164">
        <f t="shared" si="755"/>
        <v>0</v>
      </c>
      <c r="AB435" s="164">
        <f t="shared" si="755"/>
        <v>0</v>
      </c>
      <c r="AC435" s="81"/>
      <c r="AD435" s="81"/>
      <c r="AE435" s="81"/>
      <c r="AF435" s="81"/>
      <c r="AG435" s="77"/>
      <c r="AH435" s="77"/>
      <c r="AI435" s="81"/>
      <c r="AJ435" s="81"/>
      <c r="AK435" s="81"/>
      <c r="AL435" s="81"/>
      <c r="AM435" s="81"/>
      <c r="AN435" s="81"/>
      <c r="AO435" s="81"/>
      <c r="AP435" s="81"/>
    </row>
    <row r="436" ht="34.5" customHeight="1">
      <c r="A436" s="81"/>
      <c r="B436" s="77"/>
      <c r="C436" s="130"/>
      <c r="D436" s="165" t="s">
        <v>90</v>
      </c>
      <c r="E436" s="165" t="s">
        <v>98</v>
      </c>
      <c r="F436" s="165"/>
      <c r="G436" s="165"/>
      <c r="H436" s="165"/>
      <c r="I436" s="165">
        <v>25.0</v>
      </c>
      <c r="J436" s="166">
        <v>1000000.0</v>
      </c>
      <c r="K436" s="166">
        <v>1000000.0</v>
      </c>
      <c r="L436" s="161">
        <v>265800.0</v>
      </c>
      <c r="M436" s="161">
        <v>265800.0</v>
      </c>
      <c r="N436" s="186">
        <v>1265800.0</v>
      </c>
      <c r="O436" s="186">
        <v>1265800.0</v>
      </c>
      <c r="P436" s="81"/>
      <c r="Q436" s="127">
        <v>1000000.0</v>
      </c>
      <c r="R436" s="127">
        <v>1000000.0</v>
      </c>
      <c r="S436" s="127">
        <v>265800.0</v>
      </c>
      <c r="T436" s="127">
        <v>265800.0</v>
      </c>
      <c r="U436" s="127">
        <v>1265800.0</v>
      </c>
      <c r="V436" s="127">
        <v>1265800.0</v>
      </c>
      <c r="W436" s="164">
        <f t="shared" ref="W436:AB436" si="756">+J436-Q436</f>
        <v>0</v>
      </c>
      <c r="X436" s="164">
        <f t="shared" si="756"/>
        <v>0</v>
      </c>
      <c r="Y436" s="164">
        <f t="shared" si="756"/>
        <v>0</v>
      </c>
      <c r="Z436" s="164">
        <f t="shared" si="756"/>
        <v>0</v>
      </c>
      <c r="AA436" s="164">
        <f t="shared" si="756"/>
        <v>0</v>
      </c>
      <c r="AB436" s="164">
        <f t="shared" si="756"/>
        <v>0</v>
      </c>
      <c r="AC436" s="81"/>
      <c r="AD436" s="81"/>
      <c r="AE436" s="81"/>
      <c r="AF436" s="81"/>
      <c r="AG436" s="77"/>
      <c r="AH436" s="77"/>
      <c r="AI436" s="81"/>
      <c r="AJ436" s="81"/>
      <c r="AK436" s="81"/>
      <c r="AL436" s="81"/>
      <c r="AM436" s="81"/>
      <c r="AN436" s="81"/>
      <c r="AO436" s="81"/>
      <c r="AP436" s="81"/>
    </row>
    <row r="437" ht="34.5" customHeight="1">
      <c r="A437" s="81"/>
      <c r="B437" s="77"/>
      <c r="C437" s="130"/>
      <c r="D437" s="165" t="s">
        <v>98</v>
      </c>
      <c r="E437" s="165" t="s">
        <v>84</v>
      </c>
      <c r="F437" s="165"/>
      <c r="G437" s="165"/>
      <c r="H437" s="165" t="s">
        <v>90</v>
      </c>
      <c r="I437" s="165">
        <v>140.0</v>
      </c>
      <c r="J437" s="166">
        <v>2000000.0</v>
      </c>
      <c r="K437" s="166">
        <v>2000000.0</v>
      </c>
      <c r="L437" s="161">
        <v>1488480.0</v>
      </c>
      <c r="M437" s="161">
        <v>1488480.0</v>
      </c>
      <c r="N437" s="186">
        <v>3488480.0</v>
      </c>
      <c r="O437" s="186">
        <v>3488480.0</v>
      </c>
      <c r="P437" s="81"/>
      <c r="Q437" s="127">
        <v>2000000.0</v>
      </c>
      <c r="R437" s="127">
        <v>2000000.0</v>
      </c>
      <c r="S437" s="127">
        <v>1488480.0</v>
      </c>
      <c r="T437" s="127">
        <v>1488480.0</v>
      </c>
      <c r="U437" s="127">
        <v>3488480.0</v>
      </c>
      <c r="V437" s="127">
        <v>3488480.0</v>
      </c>
      <c r="W437" s="164">
        <f t="shared" ref="W437:AB437" si="757">+J437-Q437</f>
        <v>0</v>
      </c>
      <c r="X437" s="164">
        <f t="shared" si="757"/>
        <v>0</v>
      </c>
      <c r="Y437" s="164">
        <f t="shared" si="757"/>
        <v>0</v>
      </c>
      <c r="Z437" s="164">
        <f t="shared" si="757"/>
        <v>0</v>
      </c>
      <c r="AA437" s="164">
        <f t="shared" si="757"/>
        <v>0</v>
      </c>
      <c r="AB437" s="164">
        <f t="shared" si="757"/>
        <v>0</v>
      </c>
      <c r="AC437" s="81"/>
      <c r="AD437" s="81"/>
      <c r="AE437" s="81"/>
      <c r="AF437" s="81"/>
      <c r="AG437" s="77"/>
      <c r="AH437" s="77"/>
      <c r="AI437" s="81"/>
      <c r="AJ437" s="81"/>
      <c r="AK437" s="81"/>
      <c r="AL437" s="81"/>
      <c r="AM437" s="81"/>
      <c r="AN437" s="81"/>
      <c r="AO437" s="81"/>
      <c r="AP437" s="81"/>
    </row>
    <row r="438" ht="34.5" customHeight="1">
      <c r="A438" s="81"/>
      <c r="B438" s="77"/>
      <c r="C438" s="130"/>
      <c r="D438" s="165" t="s">
        <v>90</v>
      </c>
      <c r="E438" s="165" t="s">
        <v>98</v>
      </c>
      <c r="F438" s="165"/>
      <c r="G438" s="165"/>
      <c r="H438" s="165"/>
      <c r="I438" s="165">
        <v>25.0</v>
      </c>
      <c r="J438" s="166">
        <v>1000000.0</v>
      </c>
      <c r="K438" s="166">
        <v>1000000.0</v>
      </c>
      <c r="L438" s="161">
        <v>265800.0</v>
      </c>
      <c r="M438" s="161">
        <v>265800.0</v>
      </c>
      <c r="N438" s="186">
        <v>1265800.0</v>
      </c>
      <c r="O438" s="186">
        <v>1265800.0</v>
      </c>
      <c r="P438" s="81"/>
      <c r="Q438" s="127">
        <v>1000000.0</v>
      </c>
      <c r="R438" s="127">
        <v>1000000.0</v>
      </c>
      <c r="S438" s="127">
        <v>265800.0</v>
      </c>
      <c r="T438" s="127">
        <v>265800.0</v>
      </c>
      <c r="U438" s="127">
        <v>1265800.0</v>
      </c>
      <c r="V438" s="127">
        <v>1265800.0</v>
      </c>
      <c r="W438" s="164">
        <f t="shared" ref="W438:AB438" si="758">+J438-Q438</f>
        <v>0</v>
      </c>
      <c r="X438" s="164">
        <f t="shared" si="758"/>
        <v>0</v>
      </c>
      <c r="Y438" s="164">
        <f t="shared" si="758"/>
        <v>0</v>
      </c>
      <c r="Z438" s="164">
        <f t="shared" si="758"/>
        <v>0</v>
      </c>
      <c r="AA438" s="164">
        <f t="shared" si="758"/>
        <v>0</v>
      </c>
      <c r="AB438" s="164">
        <f t="shared" si="758"/>
        <v>0</v>
      </c>
      <c r="AC438" s="81"/>
      <c r="AD438" s="81"/>
      <c r="AE438" s="81"/>
      <c r="AF438" s="81"/>
      <c r="AG438" s="77"/>
      <c r="AH438" s="77"/>
      <c r="AI438" s="81"/>
      <c r="AJ438" s="81"/>
      <c r="AK438" s="81"/>
      <c r="AL438" s="81"/>
      <c r="AM438" s="81"/>
      <c r="AN438" s="81"/>
      <c r="AO438" s="81"/>
      <c r="AP438" s="81"/>
    </row>
    <row r="439" ht="34.5" customHeight="1">
      <c r="A439" s="81"/>
      <c r="B439" s="77"/>
      <c r="C439" s="130"/>
      <c r="D439" s="165" t="s">
        <v>98</v>
      </c>
      <c r="E439" s="165" t="s">
        <v>85</v>
      </c>
      <c r="F439" s="165"/>
      <c r="G439" s="165"/>
      <c r="H439" s="165" t="s">
        <v>90</v>
      </c>
      <c r="I439" s="165">
        <v>55.0</v>
      </c>
      <c r="J439" s="166">
        <v>1200000.0</v>
      </c>
      <c r="K439" s="166">
        <v>1200000.0</v>
      </c>
      <c r="L439" s="161">
        <v>584760.0</v>
      </c>
      <c r="M439" s="161">
        <v>584760.0</v>
      </c>
      <c r="N439" s="186">
        <v>1784760.0</v>
      </c>
      <c r="O439" s="186">
        <v>1784760.0</v>
      </c>
      <c r="P439" s="81"/>
      <c r="Q439" s="127">
        <v>1200000.0</v>
      </c>
      <c r="R439" s="127">
        <v>1200000.0</v>
      </c>
      <c r="S439" s="127">
        <v>584760.0</v>
      </c>
      <c r="T439" s="127">
        <v>584760.0</v>
      </c>
      <c r="U439" s="127">
        <v>1784760.0</v>
      </c>
      <c r="V439" s="127">
        <v>1784760.0</v>
      </c>
      <c r="W439" s="164">
        <f t="shared" ref="W439:AB439" si="759">+J439-Q439</f>
        <v>0</v>
      </c>
      <c r="X439" s="164">
        <f t="shared" si="759"/>
        <v>0</v>
      </c>
      <c r="Y439" s="164">
        <f t="shared" si="759"/>
        <v>0</v>
      </c>
      <c r="Z439" s="164">
        <f t="shared" si="759"/>
        <v>0</v>
      </c>
      <c r="AA439" s="164">
        <f t="shared" si="759"/>
        <v>0</v>
      </c>
      <c r="AB439" s="164">
        <f t="shared" si="759"/>
        <v>0</v>
      </c>
      <c r="AC439" s="81"/>
      <c r="AD439" s="81"/>
      <c r="AE439" s="81"/>
      <c r="AF439" s="81"/>
      <c r="AG439" s="77"/>
      <c r="AH439" s="77"/>
      <c r="AI439" s="81"/>
      <c r="AJ439" s="81"/>
      <c r="AK439" s="81"/>
      <c r="AL439" s="81"/>
      <c r="AM439" s="81"/>
      <c r="AN439" s="81"/>
      <c r="AO439" s="81"/>
      <c r="AP439" s="81"/>
    </row>
    <row r="440" ht="34.5" customHeight="1">
      <c r="A440" s="81"/>
      <c r="B440" s="77"/>
      <c r="C440" s="130"/>
      <c r="D440" s="165" t="s">
        <v>90</v>
      </c>
      <c r="E440" s="165" t="s">
        <v>98</v>
      </c>
      <c r="F440" s="165"/>
      <c r="G440" s="165"/>
      <c r="H440" s="165"/>
      <c r="I440" s="165">
        <v>25.0</v>
      </c>
      <c r="J440" s="166">
        <v>1000000.0</v>
      </c>
      <c r="K440" s="166">
        <v>1000000.0</v>
      </c>
      <c r="L440" s="161">
        <v>265800.0</v>
      </c>
      <c r="M440" s="161">
        <v>265800.0</v>
      </c>
      <c r="N440" s="186">
        <v>1265800.0</v>
      </c>
      <c r="O440" s="186">
        <v>1265800.0</v>
      </c>
      <c r="P440" s="81"/>
      <c r="Q440" s="127">
        <v>1000000.0</v>
      </c>
      <c r="R440" s="127">
        <v>1000000.0</v>
      </c>
      <c r="S440" s="127">
        <v>265800.0</v>
      </c>
      <c r="T440" s="127">
        <v>265800.0</v>
      </c>
      <c r="U440" s="127">
        <v>1265800.0</v>
      </c>
      <c r="V440" s="127">
        <v>1265800.0</v>
      </c>
      <c r="W440" s="164">
        <f t="shared" ref="W440:AB440" si="760">+J440-Q440</f>
        <v>0</v>
      </c>
      <c r="X440" s="164">
        <f t="shared" si="760"/>
        <v>0</v>
      </c>
      <c r="Y440" s="164">
        <f t="shared" si="760"/>
        <v>0</v>
      </c>
      <c r="Z440" s="164">
        <f t="shared" si="760"/>
        <v>0</v>
      </c>
      <c r="AA440" s="164">
        <f t="shared" si="760"/>
        <v>0</v>
      </c>
      <c r="AB440" s="164">
        <f t="shared" si="760"/>
        <v>0</v>
      </c>
      <c r="AC440" s="81"/>
      <c r="AD440" s="81"/>
      <c r="AE440" s="81"/>
      <c r="AF440" s="81"/>
      <c r="AG440" s="77"/>
      <c r="AH440" s="77"/>
      <c r="AI440" s="81"/>
      <c r="AJ440" s="81"/>
      <c r="AK440" s="81"/>
      <c r="AL440" s="81"/>
      <c r="AM440" s="81"/>
      <c r="AN440" s="81"/>
      <c r="AO440" s="81"/>
      <c r="AP440" s="81"/>
    </row>
    <row r="441" ht="34.5" customHeight="1">
      <c r="A441" s="81"/>
      <c r="B441" s="77"/>
      <c r="C441" s="118"/>
      <c r="D441" s="165" t="s">
        <v>98</v>
      </c>
      <c r="E441" s="165" t="s">
        <v>86</v>
      </c>
      <c r="F441" s="165"/>
      <c r="G441" s="165"/>
      <c r="H441" s="165" t="s">
        <v>90</v>
      </c>
      <c r="I441" s="165">
        <v>25.0</v>
      </c>
      <c r="J441" s="166">
        <v>1000000.0</v>
      </c>
      <c r="K441" s="166">
        <v>1000000.0</v>
      </c>
      <c r="L441" s="161">
        <v>265800.0</v>
      </c>
      <c r="M441" s="161">
        <v>265800.0</v>
      </c>
      <c r="N441" s="186">
        <v>1265800.0</v>
      </c>
      <c r="O441" s="186">
        <v>1265800.0</v>
      </c>
      <c r="P441" s="81"/>
      <c r="Q441" s="127">
        <v>1000000.0</v>
      </c>
      <c r="R441" s="127">
        <v>1000000.0</v>
      </c>
      <c r="S441" s="127">
        <v>265800.0</v>
      </c>
      <c r="T441" s="127">
        <v>265800.0</v>
      </c>
      <c r="U441" s="127">
        <v>1265800.0</v>
      </c>
      <c r="V441" s="127">
        <v>1265800.0</v>
      </c>
      <c r="W441" s="164">
        <f t="shared" ref="W441:AB441" si="761">+J441-Q441</f>
        <v>0</v>
      </c>
      <c r="X441" s="164">
        <f t="shared" si="761"/>
        <v>0</v>
      </c>
      <c r="Y441" s="164">
        <f t="shared" si="761"/>
        <v>0</v>
      </c>
      <c r="Z441" s="164">
        <f t="shared" si="761"/>
        <v>0</v>
      </c>
      <c r="AA441" s="164">
        <f t="shared" si="761"/>
        <v>0</v>
      </c>
      <c r="AB441" s="164">
        <f t="shared" si="761"/>
        <v>0</v>
      </c>
      <c r="AC441" s="81"/>
      <c r="AD441" s="81"/>
      <c r="AE441" s="81"/>
      <c r="AF441" s="81"/>
      <c r="AG441" s="77"/>
      <c r="AH441" s="77"/>
      <c r="AI441" s="81"/>
      <c r="AJ441" s="81"/>
      <c r="AK441" s="81"/>
      <c r="AL441" s="81"/>
      <c r="AM441" s="81"/>
      <c r="AN441" s="81"/>
      <c r="AO441" s="81"/>
      <c r="AP441" s="81"/>
    </row>
    <row r="442" ht="34.5" customHeight="1">
      <c r="A442" s="81"/>
      <c r="B442" s="77"/>
      <c r="C442" s="167" t="s">
        <v>102</v>
      </c>
      <c r="D442" s="187" t="s">
        <v>104</v>
      </c>
      <c r="E442" s="187" t="s">
        <v>84</v>
      </c>
      <c r="F442" s="187"/>
      <c r="G442" s="187"/>
      <c r="H442" s="187" t="s">
        <v>90</v>
      </c>
      <c r="I442" s="187">
        <v>155.0</v>
      </c>
      <c r="J442" s="188">
        <v>2880000.0</v>
      </c>
      <c r="K442" s="188">
        <v>2880000.0</v>
      </c>
      <c r="L442" s="188">
        <v>1647960.0</v>
      </c>
      <c r="M442" s="188">
        <v>1647960.0</v>
      </c>
      <c r="N442" s="189">
        <f t="shared" ref="N442:O442" si="762">+J442+L442</f>
        <v>4527960</v>
      </c>
      <c r="O442" s="189">
        <f t="shared" si="762"/>
        <v>4527960</v>
      </c>
      <c r="P442" s="81"/>
      <c r="Q442" s="127">
        <v>2880000.0</v>
      </c>
      <c r="R442" s="127">
        <v>2880000.0</v>
      </c>
      <c r="S442" s="127">
        <v>1647960.0</v>
      </c>
      <c r="T442" s="127">
        <v>1647960.0</v>
      </c>
      <c r="U442" s="127">
        <v>4527960.0</v>
      </c>
      <c r="V442" s="127">
        <v>4527960.0</v>
      </c>
      <c r="W442" s="164">
        <f t="shared" ref="W442:AB442" si="763">+J442-Q442</f>
        <v>0</v>
      </c>
      <c r="X442" s="164">
        <f t="shared" si="763"/>
        <v>0</v>
      </c>
      <c r="Y442" s="164">
        <f t="shared" si="763"/>
        <v>0</v>
      </c>
      <c r="Z442" s="164">
        <f t="shared" si="763"/>
        <v>0</v>
      </c>
      <c r="AA442" s="164">
        <f t="shared" si="763"/>
        <v>0</v>
      </c>
      <c r="AB442" s="164">
        <f t="shared" si="763"/>
        <v>0</v>
      </c>
      <c r="AC442" s="81"/>
      <c r="AD442" s="81"/>
      <c r="AE442" s="81"/>
      <c r="AF442" s="81"/>
      <c r="AG442" s="77"/>
      <c r="AH442" s="77"/>
      <c r="AI442" s="81"/>
      <c r="AJ442" s="81"/>
      <c r="AK442" s="81"/>
      <c r="AL442" s="81"/>
      <c r="AM442" s="81"/>
      <c r="AN442" s="81"/>
      <c r="AO442" s="81"/>
      <c r="AP442" s="81"/>
    </row>
    <row r="443" ht="34.5" customHeight="1">
      <c r="A443" s="81"/>
      <c r="B443" s="77"/>
      <c r="C443" s="130"/>
      <c r="D443" s="190" t="s">
        <v>104</v>
      </c>
      <c r="E443" s="190" t="s">
        <v>85</v>
      </c>
      <c r="F443" s="190"/>
      <c r="G443" s="190"/>
      <c r="H443" s="190" t="s">
        <v>90</v>
      </c>
      <c r="I443" s="190">
        <v>70.0</v>
      </c>
      <c r="J443" s="191">
        <v>2370000.0</v>
      </c>
      <c r="K443" s="191">
        <v>2370000.0</v>
      </c>
      <c r="L443" s="191">
        <v>744240.0</v>
      </c>
      <c r="M443" s="191">
        <v>744240.0</v>
      </c>
      <c r="N443" s="192">
        <f t="shared" ref="N443:O443" si="764">+J443+L443</f>
        <v>3114240</v>
      </c>
      <c r="O443" s="192">
        <f t="shared" si="764"/>
        <v>3114240</v>
      </c>
      <c r="P443" s="81"/>
      <c r="Q443" s="127">
        <v>2370000.0</v>
      </c>
      <c r="R443" s="127">
        <v>2370000.0</v>
      </c>
      <c r="S443" s="127">
        <v>744240.0</v>
      </c>
      <c r="T443" s="127">
        <v>744240.0</v>
      </c>
      <c r="U443" s="127">
        <v>3114240.0</v>
      </c>
      <c r="V443" s="127">
        <v>3114240.0</v>
      </c>
      <c r="W443" s="164">
        <f t="shared" ref="W443:AB443" si="765">+J443-Q443</f>
        <v>0</v>
      </c>
      <c r="X443" s="164">
        <f t="shared" si="765"/>
        <v>0</v>
      </c>
      <c r="Y443" s="164">
        <f t="shared" si="765"/>
        <v>0</v>
      </c>
      <c r="Z443" s="164">
        <f t="shared" si="765"/>
        <v>0</v>
      </c>
      <c r="AA443" s="164">
        <f t="shared" si="765"/>
        <v>0</v>
      </c>
      <c r="AB443" s="164">
        <f t="shared" si="765"/>
        <v>0</v>
      </c>
      <c r="AC443" s="81"/>
      <c r="AD443" s="81"/>
      <c r="AE443" s="81"/>
      <c r="AF443" s="81"/>
      <c r="AG443" s="77"/>
      <c r="AH443" s="77"/>
      <c r="AI443" s="81"/>
      <c r="AJ443" s="81"/>
      <c r="AK443" s="81"/>
      <c r="AL443" s="81"/>
      <c r="AM443" s="81"/>
      <c r="AN443" s="81"/>
      <c r="AO443" s="81"/>
      <c r="AP443" s="81"/>
    </row>
    <row r="444" ht="34.5" customHeight="1">
      <c r="A444" s="81"/>
      <c r="B444" s="77"/>
      <c r="C444" s="130"/>
      <c r="D444" s="193" t="s">
        <v>104</v>
      </c>
      <c r="E444" s="193" t="s">
        <v>86</v>
      </c>
      <c r="F444" s="193"/>
      <c r="G444" s="193"/>
      <c r="H444" s="193" t="s">
        <v>90</v>
      </c>
      <c r="I444" s="193">
        <v>45.0</v>
      </c>
      <c r="J444" s="194">
        <v>2180000.0</v>
      </c>
      <c r="K444" s="194">
        <v>2180000.0</v>
      </c>
      <c r="L444" s="194">
        <v>478440.0</v>
      </c>
      <c r="M444" s="194">
        <v>478440.0</v>
      </c>
      <c r="N444" s="195">
        <f t="shared" ref="N444:O444" si="766">+J444+L444</f>
        <v>2658440</v>
      </c>
      <c r="O444" s="195">
        <f t="shared" si="766"/>
        <v>2658440</v>
      </c>
      <c r="P444" s="81"/>
      <c r="Q444" s="127">
        <v>2180000.0</v>
      </c>
      <c r="R444" s="127">
        <v>2180000.0</v>
      </c>
      <c r="S444" s="127">
        <v>478440.0</v>
      </c>
      <c r="T444" s="127">
        <v>478440.0</v>
      </c>
      <c r="U444" s="127">
        <v>2658440.0</v>
      </c>
      <c r="V444" s="127">
        <v>2658440.0</v>
      </c>
      <c r="W444" s="164">
        <f t="shared" ref="W444:AB444" si="767">+J444-Q444</f>
        <v>0</v>
      </c>
      <c r="X444" s="164">
        <f t="shared" si="767"/>
        <v>0</v>
      </c>
      <c r="Y444" s="164">
        <f t="shared" si="767"/>
        <v>0</v>
      </c>
      <c r="Z444" s="164">
        <f t="shared" si="767"/>
        <v>0</v>
      </c>
      <c r="AA444" s="164">
        <f t="shared" si="767"/>
        <v>0</v>
      </c>
      <c r="AB444" s="164">
        <f t="shared" si="767"/>
        <v>0</v>
      </c>
      <c r="AC444" s="81"/>
      <c r="AD444" s="81"/>
      <c r="AE444" s="81"/>
      <c r="AF444" s="81"/>
      <c r="AG444" s="77"/>
      <c r="AH444" s="77"/>
      <c r="AI444" s="81"/>
      <c r="AJ444" s="81"/>
      <c r="AK444" s="81"/>
      <c r="AL444" s="81"/>
      <c r="AM444" s="81"/>
      <c r="AN444" s="81"/>
      <c r="AO444" s="81"/>
      <c r="AP444" s="81"/>
    </row>
    <row r="445" ht="34.5" customHeight="1">
      <c r="A445" s="81"/>
      <c r="B445" s="77"/>
      <c r="C445" s="130"/>
      <c r="D445" s="187" t="s">
        <v>103</v>
      </c>
      <c r="E445" s="187" t="s">
        <v>84</v>
      </c>
      <c r="F445" s="187"/>
      <c r="G445" s="187"/>
      <c r="H445" s="187" t="s">
        <v>90</v>
      </c>
      <c r="I445" s="187">
        <v>136.0</v>
      </c>
      <c r="J445" s="188">
        <v>2740000.0</v>
      </c>
      <c r="K445" s="188">
        <v>2740000.0</v>
      </c>
      <c r="L445" s="188">
        <v>1445952.0</v>
      </c>
      <c r="M445" s="188">
        <v>1445952.0</v>
      </c>
      <c r="N445" s="189">
        <f t="shared" ref="N445:O445" si="768">+J445+L445</f>
        <v>4185952</v>
      </c>
      <c r="O445" s="189">
        <f t="shared" si="768"/>
        <v>4185952</v>
      </c>
      <c r="P445" s="81"/>
      <c r="Q445" s="127">
        <v>2740000.0</v>
      </c>
      <c r="R445" s="127">
        <v>2740000.0</v>
      </c>
      <c r="S445" s="127">
        <v>1445952.0</v>
      </c>
      <c r="T445" s="127">
        <v>1445952.0</v>
      </c>
      <c r="U445" s="127">
        <v>4185952.0</v>
      </c>
      <c r="V445" s="127">
        <v>4185952.0</v>
      </c>
      <c r="W445" s="164">
        <f t="shared" ref="W445:AB445" si="769">+J445-Q445</f>
        <v>0</v>
      </c>
      <c r="X445" s="164">
        <f t="shared" si="769"/>
        <v>0</v>
      </c>
      <c r="Y445" s="164">
        <f t="shared" si="769"/>
        <v>0</v>
      </c>
      <c r="Z445" s="164">
        <f t="shared" si="769"/>
        <v>0</v>
      </c>
      <c r="AA445" s="164">
        <f t="shared" si="769"/>
        <v>0</v>
      </c>
      <c r="AB445" s="164">
        <f t="shared" si="769"/>
        <v>0</v>
      </c>
      <c r="AC445" s="81"/>
      <c r="AD445" s="81"/>
      <c r="AE445" s="81"/>
      <c r="AF445" s="81"/>
      <c r="AG445" s="77"/>
      <c r="AH445" s="77"/>
      <c r="AI445" s="81"/>
      <c r="AJ445" s="81"/>
      <c r="AK445" s="81"/>
      <c r="AL445" s="81"/>
      <c r="AM445" s="81"/>
      <c r="AN445" s="81"/>
      <c r="AO445" s="81"/>
      <c r="AP445" s="81"/>
    </row>
    <row r="446" ht="34.5" customHeight="1">
      <c r="A446" s="81"/>
      <c r="B446" s="77"/>
      <c r="C446" s="130"/>
      <c r="D446" s="187" t="s">
        <v>103</v>
      </c>
      <c r="E446" s="190" t="s">
        <v>85</v>
      </c>
      <c r="F446" s="190"/>
      <c r="G446" s="190"/>
      <c r="H446" s="190" t="s">
        <v>90</v>
      </c>
      <c r="I446" s="190">
        <v>90.0</v>
      </c>
      <c r="J446" s="191">
        <v>2160000.0</v>
      </c>
      <c r="K446" s="191">
        <v>2160000.0</v>
      </c>
      <c r="L446" s="191">
        <v>956880.0</v>
      </c>
      <c r="M446" s="191">
        <v>956880.0</v>
      </c>
      <c r="N446" s="192">
        <f t="shared" ref="N446:O446" si="770">+J446+L446</f>
        <v>3116880</v>
      </c>
      <c r="O446" s="192">
        <f t="shared" si="770"/>
        <v>3116880</v>
      </c>
      <c r="P446" s="81"/>
      <c r="Q446" s="127">
        <v>2160000.0</v>
      </c>
      <c r="R446" s="127">
        <v>2160000.0</v>
      </c>
      <c r="S446" s="127">
        <v>956880.0</v>
      </c>
      <c r="T446" s="127">
        <v>956880.0</v>
      </c>
      <c r="U446" s="127">
        <v>3116880.0</v>
      </c>
      <c r="V446" s="127">
        <v>3116880.0</v>
      </c>
      <c r="W446" s="164">
        <f t="shared" ref="W446:AB446" si="771">+J446-Q446</f>
        <v>0</v>
      </c>
      <c r="X446" s="164">
        <f t="shared" si="771"/>
        <v>0</v>
      </c>
      <c r="Y446" s="164">
        <f t="shared" si="771"/>
        <v>0</v>
      </c>
      <c r="Z446" s="164">
        <f t="shared" si="771"/>
        <v>0</v>
      </c>
      <c r="AA446" s="164">
        <f t="shared" si="771"/>
        <v>0</v>
      </c>
      <c r="AB446" s="164">
        <f t="shared" si="771"/>
        <v>0</v>
      </c>
      <c r="AC446" s="81"/>
      <c r="AD446" s="81"/>
      <c r="AE446" s="81"/>
      <c r="AF446" s="81"/>
      <c r="AG446" s="77"/>
      <c r="AH446" s="77"/>
      <c r="AI446" s="81"/>
      <c r="AJ446" s="81"/>
      <c r="AK446" s="81"/>
      <c r="AL446" s="81"/>
      <c r="AM446" s="81"/>
      <c r="AN446" s="81"/>
      <c r="AO446" s="81"/>
      <c r="AP446" s="81"/>
    </row>
    <row r="447" ht="34.5" customHeight="1">
      <c r="A447" s="81"/>
      <c r="B447" s="77"/>
      <c r="C447" s="130"/>
      <c r="D447" s="187" t="s">
        <v>103</v>
      </c>
      <c r="E447" s="193" t="s">
        <v>86</v>
      </c>
      <c r="F447" s="193"/>
      <c r="G447" s="193"/>
      <c r="H447" s="193" t="s">
        <v>90</v>
      </c>
      <c r="I447" s="193">
        <v>70.0</v>
      </c>
      <c r="J447" s="194">
        <v>2020000.0</v>
      </c>
      <c r="K447" s="194">
        <v>2020000.0</v>
      </c>
      <c r="L447" s="194">
        <v>744240.0</v>
      </c>
      <c r="M447" s="194">
        <v>744240.0</v>
      </c>
      <c r="N447" s="195">
        <f t="shared" ref="N447:O447" si="772">+J447+L447</f>
        <v>2764240</v>
      </c>
      <c r="O447" s="195">
        <f t="shared" si="772"/>
        <v>2764240</v>
      </c>
      <c r="P447" s="81"/>
      <c r="Q447" s="127">
        <v>2020000.0</v>
      </c>
      <c r="R447" s="127">
        <v>2020000.0</v>
      </c>
      <c r="S447" s="127">
        <v>744240.0</v>
      </c>
      <c r="T447" s="127">
        <v>744240.0</v>
      </c>
      <c r="U447" s="127">
        <v>2764240.0</v>
      </c>
      <c r="V447" s="127">
        <v>2764240.0</v>
      </c>
      <c r="W447" s="164">
        <f t="shared" ref="W447:AB447" si="773">+J447-Q447</f>
        <v>0</v>
      </c>
      <c r="X447" s="164">
        <f t="shared" si="773"/>
        <v>0</v>
      </c>
      <c r="Y447" s="164">
        <f t="shared" si="773"/>
        <v>0</v>
      </c>
      <c r="Z447" s="164">
        <f t="shared" si="773"/>
        <v>0</v>
      </c>
      <c r="AA447" s="164">
        <f t="shared" si="773"/>
        <v>0</v>
      </c>
      <c r="AB447" s="164">
        <f t="shared" si="773"/>
        <v>0</v>
      </c>
      <c r="AC447" s="81"/>
      <c r="AD447" s="81"/>
      <c r="AE447" s="81"/>
      <c r="AF447" s="81"/>
      <c r="AG447" s="77"/>
      <c r="AH447" s="77"/>
      <c r="AI447" s="81"/>
      <c r="AJ447" s="81"/>
      <c r="AK447" s="81"/>
      <c r="AL447" s="81"/>
      <c r="AM447" s="81"/>
      <c r="AN447" s="81"/>
      <c r="AO447" s="81"/>
      <c r="AP447" s="81"/>
    </row>
    <row r="448" ht="34.5" customHeight="1">
      <c r="A448" s="81"/>
      <c r="B448" s="77"/>
      <c r="C448" s="130"/>
      <c r="D448" s="187" t="s">
        <v>105</v>
      </c>
      <c r="E448" s="187" t="s">
        <v>84</v>
      </c>
      <c r="F448" s="187"/>
      <c r="G448" s="187"/>
      <c r="H448" s="187" t="s">
        <v>90</v>
      </c>
      <c r="I448" s="187">
        <v>125.0</v>
      </c>
      <c r="J448" s="188">
        <v>2720000.0</v>
      </c>
      <c r="K448" s="188">
        <v>2720000.0</v>
      </c>
      <c r="L448" s="188">
        <v>1329000.0</v>
      </c>
      <c r="M448" s="188">
        <v>1329000.0</v>
      </c>
      <c r="N448" s="189">
        <f t="shared" ref="N448:O448" si="774">+J448+L448</f>
        <v>4049000</v>
      </c>
      <c r="O448" s="189">
        <f t="shared" si="774"/>
        <v>4049000</v>
      </c>
      <c r="P448" s="81"/>
      <c r="Q448" s="127">
        <v>2720000.0</v>
      </c>
      <c r="R448" s="127">
        <v>2720000.0</v>
      </c>
      <c r="S448" s="127">
        <v>1329000.0</v>
      </c>
      <c r="T448" s="127">
        <v>1329000.0</v>
      </c>
      <c r="U448" s="127">
        <v>4049000.0</v>
      </c>
      <c r="V448" s="127">
        <v>4049000.0</v>
      </c>
      <c r="W448" s="164">
        <f t="shared" ref="W448:AB448" si="775">+J448-Q448</f>
        <v>0</v>
      </c>
      <c r="X448" s="164">
        <f t="shared" si="775"/>
        <v>0</v>
      </c>
      <c r="Y448" s="164">
        <f t="shared" si="775"/>
        <v>0</v>
      </c>
      <c r="Z448" s="164">
        <f t="shared" si="775"/>
        <v>0</v>
      </c>
      <c r="AA448" s="164">
        <f t="shared" si="775"/>
        <v>0</v>
      </c>
      <c r="AB448" s="164">
        <f t="shared" si="775"/>
        <v>0</v>
      </c>
      <c r="AC448" s="81"/>
      <c r="AD448" s="81"/>
      <c r="AE448" s="81"/>
      <c r="AF448" s="81"/>
      <c r="AG448" s="77"/>
      <c r="AH448" s="77"/>
      <c r="AI448" s="81"/>
      <c r="AJ448" s="81"/>
      <c r="AK448" s="81"/>
      <c r="AL448" s="81"/>
      <c r="AM448" s="81"/>
      <c r="AN448" s="81"/>
      <c r="AO448" s="81"/>
      <c r="AP448" s="81"/>
    </row>
    <row r="449" ht="34.5" customHeight="1">
      <c r="A449" s="81"/>
      <c r="B449" s="77"/>
      <c r="C449" s="130"/>
      <c r="D449" s="190" t="s">
        <v>105</v>
      </c>
      <c r="E449" s="190" t="s">
        <v>85</v>
      </c>
      <c r="F449" s="190"/>
      <c r="G449" s="190"/>
      <c r="H449" s="190" t="s">
        <v>90</v>
      </c>
      <c r="I449" s="190">
        <v>65.0</v>
      </c>
      <c r="J449" s="191">
        <v>2370000.0</v>
      </c>
      <c r="K449" s="191">
        <v>2370000.0</v>
      </c>
      <c r="L449" s="191">
        <v>691080.0</v>
      </c>
      <c r="M449" s="191">
        <v>691080.0</v>
      </c>
      <c r="N449" s="192">
        <f t="shared" ref="N449:O449" si="776">+J449+L449</f>
        <v>3061080</v>
      </c>
      <c r="O449" s="192">
        <f t="shared" si="776"/>
        <v>3061080</v>
      </c>
      <c r="P449" s="81"/>
      <c r="Q449" s="127">
        <v>2370000.0</v>
      </c>
      <c r="R449" s="127">
        <v>2370000.0</v>
      </c>
      <c r="S449" s="127">
        <v>691080.0</v>
      </c>
      <c r="T449" s="127">
        <v>691080.0</v>
      </c>
      <c r="U449" s="127">
        <v>3061080.0</v>
      </c>
      <c r="V449" s="127">
        <v>3061080.0</v>
      </c>
      <c r="W449" s="164">
        <f t="shared" ref="W449:AB449" si="777">+J449-Q449</f>
        <v>0</v>
      </c>
      <c r="X449" s="164">
        <f t="shared" si="777"/>
        <v>0</v>
      </c>
      <c r="Y449" s="164">
        <f t="shared" si="777"/>
        <v>0</v>
      </c>
      <c r="Z449" s="164">
        <f t="shared" si="777"/>
        <v>0</v>
      </c>
      <c r="AA449" s="164">
        <f t="shared" si="777"/>
        <v>0</v>
      </c>
      <c r="AB449" s="164">
        <f t="shared" si="777"/>
        <v>0</v>
      </c>
      <c r="AC449" s="81"/>
      <c r="AD449" s="81"/>
      <c r="AE449" s="81"/>
      <c r="AF449" s="81"/>
      <c r="AG449" s="77"/>
      <c r="AH449" s="77"/>
      <c r="AI449" s="81"/>
      <c r="AJ449" s="81"/>
      <c r="AK449" s="81"/>
      <c r="AL449" s="81"/>
      <c r="AM449" s="81"/>
      <c r="AN449" s="81"/>
      <c r="AO449" s="81"/>
      <c r="AP449" s="81"/>
    </row>
    <row r="450" ht="34.5" customHeight="1">
      <c r="A450" s="81"/>
      <c r="B450" s="77"/>
      <c r="C450" s="118"/>
      <c r="D450" s="193" t="s">
        <v>105</v>
      </c>
      <c r="E450" s="193" t="s">
        <v>86</v>
      </c>
      <c r="F450" s="193"/>
      <c r="G450" s="193"/>
      <c r="H450" s="193" t="s">
        <v>90</v>
      </c>
      <c r="I450" s="193">
        <v>75.0</v>
      </c>
      <c r="J450" s="194">
        <v>2380000.0</v>
      </c>
      <c r="K450" s="194">
        <v>2380000.0</v>
      </c>
      <c r="L450" s="194">
        <v>797400.0</v>
      </c>
      <c r="M450" s="194">
        <v>797400.0</v>
      </c>
      <c r="N450" s="195">
        <f t="shared" ref="N450:O450" si="778">+J450+L450</f>
        <v>3177400</v>
      </c>
      <c r="O450" s="195">
        <f t="shared" si="778"/>
        <v>3177400</v>
      </c>
      <c r="P450" s="81"/>
      <c r="Q450" s="127">
        <v>2380000.0</v>
      </c>
      <c r="R450" s="127">
        <v>2380000.0</v>
      </c>
      <c r="S450" s="127">
        <v>797400.0</v>
      </c>
      <c r="T450" s="127">
        <v>797400.0</v>
      </c>
      <c r="U450" s="127">
        <v>3177400.0</v>
      </c>
      <c r="V450" s="127">
        <v>3177400.0</v>
      </c>
      <c r="W450" s="164">
        <f t="shared" ref="W450:AB450" si="779">+J450-Q450</f>
        <v>0</v>
      </c>
      <c r="X450" s="164">
        <f t="shared" si="779"/>
        <v>0</v>
      </c>
      <c r="Y450" s="164">
        <f t="shared" si="779"/>
        <v>0</v>
      </c>
      <c r="Z450" s="164">
        <f t="shared" si="779"/>
        <v>0</v>
      </c>
      <c r="AA450" s="164">
        <f t="shared" si="779"/>
        <v>0</v>
      </c>
      <c r="AB450" s="164">
        <f t="shared" si="779"/>
        <v>0</v>
      </c>
      <c r="AC450" s="81"/>
      <c r="AD450" s="81"/>
      <c r="AE450" s="81"/>
      <c r="AF450" s="81"/>
      <c r="AG450" s="77"/>
      <c r="AH450" s="77"/>
      <c r="AI450" s="81"/>
      <c r="AJ450" s="81"/>
      <c r="AK450" s="81"/>
      <c r="AL450" s="81"/>
      <c r="AM450" s="81"/>
      <c r="AN450" s="81"/>
      <c r="AO450" s="81"/>
      <c r="AP450" s="81"/>
    </row>
    <row r="451" ht="15.0" customHeight="1">
      <c r="A451" s="81"/>
      <c r="B451" s="81"/>
      <c r="C451" s="196"/>
      <c r="D451" s="197"/>
      <c r="E451" s="197"/>
      <c r="F451" s="197"/>
      <c r="G451" s="197"/>
      <c r="H451" s="197"/>
      <c r="I451" s="197"/>
      <c r="J451" s="198"/>
      <c r="K451" s="198"/>
      <c r="L451" s="198"/>
      <c r="M451" s="198"/>
      <c r="N451" s="108"/>
      <c r="O451" s="108"/>
      <c r="P451" s="81"/>
      <c r="Q451" s="127"/>
      <c r="R451" s="127"/>
      <c r="S451" s="127"/>
      <c r="T451" s="127"/>
      <c r="U451" s="127"/>
      <c r="V451" s="127"/>
      <c r="W451" s="144"/>
      <c r="X451" s="144"/>
      <c r="Y451" s="144"/>
      <c r="Z451" s="144"/>
      <c r="AA451" s="144"/>
      <c r="AB451" s="144"/>
      <c r="AC451" s="81"/>
      <c r="AD451" s="81"/>
      <c r="AE451" s="81"/>
      <c r="AF451" s="81"/>
      <c r="AG451" s="77"/>
      <c r="AH451" s="77"/>
      <c r="AI451" s="81"/>
      <c r="AJ451" s="81"/>
      <c r="AK451" s="81"/>
      <c r="AL451" s="81"/>
      <c r="AM451" s="81"/>
      <c r="AN451" s="81"/>
      <c r="AO451" s="81"/>
      <c r="AP451" s="81"/>
    </row>
    <row r="452" ht="34.5" customHeight="1">
      <c r="A452" s="81"/>
      <c r="B452" s="178" t="s">
        <v>120</v>
      </c>
      <c r="C452" s="178" t="s">
        <v>121</v>
      </c>
      <c r="D452" s="171"/>
      <c r="E452" s="171"/>
      <c r="F452" s="171"/>
      <c r="G452" s="171"/>
      <c r="H452" s="171"/>
      <c r="I452" s="171"/>
      <c r="J452" s="172"/>
      <c r="K452" s="172"/>
      <c r="L452" s="172"/>
      <c r="M452" s="172"/>
      <c r="N452" s="174"/>
      <c r="O452" s="174"/>
      <c r="P452" s="81"/>
      <c r="Q452" s="127"/>
      <c r="R452" s="127"/>
      <c r="S452" s="127"/>
      <c r="T452" s="127"/>
      <c r="U452" s="127"/>
      <c r="V452" s="127"/>
      <c r="W452" s="144"/>
      <c r="X452" s="144"/>
      <c r="Y452" s="144"/>
      <c r="Z452" s="144"/>
      <c r="AA452" s="144"/>
      <c r="AB452" s="144"/>
      <c r="AC452" s="81"/>
      <c r="AD452" s="81"/>
      <c r="AE452" s="81"/>
      <c r="AF452" s="81"/>
      <c r="AG452" s="77"/>
      <c r="AH452" s="77"/>
      <c r="AI452" s="81"/>
      <c r="AJ452" s="81"/>
      <c r="AK452" s="81"/>
      <c r="AL452" s="81"/>
      <c r="AM452" s="81"/>
      <c r="AN452" s="81"/>
      <c r="AO452" s="81"/>
      <c r="AP452" s="81"/>
    </row>
    <row r="453" ht="12.0" customHeight="1">
      <c r="A453" s="81"/>
      <c r="B453" s="77"/>
      <c r="C453" s="199"/>
      <c r="D453" s="171"/>
      <c r="E453" s="171"/>
      <c r="F453" s="171"/>
      <c r="G453" s="171"/>
      <c r="H453" s="171"/>
      <c r="I453" s="171"/>
      <c r="J453" s="172"/>
      <c r="K453" s="172"/>
      <c r="L453" s="172"/>
      <c r="M453" s="172"/>
      <c r="N453" s="174"/>
      <c r="O453" s="174"/>
      <c r="P453" s="81"/>
      <c r="Q453" s="127"/>
      <c r="R453" s="127"/>
      <c r="S453" s="127"/>
      <c r="T453" s="127"/>
      <c r="U453" s="127"/>
      <c r="V453" s="127"/>
      <c r="W453" s="144"/>
      <c r="X453" s="144"/>
      <c r="Y453" s="144"/>
      <c r="Z453" s="144"/>
      <c r="AA453" s="144"/>
      <c r="AB453" s="144"/>
      <c r="AC453" s="81"/>
      <c r="AD453" s="81"/>
      <c r="AE453" s="81"/>
      <c r="AF453" s="81"/>
      <c r="AG453" s="77"/>
      <c r="AH453" s="77"/>
      <c r="AI453" s="81"/>
      <c r="AJ453" s="81"/>
      <c r="AK453" s="81"/>
      <c r="AL453" s="81"/>
      <c r="AM453" s="81"/>
      <c r="AN453" s="81"/>
      <c r="AO453" s="81"/>
      <c r="AP453" s="81"/>
    </row>
    <row r="454" ht="34.5" customHeight="1">
      <c r="A454" s="81"/>
      <c r="B454" s="77"/>
      <c r="C454" s="151" t="s">
        <v>76</v>
      </c>
      <c r="D454" s="152" t="s">
        <v>77</v>
      </c>
      <c r="E454" s="136"/>
      <c r="F454" s="136"/>
      <c r="G454" s="136"/>
      <c r="H454" s="137"/>
      <c r="I454" s="153" t="s">
        <v>78</v>
      </c>
      <c r="J454" s="154" t="s">
        <v>79</v>
      </c>
      <c r="K454" s="137"/>
      <c r="L454" s="155" t="s">
        <v>80</v>
      </c>
      <c r="M454" s="137"/>
      <c r="N454" s="152" t="s">
        <v>65</v>
      </c>
      <c r="O454" s="137"/>
      <c r="P454" s="81"/>
      <c r="Q454" s="127"/>
      <c r="R454" s="127"/>
      <c r="S454" s="127"/>
      <c r="T454" s="127"/>
      <c r="U454" s="127"/>
      <c r="V454" s="127"/>
      <c r="W454" s="144"/>
      <c r="X454" s="144"/>
      <c r="Y454" s="144"/>
      <c r="Z454" s="144"/>
      <c r="AA454" s="144"/>
      <c r="AB454" s="144"/>
      <c r="AC454" s="81"/>
      <c r="AD454" s="81"/>
      <c r="AE454" s="81"/>
      <c r="AF454" s="81"/>
      <c r="AG454" s="77"/>
      <c r="AH454" s="77"/>
      <c r="AI454" s="81"/>
      <c r="AJ454" s="81"/>
      <c r="AK454" s="81"/>
      <c r="AL454" s="81"/>
      <c r="AM454" s="81"/>
      <c r="AN454" s="81"/>
      <c r="AO454" s="81"/>
      <c r="AP454" s="81"/>
    </row>
    <row r="455" ht="34.5" customHeight="1">
      <c r="A455" s="81"/>
      <c r="B455" s="77"/>
      <c r="C455" s="118"/>
      <c r="D455" s="158" t="s">
        <v>81</v>
      </c>
      <c r="E455" s="158" t="s">
        <v>82</v>
      </c>
      <c r="F455" s="158" t="s">
        <v>82</v>
      </c>
      <c r="G455" s="158" t="s">
        <v>82</v>
      </c>
      <c r="H455" s="158" t="s">
        <v>82</v>
      </c>
      <c r="I455" s="118"/>
      <c r="J455" s="158" t="s">
        <v>53</v>
      </c>
      <c r="K455" s="158" t="s">
        <v>54</v>
      </c>
      <c r="L455" s="159" t="s">
        <v>53</v>
      </c>
      <c r="M455" s="159" t="s">
        <v>54</v>
      </c>
      <c r="N455" s="158" t="s">
        <v>53</v>
      </c>
      <c r="O455" s="158" t="s">
        <v>54</v>
      </c>
      <c r="P455" s="81"/>
      <c r="Q455" s="127"/>
      <c r="R455" s="127"/>
      <c r="S455" s="127"/>
      <c r="T455" s="127"/>
      <c r="U455" s="127"/>
      <c r="V455" s="127"/>
      <c r="W455" s="144"/>
      <c r="X455" s="144"/>
      <c r="Y455" s="144"/>
      <c r="Z455" s="144"/>
      <c r="AA455" s="144"/>
      <c r="AB455" s="144"/>
      <c r="AC455" s="81"/>
      <c r="AD455" s="81"/>
      <c r="AE455" s="81"/>
      <c r="AF455" s="81"/>
      <c r="AG455" s="77"/>
      <c r="AH455" s="77"/>
      <c r="AI455" s="81"/>
      <c r="AJ455" s="81"/>
      <c r="AK455" s="81"/>
      <c r="AL455" s="81"/>
      <c r="AM455" s="81"/>
      <c r="AN455" s="81"/>
      <c r="AO455" s="81"/>
      <c r="AP455" s="81"/>
    </row>
    <row r="456" ht="34.5" customHeight="1">
      <c r="A456" s="81"/>
      <c r="B456" s="77"/>
      <c r="C456" s="185" t="s">
        <v>119</v>
      </c>
      <c r="D456" s="165" t="s">
        <v>90</v>
      </c>
      <c r="E456" s="165" t="s">
        <v>84</v>
      </c>
      <c r="F456" s="165"/>
      <c r="G456" s="165"/>
      <c r="H456" s="165" t="s">
        <v>90</v>
      </c>
      <c r="I456" s="165">
        <v>170.0</v>
      </c>
      <c r="J456" s="166">
        <v>2760000.0</v>
      </c>
      <c r="K456" s="166">
        <v>2760000.0</v>
      </c>
      <c r="L456" s="161">
        <v>1566448.0</v>
      </c>
      <c r="M456" s="161">
        <v>1566448.0</v>
      </c>
      <c r="N456" s="186">
        <v>4326448.0</v>
      </c>
      <c r="O456" s="186">
        <v>4326448.0</v>
      </c>
      <c r="P456" s="81"/>
      <c r="Q456" s="127">
        <v>2760000.0</v>
      </c>
      <c r="R456" s="127">
        <v>2760000.0</v>
      </c>
      <c r="S456" s="127">
        <v>1566448.0</v>
      </c>
      <c r="T456" s="127">
        <v>1566448.0</v>
      </c>
      <c r="U456" s="127">
        <v>4326448.0</v>
      </c>
      <c r="V456" s="127">
        <v>4326448.0</v>
      </c>
      <c r="W456" s="164">
        <f t="shared" ref="W456:AB456" si="780">+J456-Q456</f>
        <v>0</v>
      </c>
      <c r="X456" s="164">
        <f t="shared" si="780"/>
        <v>0</v>
      </c>
      <c r="Y456" s="164">
        <f t="shared" si="780"/>
        <v>0</v>
      </c>
      <c r="Z456" s="164">
        <f t="shared" si="780"/>
        <v>0</v>
      </c>
      <c r="AA456" s="164">
        <f t="shared" si="780"/>
        <v>0</v>
      </c>
      <c r="AB456" s="164">
        <f t="shared" si="780"/>
        <v>0</v>
      </c>
      <c r="AC456" s="81"/>
      <c r="AD456" s="81"/>
      <c r="AE456" s="81"/>
      <c r="AF456" s="81"/>
      <c r="AG456" s="77"/>
      <c r="AH456" s="77"/>
      <c r="AI456" s="81"/>
      <c r="AJ456" s="81"/>
      <c r="AK456" s="81"/>
      <c r="AL456" s="81"/>
      <c r="AM456" s="81"/>
      <c r="AN456" s="81"/>
      <c r="AO456" s="81"/>
      <c r="AP456" s="81"/>
    </row>
    <row r="457" ht="34.5" customHeight="1">
      <c r="A457" s="81"/>
      <c r="B457" s="77"/>
      <c r="C457" s="130"/>
      <c r="D457" s="165" t="s">
        <v>90</v>
      </c>
      <c r="E457" s="165" t="s">
        <v>85</v>
      </c>
      <c r="F457" s="165"/>
      <c r="G457" s="165"/>
      <c r="H457" s="165" t="s">
        <v>90</v>
      </c>
      <c r="I457" s="165">
        <v>70.0</v>
      </c>
      <c r="J457" s="166">
        <v>1770000.0</v>
      </c>
      <c r="K457" s="166">
        <v>1770000.0</v>
      </c>
      <c r="L457" s="161">
        <v>645008.0</v>
      </c>
      <c r="M457" s="161">
        <v>645008.0</v>
      </c>
      <c r="N457" s="186">
        <v>2415008.0</v>
      </c>
      <c r="O457" s="186">
        <v>2415008.0</v>
      </c>
      <c r="P457" s="81"/>
      <c r="Q457" s="127">
        <v>1770000.0</v>
      </c>
      <c r="R457" s="127">
        <v>1770000.0</v>
      </c>
      <c r="S457" s="127">
        <v>645008.0</v>
      </c>
      <c r="T457" s="127">
        <v>645008.0</v>
      </c>
      <c r="U457" s="127">
        <v>2415008.0</v>
      </c>
      <c r="V457" s="127">
        <v>2415008.0</v>
      </c>
      <c r="W457" s="164">
        <f t="shared" ref="W457:AB457" si="781">+J457-Q457</f>
        <v>0</v>
      </c>
      <c r="X457" s="164">
        <f t="shared" si="781"/>
        <v>0</v>
      </c>
      <c r="Y457" s="164">
        <f t="shared" si="781"/>
        <v>0</v>
      </c>
      <c r="Z457" s="164">
        <f t="shared" si="781"/>
        <v>0</v>
      </c>
      <c r="AA457" s="164">
        <f t="shared" si="781"/>
        <v>0</v>
      </c>
      <c r="AB457" s="164">
        <f t="shared" si="781"/>
        <v>0</v>
      </c>
      <c r="AC457" s="81"/>
      <c r="AD457" s="81"/>
      <c r="AE457" s="81"/>
      <c r="AF457" s="81"/>
      <c r="AG457" s="77"/>
      <c r="AH457" s="77"/>
      <c r="AI457" s="81"/>
      <c r="AJ457" s="81"/>
      <c r="AK457" s="81"/>
      <c r="AL457" s="81"/>
      <c r="AM457" s="81"/>
      <c r="AN457" s="81"/>
      <c r="AO457" s="81"/>
      <c r="AP457" s="81"/>
    </row>
    <row r="458" ht="34.5" customHeight="1">
      <c r="A458" s="81"/>
      <c r="B458" s="77"/>
      <c r="C458" s="130"/>
      <c r="D458" s="165" t="s">
        <v>90</v>
      </c>
      <c r="E458" s="165" t="s">
        <v>86</v>
      </c>
      <c r="F458" s="165"/>
      <c r="G458" s="165"/>
      <c r="H458" s="165" t="s">
        <v>90</v>
      </c>
      <c r="I458" s="165">
        <v>55.0</v>
      </c>
      <c r="J458" s="166">
        <v>1770000.0</v>
      </c>
      <c r="K458" s="166">
        <v>1770000.0</v>
      </c>
      <c r="L458" s="161">
        <v>506792.0</v>
      </c>
      <c r="M458" s="161">
        <v>506792.0</v>
      </c>
      <c r="N458" s="186">
        <v>2276792.0</v>
      </c>
      <c r="O458" s="186">
        <v>2276792.0</v>
      </c>
      <c r="P458" s="81"/>
      <c r="Q458" s="127">
        <v>1770000.0</v>
      </c>
      <c r="R458" s="127">
        <v>1770000.0</v>
      </c>
      <c r="S458" s="127">
        <v>506792.0</v>
      </c>
      <c r="T458" s="127">
        <v>506792.0</v>
      </c>
      <c r="U458" s="127">
        <v>2276792.0</v>
      </c>
      <c r="V458" s="127">
        <v>2276792.0</v>
      </c>
      <c r="W458" s="164">
        <f t="shared" ref="W458:AB458" si="782">+J458-Q458</f>
        <v>0</v>
      </c>
      <c r="X458" s="164">
        <f t="shared" si="782"/>
        <v>0</v>
      </c>
      <c r="Y458" s="164">
        <f t="shared" si="782"/>
        <v>0</v>
      </c>
      <c r="Z458" s="164">
        <f t="shared" si="782"/>
        <v>0</v>
      </c>
      <c r="AA458" s="164">
        <f t="shared" si="782"/>
        <v>0</v>
      </c>
      <c r="AB458" s="164">
        <f t="shared" si="782"/>
        <v>0</v>
      </c>
      <c r="AC458" s="81"/>
      <c r="AD458" s="81"/>
      <c r="AE458" s="81"/>
      <c r="AF458" s="81"/>
      <c r="AG458" s="77"/>
      <c r="AH458" s="77"/>
      <c r="AI458" s="81"/>
      <c r="AJ458" s="81"/>
      <c r="AK458" s="81"/>
      <c r="AL458" s="81"/>
      <c r="AM458" s="81"/>
      <c r="AN458" s="81"/>
      <c r="AO458" s="81"/>
      <c r="AP458" s="81"/>
    </row>
    <row r="459" ht="34.5" customHeight="1">
      <c r="A459" s="81"/>
      <c r="B459" s="77"/>
      <c r="C459" s="130"/>
      <c r="D459" s="165" t="s">
        <v>90</v>
      </c>
      <c r="E459" s="165" t="s">
        <v>84</v>
      </c>
      <c r="F459" s="165" t="s">
        <v>85</v>
      </c>
      <c r="G459" s="165"/>
      <c r="H459" s="165" t="s">
        <v>90</v>
      </c>
      <c r="I459" s="165">
        <v>175.0</v>
      </c>
      <c r="J459" s="166">
        <v>2900000.0</v>
      </c>
      <c r="K459" s="166">
        <v>2900000.0</v>
      </c>
      <c r="L459" s="161">
        <v>1612520.0</v>
      </c>
      <c r="M459" s="161">
        <v>1612520.0</v>
      </c>
      <c r="N459" s="186">
        <v>4512520.0</v>
      </c>
      <c r="O459" s="186">
        <v>4512520.0</v>
      </c>
      <c r="P459" s="81"/>
      <c r="Q459" s="127">
        <v>2900000.0</v>
      </c>
      <c r="R459" s="127">
        <v>2900000.0</v>
      </c>
      <c r="S459" s="127">
        <v>1612520.0</v>
      </c>
      <c r="T459" s="127">
        <v>1612520.0</v>
      </c>
      <c r="U459" s="127">
        <v>4512520.0</v>
      </c>
      <c r="V459" s="127">
        <v>4512520.0</v>
      </c>
      <c r="W459" s="164">
        <f t="shared" ref="W459:AB459" si="783">+J459-Q459</f>
        <v>0</v>
      </c>
      <c r="X459" s="164">
        <f t="shared" si="783"/>
        <v>0</v>
      </c>
      <c r="Y459" s="164">
        <f t="shared" si="783"/>
        <v>0</v>
      </c>
      <c r="Z459" s="164">
        <f t="shared" si="783"/>
        <v>0</v>
      </c>
      <c r="AA459" s="164">
        <f t="shared" si="783"/>
        <v>0</v>
      </c>
      <c r="AB459" s="164">
        <f t="shared" si="783"/>
        <v>0</v>
      </c>
      <c r="AC459" s="81"/>
      <c r="AD459" s="81"/>
      <c r="AE459" s="81"/>
      <c r="AF459" s="81"/>
      <c r="AG459" s="77"/>
      <c r="AH459" s="77"/>
      <c r="AI459" s="81"/>
      <c r="AJ459" s="81"/>
      <c r="AK459" s="81"/>
      <c r="AL459" s="81"/>
      <c r="AM459" s="81"/>
      <c r="AN459" s="81"/>
      <c r="AO459" s="81"/>
      <c r="AP459" s="81"/>
    </row>
    <row r="460" ht="34.5" customHeight="1">
      <c r="A460" s="81"/>
      <c r="B460" s="77"/>
      <c r="C460" s="130"/>
      <c r="D460" s="165" t="s">
        <v>90</v>
      </c>
      <c r="E460" s="165" t="s">
        <v>84</v>
      </c>
      <c r="F460" s="165" t="s">
        <v>86</v>
      </c>
      <c r="G460" s="165"/>
      <c r="H460" s="165" t="s">
        <v>90</v>
      </c>
      <c r="I460" s="165">
        <v>165.0</v>
      </c>
      <c r="J460" s="166">
        <v>2880000.0</v>
      </c>
      <c r="K460" s="166">
        <v>2880000.0</v>
      </c>
      <c r="L460" s="161">
        <v>1520376.0</v>
      </c>
      <c r="M460" s="161">
        <v>1520376.0</v>
      </c>
      <c r="N460" s="186">
        <v>4400376.0</v>
      </c>
      <c r="O460" s="186">
        <v>4400376.0</v>
      </c>
      <c r="P460" s="81"/>
      <c r="Q460" s="127">
        <v>2880000.0</v>
      </c>
      <c r="R460" s="127">
        <v>2880000.0</v>
      </c>
      <c r="S460" s="127">
        <v>1520376.0</v>
      </c>
      <c r="T460" s="127">
        <v>1520376.0</v>
      </c>
      <c r="U460" s="127">
        <v>4400376.0</v>
      </c>
      <c r="V460" s="127">
        <v>4400376.0</v>
      </c>
      <c r="W460" s="164">
        <f t="shared" ref="W460:AB460" si="784">+J460-Q460</f>
        <v>0</v>
      </c>
      <c r="X460" s="164">
        <f t="shared" si="784"/>
        <v>0</v>
      </c>
      <c r="Y460" s="164">
        <f t="shared" si="784"/>
        <v>0</v>
      </c>
      <c r="Z460" s="164">
        <f t="shared" si="784"/>
        <v>0</v>
      </c>
      <c r="AA460" s="164">
        <f t="shared" si="784"/>
        <v>0</v>
      </c>
      <c r="AB460" s="164">
        <f t="shared" si="784"/>
        <v>0</v>
      </c>
      <c r="AC460" s="81"/>
      <c r="AD460" s="81"/>
      <c r="AE460" s="81"/>
      <c r="AF460" s="81"/>
      <c r="AG460" s="77"/>
      <c r="AH460" s="77"/>
      <c r="AI460" s="81"/>
      <c r="AJ460" s="81"/>
      <c r="AK460" s="81"/>
      <c r="AL460" s="81"/>
      <c r="AM460" s="81"/>
      <c r="AN460" s="81"/>
      <c r="AO460" s="81"/>
      <c r="AP460" s="81"/>
    </row>
    <row r="461" ht="34.5" customHeight="1">
      <c r="A461" s="81"/>
      <c r="B461" s="77"/>
      <c r="C461" s="130"/>
      <c r="D461" s="165" t="s">
        <v>90</v>
      </c>
      <c r="E461" s="165" t="s">
        <v>85</v>
      </c>
      <c r="F461" s="165" t="s">
        <v>86</v>
      </c>
      <c r="G461" s="165"/>
      <c r="H461" s="165" t="s">
        <v>90</v>
      </c>
      <c r="I461" s="165">
        <v>80.0</v>
      </c>
      <c r="J461" s="166">
        <v>2160000.0</v>
      </c>
      <c r="K461" s="166">
        <v>2160000.0</v>
      </c>
      <c r="L461" s="161">
        <v>737152.0</v>
      </c>
      <c r="M461" s="161">
        <v>737152.0</v>
      </c>
      <c r="N461" s="186">
        <v>2897152.0</v>
      </c>
      <c r="O461" s="186">
        <v>2897152.0</v>
      </c>
      <c r="P461" s="81"/>
      <c r="Q461" s="127">
        <v>2160000.0</v>
      </c>
      <c r="R461" s="127">
        <v>2160000.0</v>
      </c>
      <c r="S461" s="127">
        <v>737152.0</v>
      </c>
      <c r="T461" s="127">
        <v>737152.0</v>
      </c>
      <c r="U461" s="127">
        <v>2897152.0</v>
      </c>
      <c r="V461" s="127">
        <v>2897152.0</v>
      </c>
      <c r="W461" s="164">
        <f t="shared" ref="W461:AB461" si="785">+J461-Q461</f>
        <v>0</v>
      </c>
      <c r="X461" s="164">
        <f t="shared" si="785"/>
        <v>0</v>
      </c>
      <c r="Y461" s="164">
        <f t="shared" si="785"/>
        <v>0</v>
      </c>
      <c r="Z461" s="164">
        <f t="shared" si="785"/>
        <v>0</v>
      </c>
      <c r="AA461" s="164">
        <f t="shared" si="785"/>
        <v>0</v>
      </c>
      <c r="AB461" s="164">
        <f t="shared" si="785"/>
        <v>0</v>
      </c>
      <c r="AC461" s="81"/>
      <c r="AD461" s="81"/>
      <c r="AE461" s="81"/>
      <c r="AF461" s="81"/>
      <c r="AG461" s="77"/>
      <c r="AH461" s="77"/>
      <c r="AI461" s="81"/>
      <c r="AJ461" s="81"/>
      <c r="AK461" s="81"/>
      <c r="AL461" s="81"/>
      <c r="AM461" s="81"/>
      <c r="AN461" s="81"/>
      <c r="AO461" s="81"/>
      <c r="AP461" s="81"/>
    </row>
    <row r="462" ht="34.5" customHeight="1">
      <c r="A462" s="81"/>
      <c r="B462" s="77"/>
      <c r="C462" s="130"/>
      <c r="D462" s="165" t="s">
        <v>90</v>
      </c>
      <c r="E462" s="165" t="s">
        <v>84</v>
      </c>
      <c r="F462" s="165" t="s">
        <v>85</v>
      </c>
      <c r="G462" s="165" t="s">
        <v>86</v>
      </c>
      <c r="H462" s="165" t="s">
        <v>90</v>
      </c>
      <c r="I462" s="165">
        <v>180.0</v>
      </c>
      <c r="J462" s="166">
        <v>3210000.0</v>
      </c>
      <c r="K462" s="166">
        <v>3210000.0</v>
      </c>
      <c r="L462" s="161">
        <v>1658592.0</v>
      </c>
      <c r="M462" s="161">
        <v>1658592.0</v>
      </c>
      <c r="N462" s="186">
        <v>4868592.0</v>
      </c>
      <c r="O462" s="186">
        <v>4868592.0</v>
      </c>
      <c r="P462" s="81"/>
      <c r="Q462" s="127">
        <v>3210000.0</v>
      </c>
      <c r="R462" s="127">
        <v>3210000.0</v>
      </c>
      <c r="S462" s="127">
        <v>1658592.0</v>
      </c>
      <c r="T462" s="127">
        <v>1658592.0</v>
      </c>
      <c r="U462" s="127">
        <v>4868592.0</v>
      </c>
      <c r="V462" s="127">
        <v>4868592.0</v>
      </c>
      <c r="W462" s="164">
        <f t="shared" ref="W462:AB462" si="786">+J462-Q462</f>
        <v>0</v>
      </c>
      <c r="X462" s="164">
        <f t="shared" si="786"/>
        <v>0</v>
      </c>
      <c r="Y462" s="164">
        <f t="shared" si="786"/>
        <v>0</v>
      </c>
      <c r="Z462" s="164">
        <f t="shared" si="786"/>
        <v>0</v>
      </c>
      <c r="AA462" s="164">
        <f t="shared" si="786"/>
        <v>0</v>
      </c>
      <c r="AB462" s="164">
        <f t="shared" si="786"/>
        <v>0</v>
      </c>
      <c r="AC462" s="81"/>
      <c r="AD462" s="81"/>
      <c r="AE462" s="81"/>
      <c r="AF462" s="81"/>
      <c r="AG462" s="77"/>
      <c r="AH462" s="77"/>
      <c r="AI462" s="81"/>
      <c r="AJ462" s="81"/>
      <c r="AK462" s="81"/>
      <c r="AL462" s="81"/>
      <c r="AM462" s="81"/>
      <c r="AN462" s="81"/>
      <c r="AO462" s="81"/>
      <c r="AP462" s="81"/>
    </row>
    <row r="463" ht="34.5" customHeight="1">
      <c r="A463" s="81"/>
      <c r="B463" s="77"/>
      <c r="C463" s="130"/>
      <c r="D463" s="165" t="s">
        <v>90</v>
      </c>
      <c r="E463" s="165" t="s">
        <v>87</v>
      </c>
      <c r="F463" s="165"/>
      <c r="G463" s="165"/>
      <c r="H463" s="165" t="s">
        <v>90</v>
      </c>
      <c r="I463" s="165">
        <v>100.0</v>
      </c>
      <c r="J463" s="166">
        <v>2790000.0</v>
      </c>
      <c r="K463" s="166">
        <v>2790000.0</v>
      </c>
      <c r="L463" s="161">
        <v>921440.0</v>
      </c>
      <c r="M463" s="161">
        <v>921440.0</v>
      </c>
      <c r="N463" s="186">
        <v>3711440.0</v>
      </c>
      <c r="O463" s="186">
        <v>3711440.0</v>
      </c>
      <c r="P463" s="81"/>
      <c r="Q463" s="127">
        <v>2790000.0</v>
      </c>
      <c r="R463" s="127">
        <v>2790000.0</v>
      </c>
      <c r="S463" s="127">
        <v>921440.0</v>
      </c>
      <c r="T463" s="127">
        <v>921440.0</v>
      </c>
      <c r="U463" s="127">
        <v>3711440.0</v>
      </c>
      <c r="V463" s="127">
        <v>3711440.0</v>
      </c>
      <c r="W463" s="164">
        <f t="shared" ref="W463:AB463" si="787">+J463-Q463</f>
        <v>0</v>
      </c>
      <c r="X463" s="164">
        <f t="shared" si="787"/>
        <v>0</v>
      </c>
      <c r="Y463" s="164">
        <f t="shared" si="787"/>
        <v>0</v>
      </c>
      <c r="Z463" s="164">
        <f t="shared" si="787"/>
        <v>0</v>
      </c>
      <c r="AA463" s="164">
        <f t="shared" si="787"/>
        <v>0</v>
      </c>
      <c r="AB463" s="164">
        <f t="shared" si="787"/>
        <v>0</v>
      </c>
      <c r="AC463" s="81"/>
      <c r="AD463" s="81"/>
      <c r="AE463" s="81"/>
      <c r="AF463" s="81"/>
      <c r="AG463" s="77"/>
      <c r="AH463" s="77"/>
      <c r="AI463" s="81"/>
      <c r="AJ463" s="81"/>
      <c r="AK463" s="81"/>
      <c r="AL463" s="81"/>
      <c r="AM463" s="81"/>
      <c r="AN463" s="81"/>
      <c r="AO463" s="81"/>
      <c r="AP463" s="81"/>
    </row>
    <row r="464" ht="34.5" customHeight="1">
      <c r="A464" s="81"/>
      <c r="B464" s="77"/>
      <c r="C464" s="130"/>
      <c r="D464" s="165" t="s">
        <v>90</v>
      </c>
      <c r="E464" s="165" t="s">
        <v>87</v>
      </c>
      <c r="F464" s="165" t="s">
        <v>84</v>
      </c>
      <c r="G464" s="165"/>
      <c r="H464" s="165" t="s">
        <v>90</v>
      </c>
      <c r="I464" s="165">
        <v>160.0</v>
      </c>
      <c r="J464" s="166">
        <v>3580000.0</v>
      </c>
      <c r="K464" s="166">
        <v>3580000.0</v>
      </c>
      <c r="L464" s="161">
        <v>1474304.0</v>
      </c>
      <c r="M464" s="161">
        <v>1474304.0</v>
      </c>
      <c r="N464" s="186">
        <v>5054304.0</v>
      </c>
      <c r="O464" s="186">
        <v>5054304.0</v>
      </c>
      <c r="P464" s="81"/>
      <c r="Q464" s="127">
        <v>3580000.0</v>
      </c>
      <c r="R464" s="127">
        <v>3580000.0</v>
      </c>
      <c r="S464" s="127">
        <v>1474304.0</v>
      </c>
      <c r="T464" s="127">
        <v>1474304.0</v>
      </c>
      <c r="U464" s="127">
        <v>5054304.0</v>
      </c>
      <c r="V464" s="127">
        <v>5054304.0</v>
      </c>
      <c r="W464" s="164">
        <f t="shared" ref="W464:AB464" si="788">+J464-Q464</f>
        <v>0</v>
      </c>
      <c r="X464" s="164">
        <f t="shared" si="788"/>
        <v>0</v>
      </c>
      <c r="Y464" s="164">
        <f t="shared" si="788"/>
        <v>0</v>
      </c>
      <c r="Z464" s="164">
        <f t="shared" si="788"/>
        <v>0</v>
      </c>
      <c r="AA464" s="164">
        <f t="shared" si="788"/>
        <v>0</v>
      </c>
      <c r="AB464" s="164">
        <f t="shared" si="788"/>
        <v>0</v>
      </c>
      <c r="AC464" s="81"/>
      <c r="AD464" s="81"/>
      <c r="AE464" s="81"/>
      <c r="AF464" s="81"/>
      <c r="AG464" s="77"/>
      <c r="AH464" s="77"/>
      <c r="AI464" s="81"/>
      <c r="AJ464" s="81"/>
      <c r="AK464" s="81"/>
      <c r="AL464" s="81"/>
      <c r="AM464" s="81"/>
      <c r="AN464" s="81"/>
      <c r="AO464" s="81"/>
      <c r="AP464" s="81"/>
    </row>
    <row r="465" ht="34.5" customHeight="1">
      <c r="A465" s="81"/>
      <c r="B465" s="77"/>
      <c r="C465" s="130"/>
      <c r="D465" s="165" t="s">
        <v>90</v>
      </c>
      <c r="E465" s="165" t="s">
        <v>87</v>
      </c>
      <c r="F465" s="165" t="s">
        <v>85</v>
      </c>
      <c r="G465" s="165"/>
      <c r="H465" s="165" t="s">
        <v>90</v>
      </c>
      <c r="I465" s="165">
        <v>130.0</v>
      </c>
      <c r="J465" s="166">
        <v>3530000.0</v>
      </c>
      <c r="K465" s="166">
        <v>3530000.0</v>
      </c>
      <c r="L465" s="161">
        <v>1197872.0</v>
      </c>
      <c r="M465" s="161">
        <v>1197872.0</v>
      </c>
      <c r="N465" s="186">
        <v>4727872.0</v>
      </c>
      <c r="O465" s="186">
        <v>4727872.0</v>
      </c>
      <c r="P465" s="81"/>
      <c r="Q465" s="127">
        <v>3530000.0</v>
      </c>
      <c r="R465" s="127">
        <v>3530000.0</v>
      </c>
      <c r="S465" s="127">
        <v>1197872.0</v>
      </c>
      <c r="T465" s="127">
        <v>1197872.0</v>
      </c>
      <c r="U465" s="127">
        <v>4727872.0</v>
      </c>
      <c r="V465" s="127">
        <v>4727872.0</v>
      </c>
      <c r="W465" s="164">
        <f t="shared" ref="W465:AB465" si="789">+J465-Q465</f>
        <v>0</v>
      </c>
      <c r="X465" s="164">
        <f t="shared" si="789"/>
        <v>0</v>
      </c>
      <c r="Y465" s="164">
        <f t="shared" si="789"/>
        <v>0</v>
      </c>
      <c r="Z465" s="164">
        <f t="shared" si="789"/>
        <v>0</v>
      </c>
      <c r="AA465" s="164">
        <f t="shared" si="789"/>
        <v>0</v>
      </c>
      <c r="AB465" s="164">
        <f t="shared" si="789"/>
        <v>0</v>
      </c>
      <c r="AC465" s="81"/>
      <c r="AD465" s="81"/>
      <c r="AE465" s="81"/>
      <c r="AF465" s="81"/>
      <c r="AG465" s="77"/>
      <c r="AH465" s="77"/>
      <c r="AI465" s="81"/>
      <c r="AJ465" s="81"/>
      <c r="AK465" s="81"/>
      <c r="AL465" s="81"/>
      <c r="AM465" s="81"/>
      <c r="AN465" s="81"/>
      <c r="AO465" s="81"/>
      <c r="AP465" s="81"/>
    </row>
    <row r="466" ht="34.5" customHeight="1">
      <c r="A466" s="81"/>
      <c r="B466" s="77"/>
      <c r="C466" s="130"/>
      <c r="D466" s="165" t="s">
        <v>90</v>
      </c>
      <c r="E466" s="165" t="s">
        <v>88</v>
      </c>
      <c r="F466" s="165"/>
      <c r="G466" s="165"/>
      <c r="H466" s="165" t="s">
        <v>90</v>
      </c>
      <c r="I466" s="165">
        <v>80.0</v>
      </c>
      <c r="J466" s="166">
        <v>2110000.0</v>
      </c>
      <c r="K466" s="166">
        <v>2110000.0</v>
      </c>
      <c r="L466" s="161">
        <v>737152.0</v>
      </c>
      <c r="M466" s="161">
        <v>737152.0</v>
      </c>
      <c r="N466" s="186">
        <v>2847152.0</v>
      </c>
      <c r="O466" s="186">
        <v>2847152.0</v>
      </c>
      <c r="P466" s="81"/>
      <c r="Q466" s="127">
        <v>2110000.0</v>
      </c>
      <c r="R466" s="127">
        <v>2110000.0</v>
      </c>
      <c r="S466" s="127">
        <v>737152.0</v>
      </c>
      <c r="T466" s="127">
        <v>737152.0</v>
      </c>
      <c r="U466" s="127">
        <v>2847152.0</v>
      </c>
      <c r="V466" s="127">
        <v>2847152.0</v>
      </c>
      <c r="W466" s="164">
        <f t="shared" ref="W466:AB466" si="790">+J466-Q466</f>
        <v>0</v>
      </c>
      <c r="X466" s="164">
        <f t="shared" si="790"/>
        <v>0</v>
      </c>
      <c r="Y466" s="164">
        <f t="shared" si="790"/>
        <v>0</v>
      </c>
      <c r="Z466" s="164">
        <f t="shared" si="790"/>
        <v>0</v>
      </c>
      <c r="AA466" s="164">
        <f t="shared" si="790"/>
        <v>0</v>
      </c>
      <c r="AB466" s="164">
        <f t="shared" si="790"/>
        <v>0</v>
      </c>
      <c r="AC466" s="81"/>
      <c r="AD466" s="81"/>
      <c r="AE466" s="81"/>
      <c r="AF466" s="81"/>
      <c r="AG466" s="77"/>
      <c r="AH466" s="77"/>
      <c r="AI466" s="81"/>
      <c r="AJ466" s="81"/>
      <c r="AK466" s="81"/>
      <c r="AL466" s="81"/>
      <c r="AM466" s="81"/>
      <c r="AN466" s="81"/>
      <c r="AO466" s="81"/>
      <c r="AP466" s="81"/>
    </row>
    <row r="467" ht="34.5" customHeight="1">
      <c r="A467" s="81"/>
      <c r="B467" s="77"/>
      <c r="C467" s="130"/>
      <c r="D467" s="165" t="s">
        <v>90</v>
      </c>
      <c r="E467" s="165" t="s">
        <v>88</v>
      </c>
      <c r="F467" s="165" t="s">
        <v>85</v>
      </c>
      <c r="G467" s="165"/>
      <c r="H467" s="165" t="s">
        <v>90</v>
      </c>
      <c r="I467" s="165">
        <v>90.0</v>
      </c>
      <c r="J467" s="166">
        <v>2130000.0</v>
      </c>
      <c r="K467" s="166">
        <v>2130000.0</v>
      </c>
      <c r="L467" s="161">
        <v>829296.0</v>
      </c>
      <c r="M467" s="161">
        <v>829296.0</v>
      </c>
      <c r="N467" s="186">
        <v>2959296.0</v>
      </c>
      <c r="O467" s="186">
        <v>2959296.0</v>
      </c>
      <c r="P467" s="81"/>
      <c r="Q467" s="127">
        <v>2130000.0</v>
      </c>
      <c r="R467" s="127">
        <v>2130000.0</v>
      </c>
      <c r="S467" s="127">
        <v>829296.0</v>
      </c>
      <c r="T467" s="127">
        <v>829296.0</v>
      </c>
      <c r="U467" s="127">
        <v>2959296.0</v>
      </c>
      <c r="V467" s="127">
        <v>2959296.0</v>
      </c>
      <c r="W467" s="164">
        <f t="shared" ref="W467:AB467" si="791">+J467-Q467</f>
        <v>0</v>
      </c>
      <c r="X467" s="164">
        <f t="shared" si="791"/>
        <v>0</v>
      </c>
      <c r="Y467" s="164">
        <f t="shared" si="791"/>
        <v>0</v>
      </c>
      <c r="Z467" s="164">
        <f t="shared" si="791"/>
        <v>0</v>
      </c>
      <c r="AA467" s="164">
        <f t="shared" si="791"/>
        <v>0</v>
      </c>
      <c r="AB467" s="164">
        <f t="shared" si="791"/>
        <v>0</v>
      </c>
      <c r="AC467" s="81"/>
      <c r="AD467" s="81"/>
      <c r="AE467" s="81"/>
      <c r="AF467" s="81"/>
      <c r="AG467" s="77"/>
      <c r="AH467" s="77"/>
      <c r="AI467" s="81"/>
      <c r="AJ467" s="81"/>
      <c r="AK467" s="81"/>
      <c r="AL467" s="81"/>
      <c r="AM467" s="81"/>
      <c r="AN467" s="81"/>
      <c r="AO467" s="81"/>
      <c r="AP467" s="81"/>
    </row>
    <row r="468" ht="34.5" customHeight="1">
      <c r="A468" s="81"/>
      <c r="B468" s="77"/>
      <c r="C468" s="130"/>
      <c r="D468" s="165" t="s">
        <v>90</v>
      </c>
      <c r="E468" s="165" t="s">
        <v>88</v>
      </c>
      <c r="F468" s="165" t="s">
        <v>86</v>
      </c>
      <c r="G468" s="165"/>
      <c r="H468" s="165" t="s">
        <v>90</v>
      </c>
      <c r="I468" s="165">
        <v>100.0</v>
      </c>
      <c r="J468" s="166">
        <v>2190000.0</v>
      </c>
      <c r="K468" s="166">
        <v>2190000.0</v>
      </c>
      <c r="L468" s="161">
        <v>921440.0</v>
      </c>
      <c r="M468" s="161">
        <v>921440.0</v>
      </c>
      <c r="N468" s="186">
        <v>3111440.0</v>
      </c>
      <c r="O468" s="186">
        <v>3111440.0</v>
      </c>
      <c r="P468" s="81"/>
      <c r="Q468" s="127">
        <v>2190000.0</v>
      </c>
      <c r="R468" s="127">
        <v>2190000.0</v>
      </c>
      <c r="S468" s="127">
        <v>921440.0</v>
      </c>
      <c r="T468" s="127">
        <v>921440.0</v>
      </c>
      <c r="U468" s="127">
        <v>3111440.0</v>
      </c>
      <c r="V468" s="127">
        <v>3111440.0</v>
      </c>
      <c r="W468" s="164">
        <f t="shared" ref="W468:AB468" si="792">+J468-Q468</f>
        <v>0</v>
      </c>
      <c r="X468" s="164">
        <f t="shared" si="792"/>
        <v>0</v>
      </c>
      <c r="Y468" s="164">
        <f t="shared" si="792"/>
        <v>0</v>
      </c>
      <c r="Z468" s="164">
        <f t="shared" si="792"/>
        <v>0</v>
      </c>
      <c r="AA468" s="164">
        <f t="shared" si="792"/>
        <v>0</v>
      </c>
      <c r="AB468" s="164">
        <f t="shared" si="792"/>
        <v>0</v>
      </c>
      <c r="AC468" s="81"/>
      <c r="AD468" s="81"/>
      <c r="AE468" s="81"/>
      <c r="AF468" s="81"/>
      <c r="AG468" s="77"/>
      <c r="AH468" s="77"/>
      <c r="AI468" s="81"/>
      <c r="AJ468" s="81"/>
      <c r="AK468" s="81"/>
      <c r="AL468" s="81"/>
      <c r="AM468" s="81"/>
      <c r="AN468" s="81"/>
      <c r="AO468" s="81"/>
      <c r="AP468" s="81"/>
    </row>
    <row r="469" ht="34.5" customHeight="1">
      <c r="A469" s="81"/>
      <c r="B469" s="77"/>
      <c r="C469" s="118"/>
      <c r="D469" s="165" t="s">
        <v>90</v>
      </c>
      <c r="E469" s="165" t="s">
        <v>88</v>
      </c>
      <c r="F469" s="165" t="s">
        <v>85</v>
      </c>
      <c r="G469" s="165" t="s">
        <v>86</v>
      </c>
      <c r="H469" s="165" t="s">
        <v>90</v>
      </c>
      <c r="I469" s="165">
        <v>110.0</v>
      </c>
      <c r="J469" s="166">
        <v>2550000.0</v>
      </c>
      <c r="K469" s="166">
        <v>2550000.0</v>
      </c>
      <c r="L469" s="161">
        <v>1013584.0</v>
      </c>
      <c r="M469" s="161">
        <v>1013584.0</v>
      </c>
      <c r="N469" s="186">
        <v>3563584.0</v>
      </c>
      <c r="O469" s="186">
        <v>3563584.0</v>
      </c>
      <c r="P469" s="81"/>
      <c r="Q469" s="127">
        <v>2550000.0</v>
      </c>
      <c r="R469" s="127">
        <v>2550000.0</v>
      </c>
      <c r="S469" s="127">
        <v>1013584.0</v>
      </c>
      <c r="T469" s="127">
        <v>1013584.0</v>
      </c>
      <c r="U469" s="127">
        <v>3563584.0</v>
      </c>
      <c r="V469" s="127">
        <v>3563584.0</v>
      </c>
      <c r="W469" s="164">
        <f t="shared" ref="W469:AB469" si="793">+J469-Q469</f>
        <v>0</v>
      </c>
      <c r="X469" s="164">
        <f t="shared" si="793"/>
        <v>0</v>
      </c>
      <c r="Y469" s="164">
        <f t="shared" si="793"/>
        <v>0</v>
      </c>
      <c r="Z469" s="164">
        <f t="shared" si="793"/>
        <v>0</v>
      </c>
      <c r="AA469" s="164">
        <f t="shared" si="793"/>
        <v>0</v>
      </c>
      <c r="AB469" s="164">
        <f t="shared" si="793"/>
        <v>0</v>
      </c>
      <c r="AC469" s="81"/>
      <c r="AD469" s="81"/>
      <c r="AE469" s="81"/>
      <c r="AF469" s="81"/>
      <c r="AG469" s="77"/>
      <c r="AH469" s="77"/>
      <c r="AI469" s="81"/>
      <c r="AJ469" s="81"/>
      <c r="AK469" s="81"/>
      <c r="AL469" s="81"/>
      <c r="AM469" s="81"/>
      <c r="AN469" s="81"/>
      <c r="AO469" s="81"/>
      <c r="AP469" s="81"/>
    </row>
    <row r="470" ht="34.5" customHeight="1">
      <c r="A470" s="81"/>
      <c r="B470" s="77"/>
      <c r="C470" s="167" t="s">
        <v>92</v>
      </c>
      <c r="D470" s="165" t="s">
        <v>90</v>
      </c>
      <c r="E470" s="165" t="s">
        <v>96</v>
      </c>
      <c r="F470" s="165"/>
      <c r="G470" s="165"/>
      <c r="H470" s="165"/>
      <c r="I470" s="165">
        <v>85.0</v>
      </c>
      <c r="J470" s="166">
        <v>1950000.0</v>
      </c>
      <c r="K470" s="166">
        <v>1950000.0</v>
      </c>
      <c r="L470" s="161">
        <v>903720.0</v>
      </c>
      <c r="M470" s="161">
        <v>903720.0</v>
      </c>
      <c r="N470" s="186">
        <v>2853720.0</v>
      </c>
      <c r="O470" s="186">
        <v>2853720.0</v>
      </c>
      <c r="P470" s="81"/>
      <c r="Q470" s="127">
        <v>1950000.0</v>
      </c>
      <c r="R470" s="127">
        <v>1950000.0</v>
      </c>
      <c r="S470" s="127">
        <v>903720.0</v>
      </c>
      <c r="T470" s="127">
        <v>903720.0</v>
      </c>
      <c r="U470" s="127">
        <v>2853720.0</v>
      </c>
      <c r="V470" s="127">
        <v>2853720.0</v>
      </c>
      <c r="W470" s="164">
        <f t="shared" ref="W470:AB470" si="794">+J470-Q470</f>
        <v>0</v>
      </c>
      <c r="X470" s="164">
        <f t="shared" si="794"/>
        <v>0</v>
      </c>
      <c r="Y470" s="164">
        <f t="shared" si="794"/>
        <v>0</v>
      </c>
      <c r="Z470" s="164">
        <f t="shared" si="794"/>
        <v>0</v>
      </c>
      <c r="AA470" s="164">
        <f t="shared" si="794"/>
        <v>0</v>
      </c>
      <c r="AB470" s="164">
        <f t="shared" si="794"/>
        <v>0</v>
      </c>
      <c r="AC470" s="81"/>
      <c r="AD470" s="81"/>
      <c r="AE470" s="81"/>
      <c r="AF470" s="81"/>
      <c r="AG470" s="77"/>
      <c r="AH470" s="77"/>
      <c r="AI470" s="81"/>
      <c r="AJ470" s="81"/>
      <c r="AK470" s="81"/>
      <c r="AL470" s="81"/>
      <c r="AM470" s="81"/>
      <c r="AN470" s="81"/>
      <c r="AO470" s="81"/>
      <c r="AP470" s="81"/>
    </row>
    <row r="471" ht="34.5" customHeight="1">
      <c r="A471" s="81"/>
      <c r="B471" s="77"/>
      <c r="C471" s="130"/>
      <c r="D471" s="165" t="s">
        <v>96</v>
      </c>
      <c r="E471" s="165" t="s">
        <v>84</v>
      </c>
      <c r="F471" s="165"/>
      <c r="G471" s="165"/>
      <c r="H471" s="165" t="s">
        <v>90</v>
      </c>
      <c r="I471" s="165">
        <v>85.0</v>
      </c>
      <c r="J471" s="166">
        <v>1950000.0</v>
      </c>
      <c r="K471" s="166">
        <v>1950000.0</v>
      </c>
      <c r="L471" s="161">
        <v>903720.0</v>
      </c>
      <c r="M471" s="161">
        <v>903720.0</v>
      </c>
      <c r="N471" s="186">
        <v>2853720.0</v>
      </c>
      <c r="O471" s="186">
        <v>2853720.0</v>
      </c>
      <c r="P471" s="81"/>
      <c r="Q471" s="127">
        <v>1950000.0</v>
      </c>
      <c r="R471" s="127">
        <v>1950000.0</v>
      </c>
      <c r="S471" s="127">
        <v>903720.0</v>
      </c>
      <c r="T471" s="127">
        <v>903720.0</v>
      </c>
      <c r="U471" s="127">
        <v>2853720.0</v>
      </c>
      <c r="V471" s="127">
        <v>2853720.0</v>
      </c>
      <c r="W471" s="164">
        <f t="shared" ref="W471:AB471" si="795">+J471-Q471</f>
        <v>0</v>
      </c>
      <c r="X471" s="164">
        <f t="shared" si="795"/>
        <v>0</v>
      </c>
      <c r="Y471" s="164">
        <f t="shared" si="795"/>
        <v>0</v>
      </c>
      <c r="Z471" s="164">
        <f t="shared" si="795"/>
        <v>0</v>
      </c>
      <c r="AA471" s="164">
        <f t="shared" si="795"/>
        <v>0</v>
      </c>
      <c r="AB471" s="164">
        <f t="shared" si="795"/>
        <v>0</v>
      </c>
      <c r="AC471" s="81"/>
      <c r="AD471" s="81"/>
      <c r="AE471" s="81"/>
      <c r="AF471" s="81"/>
      <c r="AG471" s="77"/>
      <c r="AH471" s="77"/>
      <c r="AI471" s="81"/>
      <c r="AJ471" s="81"/>
      <c r="AK471" s="81"/>
      <c r="AL471" s="81"/>
      <c r="AM471" s="81"/>
      <c r="AN471" s="81"/>
      <c r="AO471" s="81"/>
      <c r="AP471" s="81"/>
    </row>
    <row r="472" ht="34.5" customHeight="1">
      <c r="A472" s="81"/>
      <c r="B472" s="77"/>
      <c r="C472" s="130"/>
      <c r="D472" s="165" t="s">
        <v>90</v>
      </c>
      <c r="E472" s="165" t="s">
        <v>96</v>
      </c>
      <c r="F472" s="165"/>
      <c r="G472" s="165"/>
      <c r="H472" s="165"/>
      <c r="I472" s="165">
        <v>85.0</v>
      </c>
      <c r="J472" s="166">
        <v>1950000.0</v>
      </c>
      <c r="K472" s="166">
        <v>1950000.0</v>
      </c>
      <c r="L472" s="161">
        <v>903720.0</v>
      </c>
      <c r="M472" s="161">
        <v>903720.0</v>
      </c>
      <c r="N472" s="186">
        <v>2853720.0</v>
      </c>
      <c r="O472" s="186">
        <v>2853720.0</v>
      </c>
      <c r="P472" s="81"/>
      <c r="Q472" s="127">
        <v>1950000.0</v>
      </c>
      <c r="R472" s="127">
        <v>1950000.0</v>
      </c>
      <c r="S472" s="127">
        <v>903720.0</v>
      </c>
      <c r="T472" s="127">
        <v>903720.0</v>
      </c>
      <c r="U472" s="127">
        <v>2853720.0</v>
      </c>
      <c r="V472" s="127">
        <v>2853720.0</v>
      </c>
      <c r="W472" s="164">
        <f t="shared" ref="W472:AB472" si="796">+J472-Q472</f>
        <v>0</v>
      </c>
      <c r="X472" s="164">
        <f t="shared" si="796"/>
        <v>0</v>
      </c>
      <c r="Y472" s="164">
        <f t="shared" si="796"/>
        <v>0</v>
      </c>
      <c r="Z472" s="164">
        <f t="shared" si="796"/>
        <v>0</v>
      </c>
      <c r="AA472" s="164">
        <f t="shared" si="796"/>
        <v>0</v>
      </c>
      <c r="AB472" s="164">
        <f t="shared" si="796"/>
        <v>0</v>
      </c>
      <c r="AC472" s="81"/>
      <c r="AD472" s="81"/>
      <c r="AE472" s="81"/>
      <c r="AF472" s="81"/>
      <c r="AG472" s="77"/>
      <c r="AH472" s="77"/>
      <c r="AI472" s="81"/>
      <c r="AJ472" s="81"/>
      <c r="AK472" s="81"/>
      <c r="AL472" s="81"/>
      <c r="AM472" s="81"/>
      <c r="AN472" s="81"/>
      <c r="AO472" s="81"/>
      <c r="AP472" s="81"/>
    </row>
    <row r="473" ht="34.5" customHeight="1">
      <c r="A473" s="81"/>
      <c r="B473" s="77"/>
      <c r="C473" s="130"/>
      <c r="D473" s="165" t="s">
        <v>96</v>
      </c>
      <c r="E473" s="165" t="s">
        <v>85</v>
      </c>
      <c r="F473" s="165"/>
      <c r="G473" s="165"/>
      <c r="H473" s="165" t="s">
        <v>90</v>
      </c>
      <c r="I473" s="165">
        <v>70.0</v>
      </c>
      <c r="J473" s="166">
        <v>2050000.0</v>
      </c>
      <c r="K473" s="166">
        <v>2050000.0</v>
      </c>
      <c r="L473" s="161">
        <v>744240.0</v>
      </c>
      <c r="M473" s="161">
        <v>744240.0</v>
      </c>
      <c r="N473" s="186">
        <v>2794240.0</v>
      </c>
      <c r="O473" s="186">
        <v>2794240.0</v>
      </c>
      <c r="P473" s="81"/>
      <c r="Q473" s="127">
        <v>2050000.0</v>
      </c>
      <c r="R473" s="127">
        <v>2050000.0</v>
      </c>
      <c r="S473" s="127">
        <v>744240.0</v>
      </c>
      <c r="T473" s="127">
        <v>744240.0</v>
      </c>
      <c r="U473" s="127">
        <v>2794240.0</v>
      </c>
      <c r="V473" s="127">
        <v>2794240.0</v>
      </c>
      <c r="W473" s="164">
        <f t="shared" ref="W473:AB473" si="797">+J473-Q473</f>
        <v>0</v>
      </c>
      <c r="X473" s="164">
        <f t="shared" si="797"/>
        <v>0</v>
      </c>
      <c r="Y473" s="164">
        <f t="shared" si="797"/>
        <v>0</v>
      </c>
      <c r="Z473" s="164">
        <f t="shared" si="797"/>
        <v>0</v>
      </c>
      <c r="AA473" s="164">
        <f t="shared" si="797"/>
        <v>0</v>
      </c>
      <c r="AB473" s="164">
        <f t="shared" si="797"/>
        <v>0</v>
      </c>
      <c r="AC473" s="81"/>
      <c r="AD473" s="81"/>
      <c r="AE473" s="81"/>
      <c r="AF473" s="81"/>
      <c r="AG473" s="77"/>
      <c r="AH473" s="77"/>
      <c r="AI473" s="81"/>
      <c r="AJ473" s="81"/>
      <c r="AK473" s="81"/>
      <c r="AL473" s="81"/>
      <c r="AM473" s="81"/>
      <c r="AN473" s="81"/>
      <c r="AO473" s="81"/>
      <c r="AP473" s="81"/>
    </row>
    <row r="474" ht="34.5" customHeight="1">
      <c r="A474" s="81"/>
      <c r="B474" s="77"/>
      <c r="C474" s="130"/>
      <c r="D474" s="165" t="s">
        <v>90</v>
      </c>
      <c r="E474" s="165" t="s">
        <v>96</v>
      </c>
      <c r="F474" s="165"/>
      <c r="G474" s="165"/>
      <c r="H474" s="165"/>
      <c r="I474" s="165">
        <v>85.0</v>
      </c>
      <c r="J474" s="166">
        <v>1950000.0</v>
      </c>
      <c r="K474" s="166">
        <v>1950000.0</v>
      </c>
      <c r="L474" s="161">
        <v>903720.0</v>
      </c>
      <c r="M474" s="161">
        <v>903720.0</v>
      </c>
      <c r="N474" s="186">
        <v>2853720.0</v>
      </c>
      <c r="O474" s="186">
        <v>2853720.0</v>
      </c>
      <c r="P474" s="81"/>
      <c r="Q474" s="127">
        <v>1950000.0</v>
      </c>
      <c r="R474" s="127">
        <v>1950000.0</v>
      </c>
      <c r="S474" s="127">
        <v>903720.0</v>
      </c>
      <c r="T474" s="127">
        <v>903720.0</v>
      </c>
      <c r="U474" s="127">
        <v>2853720.0</v>
      </c>
      <c r="V474" s="127">
        <v>2853720.0</v>
      </c>
      <c r="W474" s="164">
        <f t="shared" ref="W474:AB474" si="798">+J474-Q474</f>
        <v>0</v>
      </c>
      <c r="X474" s="164">
        <f t="shared" si="798"/>
        <v>0</v>
      </c>
      <c r="Y474" s="164">
        <f t="shared" si="798"/>
        <v>0</v>
      </c>
      <c r="Z474" s="164">
        <f t="shared" si="798"/>
        <v>0</v>
      </c>
      <c r="AA474" s="164">
        <f t="shared" si="798"/>
        <v>0</v>
      </c>
      <c r="AB474" s="164">
        <f t="shared" si="798"/>
        <v>0</v>
      </c>
      <c r="AC474" s="81"/>
      <c r="AD474" s="81"/>
      <c r="AE474" s="81"/>
      <c r="AF474" s="81"/>
      <c r="AG474" s="77"/>
      <c r="AH474" s="77"/>
      <c r="AI474" s="81"/>
      <c r="AJ474" s="81"/>
      <c r="AK474" s="81"/>
      <c r="AL474" s="81"/>
      <c r="AM474" s="81"/>
      <c r="AN474" s="81"/>
      <c r="AO474" s="81"/>
      <c r="AP474" s="81"/>
    </row>
    <row r="475" ht="34.5" customHeight="1">
      <c r="A475" s="81"/>
      <c r="B475" s="77"/>
      <c r="C475" s="130"/>
      <c r="D475" s="165" t="s">
        <v>96</v>
      </c>
      <c r="E475" s="165" t="s">
        <v>86</v>
      </c>
      <c r="F475" s="165"/>
      <c r="G475" s="165"/>
      <c r="H475" s="165" t="s">
        <v>90</v>
      </c>
      <c r="I475" s="165">
        <v>80.0</v>
      </c>
      <c r="J475" s="166">
        <v>2050000.0</v>
      </c>
      <c r="K475" s="166">
        <v>2050000.0</v>
      </c>
      <c r="L475" s="161">
        <v>850560.0</v>
      </c>
      <c r="M475" s="161">
        <v>850560.0</v>
      </c>
      <c r="N475" s="186">
        <v>2900560.0</v>
      </c>
      <c r="O475" s="186">
        <v>2900560.0</v>
      </c>
      <c r="P475" s="81"/>
      <c r="Q475" s="127">
        <v>2050000.0</v>
      </c>
      <c r="R475" s="127">
        <v>2050000.0</v>
      </c>
      <c r="S475" s="127">
        <v>850560.0</v>
      </c>
      <c r="T475" s="127">
        <v>850560.0</v>
      </c>
      <c r="U475" s="127">
        <v>2900560.0</v>
      </c>
      <c r="V475" s="127">
        <v>2900560.0</v>
      </c>
      <c r="W475" s="164">
        <f t="shared" ref="W475:AB475" si="799">+J475-Q475</f>
        <v>0</v>
      </c>
      <c r="X475" s="164">
        <f t="shared" si="799"/>
        <v>0</v>
      </c>
      <c r="Y475" s="164">
        <f t="shared" si="799"/>
        <v>0</v>
      </c>
      <c r="Z475" s="164">
        <f t="shared" si="799"/>
        <v>0</v>
      </c>
      <c r="AA475" s="164">
        <f t="shared" si="799"/>
        <v>0</v>
      </c>
      <c r="AB475" s="164">
        <f t="shared" si="799"/>
        <v>0</v>
      </c>
      <c r="AC475" s="81"/>
      <c r="AD475" s="81"/>
      <c r="AE475" s="81"/>
      <c r="AF475" s="81"/>
      <c r="AG475" s="77"/>
      <c r="AH475" s="77"/>
      <c r="AI475" s="81"/>
      <c r="AJ475" s="81"/>
      <c r="AK475" s="81"/>
      <c r="AL475" s="81"/>
      <c r="AM475" s="81"/>
      <c r="AN475" s="81"/>
      <c r="AO475" s="81"/>
      <c r="AP475" s="81"/>
    </row>
    <row r="476" ht="34.5" customHeight="1">
      <c r="A476" s="81"/>
      <c r="B476" s="77"/>
      <c r="C476" s="130"/>
      <c r="D476" s="165" t="s">
        <v>90</v>
      </c>
      <c r="E476" s="165" t="s">
        <v>97</v>
      </c>
      <c r="F476" s="165"/>
      <c r="G476" s="165"/>
      <c r="H476" s="165"/>
      <c r="I476" s="165">
        <v>35.0</v>
      </c>
      <c r="J476" s="166">
        <v>1450000.0</v>
      </c>
      <c r="K476" s="166">
        <v>1450000.0</v>
      </c>
      <c r="L476" s="161">
        <v>372120.0</v>
      </c>
      <c r="M476" s="161">
        <v>372120.0</v>
      </c>
      <c r="N476" s="186">
        <v>1822120.0</v>
      </c>
      <c r="O476" s="186">
        <v>1822120.0</v>
      </c>
      <c r="P476" s="81"/>
      <c r="Q476" s="127">
        <v>1450000.0</v>
      </c>
      <c r="R476" s="127">
        <v>1450000.0</v>
      </c>
      <c r="S476" s="127">
        <v>372120.0</v>
      </c>
      <c r="T476" s="127">
        <v>372120.0</v>
      </c>
      <c r="U476" s="127">
        <v>1822120.0</v>
      </c>
      <c r="V476" s="127">
        <v>1822120.0</v>
      </c>
      <c r="W476" s="164">
        <f t="shared" ref="W476:AB476" si="800">+J476-Q476</f>
        <v>0</v>
      </c>
      <c r="X476" s="164">
        <f t="shared" si="800"/>
        <v>0</v>
      </c>
      <c r="Y476" s="164">
        <f t="shared" si="800"/>
        <v>0</v>
      </c>
      <c r="Z476" s="164">
        <f t="shared" si="800"/>
        <v>0</v>
      </c>
      <c r="AA476" s="164">
        <f t="shared" si="800"/>
        <v>0</v>
      </c>
      <c r="AB476" s="164">
        <f t="shared" si="800"/>
        <v>0</v>
      </c>
      <c r="AC476" s="81"/>
      <c r="AD476" s="81"/>
      <c r="AE476" s="81"/>
      <c r="AF476" s="81"/>
      <c r="AG476" s="77"/>
      <c r="AH476" s="77"/>
      <c r="AI476" s="81"/>
      <c r="AJ476" s="81"/>
      <c r="AK476" s="81"/>
      <c r="AL476" s="81"/>
      <c r="AM476" s="81"/>
      <c r="AN476" s="81"/>
      <c r="AO476" s="81"/>
      <c r="AP476" s="81"/>
    </row>
    <row r="477" ht="34.5" customHeight="1">
      <c r="A477" s="81"/>
      <c r="B477" s="77"/>
      <c r="C477" s="130"/>
      <c r="D477" s="165" t="s">
        <v>97</v>
      </c>
      <c r="E477" s="165" t="s">
        <v>84</v>
      </c>
      <c r="F477" s="165"/>
      <c r="G477" s="165"/>
      <c r="H477" s="165" t="s">
        <v>90</v>
      </c>
      <c r="I477" s="165">
        <v>130.0</v>
      </c>
      <c r="J477" s="166">
        <v>2350000.0</v>
      </c>
      <c r="K477" s="166">
        <v>2350000.0</v>
      </c>
      <c r="L477" s="161">
        <v>1382160.0</v>
      </c>
      <c r="M477" s="161">
        <v>1382160.0</v>
      </c>
      <c r="N477" s="186">
        <v>3732160.0</v>
      </c>
      <c r="O477" s="186">
        <v>3732160.0</v>
      </c>
      <c r="P477" s="81"/>
      <c r="Q477" s="127">
        <v>2350000.0</v>
      </c>
      <c r="R477" s="127">
        <v>2350000.0</v>
      </c>
      <c r="S477" s="127">
        <v>1382160.0</v>
      </c>
      <c r="T477" s="127">
        <v>1382160.0</v>
      </c>
      <c r="U477" s="127">
        <v>3732160.0</v>
      </c>
      <c r="V477" s="127">
        <v>3732160.0</v>
      </c>
      <c r="W477" s="164">
        <f t="shared" ref="W477:AB477" si="801">+J477-Q477</f>
        <v>0</v>
      </c>
      <c r="X477" s="164">
        <f t="shared" si="801"/>
        <v>0</v>
      </c>
      <c r="Y477" s="164">
        <f t="shared" si="801"/>
        <v>0</v>
      </c>
      <c r="Z477" s="164">
        <f t="shared" si="801"/>
        <v>0</v>
      </c>
      <c r="AA477" s="164">
        <f t="shared" si="801"/>
        <v>0</v>
      </c>
      <c r="AB477" s="164">
        <f t="shared" si="801"/>
        <v>0</v>
      </c>
      <c r="AC477" s="81"/>
      <c r="AD477" s="81"/>
      <c r="AE477" s="81"/>
      <c r="AF477" s="81"/>
      <c r="AG477" s="77"/>
      <c r="AH477" s="77"/>
      <c r="AI477" s="81"/>
      <c r="AJ477" s="81"/>
      <c r="AK477" s="81"/>
      <c r="AL477" s="81"/>
      <c r="AM477" s="81"/>
      <c r="AN477" s="81"/>
      <c r="AO477" s="81"/>
      <c r="AP477" s="81"/>
    </row>
    <row r="478" ht="34.5" customHeight="1">
      <c r="A478" s="81"/>
      <c r="B478" s="77"/>
      <c r="C478" s="130"/>
      <c r="D478" s="165" t="s">
        <v>90</v>
      </c>
      <c r="E478" s="165" t="s">
        <v>97</v>
      </c>
      <c r="F478" s="165"/>
      <c r="G478" s="165"/>
      <c r="H478" s="165"/>
      <c r="I478" s="165">
        <v>35.0</v>
      </c>
      <c r="J478" s="166">
        <v>1450000.0</v>
      </c>
      <c r="K478" s="166">
        <v>1450000.0</v>
      </c>
      <c r="L478" s="161">
        <v>372120.0</v>
      </c>
      <c r="M478" s="161">
        <v>372120.0</v>
      </c>
      <c r="N478" s="186">
        <v>1822120.0</v>
      </c>
      <c r="O478" s="186">
        <v>1822120.0</v>
      </c>
      <c r="P478" s="81"/>
      <c r="Q478" s="127">
        <v>1450000.0</v>
      </c>
      <c r="R478" s="127">
        <v>1450000.0</v>
      </c>
      <c r="S478" s="127">
        <v>372120.0</v>
      </c>
      <c r="T478" s="127">
        <v>372120.0</v>
      </c>
      <c r="U478" s="127">
        <v>1822120.0</v>
      </c>
      <c r="V478" s="127">
        <v>1822120.0</v>
      </c>
      <c r="W478" s="164">
        <f t="shared" ref="W478:AB478" si="802">+J478-Q478</f>
        <v>0</v>
      </c>
      <c r="X478" s="164">
        <f t="shared" si="802"/>
        <v>0</v>
      </c>
      <c r="Y478" s="164">
        <f t="shared" si="802"/>
        <v>0</v>
      </c>
      <c r="Z478" s="164">
        <f t="shared" si="802"/>
        <v>0</v>
      </c>
      <c r="AA478" s="164">
        <f t="shared" si="802"/>
        <v>0</v>
      </c>
      <c r="AB478" s="164">
        <f t="shared" si="802"/>
        <v>0</v>
      </c>
      <c r="AC478" s="81"/>
      <c r="AD478" s="81"/>
      <c r="AE478" s="81"/>
      <c r="AF478" s="81"/>
      <c r="AG478" s="77"/>
      <c r="AH478" s="77"/>
      <c r="AI478" s="81"/>
      <c r="AJ478" s="81"/>
      <c r="AK478" s="81"/>
      <c r="AL478" s="81"/>
      <c r="AM478" s="81"/>
      <c r="AN478" s="81"/>
      <c r="AO478" s="81"/>
      <c r="AP478" s="81"/>
    </row>
    <row r="479" ht="34.5" customHeight="1">
      <c r="A479" s="81"/>
      <c r="B479" s="77"/>
      <c r="C479" s="130"/>
      <c r="D479" s="165" t="s">
        <v>97</v>
      </c>
      <c r="E479" s="165" t="s">
        <v>85</v>
      </c>
      <c r="F479" s="165"/>
      <c r="G479" s="165"/>
      <c r="H479" s="165" t="s">
        <v>90</v>
      </c>
      <c r="I479" s="165">
        <v>35.0</v>
      </c>
      <c r="J479" s="166">
        <v>1450000.0</v>
      </c>
      <c r="K479" s="166">
        <v>1450000.0</v>
      </c>
      <c r="L479" s="161">
        <v>372120.0</v>
      </c>
      <c r="M479" s="161">
        <v>372120.0</v>
      </c>
      <c r="N479" s="186">
        <v>1822120.0</v>
      </c>
      <c r="O479" s="186">
        <v>1822120.0</v>
      </c>
      <c r="P479" s="81"/>
      <c r="Q479" s="127">
        <v>1450000.0</v>
      </c>
      <c r="R479" s="127">
        <v>1450000.0</v>
      </c>
      <c r="S479" s="127">
        <v>372120.0</v>
      </c>
      <c r="T479" s="127">
        <v>372120.0</v>
      </c>
      <c r="U479" s="127">
        <v>1822120.0</v>
      </c>
      <c r="V479" s="127">
        <v>1822120.0</v>
      </c>
      <c r="W479" s="164">
        <f t="shared" ref="W479:AB479" si="803">+J479-Q479</f>
        <v>0</v>
      </c>
      <c r="X479" s="164">
        <f t="shared" si="803"/>
        <v>0</v>
      </c>
      <c r="Y479" s="164">
        <f t="shared" si="803"/>
        <v>0</v>
      </c>
      <c r="Z479" s="164">
        <f t="shared" si="803"/>
        <v>0</v>
      </c>
      <c r="AA479" s="164">
        <f t="shared" si="803"/>
        <v>0</v>
      </c>
      <c r="AB479" s="164">
        <f t="shared" si="803"/>
        <v>0</v>
      </c>
      <c r="AC479" s="81"/>
      <c r="AD479" s="81"/>
      <c r="AE479" s="81"/>
      <c r="AF479" s="81"/>
      <c r="AG479" s="77"/>
      <c r="AH479" s="77"/>
      <c r="AI479" s="81"/>
      <c r="AJ479" s="81"/>
      <c r="AK479" s="81"/>
      <c r="AL479" s="81"/>
      <c r="AM479" s="81"/>
      <c r="AN479" s="81"/>
      <c r="AO479" s="81"/>
      <c r="AP479" s="81"/>
    </row>
    <row r="480" ht="34.5" customHeight="1">
      <c r="A480" s="81"/>
      <c r="B480" s="77"/>
      <c r="C480" s="130"/>
      <c r="D480" s="165" t="s">
        <v>90</v>
      </c>
      <c r="E480" s="165" t="s">
        <v>97</v>
      </c>
      <c r="F480" s="165"/>
      <c r="G480" s="165"/>
      <c r="H480" s="165"/>
      <c r="I480" s="165">
        <v>35.0</v>
      </c>
      <c r="J480" s="166">
        <v>1450000.0</v>
      </c>
      <c r="K480" s="166">
        <v>1450000.0</v>
      </c>
      <c r="L480" s="161">
        <v>372120.0</v>
      </c>
      <c r="M480" s="161">
        <v>372120.0</v>
      </c>
      <c r="N480" s="186">
        <v>1822120.0</v>
      </c>
      <c r="O480" s="186">
        <v>1822120.0</v>
      </c>
      <c r="P480" s="81"/>
      <c r="Q480" s="127">
        <v>1450000.0</v>
      </c>
      <c r="R480" s="127">
        <v>1450000.0</v>
      </c>
      <c r="S480" s="127">
        <v>372120.0</v>
      </c>
      <c r="T480" s="127">
        <v>372120.0</v>
      </c>
      <c r="U480" s="127">
        <v>1822120.0</v>
      </c>
      <c r="V480" s="127">
        <v>1822120.0</v>
      </c>
      <c r="W480" s="164">
        <f t="shared" ref="W480:AB480" si="804">+J480-Q480</f>
        <v>0</v>
      </c>
      <c r="X480" s="164">
        <f t="shared" si="804"/>
        <v>0</v>
      </c>
      <c r="Y480" s="164">
        <f t="shared" si="804"/>
        <v>0</v>
      </c>
      <c r="Z480" s="164">
        <f t="shared" si="804"/>
        <v>0</v>
      </c>
      <c r="AA480" s="164">
        <f t="shared" si="804"/>
        <v>0</v>
      </c>
      <c r="AB480" s="164">
        <f t="shared" si="804"/>
        <v>0</v>
      </c>
      <c r="AC480" s="81"/>
      <c r="AD480" s="81"/>
      <c r="AE480" s="81"/>
      <c r="AF480" s="81"/>
      <c r="AG480" s="77"/>
      <c r="AH480" s="77"/>
      <c r="AI480" s="81"/>
      <c r="AJ480" s="81"/>
      <c r="AK480" s="81"/>
      <c r="AL480" s="81"/>
      <c r="AM480" s="81"/>
      <c r="AN480" s="81"/>
      <c r="AO480" s="81"/>
      <c r="AP480" s="81"/>
    </row>
    <row r="481" ht="34.5" customHeight="1">
      <c r="A481" s="81"/>
      <c r="B481" s="77"/>
      <c r="C481" s="130"/>
      <c r="D481" s="165" t="s">
        <v>97</v>
      </c>
      <c r="E481" s="165" t="s">
        <v>86</v>
      </c>
      <c r="F481" s="165"/>
      <c r="G481" s="165"/>
      <c r="H481" s="165" t="s">
        <v>90</v>
      </c>
      <c r="I481" s="165">
        <v>45.0</v>
      </c>
      <c r="J481" s="166">
        <v>1550000.0</v>
      </c>
      <c r="K481" s="166">
        <v>1550000.0</v>
      </c>
      <c r="L481" s="161">
        <v>478440.0</v>
      </c>
      <c r="M481" s="161">
        <v>478440.0</v>
      </c>
      <c r="N481" s="186">
        <v>2028440.0</v>
      </c>
      <c r="O481" s="186">
        <v>2028440.0</v>
      </c>
      <c r="P481" s="81"/>
      <c r="Q481" s="127">
        <v>1550000.0</v>
      </c>
      <c r="R481" s="127">
        <v>1550000.0</v>
      </c>
      <c r="S481" s="127">
        <v>478440.0</v>
      </c>
      <c r="T481" s="127">
        <v>478440.0</v>
      </c>
      <c r="U481" s="127">
        <v>2028440.0</v>
      </c>
      <c r="V481" s="127">
        <v>2028440.0</v>
      </c>
      <c r="W481" s="164">
        <f t="shared" ref="W481:AB481" si="805">+J481-Q481</f>
        <v>0</v>
      </c>
      <c r="X481" s="164">
        <f t="shared" si="805"/>
        <v>0</v>
      </c>
      <c r="Y481" s="164">
        <f t="shared" si="805"/>
        <v>0</v>
      </c>
      <c r="Z481" s="164">
        <f t="shared" si="805"/>
        <v>0</v>
      </c>
      <c r="AA481" s="164">
        <f t="shared" si="805"/>
        <v>0</v>
      </c>
      <c r="AB481" s="164">
        <f t="shared" si="805"/>
        <v>0</v>
      </c>
      <c r="AC481" s="81"/>
      <c r="AD481" s="81"/>
      <c r="AE481" s="81"/>
      <c r="AF481" s="81"/>
      <c r="AG481" s="77"/>
      <c r="AH481" s="77"/>
      <c r="AI481" s="81"/>
      <c r="AJ481" s="81"/>
      <c r="AK481" s="81"/>
      <c r="AL481" s="81"/>
      <c r="AM481" s="81"/>
      <c r="AN481" s="81"/>
      <c r="AO481" s="81"/>
      <c r="AP481" s="81"/>
    </row>
    <row r="482" ht="34.5" customHeight="1">
      <c r="A482" s="81"/>
      <c r="B482" s="77"/>
      <c r="C482" s="130"/>
      <c r="D482" s="165" t="s">
        <v>90</v>
      </c>
      <c r="E482" s="165" t="s">
        <v>98</v>
      </c>
      <c r="F482" s="165"/>
      <c r="G482" s="165"/>
      <c r="H482" s="165"/>
      <c r="I482" s="165">
        <v>25.0</v>
      </c>
      <c r="J482" s="166">
        <v>1350000.0</v>
      </c>
      <c r="K482" s="166">
        <v>1350000.0</v>
      </c>
      <c r="L482" s="161">
        <v>265800.0</v>
      </c>
      <c r="M482" s="161">
        <v>265800.0</v>
      </c>
      <c r="N482" s="186">
        <v>1615800.0</v>
      </c>
      <c r="O482" s="186">
        <v>1615800.0</v>
      </c>
      <c r="P482" s="81"/>
      <c r="Q482" s="127">
        <v>1350000.0</v>
      </c>
      <c r="R482" s="127">
        <v>1350000.0</v>
      </c>
      <c r="S482" s="127">
        <v>265800.0</v>
      </c>
      <c r="T482" s="127">
        <v>265800.0</v>
      </c>
      <c r="U482" s="127">
        <v>1615800.0</v>
      </c>
      <c r="V482" s="127">
        <v>1615800.0</v>
      </c>
      <c r="W482" s="164">
        <f t="shared" ref="W482:AB482" si="806">+J482-Q482</f>
        <v>0</v>
      </c>
      <c r="X482" s="164">
        <f t="shared" si="806"/>
        <v>0</v>
      </c>
      <c r="Y482" s="164">
        <f t="shared" si="806"/>
        <v>0</v>
      </c>
      <c r="Z482" s="164">
        <f t="shared" si="806"/>
        <v>0</v>
      </c>
      <c r="AA482" s="164">
        <f t="shared" si="806"/>
        <v>0</v>
      </c>
      <c r="AB482" s="164">
        <f t="shared" si="806"/>
        <v>0</v>
      </c>
      <c r="AC482" s="81"/>
      <c r="AD482" s="81"/>
      <c r="AE482" s="81"/>
      <c r="AF482" s="81"/>
      <c r="AG482" s="77"/>
      <c r="AH482" s="77"/>
      <c r="AI482" s="81"/>
      <c r="AJ482" s="81"/>
      <c r="AK482" s="81"/>
      <c r="AL482" s="81"/>
      <c r="AM482" s="81"/>
      <c r="AN482" s="81"/>
      <c r="AO482" s="81"/>
      <c r="AP482" s="81"/>
    </row>
    <row r="483" ht="34.5" customHeight="1">
      <c r="A483" s="81"/>
      <c r="B483" s="77"/>
      <c r="C483" s="130"/>
      <c r="D483" s="165" t="s">
        <v>98</v>
      </c>
      <c r="E483" s="165" t="s">
        <v>84</v>
      </c>
      <c r="F483" s="165"/>
      <c r="G483" s="165"/>
      <c r="H483" s="165" t="s">
        <v>90</v>
      </c>
      <c r="I483" s="165">
        <v>140.0</v>
      </c>
      <c r="J483" s="166">
        <v>2350000.0</v>
      </c>
      <c r="K483" s="166">
        <v>2350000.0</v>
      </c>
      <c r="L483" s="161">
        <v>1488480.0</v>
      </c>
      <c r="M483" s="161">
        <v>1488480.0</v>
      </c>
      <c r="N483" s="186">
        <v>3838480.0</v>
      </c>
      <c r="O483" s="186">
        <v>3838480.0</v>
      </c>
      <c r="P483" s="81"/>
      <c r="Q483" s="127">
        <v>2350000.0</v>
      </c>
      <c r="R483" s="127">
        <v>2350000.0</v>
      </c>
      <c r="S483" s="127">
        <v>1488480.0</v>
      </c>
      <c r="T483" s="127">
        <v>1488480.0</v>
      </c>
      <c r="U483" s="127">
        <v>3838480.0</v>
      </c>
      <c r="V483" s="127">
        <v>3838480.0</v>
      </c>
      <c r="W483" s="164">
        <f t="shared" ref="W483:AB483" si="807">+J483-Q483</f>
        <v>0</v>
      </c>
      <c r="X483" s="164">
        <f t="shared" si="807"/>
        <v>0</v>
      </c>
      <c r="Y483" s="164">
        <f t="shared" si="807"/>
        <v>0</v>
      </c>
      <c r="Z483" s="164">
        <f t="shared" si="807"/>
        <v>0</v>
      </c>
      <c r="AA483" s="164">
        <f t="shared" si="807"/>
        <v>0</v>
      </c>
      <c r="AB483" s="164">
        <f t="shared" si="807"/>
        <v>0</v>
      </c>
      <c r="AC483" s="81"/>
      <c r="AD483" s="81"/>
      <c r="AE483" s="81"/>
      <c r="AF483" s="81"/>
      <c r="AG483" s="77"/>
      <c r="AH483" s="77"/>
      <c r="AI483" s="81"/>
      <c r="AJ483" s="81"/>
      <c r="AK483" s="81"/>
      <c r="AL483" s="81"/>
      <c r="AM483" s="81"/>
      <c r="AN483" s="81"/>
      <c r="AO483" s="81"/>
      <c r="AP483" s="81"/>
    </row>
    <row r="484" ht="34.5" customHeight="1">
      <c r="A484" s="81"/>
      <c r="B484" s="77"/>
      <c r="C484" s="130"/>
      <c r="D484" s="165" t="s">
        <v>90</v>
      </c>
      <c r="E484" s="165" t="s">
        <v>98</v>
      </c>
      <c r="F484" s="165"/>
      <c r="G484" s="165"/>
      <c r="H484" s="165"/>
      <c r="I484" s="165">
        <v>25.0</v>
      </c>
      <c r="J484" s="166">
        <v>1350000.0</v>
      </c>
      <c r="K484" s="166">
        <v>1350000.0</v>
      </c>
      <c r="L484" s="161">
        <v>265800.0</v>
      </c>
      <c r="M484" s="161">
        <v>265800.0</v>
      </c>
      <c r="N484" s="186">
        <v>1615800.0</v>
      </c>
      <c r="O484" s="186">
        <v>1615800.0</v>
      </c>
      <c r="P484" s="81"/>
      <c r="Q484" s="127">
        <v>1350000.0</v>
      </c>
      <c r="R484" s="127">
        <v>1350000.0</v>
      </c>
      <c r="S484" s="127">
        <v>265800.0</v>
      </c>
      <c r="T484" s="127">
        <v>265800.0</v>
      </c>
      <c r="U484" s="127">
        <v>1615800.0</v>
      </c>
      <c r="V484" s="127">
        <v>1615800.0</v>
      </c>
      <c r="W484" s="164">
        <f t="shared" ref="W484:AB484" si="808">+J484-Q484</f>
        <v>0</v>
      </c>
      <c r="X484" s="164">
        <f t="shared" si="808"/>
        <v>0</v>
      </c>
      <c r="Y484" s="164">
        <f t="shared" si="808"/>
        <v>0</v>
      </c>
      <c r="Z484" s="164">
        <f t="shared" si="808"/>
        <v>0</v>
      </c>
      <c r="AA484" s="164">
        <f t="shared" si="808"/>
        <v>0</v>
      </c>
      <c r="AB484" s="164">
        <f t="shared" si="808"/>
        <v>0</v>
      </c>
      <c r="AC484" s="81"/>
      <c r="AD484" s="81"/>
      <c r="AE484" s="81"/>
      <c r="AF484" s="81"/>
      <c r="AG484" s="77"/>
      <c r="AH484" s="77"/>
      <c r="AI484" s="81"/>
      <c r="AJ484" s="81"/>
      <c r="AK484" s="81"/>
      <c r="AL484" s="81"/>
      <c r="AM484" s="81"/>
      <c r="AN484" s="81"/>
      <c r="AO484" s="81"/>
      <c r="AP484" s="81"/>
    </row>
    <row r="485" ht="34.5" customHeight="1">
      <c r="A485" s="81"/>
      <c r="B485" s="77"/>
      <c r="C485" s="130"/>
      <c r="D485" s="165" t="s">
        <v>98</v>
      </c>
      <c r="E485" s="165" t="s">
        <v>85</v>
      </c>
      <c r="F485" s="165"/>
      <c r="G485" s="165"/>
      <c r="H485" s="165" t="s">
        <v>90</v>
      </c>
      <c r="I485" s="165">
        <v>55.0</v>
      </c>
      <c r="J485" s="166">
        <v>1550000.0</v>
      </c>
      <c r="K485" s="166">
        <v>1550000.0</v>
      </c>
      <c r="L485" s="161">
        <v>584760.0</v>
      </c>
      <c r="M485" s="161">
        <v>584760.0</v>
      </c>
      <c r="N485" s="186">
        <v>2134760.0</v>
      </c>
      <c r="O485" s="186">
        <v>2134760.0</v>
      </c>
      <c r="P485" s="81"/>
      <c r="Q485" s="127">
        <v>1550000.0</v>
      </c>
      <c r="R485" s="127">
        <v>1550000.0</v>
      </c>
      <c r="S485" s="127">
        <v>584760.0</v>
      </c>
      <c r="T485" s="127">
        <v>584760.0</v>
      </c>
      <c r="U485" s="127">
        <v>2134760.0</v>
      </c>
      <c r="V485" s="127">
        <v>2134760.0</v>
      </c>
      <c r="W485" s="164">
        <f t="shared" ref="W485:AB485" si="809">+J485-Q485</f>
        <v>0</v>
      </c>
      <c r="X485" s="164">
        <f t="shared" si="809"/>
        <v>0</v>
      </c>
      <c r="Y485" s="164">
        <f t="shared" si="809"/>
        <v>0</v>
      </c>
      <c r="Z485" s="164">
        <f t="shared" si="809"/>
        <v>0</v>
      </c>
      <c r="AA485" s="164">
        <f t="shared" si="809"/>
        <v>0</v>
      </c>
      <c r="AB485" s="164">
        <f t="shared" si="809"/>
        <v>0</v>
      </c>
      <c r="AC485" s="81"/>
      <c r="AD485" s="81"/>
      <c r="AE485" s="81"/>
      <c r="AF485" s="81"/>
      <c r="AG485" s="77"/>
      <c r="AH485" s="77"/>
      <c r="AI485" s="81"/>
      <c r="AJ485" s="81"/>
      <c r="AK485" s="81"/>
      <c r="AL485" s="81"/>
      <c r="AM485" s="81"/>
      <c r="AN485" s="81"/>
      <c r="AO485" s="81"/>
      <c r="AP485" s="81"/>
    </row>
    <row r="486" ht="34.5" customHeight="1">
      <c r="A486" s="81"/>
      <c r="B486" s="77"/>
      <c r="C486" s="130"/>
      <c r="D486" s="165" t="s">
        <v>90</v>
      </c>
      <c r="E486" s="165" t="s">
        <v>98</v>
      </c>
      <c r="F486" s="165"/>
      <c r="G486" s="165"/>
      <c r="H486" s="165"/>
      <c r="I486" s="165">
        <v>25.0</v>
      </c>
      <c r="J486" s="166">
        <v>1350000.0</v>
      </c>
      <c r="K486" s="166">
        <v>1350000.0</v>
      </c>
      <c r="L486" s="161">
        <v>265800.0</v>
      </c>
      <c r="M486" s="161">
        <v>265800.0</v>
      </c>
      <c r="N486" s="186">
        <v>1615800.0</v>
      </c>
      <c r="O486" s="186">
        <v>1615800.0</v>
      </c>
      <c r="P486" s="81"/>
      <c r="Q486" s="127">
        <v>1350000.0</v>
      </c>
      <c r="R486" s="127">
        <v>1350000.0</v>
      </c>
      <c r="S486" s="127">
        <v>265800.0</v>
      </c>
      <c r="T486" s="127">
        <v>265800.0</v>
      </c>
      <c r="U486" s="127">
        <v>1615800.0</v>
      </c>
      <c r="V486" s="127">
        <v>1615800.0</v>
      </c>
      <c r="W486" s="164">
        <f t="shared" ref="W486:AB486" si="810">+J486-Q486</f>
        <v>0</v>
      </c>
      <c r="X486" s="164">
        <f t="shared" si="810"/>
        <v>0</v>
      </c>
      <c r="Y486" s="164">
        <f t="shared" si="810"/>
        <v>0</v>
      </c>
      <c r="Z486" s="164">
        <f t="shared" si="810"/>
        <v>0</v>
      </c>
      <c r="AA486" s="164">
        <f t="shared" si="810"/>
        <v>0</v>
      </c>
      <c r="AB486" s="164">
        <f t="shared" si="810"/>
        <v>0</v>
      </c>
      <c r="AC486" s="81"/>
      <c r="AD486" s="81"/>
      <c r="AE486" s="81"/>
      <c r="AF486" s="81"/>
      <c r="AG486" s="77"/>
      <c r="AH486" s="77"/>
      <c r="AI486" s="81"/>
      <c r="AJ486" s="81"/>
      <c r="AK486" s="81"/>
      <c r="AL486" s="81"/>
      <c r="AM486" s="81"/>
      <c r="AN486" s="81"/>
      <c r="AO486" s="81"/>
      <c r="AP486" s="81"/>
    </row>
    <row r="487" ht="34.5" customHeight="1">
      <c r="A487" s="81"/>
      <c r="B487" s="77"/>
      <c r="C487" s="118"/>
      <c r="D487" s="165" t="s">
        <v>98</v>
      </c>
      <c r="E487" s="165" t="s">
        <v>86</v>
      </c>
      <c r="F487" s="165"/>
      <c r="G487" s="165"/>
      <c r="H487" s="165" t="s">
        <v>90</v>
      </c>
      <c r="I487" s="165">
        <v>25.0</v>
      </c>
      <c r="J487" s="166">
        <v>1350000.0</v>
      </c>
      <c r="K487" s="166">
        <v>1350000.0</v>
      </c>
      <c r="L487" s="161">
        <v>265800.0</v>
      </c>
      <c r="M487" s="161">
        <v>265800.0</v>
      </c>
      <c r="N487" s="186">
        <v>1615800.0</v>
      </c>
      <c r="O487" s="186">
        <v>1615800.0</v>
      </c>
      <c r="P487" s="81"/>
      <c r="Q487" s="127">
        <v>1350000.0</v>
      </c>
      <c r="R487" s="127">
        <v>1350000.0</v>
      </c>
      <c r="S487" s="127">
        <v>265800.0</v>
      </c>
      <c r="T487" s="127">
        <v>265800.0</v>
      </c>
      <c r="U487" s="127">
        <v>1615800.0</v>
      </c>
      <c r="V487" s="127">
        <v>1615800.0</v>
      </c>
      <c r="W487" s="164">
        <f t="shared" ref="W487:AB487" si="811">+J487-Q487</f>
        <v>0</v>
      </c>
      <c r="X487" s="164">
        <f t="shared" si="811"/>
        <v>0</v>
      </c>
      <c r="Y487" s="164">
        <f t="shared" si="811"/>
        <v>0</v>
      </c>
      <c r="Z487" s="164">
        <f t="shared" si="811"/>
        <v>0</v>
      </c>
      <c r="AA487" s="164">
        <f t="shared" si="811"/>
        <v>0</v>
      </c>
      <c r="AB487" s="164">
        <f t="shared" si="811"/>
        <v>0</v>
      </c>
      <c r="AC487" s="81"/>
      <c r="AD487" s="81"/>
      <c r="AE487" s="81"/>
      <c r="AF487" s="81"/>
      <c r="AG487" s="77"/>
      <c r="AH487" s="77"/>
      <c r="AI487" s="81"/>
      <c r="AJ487" s="81"/>
      <c r="AK487" s="81"/>
      <c r="AL487" s="81"/>
      <c r="AM487" s="81"/>
      <c r="AN487" s="81"/>
      <c r="AO487" s="81"/>
      <c r="AP487" s="81"/>
    </row>
    <row r="488" ht="30.0" customHeight="1">
      <c r="A488" s="169"/>
      <c r="B488" s="169"/>
      <c r="C488" s="167" t="s">
        <v>102</v>
      </c>
      <c r="D488" s="165" t="s">
        <v>103</v>
      </c>
      <c r="E488" s="165" t="s">
        <v>84</v>
      </c>
      <c r="F488" s="165"/>
      <c r="G488" s="165"/>
      <c r="H488" s="165" t="s">
        <v>90</v>
      </c>
      <c r="I488" s="165">
        <v>136.0</v>
      </c>
      <c r="J488" s="166">
        <v>3090000.0</v>
      </c>
      <c r="K488" s="166">
        <v>3090000.0</v>
      </c>
      <c r="L488" s="161">
        <v>1445952.0</v>
      </c>
      <c r="M488" s="161">
        <v>1445952.0</v>
      </c>
      <c r="N488" s="186">
        <v>4535952.0</v>
      </c>
      <c r="O488" s="186">
        <v>4535952.0</v>
      </c>
      <c r="P488" s="169"/>
      <c r="Q488" s="175">
        <v>3090000.0</v>
      </c>
      <c r="R488" s="175">
        <v>3090000.0</v>
      </c>
      <c r="S488" s="175">
        <v>1445952.0</v>
      </c>
      <c r="T488" s="175">
        <v>1445952.0</v>
      </c>
      <c r="U488" s="175">
        <v>4535952.0</v>
      </c>
      <c r="V488" s="175">
        <v>4535952.0</v>
      </c>
      <c r="W488" s="164">
        <f t="shared" ref="W488:AB488" si="812">+J488-Q488</f>
        <v>0</v>
      </c>
      <c r="X488" s="164">
        <f t="shared" si="812"/>
        <v>0</v>
      </c>
      <c r="Y488" s="164">
        <f t="shared" si="812"/>
        <v>0</v>
      </c>
      <c r="Z488" s="164">
        <f t="shared" si="812"/>
        <v>0</v>
      </c>
      <c r="AA488" s="164">
        <f t="shared" si="812"/>
        <v>0</v>
      </c>
      <c r="AB488" s="164">
        <f t="shared" si="812"/>
        <v>0</v>
      </c>
      <c r="AC488" s="169"/>
      <c r="AD488" s="169"/>
      <c r="AE488" s="169"/>
      <c r="AF488" s="169"/>
      <c r="AG488" s="77"/>
      <c r="AH488" s="77"/>
      <c r="AI488" s="169"/>
      <c r="AJ488" s="169"/>
      <c r="AK488" s="169"/>
      <c r="AL488" s="169"/>
      <c r="AM488" s="169"/>
      <c r="AN488" s="169"/>
      <c r="AO488" s="169"/>
      <c r="AP488" s="169"/>
    </row>
    <row r="489" ht="30.0" customHeight="1">
      <c r="A489" s="169"/>
      <c r="B489" s="169"/>
      <c r="C489" s="130"/>
      <c r="D489" s="165" t="s">
        <v>103</v>
      </c>
      <c r="E489" s="165" t="s">
        <v>85</v>
      </c>
      <c r="F489" s="165"/>
      <c r="G489" s="165"/>
      <c r="H489" s="165" t="s">
        <v>90</v>
      </c>
      <c r="I489" s="165">
        <v>90.0</v>
      </c>
      <c r="J489" s="166">
        <v>2510000.0</v>
      </c>
      <c r="K489" s="166">
        <v>2510000.0</v>
      </c>
      <c r="L489" s="161">
        <v>956880.0</v>
      </c>
      <c r="M489" s="161">
        <v>956880.0</v>
      </c>
      <c r="N489" s="186">
        <v>3466880.0</v>
      </c>
      <c r="O489" s="186">
        <v>3466880.0</v>
      </c>
      <c r="P489" s="169"/>
      <c r="Q489" s="175">
        <v>2510000.0</v>
      </c>
      <c r="R489" s="175">
        <v>2510000.0</v>
      </c>
      <c r="S489" s="175">
        <v>956880.0</v>
      </c>
      <c r="T489" s="175">
        <v>956880.0</v>
      </c>
      <c r="U489" s="175">
        <v>3466880.0</v>
      </c>
      <c r="V489" s="175">
        <v>3466880.0</v>
      </c>
      <c r="W489" s="164">
        <f t="shared" ref="W489:AB489" si="813">+J489-Q489</f>
        <v>0</v>
      </c>
      <c r="X489" s="164">
        <f t="shared" si="813"/>
        <v>0</v>
      </c>
      <c r="Y489" s="164">
        <f t="shared" si="813"/>
        <v>0</v>
      </c>
      <c r="Z489" s="164">
        <f t="shared" si="813"/>
        <v>0</v>
      </c>
      <c r="AA489" s="164">
        <f t="shared" si="813"/>
        <v>0</v>
      </c>
      <c r="AB489" s="164">
        <f t="shared" si="813"/>
        <v>0</v>
      </c>
      <c r="AC489" s="169"/>
      <c r="AD489" s="169"/>
      <c r="AE489" s="169"/>
      <c r="AF489" s="169"/>
      <c r="AG489" s="77"/>
      <c r="AH489" s="77"/>
      <c r="AI489" s="169"/>
      <c r="AJ489" s="169"/>
      <c r="AK489" s="169"/>
      <c r="AL489" s="169"/>
      <c r="AM489" s="169"/>
      <c r="AN489" s="169"/>
      <c r="AO489" s="169"/>
      <c r="AP489" s="169"/>
    </row>
    <row r="490" ht="30.0" customHeight="1">
      <c r="A490" s="169"/>
      <c r="B490" s="169"/>
      <c r="C490" s="130"/>
      <c r="D490" s="165" t="s">
        <v>103</v>
      </c>
      <c r="E490" s="165" t="s">
        <v>86</v>
      </c>
      <c r="F490" s="165"/>
      <c r="G490" s="165"/>
      <c r="H490" s="165" t="s">
        <v>90</v>
      </c>
      <c r="I490" s="165">
        <v>70.0</v>
      </c>
      <c r="J490" s="166">
        <v>2370000.0</v>
      </c>
      <c r="K490" s="166">
        <v>2370000.0</v>
      </c>
      <c r="L490" s="161">
        <v>744240.0</v>
      </c>
      <c r="M490" s="161">
        <v>744240.0</v>
      </c>
      <c r="N490" s="186">
        <v>3114240.0</v>
      </c>
      <c r="O490" s="186">
        <v>3114240.0</v>
      </c>
      <c r="P490" s="169"/>
      <c r="Q490" s="175">
        <v>2370000.0</v>
      </c>
      <c r="R490" s="175">
        <v>2370000.0</v>
      </c>
      <c r="S490" s="175">
        <v>744240.0</v>
      </c>
      <c r="T490" s="175">
        <v>744240.0</v>
      </c>
      <c r="U490" s="175">
        <v>3114240.0</v>
      </c>
      <c r="V490" s="175">
        <v>3114240.0</v>
      </c>
      <c r="W490" s="164">
        <f t="shared" ref="W490:AB490" si="814">+J490-Q490</f>
        <v>0</v>
      </c>
      <c r="X490" s="164">
        <f t="shared" si="814"/>
        <v>0</v>
      </c>
      <c r="Y490" s="164">
        <f t="shared" si="814"/>
        <v>0</v>
      </c>
      <c r="Z490" s="164">
        <f t="shared" si="814"/>
        <v>0</v>
      </c>
      <c r="AA490" s="164">
        <f t="shared" si="814"/>
        <v>0</v>
      </c>
      <c r="AB490" s="164">
        <f t="shared" si="814"/>
        <v>0</v>
      </c>
      <c r="AC490" s="169"/>
      <c r="AD490" s="169"/>
      <c r="AE490" s="169"/>
      <c r="AF490" s="169"/>
      <c r="AG490" s="77"/>
      <c r="AH490" s="77"/>
      <c r="AI490" s="169"/>
      <c r="AJ490" s="169"/>
      <c r="AK490" s="169"/>
      <c r="AL490" s="169"/>
      <c r="AM490" s="169"/>
      <c r="AN490" s="169"/>
      <c r="AO490" s="169"/>
      <c r="AP490" s="169"/>
    </row>
    <row r="491" ht="30.0" customHeight="1">
      <c r="A491" s="169"/>
      <c r="B491" s="169"/>
      <c r="C491" s="130"/>
      <c r="D491" s="165" t="s">
        <v>104</v>
      </c>
      <c r="E491" s="165" t="s">
        <v>84</v>
      </c>
      <c r="F491" s="165"/>
      <c r="G491" s="165"/>
      <c r="H491" s="165" t="s">
        <v>90</v>
      </c>
      <c r="I491" s="165">
        <v>155.0</v>
      </c>
      <c r="J491" s="166">
        <v>3230000.0</v>
      </c>
      <c r="K491" s="166">
        <v>3230000.0</v>
      </c>
      <c r="L491" s="161">
        <v>1647960.0</v>
      </c>
      <c r="M491" s="161">
        <v>1647960.0</v>
      </c>
      <c r="N491" s="186">
        <v>4877960.0</v>
      </c>
      <c r="O491" s="186">
        <v>4877960.0</v>
      </c>
      <c r="P491" s="169"/>
      <c r="Q491" s="175">
        <v>3230000.0</v>
      </c>
      <c r="R491" s="175">
        <v>3230000.0</v>
      </c>
      <c r="S491" s="175">
        <v>1647960.0</v>
      </c>
      <c r="T491" s="175">
        <v>1647960.0</v>
      </c>
      <c r="U491" s="175">
        <v>4877960.0</v>
      </c>
      <c r="V491" s="175">
        <v>4877960.0</v>
      </c>
      <c r="W491" s="164">
        <f t="shared" ref="W491:AB491" si="815">+J491-Q491</f>
        <v>0</v>
      </c>
      <c r="X491" s="164">
        <f t="shared" si="815"/>
        <v>0</v>
      </c>
      <c r="Y491" s="164">
        <f t="shared" si="815"/>
        <v>0</v>
      </c>
      <c r="Z491" s="164">
        <f t="shared" si="815"/>
        <v>0</v>
      </c>
      <c r="AA491" s="164">
        <f t="shared" si="815"/>
        <v>0</v>
      </c>
      <c r="AB491" s="164">
        <f t="shared" si="815"/>
        <v>0</v>
      </c>
      <c r="AC491" s="169"/>
      <c r="AD491" s="169"/>
      <c r="AE491" s="169"/>
      <c r="AF491" s="169"/>
      <c r="AG491" s="77"/>
      <c r="AH491" s="77"/>
      <c r="AI491" s="169"/>
      <c r="AJ491" s="169"/>
      <c r="AK491" s="169"/>
      <c r="AL491" s="169"/>
      <c r="AM491" s="169"/>
      <c r="AN491" s="169"/>
      <c r="AO491" s="169"/>
      <c r="AP491" s="169"/>
    </row>
    <row r="492" ht="30.0" customHeight="1">
      <c r="A492" s="169"/>
      <c r="B492" s="169"/>
      <c r="C492" s="130"/>
      <c r="D492" s="165" t="s">
        <v>104</v>
      </c>
      <c r="E492" s="165" t="s">
        <v>85</v>
      </c>
      <c r="F492" s="165"/>
      <c r="G492" s="165"/>
      <c r="H492" s="165" t="s">
        <v>90</v>
      </c>
      <c r="I492" s="165">
        <v>70.0</v>
      </c>
      <c r="J492" s="166">
        <v>2720000.0</v>
      </c>
      <c r="K492" s="166">
        <v>2720000.0</v>
      </c>
      <c r="L492" s="161">
        <v>744240.0</v>
      </c>
      <c r="M492" s="161">
        <v>744240.0</v>
      </c>
      <c r="N492" s="186">
        <v>3464240.0</v>
      </c>
      <c r="O492" s="186">
        <v>3464240.0</v>
      </c>
      <c r="P492" s="169"/>
      <c r="Q492" s="175">
        <v>2720000.0</v>
      </c>
      <c r="R492" s="175">
        <v>2720000.0</v>
      </c>
      <c r="S492" s="175">
        <v>744240.0</v>
      </c>
      <c r="T492" s="175">
        <v>744240.0</v>
      </c>
      <c r="U492" s="175">
        <v>3464240.0</v>
      </c>
      <c r="V492" s="175">
        <v>3464240.0</v>
      </c>
      <c r="W492" s="164">
        <f t="shared" ref="W492:AB492" si="816">+J492-Q492</f>
        <v>0</v>
      </c>
      <c r="X492" s="164">
        <f t="shared" si="816"/>
        <v>0</v>
      </c>
      <c r="Y492" s="164">
        <f t="shared" si="816"/>
        <v>0</v>
      </c>
      <c r="Z492" s="164">
        <f t="shared" si="816"/>
        <v>0</v>
      </c>
      <c r="AA492" s="164">
        <f t="shared" si="816"/>
        <v>0</v>
      </c>
      <c r="AB492" s="164">
        <f t="shared" si="816"/>
        <v>0</v>
      </c>
      <c r="AC492" s="169"/>
      <c r="AD492" s="169"/>
      <c r="AE492" s="169"/>
      <c r="AF492" s="169"/>
      <c r="AG492" s="77"/>
      <c r="AH492" s="77"/>
      <c r="AI492" s="169"/>
      <c r="AJ492" s="169"/>
      <c r="AK492" s="169"/>
      <c r="AL492" s="169"/>
      <c r="AM492" s="169"/>
      <c r="AN492" s="169"/>
      <c r="AO492" s="169"/>
      <c r="AP492" s="169"/>
    </row>
    <row r="493" ht="30.0" customHeight="1">
      <c r="A493" s="169"/>
      <c r="B493" s="169"/>
      <c r="C493" s="130"/>
      <c r="D493" s="165" t="s">
        <v>104</v>
      </c>
      <c r="E493" s="165" t="s">
        <v>86</v>
      </c>
      <c r="F493" s="165"/>
      <c r="G493" s="165"/>
      <c r="H493" s="165" t="s">
        <v>90</v>
      </c>
      <c r="I493" s="165">
        <v>45.0</v>
      </c>
      <c r="J493" s="166">
        <v>2530000.0</v>
      </c>
      <c r="K493" s="166">
        <v>2530000.0</v>
      </c>
      <c r="L493" s="161">
        <v>478440.0</v>
      </c>
      <c r="M493" s="161">
        <v>478440.0</v>
      </c>
      <c r="N493" s="186">
        <v>3008440.0</v>
      </c>
      <c r="O493" s="186">
        <v>3008440.0</v>
      </c>
      <c r="P493" s="169"/>
      <c r="Q493" s="175">
        <v>2530000.0</v>
      </c>
      <c r="R493" s="175">
        <v>2530000.0</v>
      </c>
      <c r="S493" s="175">
        <v>478440.0</v>
      </c>
      <c r="T493" s="175">
        <v>478440.0</v>
      </c>
      <c r="U493" s="175">
        <v>3008440.0</v>
      </c>
      <c r="V493" s="175">
        <v>3008440.0</v>
      </c>
      <c r="W493" s="164">
        <f t="shared" ref="W493:AB493" si="817">+J493-Q493</f>
        <v>0</v>
      </c>
      <c r="X493" s="164">
        <f t="shared" si="817"/>
        <v>0</v>
      </c>
      <c r="Y493" s="164">
        <f t="shared" si="817"/>
        <v>0</v>
      </c>
      <c r="Z493" s="164">
        <f t="shared" si="817"/>
        <v>0</v>
      </c>
      <c r="AA493" s="164">
        <f t="shared" si="817"/>
        <v>0</v>
      </c>
      <c r="AB493" s="164">
        <f t="shared" si="817"/>
        <v>0</v>
      </c>
      <c r="AC493" s="169"/>
      <c r="AD493" s="169"/>
      <c r="AE493" s="169"/>
      <c r="AF493" s="169"/>
      <c r="AG493" s="77"/>
      <c r="AH493" s="77"/>
      <c r="AI493" s="169"/>
      <c r="AJ493" s="169"/>
      <c r="AK493" s="169"/>
      <c r="AL493" s="169"/>
      <c r="AM493" s="169"/>
      <c r="AN493" s="169"/>
      <c r="AO493" s="169"/>
      <c r="AP493" s="169"/>
    </row>
    <row r="494" ht="30.0" customHeight="1">
      <c r="A494" s="169"/>
      <c r="B494" s="169"/>
      <c r="C494" s="130"/>
      <c r="D494" s="165" t="s">
        <v>105</v>
      </c>
      <c r="E494" s="165" t="s">
        <v>84</v>
      </c>
      <c r="F494" s="165"/>
      <c r="G494" s="165"/>
      <c r="H494" s="165" t="s">
        <v>90</v>
      </c>
      <c r="I494" s="165">
        <v>125.0</v>
      </c>
      <c r="J494" s="166">
        <v>3070000.0</v>
      </c>
      <c r="K494" s="166">
        <v>3070000.0</v>
      </c>
      <c r="L494" s="161">
        <v>1329000.0</v>
      </c>
      <c r="M494" s="161">
        <v>1329000.0</v>
      </c>
      <c r="N494" s="186">
        <v>4399000.0</v>
      </c>
      <c r="O494" s="186">
        <v>4399000.0</v>
      </c>
      <c r="P494" s="169"/>
      <c r="Q494" s="175">
        <v>3070000.0</v>
      </c>
      <c r="R494" s="175">
        <v>3070000.0</v>
      </c>
      <c r="S494" s="175">
        <v>1329000.0</v>
      </c>
      <c r="T494" s="175">
        <v>1329000.0</v>
      </c>
      <c r="U494" s="175">
        <v>4399000.0</v>
      </c>
      <c r="V494" s="175">
        <v>4399000.0</v>
      </c>
      <c r="W494" s="164">
        <f t="shared" ref="W494:AB494" si="818">+J494-Q494</f>
        <v>0</v>
      </c>
      <c r="X494" s="164">
        <f t="shared" si="818"/>
        <v>0</v>
      </c>
      <c r="Y494" s="164">
        <f t="shared" si="818"/>
        <v>0</v>
      </c>
      <c r="Z494" s="164">
        <f t="shared" si="818"/>
        <v>0</v>
      </c>
      <c r="AA494" s="164">
        <f t="shared" si="818"/>
        <v>0</v>
      </c>
      <c r="AB494" s="164">
        <f t="shared" si="818"/>
        <v>0</v>
      </c>
      <c r="AC494" s="169"/>
      <c r="AD494" s="169"/>
      <c r="AE494" s="169"/>
      <c r="AF494" s="169"/>
      <c r="AG494" s="77"/>
      <c r="AH494" s="77"/>
      <c r="AI494" s="169"/>
      <c r="AJ494" s="169"/>
      <c r="AK494" s="169"/>
      <c r="AL494" s="169"/>
      <c r="AM494" s="169"/>
      <c r="AN494" s="169"/>
      <c r="AO494" s="169"/>
      <c r="AP494" s="169"/>
    </row>
    <row r="495" ht="30.0" customHeight="1">
      <c r="A495" s="169"/>
      <c r="B495" s="169"/>
      <c r="C495" s="130"/>
      <c r="D495" s="165" t="s">
        <v>105</v>
      </c>
      <c r="E495" s="165" t="s">
        <v>85</v>
      </c>
      <c r="F495" s="165"/>
      <c r="G495" s="165"/>
      <c r="H495" s="165" t="s">
        <v>90</v>
      </c>
      <c r="I495" s="165">
        <v>65.0</v>
      </c>
      <c r="J495" s="166">
        <v>2720000.0</v>
      </c>
      <c r="K495" s="166">
        <v>2720000.0</v>
      </c>
      <c r="L495" s="161">
        <v>691080.0</v>
      </c>
      <c r="M495" s="161">
        <v>691080.0</v>
      </c>
      <c r="N495" s="186">
        <v>3411080.0</v>
      </c>
      <c r="O495" s="186">
        <v>3411080.0</v>
      </c>
      <c r="P495" s="169"/>
      <c r="Q495" s="175">
        <v>2720000.0</v>
      </c>
      <c r="R495" s="175">
        <v>2720000.0</v>
      </c>
      <c r="S495" s="175">
        <v>691080.0</v>
      </c>
      <c r="T495" s="175">
        <v>691080.0</v>
      </c>
      <c r="U495" s="175">
        <v>3411080.0</v>
      </c>
      <c r="V495" s="175">
        <v>3411080.0</v>
      </c>
      <c r="W495" s="164">
        <f t="shared" ref="W495:AB495" si="819">+J495-Q495</f>
        <v>0</v>
      </c>
      <c r="X495" s="164">
        <f t="shared" si="819"/>
        <v>0</v>
      </c>
      <c r="Y495" s="164">
        <f t="shared" si="819"/>
        <v>0</v>
      </c>
      <c r="Z495" s="164">
        <f t="shared" si="819"/>
        <v>0</v>
      </c>
      <c r="AA495" s="164">
        <f t="shared" si="819"/>
        <v>0</v>
      </c>
      <c r="AB495" s="164">
        <f t="shared" si="819"/>
        <v>0</v>
      </c>
      <c r="AC495" s="169"/>
      <c r="AD495" s="169"/>
      <c r="AE495" s="169"/>
      <c r="AF495" s="169"/>
      <c r="AG495" s="77"/>
      <c r="AH495" s="77"/>
      <c r="AI495" s="169"/>
      <c r="AJ495" s="169"/>
      <c r="AK495" s="169"/>
      <c r="AL495" s="169"/>
      <c r="AM495" s="169"/>
      <c r="AN495" s="169"/>
      <c r="AO495" s="169"/>
      <c r="AP495" s="169"/>
    </row>
    <row r="496" ht="30.0" customHeight="1">
      <c r="A496" s="169"/>
      <c r="B496" s="169"/>
      <c r="C496" s="118"/>
      <c r="D496" s="165" t="s">
        <v>105</v>
      </c>
      <c r="E496" s="165" t="s">
        <v>86</v>
      </c>
      <c r="F496" s="165"/>
      <c r="G496" s="165"/>
      <c r="H496" s="165" t="s">
        <v>90</v>
      </c>
      <c r="I496" s="165">
        <v>75.0</v>
      </c>
      <c r="J496" s="166">
        <v>2730000.0</v>
      </c>
      <c r="K496" s="166">
        <v>2730000.0</v>
      </c>
      <c r="L496" s="161">
        <v>797400.0</v>
      </c>
      <c r="M496" s="161">
        <v>797400.0</v>
      </c>
      <c r="N496" s="186">
        <v>3527400.0</v>
      </c>
      <c r="O496" s="186">
        <v>3527400.0</v>
      </c>
      <c r="P496" s="169"/>
      <c r="Q496" s="175">
        <v>2730000.0</v>
      </c>
      <c r="R496" s="175">
        <v>2730000.0</v>
      </c>
      <c r="S496" s="175">
        <v>797400.0</v>
      </c>
      <c r="T496" s="175">
        <v>797400.0</v>
      </c>
      <c r="U496" s="175">
        <v>3527400.0</v>
      </c>
      <c r="V496" s="175">
        <v>3527400.0</v>
      </c>
      <c r="W496" s="164">
        <f t="shared" ref="W496:AB496" si="820">+J496-Q496</f>
        <v>0</v>
      </c>
      <c r="X496" s="164">
        <f t="shared" si="820"/>
        <v>0</v>
      </c>
      <c r="Y496" s="164">
        <f t="shared" si="820"/>
        <v>0</v>
      </c>
      <c r="Z496" s="164">
        <f t="shared" si="820"/>
        <v>0</v>
      </c>
      <c r="AA496" s="164">
        <f t="shared" si="820"/>
        <v>0</v>
      </c>
      <c r="AB496" s="164">
        <f t="shared" si="820"/>
        <v>0</v>
      </c>
      <c r="AC496" s="169"/>
      <c r="AD496" s="169"/>
      <c r="AE496" s="169"/>
      <c r="AF496" s="169"/>
      <c r="AG496" s="77"/>
      <c r="AH496" s="77"/>
      <c r="AI496" s="169"/>
      <c r="AJ496" s="169"/>
      <c r="AK496" s="169"/>
      <c r="AL496" s="169"/>
      <c r="AM496" s="169"/>
      <c r="AN496" s="169"/>
      <c r="AO496" s="169"/>
      <c r="AP496" s="169"/>
    </row>
    <row r="497" ht="12.0" customHeight="1">
      <c r="A497" s="81"/>
      <c r="B497" s="77"/>
      <c r="C497" s="170"/>
      <c r="D497" s="171"/>
      <c r="E497" s="171"/>
      <c r="F497" s="171"/>
      <c r="G497" s="171"/>
      <c r="H497" s="171"/>
      <c r="I497" s="171"/>
      <c r="J497" s="172"/>
      <c r="K497" s="172"/>
      <c r="L497" s="173"/>
      <c r="M497" s="173"/>
      <c r="N497" s="174"/>
      <c r="O497" s="174"/>
      <c r="P497" s="81"/>
      <c r="Q497" s="127"/>
      <c r="R497" s="127"/>
      <c r="S497" s="127"/>
      <c r="T497" s="127"/>
      <c r="U497" s="127"/>
      <c r="V497" s="127"/>
      <c r="W497" s="144"/>
      <c r="X497" s="144"/>
      <c r="Y497" s="144"/>
      <c r="Z497" s="144"/>
      <c r="AA497" s="144"/>
      <c r="AB497" s="144"/>
      <c r="AC497" s="81"/>
      <c r="AD497" s="81"/>
      <c r="AE497" s="81"/>
      <c r="AF497" s="81"/>
      <c r="AG497" s="77"/>
      <c r="AH497" s="77"/>
      <c r="AI497" s="81"/>
      <c r="AJ497" s="81"/>
      <c r="AK497" s="81"/>
      <c r="AL497" s="81"/>
      <c r="AM497" s="81"/>
      <c r="AN497" s="81"/>
      <c r="AO497" s="81"/>
      <c r="AP497" s="81"/>
    </row>
    <row r="498" ht="20.25" hidden="1" customHeight="1">
      <c r="A498" s="81"/>
      <c r="B498" s="77"/>
      <c r="C498" s="170"/>
      <c r="D498" s="171"/>
      <c r="E498" s="171"/>
      <c r="F498" s="171"/>
      <c r="G498" s="171"/>
      <c r="H498" s="171"/>
      <c r="I498" s="171"/>
      <c r="J498" s="172"/>
      <c r="K498" s="172"/>
      <c r="L498" s="173"/>
      <c r="M498" s="173"/>
      <c r="N498" s="174"/>
      <c r="O498" s="174"/>
      <c r="P498" s="81"/>
      <c r="Q498" s="127"/>
      <c r="R498" s="127"/>
      <c r="S498" s="127"/>
      <c r="T498" s="127"/>
      <c r="U498" s="127"/>
      <c r="V498" s="127"/>
      <c r="W498" s="144"/>
      <c r="X498" s="144"/>
      <c r="Y498" s="144"/>
      <c r="Z498" s="144"/>
      <c r="AA498" s="144"/>
      <c r="AB498" s="144"/>
      <c r="AC498" s="81"/>
      <c r="AD498" s="81"/>
      <c r="AE498" s="81"/>
      <c r="AF498" s="81"/>
      <c r="AG498" s="77"/>
      <c r="AH498" s="77"/>
      <c r="AI498" s="81"/>
      <c r="AJ498" s="81"/>
      <c r="AK498" s="81"/>
      <c r="AL498" s="81"/>
      <c r="AM498" s="81"/>
      <c r="AN498" s="81"/>
      <c r="AO498" s="81"/>
      <c r="AP498" s="81"/>
    </row>
    <row r="499" ht="24.75" customHeight="1">
      <c r="A499" s="81"/>
      <c r="B499" s="178">
        <v>2.4</v>
      </c>
      <c r="C499" s="178" t="s">
        <v>122</v>
      </c>
      <c r="D499" s="171"/>
      <c r="E499" s="171"/>
      <c r="F499" s="171"/>
      <c r="G499" s="171"/>
      <c r="H499" s="171"/>
      <c r="I499" s="171"/>
      <c r="J499" s="172"/>
      <c r="K499" s="172"/>
      <c r="L499" s="173"/>
      <c r="M499" s="173"/>
      <c r="N499" s="174"/>
      <c r="O499" s="174"/>
      <c r="P499" s="81"/>
      <c r="Q499" s="127"/>
      <c r="R499" s="127"/>
      <c r="S499" s="127"/>
      <c r="T499" s="127"/>
      <c r="U499" s="127"/>
      <c r="V499" s="127"/>
      <c r="W499" s="144"/>
      <c r="X499" s="144"/>
      <c r="Y499" s="144"/>
      <c r="Z499" s="144"/>
      <c r="AA499" s="144"/>
      <c r="AB499" s="144"/>
      <c r="AC499" s="81"/>
      <c r="AD499" s="81"/>
      <c r="AE499" s="81"/>
      <c r="AF499" s="81"/>
      <c r="AG499" s="77"/>
      <c r="AH499" s="77"/>
      <c r="AI499" s="81"/>
      <c r="AJ499" s="81"/>
      <c r="AK499" s="81"/>
      <c r="AL499" s="81"/>
      <c r="AM499" s="81"/>
      <c r="AN499" s="81"/>
      <c r="AO499" s="81"/>
      <c r="AP499" s="81"/>
    </row>
    <row r="500" ht="24.75" customHeight="1">
      <c r="A500" s="81"/>
      <c r="B500" s="178" t="s">
        <v>123</v>
      </c>
      <c r="C500" s="178" t="s">
        <v>124</v>
      </c>
      <c r="D500" s="171"/>
      <c r="E500" s="171"/>
      <c r="F500" s="171"/>
      <c r="G500" s="171"/>
      <c r="H500" s="171"/>
      <c r="I500" s="171"/>
      <c r="J500" s="172"/>
      <c r="K500" s="172"/>
      <c r="L500" s="173"/>
      <c r="M500" s="173"/>
      <c r="N500" s="174"/>
      <c r="O500" s="174"/>
      <c r="P500" s="81"/>
      <c r="Q500" s="127"/>
      <c r="R500" s="127"/>
      <c r="S500" s="127"/>
      <c r="T500" s="127"/>
      <c r="U500" s="127"/>
      <c r="V500" s="127"/>
      <c r="W500" s="144"/>
      <c r="X500" s="144"/>
      <c r="Y500" s="144"/>
      <c r="Z500" s="144"/>
      <c r="AA500" s="144"/>
      <c r="AB500" s="144"/>
      <c r="AC500" s="81"/>
      <c r="AD500" s="81"/>
      <c r="AE500" s="81"/>
      <c r="AF500" s="81"/>
      <c r="AG500" s="77"/>
      <c r="AH500" s="77"/>
      <c r="AI500" s="81"/>
      <c r="AJ500" s="81"/>
      <c r="AK500" s="81"/>
      <c r="AL500" s="81"/>
      <c r="AM500" s="81"/>
      <c r="AN500" s="81"/>
      <c r="AO500" s="81"/>
      <c r="AP500" s="81"/>
    </row>
    <row r="501" ht="12.0" customHeight="1">
      <c r="A501" s="81"/>
      <c r="B501" s="77"/>
      <c r="C501" s="170"/>
      <c r="D501" s="171"/>
      <c r="E501" s="171"/>
      <c r="F501" s="171"/>
      <c r="G501" s="171"/>
      <c r="H501" s="171"/>
      <c r="I501" s="171"/>
      <c r="J501" s="172"/>
      <c r="K501" s="172"/>
      <c r="L501" s="173"/>
      <c r="M501" s="173"/>
      <c r="N501" s="174"/>
      <c r="O501" s="174"/>
      <c r="P501" s="81"/>
      <c r="Q501" s="127"/>
      <c r="R501" s="127"/>
      <c r="S501" s="127"/>
      <c r="T501" s="127"/>
      <c r="U501" s="127"/>
      <c r="V501" s="127"/>
      <c r="W501" s="144"/>
      <c r="X501" s="144"/>
      <c r="Y501" s="144"/>
      <c r="Z501" s="144"/>
      <c r="AA501" s="144"/>
      <c r="AB501" s="144"/>
      <c r="AC501" s="81"/>
      <c r="AD501" s="81"/>
      <c r="AE501" s="81"/>
      <c r="AF501" s="81"/>
      <c r="AG501" s="77"/>
      <c r="AH501" s="77"/>
      <c r="AI501" s="81"/>
      <c r="AJ501" s="81"/>
      <c r="AK501" s="81"/>
      <c r="AL501" s="81"/>
      <c r="AM501" s="81"/>
      <c r="AN501" s="81"/>
      <c r="AO501" s="81"/>
      <c r="AP501" s="81"/>
    </row>
    <row r="502" ht="34.5" customHeight="1">
      <c r="A502" s="81"/>
      <c r="B502" s="77"/>
      <c r="C502" s="151" t="s">
        <v>76</v>
      </c>
      <c r="D502" s="152" t="s">
        <v>77</v>
      </c>
      <c r="E502" s="136"/>
      <c r="F502" s="136"/>
      <c r="G502" s="136"/>
      <c r="H502" s="137"/>
      <c r="I502" s="153" t="s">
        <v>78</v>
      </c>
      <c r="J502" s="154" t="s">
        <v>79</v>
      </c>
      <c r="K502" s="137"/>
      <c r="L502" s="155" t="s">
        <v>80</v>
      </c>
      <c r="M502" s="137"/>
      <c r="N502" s="152" t="s">
        <v>65</v>
      </c>
      <c r="O502" s="137"/>
      <c r="P502" s="81"/>
      <c r="Q502" s="127"/>
      <c r="R502" s="127"/>
      <c r="S502" s="127"/>
      <c r="T502" s="127"/>
      <c r="U502" s="127"/>
      <c r="V502" s="127"/>
      <c r="W502" s="144"/>
      <c r="X502" s="144"/>
      <c r="Y502" s="144"/>
      <c r="Z502" s="144"/>
      <c r="AA502" s="144"/>
      <c r="AB502" s="144"/>
      <c r="AC502" s="81"/>
      <c r="AD502" s="81"/>
      <c r="AE502" s="81"/>
      <c r="AF502" s="81"/>
      <c r="AG502" s="77"/>
      <c r="AH502" s="77"/>
      <c r="AI502" s="81"/>
      <c r="AJ502" s="81"/>
      <c r="AK502" s="81"/>
      <c r="AL502" s="81"/>
      <c r="AM502" s="81"/>
      <c r="AN502" s="81"/>
      <c r="AO502" s="81"/>
      <c r="AP502" s="81"/>
    </row>
    <row r="503" ht="34.5" customHeight="1">
      <c r="A503" s="81"/>
      <c r="B503" s="77"/>
      <c r="C503" s="118"/>
      <c r="D503" s="158" t="s">
        <v>81</v>
      </c>
      <c r="E503" s="158" t="s">
        <v>82</v>
      </c>
      <c r="F503" s="158" t="s">
        <v>82</v>
      </c>
      <c r="G503" s="158" t="s">
        <v>82</v>
      </c>
      <c r="H503" s="158" t="s">
        <v>82</v>
      </c>
      <c r="I503" s="118"/>
      <c r="J503" s="158" t="s">
        <v>53</v>
      </c>
      <c r="K503" s="158" t="s">
        <v>54</v>
      </c>
      <c r="L503" s="159" t="s">
        <v>53</v>
      </c>
      <c r="M503" s="159" t="s">
        <v>54</v>
      </c>
      <c r="N503" s="158" t="s">
        <v>53</v>
      </c>
      <c r="O503" s="158" t="s">
        <v>54</v>
      </c>
      <c r="P503" s="81"/>
      <c r="Q503" s="127"/>
      <c r="R503" s="127"/>
      <c r="S503" s="127"/>
      <c r="T503" s="127"/>
      <c r="U503" s="127"/>
      <c r="V503" s="127"/>
      <c r="W503" s="144"/>
      <c r="X503" s="144"/>
      <c r="Y503" s="144"/>
      <c r="Z503" s="144"/>
      <c r="AA503" s="144"/>
      <c r="AB503" s="144"/>
      <c r="AC503" s="81"/>
      <c r="AD503" s="81"/>
      <c r="AE503" s="81"/>
      <c r="AF503" s="81"/>
      <c r="AG503" s="77"/>
      <c r="AH503" s="77"/>
      <c r="AI503" s="81"/>
      <c r="AJ503" s="81"/>
      <c r="AK503" s="81"/>
      <c r="AL503" s="81"/>
      <c r="AM503" s="81"/>
      <c r="AN503" s="81"/>
      <c r="AO503" s="81"/>
      <c r="AP503" s="81"/>
    </row>
    <row r="504" ht="34.5" customHeight="1">
      <c r="A504" s="81"/>
      <c r="B504" s="77"/>
      <c r="C504" s="185" t="s">
        <v>119</v>
      </c>
      <c r="D504" s="165" t="s">
        <v>91</v>
      </c>
      <c r="E504" s="165" t="s">
        <v>84</v>
      </c>
      <c r="F504" s="165"/>
      <c r="G504" s="165"/>
      <c r="H504" s="165" t="s">
        <v>91</v>
      </c>
      <c r="I504" s="165">
        <v>130.0</v>
      </c>
      <c r="J504" s="166">
        <v>2140000.0</v>
      </c>
      <c r="K504" s="166">
        <v>2135000.0</v>
      </c>
      <c r="L504" s="161">
        <v>1197872.0</v>
      </c>
      <c r="M504" s="161">
        <v>1197872.0</v>
      </c>
      <c r="N504" s="186">
        <v>3337872.0</v>
      </c>
      <c r="O504" s="186">
        <v>3332872.0</v>
      </c>
      <c r="P504" s="81"/>
      <c r="Q504" s="127">
        <v>2140000.0</v>
      </c>
      <c r="R504" s="127">
        <v>2135000.0</v>
      </c>
      <c r="S504" s="127">
        <v>1197872.0</v>
      </c>
      <c r="T504" s="127">
        <v>1197872.0</v>
      </c>
      <c r="U504" s="127">
        <v>3337872.0</v>
      </c>
      <c r="V504" s="127">
        <v>3332872.0</v>
      </c>
      <c r="W504" s="164">
        <f t="shared" ref="W504:AB504" si="821">+J504-Q504</f>
        <v>0</v>
      </c>
      <c r="X504" s="164">
        <f t="shared" si="821"/>
        <v>0</v>
      </c>
      <c r="Y504" s="164">
        <f t="shared" si="821"/>
        <v>0</v>
      </c>
      <c r="Z504" s="164">
        <f t="shared" si="821"/>
        <v>0</v>
      </c>
      <c r="AA504" s="164">
        <f t="shared" si="821"/>
        <v>0</v>
      </c>
      <c r="AB504" s="164">
        <f t="shared" si="821"/>
        <v>0</v>
      </c>
      <c r="AC504" s="81"/>
      <c r="AD504" s="81"/>
      <c r="AE504" s="81"/>
      <c r="AF504" s="81"/>
      <c r="AG504" s="77"/>
      <c r="AH504" s="77"/>
      <c r="AI504" s="81"/>
      <c r="AJ504" s="81"/>
      <c r="AK504" s="81"/>
      <c r="AL504" s="81"/>
      <c r="AM504" s="81"/>
      <c r="AN504" s="81"/>
      <c r="AO504" s="81"/>
      <c r="AP504" s="81"/>
    </row>
    <row r="505" ht="34.5" customHeight="1">
      <c r="A505" s="81"/>
      <c r="B505" s="77"/>
      <c r="C505" s="130"/>
      <c r="D505" s="165" t="s">
        <v>91</v>
      </c>
      <c r="E505" s="165" t="s">
        <v>85</v>
      </c>
      <c r="F505" s="165"/>
      <c r="G505" s="165"/>
      <c r="H505" s="165" t="s">
        <v>91</v>
      </c>
      <c r="I505" s="165">
        <v>50.0</v>
      </c>
      <c r="J505" s="166">
        <v>1420000.0</v>
      </c>
      <c r="K505" s="166">
        <v>1420000.0</v>
      </c>
      <c r="L505" s="161">
        <v>460720.0</v>
      </c>
      <c r="M505" s="161">
        <v>460720.0</v>
      </c>
      <c r="N505" s="186">
        <v>1880720.0</v>
      </c>
      <c r="O505" s="186">
        <v>1880720.0</v>
      </c>
      <c r="P505" s="81"/>
      <c r="Q505" s="127">
        <v>1420000.0</v>
      </c>
      <c r="R505" s="127">
        <v>1420000.0</v>
      </c>
      <c r="S505" s="127">
        <v>460720.0</v>
      </c>
      <c r="T505" s="127">
        <v>460720.0</v>
      </c>
      <c r="U505" s="127">
        <v>1880720.0</v>
      </c>
      <c r="V505" s="127">
        <v>1880720.0</v>
      </c>
      <c r="W505" s="164">
        <f t="shared" ref="W505:AB505" si="822">+J505-Q505</f>
        <v>0</v>
      </c>
      <c r="X505" s="164">
        <f t="shared" si="822"/>
        <v>0</v>
      </c>
      <c r="Y505" s="164">
        <f t="shared" si="822"/>
        <v>0</v>
      </c>
      <c r="Z505" s="164">
        <f t="shared" si="822"/>
        <v>0</v>
      </c>
      <c r="AA505" s="164">
        <f t="shared" si="822"/>
        <v>0</v>
      </c>
      <c r="AB505" s="164">
        <f t="shared" si="822"/>
        <v>0</v>
      </c>
      <c r="AC505" s="81"/>
      <c r="AD505" s="81"/>
      <c r="AE505" s="81"/>
      <c r="AF505" s="81"/>
      <c r="AG505" s="77"/>
      <c r="AH505" s="77"/>
      <c r="AI505" s="81"/>
      <c r="AJ505" s="81"/>
      <c r="AK505" s="81"/>
      <c r="AL505" s="81"/>
      <c r="AM505" s="81"/>
      <c r="AN505" s="81"/>
      <c r="AO505" s="81"/>
      <c r="AP505" s="81"/>
    </row>
    <row r="506" ht="34.5" customHeight="1">
      <c r="A506" s="81"/>
      <c r="B506" s="77"/>
      <c r="C506" s="130"/>
      <c r="D506" s="165" t="s">
        <v>91</v>
      </c>
      <c r="E506" s="165" t="s">
        <v>86</v>
      </c>
      <c r="F506" s="165"/>
      <c r="G506" s="165"/>
      <c r="H506" s="165" t="s">
        <v>91</v>
      </c>
      <c r="I506" s="165">
        <v>60.0</v>
      </c>
      <c r="J506" s="166">
        <v>1500000.0</v>
      </c>
      <c r="K506" s="166">
        <v>1500000.0</v>
      </c>
      <c r="L506" s="161">
        <v>552864.0</v>
      </c>
      <c r="M506" s="161">
        <v>552864.0</v>
      </c>
      <c r="N506" s="186">
        <v>2052864.0</v>
      </c>
      <c r="O506" s="186">
        <v>2052864.0</v>
      </c>
      <c r="P506" s="81"/>
      <c r="Q506" s="127">
        <v>1500000.0</v>
      </c>
      <c r="R506" s="127">
        <v>1500000.0</v>
      </c>
      <c r="S506" s="127">
        <v>552864.0</v>
      </c>
      <c r="T506" s="127">
        <v>552864.0</v>
      </c>
      <c r="U506" s="127">
        <v>2052864.0</v>
      </c>
      <c r="V506" s="127">
        <v>2052864.0</v>
      </c>
      <c r="W506" s="164">
        <f t="shared" ref="W506:AB506" si="823">+J506-Q506</f>
        <v>0</v>
      </c>
      <c r="X506" s="164">
        <f t="shared" si="823"/>
        <v>0</v>
      </c>
      <c r="Y506" s="164">
        <f t="shared" si="823"/>
        <v>0</v>
      </c>
      <c r="Z506" s="164">
        <f t="shared" si="823"/>
        <v>0</v>
      </c>
      <c r="AA506" s="164">
        <f t="shared" si="823"/>
        <v>0</v>
      </c>
      <c r="AB506" s="164">
        <f t="shared" si="823"/>
        <v>0</v>
      </c>
      <c r="AC506" s="81"/>
      <c r="AD506" s="81"/>
      <c r="AE506" s="81"/>
      <c r="AF506" s="81"/>
      <c r="AG506" s="77"/>
      <c r="AH506" s="77"/>
      <c r="AI506" s="81"/>
      <c r="AJ506" s="81"/>
      <c r="AK506" s="81"/>
      <c r="AL506" s="81"/>
      <c r="AM506" s="81"/>
      <c r="AN506" s="81"/>
      <c r="AO506" s="81"/>
      <c r="AP506" s="81"/>
    </row>
    <row r="507" ht="34.5" customHeight="1">
      <c r="A507" s="81"/>
      <c r="B507" s="77"/>
      <c r="C507" s="130"/>
      <c r="D507" s="165" t="s">
        <v>91</v>
      </c>
      <c r="E507" s="165" t="s">
        <v>84</v>
      </c>
      <c r="F507" s="165" t="s">
        <v>85</v>
      </c>
      <c r="G507" s="165"/>
      <c r="H507" s="165" t="s">
        <v>91</v>
      </c>
      <c r="I507" s="165">
        <v>140.0</v>
      </c>
      <c r="J507" s="166">
        <v>2400000.0</v>
      </c>
      <c r="K507" s="166">
        <v>2397000.0</v>
      </c>
      <c r="L507" s="161">
        <v>1290016.0</v>
      </c>
      <c r="M507" s="161">
        <v>1290016.0</v>
      </c>
      <c r="N507" s="186">
        <v>3690016.0</v>
      </c>
      <c r="O507" s="186">
        <v>3687016.0</v>
      </c>
      <c r="P507" s="81"/>
      <c r="Q507" s="127">
        <v>2400000.0</v>
      </c>
      <c r="R507" s="127">
        <v>2397000.0</v>
      </c>
      <c r="S507" s="127">
        <v>1290016.0</v>
      </c>
      <c r="T507" s="127">
        <v>1290016.0</v>
      </c>
      <c r="U507" s="127">
        <v>3690016.0</v>
      </c>
      <c r="V507" s="127">
        <v>3687016.0</v>
      </c>
      <c r="W507" s="164">
        <f t="shared" ref="W507:AB507" si="824">+J507-Q507</f>
        <v>0</v>
      </c>
      <c r="X507" s="164">
        <f t="shared" si="824"/>
        <v>0</v>
      </c>
      <c r="Y507" s="164">
        <f t="shared" si="824"/>
        <v>0</v>
      </c>
      <c r="Z507" s="164">
        <f t="shared" si="824"/>
        <v>0</v>
      </c>
      <c r="AA507" s="164">
        <f t="shared" si="824"/>
        <v>0</v>
      </c>
      <c r="AB507" s="164">
        <f t="shared" si="824"/>
        <v>0</v>
      </c>
      <c r="AC507" s="81"/>
      <c r="AD507" s="81"/>
      <c r="AE507" s="81"/>
      <c r="AF507" s="81"/>
      <c r="AG507" s="77"/>
      <c r="AH507" s="77"/>
      <c r="AI507" s="81"/>
      <c r="AJ507" s="81"/>
      <c r="AK507" s="81"/>
      <c r="AL507" s="81"/>
      <c r="AM507" s="81"/>
      <c r="AN507" s="81"/>
      <c r="AO507" s="81"/>
      <c r="AP507" s="81"/>
    </row>
    <row r="508" ht="34.5" customHeight="1">
      <c r="A508" s="81"/>
      <c r="B508" s="77"/>
      <c r="C508" s="130"/>
      <c r="D508" s="165" t="s">
        <v>91</v>
      </c>
      <c r="E508" s="165" t="s">
        <v>84</v>
      </c>
      <c r="F508" s="165" t="s">
        <v>86</v>
      </c>
      <c r="G508" s="165"/>
      <c r="H508" s="165" t="s">
        <v>91</v>
      </c>
      <c r="I508" s="165">
        <v>150.0</v>
      </c>
      <c r="J508" s="166">
        <v>2530000.0</v>
      </c>
      <c r="K508" s="166">
        <v>2528000.0</v>
      </c>
      <c r="L508" s="161">
        <v>1382160.0</v>
      </c>
      <c r="M508" s="161">
        <v>1382160.0</v>
      </c>
      <c r="N508" s="186">
        <v>3912160.0</v>
      </c>
      <c r="O508" s="186">
        <v>3910160.0</v>
      </c>
      <c r="P508" s="81"/>
      <c r="Q508" s="127">
        <v>2530000.0</v>
      </c>
      <c r="R508" s="127">
        <v>2528000.0</v>
      </c>
      <c r="S508" s="127">
        <v>1382160.0</v>
      </c>
      <c r="T508" s="127">
        <v>1382160.0</v>
      </c>
      <c r="U508" s="127">
        <v>3912160.0</v>
      </c>
      <c r="V508" s="127">
        <v>3910160.0</v>
      </c>
      <c r="W508" s="164">
        <f t="shared" ref="W508:AB508" si="825">+J508-Q508</f>
        <v>0</v>
      </c>
      <c r="X508" s="164">
        <f t="shared" si="825"/>
        <v>0</v>
      </c>
      <c r="Y508" s="164">
        <f t="shared" si="825"/>
        <v>0</v>
      </c>
      <c r="Z508" s="164">
        <f t="shared" si="825"/>
        <v>0</v>
      </c>
      <c r="AA508" s="164">
        <f t="shared" si="825"/>
        <v>0</v>
      </c>
      <c r="AB508" s="164">
        <f t="shared" si="825"/>
        <v>0</v>
      </c>
      <c r="AC508" s="81"/>
      <c r="AD508" s="81"/>
      <c r="AE508" s="81"/>
      <c r="AF508" s="81"/>
      <c r="AG508" s="77"/>
      <c r="AH508" s="77"/>
      <c r="AI508" s="81"/>
      <c r="AJ508" s="81"/>
      <c r="AK508" s="81"/>
      <c r="AL508" s="81"/>
      <c r="AM508" s="81"/>
      <c r="AN508" s="81"/>
      <c r="AO508" s="81"/>
      <c r="AP508" s="81"/>
    </row>
    <row r="509" ht="34.5" customHeight="1">
      <c r="A509" s="81"/>
      <c r="B509" s="77"/>
      <c r="C509" s="130"/>
      <c r="D509" s="165" t="s">
        <v>91</v>
      </c>
      <c r="E509" s="165" t="s">
        <v>85</v>
      </c>
      <c r="F509" s="165" t="s">
        <v>86</v>
      </c>
      <c r="G509" s="165"/>
      <c r="H509" s="165" t="s">
        <v>91</v>
      </c>
      <c r="I509" s="165">
        <v>70.0</v>
      </c>
      <c r="J509" s="166">
        <v>1970000.0</v>
      </c>
      <c r="K509" s="166">
        <v>1973000.0</v>
      </c>
      <c r="L509" s="161">
        <v>645008.0</v>
      </c>
      <c r="M509" s="161">
        <v>645008.0</v>
      </c>
      <c r="N509" s="186">
        <v>2615008.0</v>
      </c>
      <c r="O509" s="186">
        <v>2618008.0</v>
      </c>
      <c r="P509" s="81"/>
      <c r="Q509" s="127">
        <v>1970000.0</v>
      </c>
      <c r="R509" s="127">
        <v>1973000.0</v>
      </c>
      <c r="S509" s="127">
        <v>645008.0</v>
      </c>
      <c r="T509" s="127">
        <v>645008.0</v>
      </c>
      <c r="U509" s="127">
        <v>2615008.0</v>
      </c>
      <c r="V509" s="127">
        <v>2618008.0</v>
      </c>
      <c r="W509" s="164">
        <f t="shared" ref="W509:AB509" si="826">+J509-Q509</f>
        <v>0</v>
      </c>
      <c r="X509" s="164">
        <f t="shared" si="826"/>
        <v>0</v>
      </c>
      <c r="Y509" s="164">
        <f t="shared" si="826"/>
        <v>0</v>
      </c>
      <c r="Z509" s="164">
        <f t="shared" si="826"/>
        <v>0</v>
      </c>
      <c r="AA509" s="164">
        <f t="shared" si="826"/>
        <v>0</v>
      </c>
      <c r="AB509" s="164">
        <f t="shared" si="826"/>
        <v>0</v>
      </c>
      <c r="AC509" s="81"/>
      <c r="AD509" s="81"/>
      <c r="AE509" s="81"/>
      <c r="AF509" s="81"/>
      <c r="AG509" s="77"/>
      <c r="AH509" s="77"/>
      <c r="AI509" s="81"/>
      <c r="AJ509" s="81"/>
      <c r="AK509" s="81"/>
      <c r="AL509" s="81"/>
      <c r="AM509" s="81"/>
      <c r="AN509" s="81"/>
      <c r="AO509" s="81"/>
      <c r="AP509" s="81"/>
    </row>
    <row r="510" ht="34.5" customHeight="1">
      <c r="A510" s="81"/>
      <c r="B510" s="77"/>
      <c r="C510" s="130"/>
      <c r="D510" s="165" t="s">
        <v>91</v>
      </c>
      <c r="E510" s="165" t="s">
        <v>84</v>
      </c>
      <c r="F510" s="165" t="s">
        <v>85</v>
      </c>
      <c r="G510" s="165" t="s">
        <v>86</v>
      </c>
      <c r="H510" s="165" t="s">
        <v>91</v>
      </c>
      <c r="I510" s="165">
        <v>170.0</v>
      </c>
      <c r="J510" s="166">
        <v>2550000.0</v>
      </c>
      <c r="K510" s="166">
        <v>2552000.0</v>
      </c>
      <c r="L510" s="161">
        <v>1566448.0</v>
      </c>
      <c r="M510" s="161">
        <v>1566448.0</v>
      </c>
      <c r="N510" s="186">
        <v>4116448.0</v>
      </c>
      <c r="O510" s="186">
        <v>4118448.0</v>
      </c>
      <c r="P510" s="81"/>
      <c r="Q510" s="127">
        <v>2550000.0</v>
      </c>
      <c r="R510" s="127">
        <v>2552000.0</v>
      </c>
      <c r="S510" s="127">
        <v>1566448.0</v>
      </c>
      <c r="T510" s="127">
        <v>1566448.0</v>
      </c>
      <c r="U510" s="127">
        <v>4116448.0</v>
      </c>
      <c r="V510" s="127">
        <v>4118448.0</v>
      </c>
      <c r="W510" s="164">
        <f t="shared" ref="W510:AB510" si="827">+J510-Q510</f>
        <v>0</v>
      </c>
      <c r="X510" s="164">
        <f t="shared" si="827"/>
        <v>0</v>
      </c>
      <c r="Y510" s="164">
        <f t="shared" si="827"/>
        <v>0</v>
      </c>
      <c r="Z510" s="164">
        <f t="shared" si="827"/>
        <v>0</v>
      </c>
      <c r="AA510" s="164">
        <f t="shared" si="827"/>
        <v>0</v>
      </c>
      <c r="AB510" s="164">
        <f t="shared" si="827"/>
        <v>0</v>
      </c>
      <c r="AC510" s="81"/>
      <c r="AD510" s="81"/>
      <c r="AE510" s="81"/>
      <c r="AF510" s="81"/>
      <c r="AG510" s="77"/>
      <c r="AH510" s="77"/>
      <c r="AI510" s="81"/>
      <c r="AJ510" s="81"/>
      <c r="AK510" s="81"/>
      <c r="AL510" s="81"/>
      <c r="AM510" s="81"/>
      <c r="AN510" s="81"/>
      <c r="AO510" s="81"/>
      <c r="AP510" s="81"/>
    </row>
    <row r="511" ht="34.5" customHeight="1">
      <c r="A511" s="81"/>
      <c r="B511" s="77"/>
      <c r="C511" s="130"/>
      <c r="D511" s="165" t="s">
        <v>91</v>
      </c>
      <c r="E511" s="165" t="s">
        <v>87</v>
      </c>
      <c r="F511" s="165"/>
      <c r="G511" s="165"/>
      <c r="H511" s="165" t="s">
        <v>91</v>
      </c>
      <c r="I511" s="165">
        <v>70.0</v>
      </c>
      <c r="J511" s="166">
        <v>2000000.0</v>
      </c>
      <c r="K511" s="166">
        <v>2000000.0</v>
      </c>
      <c r="L511" s="161">
        <v>645008.0</v>
      </c>
      <c r="M511" s="161">
        <v>645008.0</v>
      </c>
      <c r="N511" s="186">
        <v>2645008.0</v>
      </c>
      <c r="O511" s="186">
        <v>2645008.0</v>
      </c>
      <c r="P511" s="81"/>
      <c r="Q511" s="127">
        <v>2000000.0</v>
      </c>
      <c r="R511" s="127">
        <v>2000000.0</v>
      </c>
      <c r="S511" s="127">
        <v>645008.0</v>
      </c>
      <c r="T511" s="127">
        <v>645008.0</v>
      </c>
      <c r="U511" s="127">
        <v>2645008.0</v>
      </c>
      <c r="V511" s="127">
        <v>2645008.0</v>
      </c>
      <c r="W511" s="164">
        <f t="shared" ref="W511:AB511" si="828">+J511-Q511</f>
        <v>0</v>
      </c>
      <c r="X511" s="164">
        <f t="shared" si="828"/>
        <v>0</v>
      </c>
      <c r="Y511" s="164">
        <f t="shared" si="828"/>
        <v>0</v>
      </c>
      <c r="Z511" s="164">
        <f t="shared" si="828"/>
        <v>0</v>
      </c>
      <c r="AA511" s="164">
        <f t="shared" si="828"/>
        <v>0</v>
      </c>
      <c r="AB511" s="164">
        <f t="shared" si="828"/>
        <v>0</v>
      </c>
      <c r="AC511" s="81"/>
      <c r="AD511" s="81"/>
      <c r="AE511" s="81"/>
      <c r="AF511" s="81"/>
      <c r="AG511" s="77"/>
      <c r="AH511" s="77"/>
      <c r="AI511" s="81"/>
      <c r="AJ511" s="81"/>
      <c r="AK511" s="81"/>
      <c r="AL511" s="81"/>
      <c r="AM511" s="81"/>
      <c r="AN511" s="81"/>
      <c r="AO511" s="81"/>
      <c r="AP511" s="81"/>
    </row>
    <row r="512" ht="34.5" customHeight="1">
      <c r="A512" s="81"/>
      <c r="B512" s="77"/>
      <c r="C512" s="130"/>
      <c r="D512" s="165" t="s">
        <v>91</v>
      </c>
      <c r="E512" s="165" t="s">
        <v>87</v>
      </c>
      <c r="F512" s="165" t="s">
        <v>84</v>
      </c>
      <c r="G512" s="165"/>
      <c r="H512" s="165" t="s">
        <v>91</v>
      </c>
      <c r="I512" s="165">
        <v>140.0</v>
      </c>
      <c r="J512" s="166">
        <v>3400000.0</v>
      </c>
      <c r="K512" s="166">
        <v>3400000.0</v>
      </c>
      <c r="L512" s="161">
        <v>1290016.0</v>
      </c>
      <c r="M512" s="161">
        <v>1290016.0</v>
      </c>
      <c r="N512" s="186">
        <v>4690016.0</v>
      </c>
      <c r="O512" s="186">
        <v>4690016.0</v>
      </c>
      <c r="P512" s="81"/>
      <c r="Q512" s="127">
        <v>3400000.0</v>
      </c>
      <c r="R512" s="127">
        <v>3400000.0</v>
      </c>
      <c r="S512" s="127">
        <v>1290016.0</v>
      </c>
      <c r="T512" s="127">
        <v>1290016.0</v>
      </c>
      <c r="U512" s="127">
        <v>4690016.0</v>
      </c>
      <c r="V512" s="127">
        <v>4690016.0</v>
      </c>
      <c r="W512" s="164">
        <f t="shared" ref="W512:AB512" si="829">+J512-Q512</f>
        <v>0</v>
      </c>
      <c r="X512" s="164">
        <f t="shared" si="829"/>
        <v>0</v>
      </c>
      <c r="Y512" s="164">
        <f t="shared" si="829"/>
        <v>0</v>
      </c>
      <c r="Z512" s="164">
        <f t="shared" si="829"/>
        <v>0</v>
      </c>
      <c r="AA512" s="164">
        <f t="shared" si="829"/>
        <v>0</v>
      </c>
      <c r="AB512" s="164">
        <f t="shared" si="829"/>
        <v>0</v>
      </c>
      <c r="AC512" s="81"/>
      <c r="AD512" s="81"/>
      <c r="AE512" s="81"/>
      <c r="AF512" s="81"/>
      <c r="AG512" s="77"/>
      <c r="AH512" s="77"/>
      <c r="AI512" s="81"/>
      <c r="AJ512" s="81"/>
      <c r="AK512" s="81"/>
      <c r="AL512" s="81"/>
      <c r="AM512" s="81"/>
      <c r="AN512" s="81"/>
      <c r="AO512" s="81"/>
      <c r="AP512" s="81"/>
    </row>
    <row r="513" ht="34.5" customHeight="1">
      <c r="A513" s="81"/>
      <c r="B513" s="77"/>
      <c r="C513" s="130"/>
      <c r="D513" s="165" t="s">
        <v>91</v>
      </c>
      <c r="E513" s="165" t="s">
        <v>87</v>
      </c>
      <c r="F513" s="165" t="s">
        <v>85</v>
      </c>
      <c r="G513" s="165"/>
      <c r="H513" s="165" t="s">
        <v>91</v>
      </c>
      <c r="I513" s="165">
        <v>100.0</v>
      </c>
      <c r="J513" s="166">
        <v>2600000.0</v>
      </c>
      <c r="K513" s="166">
        <v>2600000.0</v>
      </c>
      <c r="L513" s="161">
        <v>921440.0</v>
      </c>
      <c r="M513" s="161">
        <v>921440.0</v>
      </c>
      <c r="N513" s="186">
        <v>3521440.0</v>
      </c>
      <c r="O513" s="186">
        <v>3521440.0</v>
      </c>
      <c r="P513" s="81"/>
      <c r="Q513" s="127">
        <v>2600000.0</v>
      </c>
      <c r="R513" s="127">
        <v>2600000.0</v>
      </c>
      <c r="S513" s="127">
        <v>921440.0</v>
      </c>
      <c r="T513" s="127">
        <v>921440.0</v>
      </c>
      <c r="U513" s="127">
        <v>3521440.0</v>
      </c>
      <c r="V513" s="127">
        <v>3521440.0</v>
      </c>
      <c r="W513" s="164">
        <f t="shared" ref="W513:AB513" si="830">+J513-Q513</f>
        <v>0</v>
      </c>
      <c r="X513" s="164">
        <f t="shared" si="830"/>
        <v>0</v>
      </c>
      <c r="Y513" s="164">
        <f t="shared" si="830"/>
        <v>0</v>
      </c>
      <c r="Z513" s="164">
        <f t="shared" si="830"/>
        <v>0</v>
      </c>
      <c r="AA513" s="164">
        <f t="shared" si="830"/>
        <v>0</v>
      </c>
      <c r="AB513" s="164">
        <f t="shared" si="830"/>
        <v>0</v>
      </c>
      <c r="AC513" s="81"/>
      <c r="AD513" s="81"/>
      <c r="AE513" s="81"/>
      <c r="AF513" s="81"/>
      <c r="AG513" s="77"/>
      <c r="AH513" s="77"/>
      <c r="AI513" s="81"/>
      <c r="AJ513" s="81"/>
      <c r="AK513" s="81"/>
      <c r="AL513" s="81"/>
      <c r="AM513" s="81"/>
      <c r="AN513" s="81"/>
      <c r="AO513" s="81"/>
      <c r="AP513" s="81"/>
    </row>
    <row r="514" ht="34.5" customHeight="1">
      <c r="A514" s="81"/>
      <c r="B514" s="77"/>
      <c r="C514" s="130"/>
      <c r="D514" s="165" t="s">
        <v>91</v>
      </c>
      <c r="E514" s="165" t="s">
        <v>88</v>
      </c>
      <c r="F514" s="165"/>
      <c r="G514" s="165"/>
      <c r="H514" s="165" t="s">
        <v>91</v>
      </c>
      <c r="I514" s="165">
        <v>40.0</v>
      </c>
      <c r="J514" s="166">
        <v>1080000.0</v>
      </c>
      <c r="K514" s="166">
        <v>1078000.0</v>
      </c>
      <c r="L514" s="161">
        <v>368576.0</v>
      </c>
      <c r="M514" s="161">
        <v>368576.0</v>
      </c>
      <c r="N514" s="186">
        <v>1448576.0</v>
      </c>
      <c r="O514" s="186">
        <v>1446576.0</v>
      </c>
      <c r="P514" s="81"/>
      <c r="Q514" s="127">
        <v>1080000.0</v>
      </c>
      <c r="R514" s="127">
        <v>1078000.0</v>
      </c>
      <c r="S514" s="127">
        <v>368576.0</v>
      </c>
      <c r="T514" s="127">
        <v>368576.0</v>
      </c>
      <c r="U514" s="127">
        <v>1448576.0</v>
      </c>
      <c r="V514" s="127">
        <v>1446576.0</v>
      </c>
      <c r="W514" s="164">
        <f t="shared" ref="W514:AB514" si="831">+J514-Q514</f>
        <v>0</v>
      </c>
      <c r="X514" s="164">
        <f t="shared" si="831"/>
        <v>0</v>
      </c>
      <c r="Y514" s="164">
        <f t="shared" si="831"/>
        <v>0</v>
      </c>
      <c r="Z514" s="164">
        <f t="shared" si="831"/>
        <v>0</v>
      </c>
      <c r="AA514" s="164">
        <f t="shared" si="831"/>
        <v>0</v>
      </c>
      <c r="AB514" s="164">
        <f t="shared" si="831"/>
        <v>0</v>
      </c>
      <c r="AC514" s="81"/>
      <c r="AD514" s="81"/>
      <c r="AE514" s="81"/>
      <c r="AF514" s="81"/>
      <c r="AG514" s="77"/>
      <c r="AH514" s="77"/>
      <c r="AI514" s="81"/>
      <c r="AJ514" s="81"/>
      <c r="AK514" s="81"/>
      <c r="AL514" s="81"/>
      <c r="AM514" s="81"/>
      <c r="AN514" s="81"/>
      <c r="AO514" s="81"/>
      <c r="AP514" s="81"/>
    </row>
    <row r="515" ht="34.5" customHeight="1">
      <c r="A515" s="81"/>
      <c r="B515" s="77"/>
      <c r="C515" s="130"/>
      <c r="D515" s="165" t="s">
        <v>91</v>
      </c>
      <c r="E515" s="165" t="s">
        <v>88</v>
      </c>
      <c r="F515" s="165" t="s">
        <v>85</v>
      </c>
      <c r="G515" s="165"/>
      <c r="H515" s="165" t="s">
        <v>91</v>
      </c>
      <c r="I515" s="165">
        <v>60.0</v>
      </c>
      <c r="J515" s="166">
        <v>1950000.0</v>
      </c>
      <c r="K515" s="166">
        <v>1951000.0</v>
      </c>
      <c r="L515" s="161">
        <v>552864.0</v>
      </c>
      <c r="M515" s="161">
        <v>552864.0</v>
      </c>
      <c r="N515" s="186">
        <v>2502864.0</v>
      </c>
      <c r="O515" s="186">
        <v>2503864.0</v>
      </c>
      <c r="P515" s="81"/>
      <c r="Q515" s="127">
        <v>1950000.0</v>
      </c>
      <c r="R515" s="127">
        <v>1951000.0</v>
      </c>
      <c r="S515" s="127">
        <v>552864.0</v>
      </c>
      <c r="T515" s="127">
        <v>552864.0</v>
      </c>
      <c r="U515" s="127">
        <v>2502864.0</v>
      </c>
      <c r="V515" s="127">
        <v>2503864.0</v>
      </c>
      <c r="W515" s="164">
        <f t="shared" ref="W515:AB515" si="832">+J515-Q515</f>
        <v>0</v>
      </c>
      <c r="X515" s="164">
        <f t="shared" si="832"/>
        <v>0</v>
      </c>
      <c r="Y515" s="164">
        <f t="shared" si="832"/>
        <v>0</v>
      </c>
      <c r="Z515" s="164">
        <f t="shared" si="832"/>
        <v>0</v>
      </c>
      <c r="AA515" s="164">
        <f t="shared" si="832"/>
        <v>0</v>
      </c>
      <c r="AB515" s="164">
        <f t="shared" si="832"/>
        <v>0</v>
      </c>
      <c r="AC515" s="81"/>
      <c r="AD515" s="81"/>
      <c r="AE515" s="81"/>
      <c r="AF515" s="81"/>
      <c r="AG515" s="77"/>
      <c r="AH515" s="77"/>
      <c r="AI515" s="81"/>
      <c r="AJ515" s="81"/>
      <c r="AK515" s="81"/>
      <c r="AL515" s="81"/>
      <c r="AM515" s="81"/>
      <c r="AN515" s="81"/>
      <c r="AO515" s="81"/>
      <c r="AP515" s="81"/>
    </row>
    <row r="516" ht="34.5" customHeight="1">
      <c r="A516" s="81"/>
      <c r="B516" s="77"/>
      <c r="C516" s="130"/>
      <c r="D516" s="165" t="s">
        <v>91</v>
      </c>
      <c r="E516" s="165" t="s">
        <v>88</v>
      </c>
      <c r="F516" s="165" t="s">
        <v>86</v>
      </c>
      <c r="G516" s="165"/>
      <c r="H516" s="165" t="s">
        <v>91</v>
      </c>
      <c r="I516" s="165">
        <v>80.0</v>
      </c>
      <c r="J516" s="166">
        <v>1990000.0</v>
      </c>
      <c r="K516" s="166">
        <v>1985000.0</v>
      </c>
      <c r="L516" s="161">
        <v>737152.0</v>
      </c>
      <c r="M516" s="161">
        <v>737152.0</v>
      </c>
      <c r="N516" s="186">
        <v>2727152.0</v>
      </c>
      <c r="O516" s="186">
        <v>2722152.0</v>
      </c>
      <c r="P516" s="81"/>
      <c r="Q516" s="127">
        <v>1990000.0</v>
      </c>
      <c r="R516" s="127">
        <v>1985000.0</v>
      </c>
      <c r="S516" s="127">
        <v>737152.0</v>
      </c>
      <c r="T516" s="127">
        <v>737152.0</v>
      </c>
      <c r="U516" s="127">
        <v>2727152.0</v>
      </c>
      <c r="V516" s="127">
        <v>2722152.0</v>
      </c>
      <c r="W516" s="164">
        <f t="shared" ref="W516:AB516" si="833">+J516-Q516</f>
        <v>0</v>
      </c>
      <c r="X516" s="164">
        <f t="shared" si="833"/>
        <v>0</v>
      </c>
      <c r="Y516" s="164">
        <f t="shared" si="833"/>
        <v>0</v>
      </c>
      <c r="Z516" s="164">
        <f t="shared" si="833"/>
        <v>0</v>
      </c>
      <c r="AA516" s="164">
        <f t="shared" si="833"/>
        <v>0</v>
      </c>
      <c r="AB516" s="164">
        <f t="shared" si="833"/>
        <v>0</v>
      </c>
      <c r="AC516" s="81"/>
      <c r="AD516" s="81"/>
      <c r="AE516" s="81"/>
      <c r="AF516" s="81"/>
      <c r="AG516" s="77"/>
      <c r="AH516" s="77"/>
      <c r="AI516" s="81"/>
      <c r="AJ516" s="81"/>
      <c r="AK516" s="81"/>
      <c r="AL516" s="81"/>
      <c r="AM516" s="81"/>
      <c r="AN516" s="81"/>
      <c r="AO516" s="81"/>
      <c r="AP516" s="81"/>
    </row>
    <row r="517" ht="34.5" customHeight="1">
      <c r="A517" s="81"/>
      <c r="B517" s="77"/>
      <c r="C517" s="118"/>
      <c r="D517" s="165" t="s">
        <v>91</v>
      </c>
      <c r="E517" s="165" t="s">
        <v>88</v>
      </c>
      <c r="F517" s="165" t="s">
        <v>85</v>
      </c>
      <c r="G517" s="165" t="s">
        <v>86</v>
      </c>
      <c r="H517" s="165" t="s">
        <v>91</v>
      </c>
      <c r="I517" s="165">
        <v>85.0</v>
      </c>
      <c r="J517" s="166">
        <v>2270000.0</v>
      </c>
      <c r="K517" s="166">
        <v>2271000.0</v>
      </c>
      <c r="L517" s="161">
        <v>783224.0</v>
      </c>
      <c r="M517" s="161">
        <v>783224.0</v>
      </c>
      <c r="N517" s="186">
        <v>3053224.0</v>
      </c>
      <c r="O517" s="186">
        <v>3054224.0</v>
      </c>
      <c r="P517" s="81"/>
      <c r="Q517" s="127">
        <v>2270000.0</v>
      </c>
      <c r="R517" s="127">
        <v>2271000.0</v>
      </c>
      <c r="S517" s="127">
        <v>783224.0</v>
      </c>
      <c r="T517" s="127">
        <v>783224.0</v>
      </c>
      <c r="U517" s="127">
        <v>3053224.0</v>
      </c>
      <c r="V517" s="127">
        <v>3054224.0</v>
      </c>
      <c r="W517" s="164">
        <f t="shared" ref="W517:AB517" si="834">+J517-Q517</f>
        <v>0</v>
      </c>
      <c r="X517" s="164">
        <f t="shared" si="834"/>
        <v>0</v>
      </c>
      <c r="Y517" s="164">
        <f t="shared" si="834"/>
        <v>0</v>
      </c>
      <c r="Z517" s="164">
        <f t="shared" si="834"/>
        <v>0</v>
      </c>
      <c r="AA517" s="164">
        <f t="shared" si="834"/>
        <v>0</v>
      </c>
      <c r="AB517" s="164">
        <f t="shared" si="834"/>
        <v>0</v>
      </c>
      <c r="AC517" s="81"/>
      <c r="AD517" s="81"/>
      <c r="AE517" s="81"/>
      <c r="AF517" s="81"/>
      <c r="AG517" s="77"/>
      <c r="AH517" s="77"/>
      <c r="AI517" s="81"/>
      <c r="AJ517" s="81"/>
      <c r="AK517" s="81"/>
      <c r="AL517" s="81"/>
      <c r="AM517" s="81"/>
      <c r="AN517" s="81"/>
      <c r="AO517" s="81"/>
      <c r="AP517" s="81"/>
    </row>
    <row r="518" ht="34.5" customHeight="1">
      <c r="A518" s="81"/>
      <c r="B518" s="77"/>
      <c r="C518" s="167" t="s">
        <v>92</v>
      </c>
      <c r="D518" s="165" t="s">
        <v>91</v>
      </c>
      <c r="E518" s="165" t="s">
        <v>99</v>
      </c>
      <c r="F518" s="165"/>
      <c r="G518" s="165"/>
      <c r="H518" s="165"/>
      <c r="I518" s="165">
        <v>65.0</v>
      </c>
      <c r="J518" s="166">
        <v>1580000.0</v>
      </c>
      <c r="K518" s="166">
        <v>1580000.0</v>
      </c>
      <c r="L518" s="161">
        <v>691080.0</v>
      </c>
      <c r="M518" s="161">
        <v>691080.0</v>
      </c>
      <c r="N518" s="186">
        <v>2271080.0</v>
      </c>
      <c r="O518" s="186">
        <v>2271080.0</v>
      </c>
      <c r="P518" s="81"/>
      <c r="Q518" s="127">
        <v>1580000.0</v>
      </c>
      <c r="R518" s="127">
        <v>1580000.0</v>
      </c>
      <c r="S518" s="127">
        <v>691080.0</v>
      </c>
      <c r="T518" s="127">
        <v>691080.0</v>
      </c>
      <c r="U518" s="127">
        <v>2271080.0</v>
      </c>
      <c r="V518" s="127">
        <v>2271080.0</v>
      </c>
      <c r="W518" s="164">
        <f t="shared" ref="W518:AB518" si="835">+J518-Q518</f>
        <v>0</v>
      </c>
      <c r="X518" s="164">
        <f t="shared" si="835"/>
        <v>0</v>
      </c>
      <c r="Y518" s="164">
        <f t="shared" si="835"/>
        <v>0</v>
      </c>
      <c r="Z518" s="164">
        <f t="shared" si="835"/>
        <v>0</v>
      </c>
      <c r="AA518" s="164">
        <f t="shared" si="835"/>
        <v>0</v>
      </c>
      <c r="AB518" s="164">
        <f t="shared" si="835"/>
        <v>0</v>
      </c>
      <c r="AC518" s="81"/>
      <c r="AD518" s="81"/>
      <c r="AE518" s="81"/>
      <c r="AF518" s="81"/>
      <c r="AG518" s="77"/>
      <c r="AH518" s="77"/>
      <c r="AI518" s="81"/>
      <c r="AJ518" s="81"/>
      <c r="AK518" s="81"/>
      <c r="AL518" s="81"/>
      <c r="AM518" s="81"/>
      <c r="AN518" s="81"/>
      <c r="AO518" s="81"/>
      <c r="AP518" s="81"/>
    </row>
    <row r="519" ht="34.5" customHeight="1">
      <c r="A519" s="81"/>
      <c r="B519" s="77"/>
      <c r="C519" s="130"/>
      <c r="D519" s="165" t="s">
        <v>99</v>
      </c>
      <c r="E519" s="165" t="s">
        <v>84</v>
      </c>
      <c r="F519" s="165"/>
      <c r="G519" s="165"/>
      <c r="H519" s="165" t="s">
        <v>91</v>
      </c>
      <c r="I519" s="165">
        <v>65.0</v>
      </c>
      <c r="J519" s="166">
        <v>1580000.0</v>
      </c>
      <c r="K519" s="166">
        <v>1580000.0</v>
      </c>
      <c r="L519" s="161">
        <v>691080.0</v>
      </c>
      <c r="M519" s="161">
        <v>691080.0</v>
      </c>
      <c r="N519" s="186">
        <v>2271080.0</v>
      </c>
      <c r="O519" s="186">
        <v>2271080.0</v>
      </c>
      <c r="P519" s="81"/>
      <c r="Q519" s="127">
        <v>1580000.0</v>
      </c>
      <c r="R519" s="127">
        <v>1580000.0</v>
      </c>
      <c r="S519" s="127">
        <v>691080.0</v>
      </c>
      <c r="T519" s="127">
        <v>691080.0</v>
      </c>
      <c r="U519" s="127">
        <v>2271080.0</v>
      </c>
      <c r="V519" s="127">
        <v>2271080.0</v>
      </c>
      <c r="W519" s="164">
        <f t="shared" ref="W519:AB519" si="836">+J519-Q519</f>
        <v>0</v>
      </c>
      <c r="X519" s="164">
        <f t="shared" si="836"/>
        <v>0</v>
      </c>
      <c r="Y519" s="164">
        <f t="shared" si="836"/>
        <v>0</v>
      </c>
      <c r="Z519" s="164">
        <f t="shared" si="836"/>
        <v>0</v>
      </c>
      <c r="AA519" s="164">
        <f t="shared" si="836"/>
        <v>0</v>
      </c>
      <c r="AB519" s="164">
        <f t="shared" si="836"/>
        <v>0</v>
      </c>
      <c r="AC519" s="81"/>
      <c r="AD519" s="81"/>
      <c r="AE519" s="81"/>
      <c r="AF519" s="81"/>
      <c r="AG519" s="77"/>
      <c r="AH519" s="77"/>
      <c r="AI519" s="81"/>
      <c r="AJ519" s="81"/>
      <c r="AK519" s="81"/>
      <c r="AL519" s="81"/>
      <c r="AM519" s="81"/>
      <c r="AN519" s="81"/>
      <c r="AO519" s="81"/>
      <c r="AP519" s="81"/>
    </row>
    <row r="520" ht="34.5" customHeight="1">
      <c r="A520" s="81"/>
      <c r="B520" s="77"/>
      <c r="C520" s="130"/>
      <c r="D520" s="165" t="s">
        <v>91</v>
      </c>
      <c r="E520" s="165" t="s">
        <v>99</v>
      </c>
      <c r="F520" s="165"/>
      <c r="G520" s="165"/>
      <c r="H520" s="165"/>
      <c r="I520" s="165">
        <v>65.0</v>
      </c>
      <c r="J520" s="166">
        <v>1580000.0</v>
      </c>
      <c r="K520" s="166">
        <v>1580000.0</v>
      </c>
      <c r="L520" s="161">
        <v>691080.0</v>
      </c>
      <c r="M520" s="161">
        <v>691080.0</v>
      </c>
      <c r="N520" s="186">
        <v>2271080.0</v>
      </c>
      <c r="O520" s="186">
        <v>2271080.0</v>
      </c>
      <c r="P520" s="81"/>
      <c r="Q520" s="127">
        <v>1580000.0</v>
      </c>
      <c r="R520" s="127">
        <v>1580000.0</v>
      </c>
      <c r="S520" s="127">
        <v>691080.0</v>
      </c>
      <c r="T520" s="127">
        <v>691080.0</v>
      </c>
      <c r="U520" s="127">
        <v>2271080.0</v>
      </c>
      <c r="V520" s="127">
        <v>2271080.0</v>
      </c>
      <c r="W520" s="164">
        <f t="shared" ref="W520:AB520" si="837">+J520-Q520</f>
        <v>0</v>
      </c>
      <c r="X520" s="164">
        <f t="shared" si="837"/>
        <v>0</v>
      </c>
      <c r="Y520" s="164">
        <f t="shared" si="837"/>
        <v>0</v>
      </c>
      <c r="Z520" s="164">
        <f t="shared" si="837"/>
        <v>0</v>
      </c>
      <c r="AA520" s="164">
        <f t="shared" si="837"/>
        <v>0</v>
      </c>
      <c r="AB520" s="164">
        <f t="shared" si="837"/>
        <v>0</v>
      </c>
      <c r="AC520" s="81"/>
      <c r="AD520" s="81"/>
      <c r="AE520" s="81"/>
      <c r="AF520" s="81"/>
      <c r="AG520" s="77"/>
      <c r="AH520" s="77"/>
      <c r="AI520" s="81"/>
      <c r="AJ520" s="81"/>
      <c r="AK520" s="81"/>
      <c r="AL520" s="81"/>
      <c r="AM520" s="81"/>
      <c r="AN520" s="81"/>
      <c r="AO520" s="81"/>
      <c r="AP520" s="81"/>
    </row>
    <row r="521" ht="34.5" customHeight="1">
      <c r="A521" s="81"/>
      <c r="B521" s="77"/>
      <c r="C521" s="130"/>
      <c r="D521" s="165" t="s">
        <v>99</v>
      </c>
      <c r="E521" s="165" t="s">
        <v>85</v>
      </c>
      <c r="F521" s="165"/>
      <c r="G521" s="165"/>
      <c r="H521" s="165" t="s">
        <v>91</v>
      </c>
      <c r="I521" s="165">
        <v>75.0</v>
      </c>
      <c r="J521" s="166">
        <v>1770000.0</v>
      </c>
      <c r="K521" s="166">
        <v>1766000.0</v>
      </c>
      <c r="L521" s="161">
        <v>797400.0</v>
      </c>
      <c r="M521" s="161">
        <v>797400.0</v>
      </c>
      <c r="N521" s="186">
        <v>2567400.0</v>
      </c>
      <c r="O521" s="186">
        <v>2563400.0</v>
      </c>
      <c r="P521" s="81"/>
      <c r="Q521" s="127">
        <v>1770000.0</v>
      </c>
      <c r="R521" s="127">
        <v>1766000.0</v>
      </c>
      <c r="S521" s="127">
        <v>797400.0</v>
      </c>
      <c r="T521" s="127">
        <v>797400.0</v>
      </c>
      <c r="U521" s="127">
        <v>2567400.0</v>
      </c>
      <c r="V521" s="127">
        <v>2563400.0</v>
      </c>
      <c r="W521" s="164">
        <f t="shared" ref="W521:AB521" si="838">+J521-Q521</f>
        <v>0</v>
      </c>
      <c r="X521" s="164">
        <f t="shared" si="838"/>
        <v>0</v>
      </c>
      <c r="Y521" s="164">
        <f t="shared" si="838"/>
        <v>0</v>
      </c>
      <c r="Z521" s="164">
        <f t="shared" si="838"/>
        <v>0</v>
      </c>
      <c r="AA521" s="164">
        <f t="shared" si="838"/>
        <v>0</v>
      </c>
      <c r="AB521" s="164">
        <f t="shared" si="838"/>
        <v>0</v>
      </c>
      <c r="AC521" s="81"/>
      <c r="AD521" s="81"/>
      <c r="AE521" s="81"/>
      <c r="AF521" s="81"/>
      <c r="AG521" s="77"/>
      <c r="AH521" s="77"/>
      <c r="AI521" s="81"/>
      <c r="AJ521" s="81"/>
      <c r="AK521" s="81"/>
      <c r="AL521" s="81"/>
      <c r="AM521" s="81"/>
      <c r="AN521" s="81"/>
      <c r="AO521" s="81"/>
      <c r="AP521" s="81"/>
    </row>
    <row r="522" ht="34.5" customHeight="1">
      <c r="A522" s="81"/>
      <c r="B522" s="77"/>
      <c r="C522" s="130"/>
      <c r="D522" s="165" t="s">
        <v>91</v>
      </c>
      <c r="E522" s="165" t="s">
        <v>99</v>
      </c>
      <c r="F522" s="165"/>
      <c r="G522" s="165"/>
      <c r="H522" s="165"/>
      <c r="I522" s="165">
        <v>65.0</v>
      </c>
      <c r="J522" s="161">
        <v>1680000.0</v>
      </c>
      <c r="K522" s="161">
        <v>1680000.0</v>
      </c>
      <c r="L522" s="161">
        <v>691080.0</v>
      </c>
      <c r="M522" s="161">
        <v>691080.0</v>
      </c>
      <c r="N522" s="186">
        <v>2371080.0</v>
      </c>
      <c r="O522" s="186">
        <v>2371080.0</v>
      </c>
      <c r="P522" s="81"/>
      <c r="Q522" s="127">
        <v>1680000.0</v>
      </c>
      <c r="R522" s="127">
        <v>1680000.0</v>
      </c>
      <c r="S522" s="127">
        <v>691080.0</v>
      </c>
      <c r="T522" s="127">
        <v>691080.0</v>
      </c>
      <c r="U522" s="127">
        <v>2371080.0</v>
      </c>
      <c r="V522" s="127">
        <v>2371080.0</v>
      </c>
      <c r="W522" s="164">
        <f t="shared" ref="W522:AB522" si="839">+J522-Q522</f>
        <v>0</v>
      </c>
      <c r="X522" s="164">
        <f t="shared" si="839"/>
        <v>0</v>
      </c>
      <c r="Y522" s="164">
        <f t="shared" si="839"/>
        <v>0</v>
      </c>
      <c r="Z522" s="164">
        <f t="shared" si="839"/>
        <v>0</v>
      </c>
      <c r="AA522" s="164">
        <f t="shared" si="839"/>
        <v>0</v>
      </c>
      <c r="AB522" s="164">
        <f t="shared" si="839"/>
        <v>0</v>
      </c>
      <c r="AC522" s="81"/>
      <c r="AD522" s="81"/>
      <c r="AE522" s="81"/>
      <c r="AF522" s="81"/>
      <c r="AG522" s="77"/>
      <c r="AH522" s="77"/>
      <c r="AI522" s="81"/>
      <c r="AJ522" s="81"/>
      <c r="AK522" s="81"/>
      <c r="AL522" s="81"/>
      <c r="AM522" s="81"/>
      <c r="AN522" s="81"/>
      <c r="AO522" s="81"/>
      <c r="AP522" s="81"/>
    </row>
    <row r="523" ht="34.5" customHeight="1">
      <c r="A523" s="81"/>
      <c r="B523" s="77"/>
      <c r="C523" s="130"/>
      <c r="D523" s="165" t="s">
        <v>99</v>
      </c>
      <c r="E523" s="165" t="s">
        <v>86</v>
      </c>
      <c r="F523" s="165"/>
      <c r="G523" s="165"/>
      <c r="H523" s="165" t="s">
        <v>91</v>
      </c>
      <c r="I523" s="165">
        <v>85.0</v>
      </c>
      <c r="J523" s="166">
        <v>1900000.0</v>
      </c>
      <c r="K523" s="166">
        <v>1901000.0</v>
      </c>
      <c r="L523" s="161">
        <v>903720.0</v>
      </c>
      <c r="M523" s="161">
        <v>903720.0</v>
      </c>
      <c r="N523" s="186">
        <v>2803720.0</v>
      </c>
      <c r="O523" s="186">
        <v>2804720.0</v>
      </c>
      <c r="P523" s="81"/>
      <c r="Q523" s="127">
        <v>1900000.0</v>
      </c>
      <c r="R523" s="127">
        <v>1901000.0</v>
      </c>
      <c r="S523" s="127">
        <v>903720.0</v>
      </c>
      <c r="T523" s="127">
        <v>903720.0</v>
      </c>
      <c r="U523" s="127">
        <v>2803720.0</v>
      </c>
      <c r="V523" s="127">
        <v>2804720.0</v>
      </c>
      <c r="W523" s="164">
        <f t="shared" ref="W523:AB523" si="840">+J523-Q523</f>
        <v>0</v>
      </c>
      <c r="X523" s="164">
        <f t="shared" si="840"/>
        <v>0</v>
      </c>
      <c r="Y523" s="164">
        <f t="shared" si="840"/>
        <v>0</v>
      </c>
      <c r="Z523" s="164">
        <f t="shared" si="840"/>
        <v>0</v>
      </c>
      <c r="AA523" s="164">
        <f t="shared" si="840"/>
        <v>0</v>
      </c>
      <c r="AB523" s="164">
        <f t="shared" si="840"/>
        <v>0</v>
      </c>
      <c r="AC523" s="81"/>
      <c r="AD523" s="81"/>
      <c r="AE523" s="81"/>
      <c r="AF523" s="81"/>
      <c r="AG523" s="77"/>
      <c r="AH523" s="77"/>
      <c r="AI523" s="81"/>
      <c r="AJ523" s="81"/>
      <c r="AK523" s="81"/>
      <c r="AL523" s="81"/>
      <c r="AM523" s="81"/>
      <c r="AN523" s="81"/>
      <c r="AO523" s="81"/>
      <c r="AP523" s="81"/>
    </row>
    <row r="524" ht="34.5" customHeight="1">
      <c r="A524" s="81"/>
      <c r="B524" s="77"/>
      <c r="C524" s="130"/>
      <c r="D524" s="165" t="s">
        <v>91</v>
      </c>
      <c r="E524" s="165" t="s">
        <v>100</v>
      </c>
      <c r="F524" s="165"/>
      <c r="G524" s="165"/>
      <c r="H524" s="165"/>
      <c r="I524" s="165">
        <v>25.0</v>
      </c>
      <c r="J524" s="166">
        <v>1320000.0</v>
      </c>
      <c r="K524" s="166">
        <v>1321000.0</v>
      </c>
      <c r="L524" s="161">
        <v>265800.0</v>
      </c>
      <c r="M524" s="161">
        <v>265800.0</v>
      </c>
      <c r="N524" s="186">
        <v>1585800.0</v>
      </c>
      <c r="O524" s="186">
        <v>1586800.0</v>
      </c>
      <c r="P524" s="81"/>
      <c r="Q524" s="127">
        <v>1320000.0</v>
      </c>
      <c r="R524" s="127">
        <v>1321000.0</v>
      </c>
      <c r="S524" s="127">
        <v>265800.0</v>
      </c>
      <c r="T524" s="127">
        <v>265800.0</v>
      </c>
      <c r="U524" s="127">
        <v>1585800.0</v>
      </c>
      <c r="V524" s="127">
        <v>1586800.0</v>
      </c>
      <c r="W524" s="164">
        <f t="shared" ref="W524:AB524" si="841">+J524-Q524</f>
        <v>0</v>
      </c>
      <c r="X524" s="164">
        <f t="shared" si="841"/>
        <v>0</v>
      </c>
      <c r="Y524" s="164">
        <f t="shared" si="841"/>
        <v>0</v>
      </c>
      <c r="Z524" s="164">
        <f t="shared" si="841"/>
        <v>0</v>
      </c>
      <c r="AA524" s="164">
        <f t="shared" si="841"/>
        <v>0</v>
      </c>
      <c r="AB524" s="164">
        <f t="shared" si="841"/>
        <v>0</v>
      </c>
      <c r="AC524" s="81"/>
      <c r="AD524" s="81"/>
      <c r="AE524" s="81"/>
      <c r="AF524" s="81"/>
      <c r="AG524" s="77"/>
      <c r="AH524" s="77"/>
      <c r="AI524" s="81"/>
      <c r="AJ524" s="81"/>
      <c r="AK524" s="81"/>
      <c r="AL524" s="81"/>
      <c r="AM524" s="81"/>
      <c r="AN524" s="81"/>
      <c r="AO524" s="81"/>
      <c r="AP524" s="81"/>
    </row>
    <row r="525" ht="34.5" customHeight="1">
      <c r="A525" s="81"/>
      <c r="B525" s="77"/>
      <c r="C525" s="130"/>
      <c r="D525" s="165" t="s">
        <v>100</v>
      </c>
      <c r="E525" s="165" t="s">
        <v>84</v>
      </c>
      <c r="F525" s="165"/>
      <c r="G525" s="165"/>
      <c r="H525" s="165" t="s">
        <v>91</v>
      </c>
      <c r="I525" s="165">
        <v>120.0</v>
      </c>
      <c r="J525" s="166">
        <v>2230000.0</v>
      </c>
      <c r="K525" s="166">
        <v>2225000.0</v>
      </c>
      <c r="L525" s="161">
        <v>1275840.0</v>
      </c>
      <c r="M525" s="161">
        <v>1275840.0</v>
      </c>
      <c r="N525" s="186">
        <v>3505840.0</v>
      </c>
      <c r="O525" s="186">
        <v>3500840.0</v>
      </c>
      <c r="P525" s="81"/>
      <c r="Q525" s="127">
        <v>2230000.0</v>
      </c>
      <c r="R525" s="127">
        <v>2225000.0</v>
      </c>
      <c r="S525" s="127">
        <v>1275840.0</v>
      </c>
      <c r="T525" s="127">
        <v>1275840.0</v>
      </c>
      <c r="U525" s="127">
        <v>3505840.0</v>
      </c>
      <c r="V525" s="127">
        <v>3500840.0</v>
      </c>
      <c r="W525" s="164">
        <f t="shared" ref="W525:AB525" si="842">+J525-Q525</f>
        <v>0</v>
      </c>
      <c r="X525" s="164">
        <f t="shared" si="842"/>
        <v>0</v>
      </c>
      <c r="Y525" s="164">
        <f t="shared" si="842"/>
        <v>0</v>
      </c>
      <c r="Z525" s="164">
        <f t="shared" si="842"/>
        <v>0</v>
      </c>
      <c r="AA525" s="164">
        <f t="shared" si="842"/>
        <v>0</v>
      </c>
      <c r="AB525" s="164">
        <f t="shared" si="842"/>
        <v>0</v>
      </c>
      <c r="AC525" s="81"/>
      <c r="AD525" s="81"/>
      <c r="AE525" s="81"/>
      <c r="AF525" s="81"/>
      <c r="AG525" s="77"/>
      <c r="AH525" s="77"/>
      <c r="AI525" s="81"/>
      <c r="AJ525" s="81"/>
      <c r="AK525" s="81"/>
      <c r="AL525" s="81"/>
      <c r="AM525" s="81"/>
      <c r="AN525" s="81"/>
      <c r="AO525" s="81"/>
      <c r="AP525" s="81"/>
    </row>
    <row r="526" ht="34.5" customHeight="1">
      <c r="A526" s="81"/>
      <c r="B526" s="77"/>
      <c r="C526" s="130"/>
      <c r="D526" s="165" t="s">
        <v>91</v>
      </c>
      <c r="E526" s="165" t="s">
        <v>100</v>
      </c>
      <c r="F526" s="165"/>
      <c r="G526" s="165"/>
      <c r="H526" s="165"/>
      <c r="I526" s="165">
        <v>25.0</v>
      </c>
      <c r="J526" s="166">
        <v>1320000.0</v>
      </c>
      <c r="K526" s="166">
        <v>1321000.0</v>
      </c>
      <c r="L526" s="161">
        <v>265800.0</v>
      </c>
      <c r="M526" s="161">
        <v>265800.0</v>
      </c>
      <c r="N526" s="186">
        <v>1585800.0</v>
      </c>
      <c r="O526" s="186">
        <v>1586800.0</v>
      </c>
      <c r="P526" s="81"/>
      <c r="Q526" s="127">
        <v>1320000.0</v>
      </c>
      <c r="R526" s="127">
        <v>1321000.0</v>
      </c>
      <c r="S526" s="127">
        <v>265800.0</v>
      </c>
      <c r="T526" s="127">
        <v>265800.0</v>
      </c>
      <c r="U526" s="127">
        <v>1585800.0</v>
      </c>
      <c r="V526" s="127">
        <v>1586800.0</v>
      </c>
      <c r="W526" s="164">
        <f t="shared" ref="W526:AB526" si="843">+J526-Q526</f>
        <v>0</v>
      </c>
      <c r="X526" s="164">
        <f t="shared" si="843"/>
        <v>0</v>
      </c>
      <c r="Y526" s="164">
        <f t="shared" si="843"/>
        <v>0</v>
      </c>
      <c r="Z526" s="164">
        <f t="shared" si="843"/>
        <v>0</v>
      </c>
      <c r="AA526" s="164">
        <f t="shared" si="843"/>
        <v>0</v>
      </c>
      <c r="AB526" s="164">
        <f t="shared" si="843"/>
        <v>0</v>
      </c>
      <c r="AC526" s="81"/>
      <c r="AD526" s="81"/>
      <c r="AE526" s="81"/>
      <c r="AF526" s="81"/>
      <c r="AG526" s="77"/>
      <c r="AH526" s="77"/>
      <c r="AI526" s="81"/>
      <c r="AJ526" s="81"/>
      <c r="AK526" s="81"/>
      <c r="AL526" s="81"/>
      <c r="AM526" s="81"/>
      <c r="AN526" s="81"/>
      <c r="AO526" s="81"/>
      <c r="AP526" s="81"/>
    </row>
    <row r="527" ht="34.5" customHeight="1">
      <c r="A527" s="81"/>
      <c r="B527" s="77"/>
      <c r="C527" s="130"/>
      <c r="D527" s="165" t="s">
        <v>100</v>
      </c>
      <c r="E527" s="165" t="s">
        <v>85</v>
      </c>
      <c r="F527" s="165"/>
      <c r="G527" s="165"/>
      <c r="H527" s="165" t="s">
        <v>91</v>
      </c>
      <c r="I527" s="165">
        <v>25.0</v>
      </c>
      <c r="J527" s="166">
        <v>1320000.0</v>
      </c>
      <c r="K527" s="166">
        <v>1321000.0</v>
      </c>
      <c r="L527" s="161">
        <v>265800.0</v>
      </c>
      <c r="M527" s="161">
        <v>265800.0</v>
      </c>
      <c r="N527" s="186">
        <v>1585800.0</v>
      </c>
      <c r="O527" s="186">
        <v>1586800.0</v>
      </c>
      <c r="P527" s="81"/>
      <c r="Q527" s="127">
        <v>1320000.0</v>
      </c>
      <c r="R527" s="127">
        <v>1321000.0</v>
      </c>
      <c r="S527" s="127">
        <v>265800.0</v>
      </c>
      <c r="T527" s="127">
        <v>265800.0</v>
      </c>
      <c r="U527" s="127">
        <v>1585800.0</v>
      </c>
      <c r="V527" s="127">
        <v>1586800.0</v>
      </c>
      <c r="W527" s="164">
        <f t="shared" ref="W527:AB527" si="844">+J527-Q527</f>
        <v>0</v>
      </c>
      <c r="X527" s="164">
        <f t="shared" si="844"/>
        <v>0</v>
      </c>
      <c r="Y527" s="164">
        <f t="shared" si="844"/>
        <v>0</v>
      </c>
      <c r="Z527" s="164">
        <f t="shared" si="844"/>
        <v>0</v>
      </c>
      <c r="AA527" s="164">
        <f t="shared" si="844"/>
        <v>0</v>
      </c>
      <c r="AB527" s="164">
        <f t="shared" si="844"/>
        <v>0</v>
      </c>
      <c r="AC527" s="81"/>
      <c r="AD527" s="81"/>
      <c r="AE527" s="81"/>
      <c r="AF527" s="81"/>
      <c r="AG527" s="77"/>
      <c r="AH527" s="77"/>
      <c r="AI527" s="81"/>
      <c r="AJ527" s="81"/>
      <c r="AK527" s="81"/>
      <c r="AL527" s="81"/>
      <c r="AM527" s="81"/>
      <c r="AN527" s="81"/>
      <c r="AO527" s="81"/>
      <c r="AP527" s="81"/>
    </row>
    <row r="528" ht="34.5" customHeight="1">
      <c r="A528" s="81"/>
      <c r="B528" s="77"/>
      <c r="C528" s="130"/>
      <c r="D528" s="165" t="s">
        <v>91</v>
      </c>
      <c r="E528" s="165" t="s">
        <v>100</v>
      </c>
      <c r="F528" s="165"/>
      <c r="G528" s="165"/>
      <c r="H528" s="165"/>
      <c r="I528" s="165">
        <v>25.0</v>
      </c>
      <c r="J528" s="166">
        <v>1320000.0</v>
      </c>
      <c r="K528" s="166">
        <v>1321000.0</v>
      </c>
      <c r="L528" s="161">
        <v>265800.0</v>
      </c>
      <c r="M528" s="161">
        <v>265800.0</v>
      </c>
      <c r="N528" s="186">
        <v>1585800.0</v>
      </c>
      <c r="O528" s="186">
        <v>1586800.0</v>
      </c>
      <c r="P528" s="81"/>
      <c r="Q528" s="127">
        <v>1320000.0</v>
      </c>
      <c r="R528" s="127">
        <v>1321000.0</v>
      </c>
      <c r="S528" s="127">
        <v>265800.0</v>
      </c>
      <c r="T528" s="127">
        <v>265800.0</v>
      </c>
      <c r="U528" s="127">
        <v>1585800.0</v>
      </c>
      <c r="V528" s="127">
        <v>1586800.0</v>
      </c>
      <c r="W528" s="164">
        <f t="shared" ref="W528:AB528" si="845">+J528-Q528</f>
        <v>0</v>
      </c>
      <c r="X528" s="164">
        <f t="shared" si="845"/>
        <v>0</v>
      </c>
      <c r="Y528" s="164">
        <f t="shared" si="845"/>
        <v>0</v>
      </c>
      <c r="Z528" s="164">
        <f t="shared" si="845"/>
        <v>0</v>
      </c>
      <c r="AA528" s="164">
        <f t="shared" si="845"/>
        <v>0</v>
      </c>
      <c r="AB528" s="164">
        <f t="shared" si="845"/>
        <v>0</v>
      </c>
      <c r="AC528" s="81"/>
      <c r="AD528" s="81"/>
      <c r="AE528" s="81"/>
      <c r="AF528" s="81"/>
      <c r="AG528" s="77"/>
      <c r="AH528" s="77"/>
      <c r="AI528" s="81"/>
      <c r="AJ528" s="81"/>
      <c r="AK528" s="81"/>
      <c r="AL528" s="81"/>
      <c r="AM528" s="81"/>
      <c r="AN528" s="81"/>
      <c r="AO528" s="81"/>
      <c r="AP528" s="81"/>
    </row>
    <row r="529" ht="34.5" customHeight="1">
      <c r="A529" s="81"/>
      <c r="B529" s="77"/>
      <c r="C529" s="130"/>
      <c r="D529" s="165" t="s">
        <v>100</v>
      </c>
      <c r="E529" s="165" t="s">
        <v>86</v>
      </c>
      <c r="F529" s="165"/>
      <c r="G529" s="165"/>
      <c r="H529" s="165" t="s">
        <v>91</v>
      </c>
      <c r="I529" s="165">
        <v>50.0</v>
      </c>
      <c r="J529" s="166">
        <v>1680000.0</v>
      </c>
      <c r="K529" s="166">
        <v>1677000.0</v>
      </c>
      <c r="L529" s="161">
        <v>531600.0</v>
      </c>
      <c r="M529" s="161">
        <v>531600.0</v>
      </c>
      <c r="N529" s="186">
        <v>2211600.0</v>
      </c>
      <c r="O529" s="186">
        <v>2208600.0</v>
      </c>
      <c r="P529" s="81"/>
      <c r="Q529" s="127">
        <v>1680000.0</v>
      </c>
      <c r="R529" s="127">
        <v>1677000.0</v>
      </c>
      <c r="S529" s="127">
        <v>531600.0</v>
      </c>
      <c r="T529" s="127">
        <v>531600.0</v>
      </c>
      <c r="U529" s="127">
        <v>2211600.0</v>
      </c>
      <c r="V529" s="127">
        <v>2208600.0</v>
      </c>
      <c r="W529" s="164">
        <f t="shared" ref="W529:AB529" si="846">+J529-Q529</f>
        <v>0</v>
      </c>
      <c r="X529" s="164">
        <f t="shared" si="846"/>
        <v>0</v>
      </c>
      <c r="Y529" s="164">
        <f t="shared" si="846"/>
        <v>0</v>
      </c>
      <c r="Z529" s="164">
        <f t="shared" si="846"/>
        <v>0</v>
      </c>
      <c r="AA529" s="164">
        <f t="shared" si="846"/>
        <v>0</v>
      </c>
      <c r="AB529" s="164">
        <f t="shared" si="846"/>
        <v>0</v>
      </c>
      <c r="AC529" s="81"/>
      <c r="AD529" s="81"/>
      <c r="AE529" s="81"/>
      <c r="AF529" s="81"/>
      <c r="AG529" s="77"/>
      <c r="AH529" s="77"/>
      <c r="AI529" s="81"/>
      <c r="AJ529" s="81"/>
      <c r="AK529" s="81"/>
      <c r="AL529" s="81"/>
      <c r="AM529" s="81"/>
      <c r="AN529" s="81"/>
      <c r="AO529" s="81"/>
      <c r="AP529" s="81"/>
    </row>
    <row r="530" ht="34.5" customHeight="1">
      <c r="A530" s="81"/>
      <c r="B530" s="77"/>
      <c r="C530" s="130"/>
      <c r="D530" s="165" t="s">
        <v>91</v>
      </c>
      <c r="E530" s="165" t="s">
        <v>101</v>
      </c>
      <c r="F530" s="165"/>
      <c r="G530" s="165"/>
      <c r="H530" s="165"/>
      <c r="I530" s="165">
        <v>30.0</v>
      </c>
      <c r="J530" s="166">
        <v>1460000.0</v>
      </c>
      <c r="K530" s="166">
        <v>1456000.0</v>
      </c>
      <c r="L530" s="161">
        <v>318960.0</v>
      </c>
      <c r="M530" s="161">
        <v>318960.0</v>
      </c>
      <c r="N530" s="186">
        <v>1778960.0</v>
      </c>
      <c r="O530" s="186">
        <v>1774960.0</v>
      </c>
      <c r="P530" s="81"/>
      <c r="Q530" s="127">
        <v>1460000.0</v>
      </c>
      <c r="R530" s="127">
        <v>1456000.0</v>
      </c>
      <c r="S530" s="127">
        <v>318960.0</v>
      </c>
      <c r="T530" s="127">
        <v>318960.0</v>
      </c>
      <c r="U530" s="127">
        <v>1778960.0</v>
      </c>
      <c r="V530" s="127">
        <v>1774960.0</v>
      </c>
      <c r="W530" s="164">
        <f t="shared" ref="W530:AB530" si="847">+J530-Q530</f>
        <v>0</v>
      </c>
      <c r="X530" s="164">
        <f t="shared" si="847"/>
        <v>0</v>
      </c>
      <c r="Y530" s="164">
        <f t="shared" si="847"/>
        <v>0</v>
      </c>
      <c r="Z530" s="164">
        <f t="shared" si="847"/>
        <v>0</v>
      </c>
      <c r="AA530" s="164">
        <f t="shared" si="847"/>
        <v>0</v>
      </c>
      <c r="AB530" s="164">
        <f t="shared" si="847"/>
        <v>0</v>
      </c>
      <c r="AC530" s="81"/>
      <c r="AD530" s="81"/>
      <c r="AE530" s="81"/>
      <c r="AF530" s="81"/>
      <c r="AG530" s="77"/>
      <c r="AH530" s="77"/>
      <c r="AI530" s="81"/>
      <c r="AJ530" s="81"/>
      <c r="AK530" s="81"/>
      <c r="AL530" s="81"/>
      <c r="AM530" s="81"/>
      <c r="AN530" s="81"/>
      <c r="AO530" s="81"/>
      <c r="AP530" s="81"/>
    </row>
    <row r="531" ht="34.5" customHeight="1">
      <c r="A531" s="81"/>
      <c r="B531" s="77"/>
      <c r="C531" s="130"/>
      <c r="D531" s="165" t="s">
        <v>101</v>
      </c>
      <c r="E531" s="165" t="s">
        <v>84</v>
      </c>
      <c r="F531" s="165"/>
      <c r="G531" s="165"/>
      <c r="H531" s="165" t="s">
        <v>91</v>
      </c>
      <c r="I531" s="165">
        <v>120.0</v>
      </c>
      <c r="J531" s="166">
        <v>2330000.0</v>
      </c>
      <c r="K531" s="166">
        <v>2325000.0</v>
      </c>
      <c r="L531" s="161">
        <v>1275840.0</v>
      </c>
      <c r="M531" s="161">
        <v>1275840.0</v>
      </c>
      <c r="N531" s="186">
        <v>3605840.0</v>
      </c>
      <c r="O531" s="186">
        <v>3600840.0</v>
      </c>
      <c r="P531" s="81"/>
      <c r="Q531" s="127">
        <v>2330000.0</v>
      </c>
      <c r="R531" s="127">
        <v>2325000.0</v>
      </c>
      <c r="S531" s="127">
        <v>1275840.0</v>
      </c>
      <c r="T531" s="127">
        <v>1275840.0</v>
      </c>
      <c r="U531" s="127">
        <v>3605840.0</v>
      </c>
      <c r="V531" s="127">
        <v>3600840.0</v>
      </c>
      <c r="W531" s="164">
        <f t="shared" ref="W531:AB531" si="848">+J531-Q531</f>
        <v>0</v>
      </c>
      <c r="X531" s="164">
        <f t="shared" si="848"/>
        <v>0</v>
      </c>
      <c r="Y531" s="164">
        <f t="shared" si="848"/>
        <v>0</v>
      </c>
      <c r="Z531" s="164">
        <f t="shared" si="848"/>
        <v>0</v>
      </c>
      <c r="AA531" s="164">
        <f t="shared" si="848"/>
        <v>0</v>
      </c>
      <c r="AB531" s="164">
        <f t="shared" si="848"/>
        <v>0</v>
      </c>
      <c r="AC531" s="81"/>
      <c r="AD531" s="81"/>
      <c r="AE531" s="81"/>
      <c r="AF531" s="81"/>
      <c r="AG531" s="77"/>
      <c r="AH531" s="77"/>
      <c r="AI531" s="81"/>
      <c r="AJ531" s="81"/>
      <c r="AK531" s="81"/>
      <c r="AL531" s="81"/>
      <c r="AM531" s="81"/>
      <c r="AN531" s="81"/>
      <c r="AO531" s="81"/>
      <c r="AP531" s="81"/>
    </row>
    <row r="532" ht="34.5" customHeight="1">
      <c r="A532" s="81"/>
      <c r="B532" s="77"/>
      <c r="C532" s="130"/>
      <c r="D532" s="165" t="s">
        <v>91</v>
      </c>
      <c r="E532" s="165" t="s">
        <v>101</v>
      </c>
      <c r="F532" s="165"/>
      <c r="G532" s="165"/>
      <c r="H532" s="165"/>
      <c r="I532" s="165">
        <v>30.0</v>
      </c>
      <c r="J532" s="166">
        <v>1360000.0</v>
      </c>
      <c r="K532" s="166">
        <v>1356000.0</v>
      </c>
      <c r="L532" s="161">
        <v>318960.0</v>
      </c>
      <c r="M532" s="161">
        <v>318960.0</v>
      </c>
      <c r="N532" s="186">
        <v>1678960.0</v>
      </c>
      <c r="O532" s="186">
        <v>1674960.0</v>
      </c>
      <c r="P532" s="81"/>
      <c r="Q532" s="127">
        <v>1360000.0</v>
      </c>
      <c r="R532" s="127">
        <v>1356000.0</v>
      </c>
      <c r="S532" s="127">
        <v>318960.0</v>
      </c>
      <c r="T532" s="127">
        <v>318960.0</v>
      </c>
      <c r="U532" s="127">
        <v>1678960.0</v>
      </c>
      <c r="V532" s="127">
        <v>1674960.0</v>
      </c>
      <c r="W532" s="164">
        <f t="shared" ref="W532:AB532" si="849">+J532-Q532</f>
        <v>0</v>
      </c>
      <c r="X532" s="164">
        <f t="shared" si="849"/>
        <v>0</v>
      </c>
      <c r="Y532" s="164">
        <f t="shared" si="849"/>
        <v>0</v>
      </c>
      <c r="Z532" s="164">
        <f t="shared" si="849"/>
        <v>0</v>
      </c>
      <c r="AA532" s="164">
        <f t="shared" si="849"/>
        <v>0</v>
      </c>
      <c r="AB532" s="164">
        <f t="shared" si="849"/>
        <v>0</v>
      </c>
      <c r="AC532" s="81"/>
      <c r="AD532" s="81"/>
      <c r="AE532" s="81"/>
      <c r="AF532" s="81"/>
      <c r="AG532" s="77"/>
      <c r="AH532" s="77"/>
      <c r="AI532" s="81"/>
      <c r="AJ532" s="81"/>
      <c r="AK532" s="81"/>
      <c r="AL532" s="81"/>
      <c r="AM532" s="81"/>
      <c r="AN532" s="81"/>
      <c r="AO532" s="81"/>
      <c r="AP532" s="81"/>
    </row>
    <row r="533" ht="34.5" customHeight="1">
      <c r="A533" s="81"/>
      <c r="B533" s="77"/>
      <c r="C533" s="130"/>
      <c r="D533" s="165" t="s">
        <v>101</v>
      </c>
      <c r="E533" s="165" t="s">
        <v>85</v>
      </c>
      <c r="F533" s="165"/>
      <c r="G533" s="165"/>
      <c r="H533" s="165" t="s">
        <v>91</v>
      </c>
      <c r="I533" s="165">
        <v>50.0</v>
      </c>
      <c r="J533" s="166">
        <v>1580000.0</v>
      </c>
      <c r="K533" s="166">
        <v>1577000.0</v>
      </c>
      <c r="L533" s="161">
        <v>531600.0</v>
      </c>
      <c r="M533" s="161">
        <v>531600.0</v>
      </c>
      <c r="N533" s="186">
        <v>2111600.0</v>
      </c>
      <c r="O533" s="186">
        <v>2108600.0</v>
      </c>
      <c r="P533" s="81"/>
      <c r="Q533" s="127">
        <v>1580000.0</v>
      </c>
      <c r="R533" s="127">
        <v>1577000.0</v>
      </c>
      <c r="S533" s="127">
        <v>531600.0</v>
      </c>
      <c r="T533" s="127">
        <v>531600.0</v>
      </c>
      <c r="U533" s="127">
        <v>2111600.0</v>
      </c>
      <c r="V533" s="127">
        <v>2108600.0</v>
      </c>
      <c r="W533" s="164">
        <f t="shared" ref="W533:AB533" si="850">+J533-Q533</f>
        <v>0</v>
      </c>
      <c r="X533" s="164">
        <f t="shared" si="850"/>
        <v>0</v>
      </c>
      <c r="Y533" s="164">
        <f t="shared" si="850"/>
        <v>0</v>
      </c>
      <c r="Z533" s="164">
        <f t="shared" si="850"/>
        <v>0</v>
      </c>
      <c r="AA533" s="164">
        <f t="shared" si="850"/>
        <v>0</v>
      </c>
      <c r="AB533" s="164">
        <f t="shared" si="850"/>
        <v>0</v>
      </c>
      <c r="AC533" s="81"/>
      <c r="AD533" s="81"/>
      <c r="AE533" s="81"/>
      <c r="AF533" s="81"/>
      <c r="AG533" s="77"/>
      <c r="AH533" s="77"/>
      <c r="AI533" s="81"/>
      <c r="AJ533" s="81"/>
      <c r="AK533" s="81"/>
      <c r="AL533" s="81"/>
      <c r="AM533" s="81"/>
      <c r="AN533" s="81"/>
      <c r="AO533" s="81"/>
      <c r="AP533" s="81"/>
    </row>
    <row r="534" ht="34.5" customHeight="1">
      <c r="A534" s="81"/>
      <c r="B534" s="77"/>
      <c r="C534" s="130"/>
      <c r="D534" s="165" t="s">
        <v>91</v>
      </c>
      <c r="E534" s="165" t="s">
        <v>101</v>
      </c>
      <c r="F534" s="165"/>
      <c r="G534" s="165"/>
      <c r="H534" s="165"/>
      <c r="I534" s="165">
        <v>30.0</v>
      </c>
      <c r="J534" s="166">
        <v>1360000.0</v>
      </c>
      <c r="K534" s="166">
        <v>1356000.0</v>
      </c>
      <c r="L534" s="161">
        <v>318960.0</v>
      </c>
      <c r="M534" s="161">
        <v>318960.0</v>
      </c>
      <c r="N534" s="186">
        <v>1678960.0</v>
      </c>
      <c r="O534" s="186">
        <v>1674960.0</v>
      </c>
      <c r="P534" s="81"/>
      <c r="Q534" s="127">
        <v>1360000.0</v>
      </c>
      <c r="R534" s="127">
        <v>1356000.0</v>
      </c>
      <c r="S534" s="127">
        <v>318960.0</v>
      </c>
      <c r="T534" s="127">
        <v>318960.0</v>
      </c>
      <c r="U534" s="127">
        <v>1678960.0</v>
      </c>
      <c r="V534" s="127">
        <v>1674960.0</v>
      </c>
      <c r="W534" s="164">
        <f t="shared" ref="W534:AB534" si="851">+J534-Q534</f>
        <v>0</v>
      </c>
      <c r="X534" s="164">
        <f t="shared" si="851"/>
        <v>0</v>
      </c>
      <c r="Y534" s="164">
        <f t="shared" si="851"/>
        <v>0</v>
      </c>
      <c r="Z534" s="164">
        <f t="shared" si="851"/>
        <v>0</v>
      </c>
      <c r="AA534" s="164">
        <f t="shared" si="851"/>
        <v>0</v>
      </c>
      <c r="AB534" s="164">
        <f t="shared" si="851"/>
        <v>0</v>
      </c>
      <c r="AC534" s="81"/>
      <c r="AD534" s="81"/>
      <c r="AE534" s="81"/>
      <c r="AF534" s="81"/>
      <c r="AG534" s="77"/>
      <c r="AH534" s="77"/>
      <c r="AI534" s="81"/>
      <c r="AJ534" s="81"/>
      <c r="AK534" s="81"/>
      <c r="AL534" s="81"/>
      <c r="AM534" s="81"/>
      <c r="AN534" s="81"/>
      <c r="AO534" s="81"/>
      <c r="AP534" s="81"/>
    </row>
    <row r="535" ht="34.5" customHeight="1">
      <c r="A535" s="81"/>
      <c r="B535" s="77"/>
      <c r="C535" s="118"/>
      <c r="D535" s="165" t="s">
        <v>101</v>
      </c>
      <c r="E535" s="165" t="s">
        <v>86</v>
      </c>
      <c r="F535" s="165"/>
      <c r="G535" s="165"/>
      <c r="H535" s="165" t="s">
        <v>91</v>
      </c>
      <c r="I535" s="165">
        <v>30.0</v>
      </c>
      <c r="J535" s="166">
        <v>1360000.0</v>
      </c>
      <c r="K535" s="166">
        <v>1356000.0</v>
      </c>
      <c r="L535" s="161">
        <v>318960.0</v>
      </c>
      <c r="M535" s="161">
        <v>318960.0</v>
      </c>
      <c r="N535" s="186">
        <v>1678960.0</v>
      </c>
      <c r="O535" s="186">
        <v>1674960.0</v>
      </c>
      <c r="P535" s="81"/>
      <c r="Q535" s="127">
        <v>1360000.0</v>
      </c>
      <c r="R535" s="127">
        <v>1356000.0</v>
      </c>
      <c r="S535" s="127">
        <v>318960.0</v>
      </c>
      <c r="T535" s="127">
        <v>318960.0</v>
      </c>
      <c r="U535" s="127">
        <v>1678960.0</v>
      </c>
      <c r="V535" s="127">
        <v>1674960.0</v>
      </c>
      <c r="W535" s="164">
        <f t="shared" ref="W535:AB535" si="852">+J535-Q535</f>
        <v>0</v>
      </c>
      <c r="X535" s="164">
        <f t="shared" si="852"/>
        <v>0</v>
      </c>
      <c r="Y535" s="164">
        <f t="shared" si="852"/>
        <v>0</v>
      </c>
      <c r="Z535" s="164">
        <f t="shared" si="852"/>
        <v>0</v>
      </c>
      <c r="AA535" s="164">
        <f t="shared" si="852"/>
        <v>0</v>
      </c>
      <c r="AB535" s="164">
        <f t="shared" si="852"/>
        <v>0</v>
      </c>
      <c r="AC535" s="81"/>
      <c r="AD535" s="81"/>
      <c r="AE535" s="81"/>
      <c r="AF535" s="81"/>
      <c r="AG535" s="77"/>
      <c r="AH535" s="77"/>
      <c r="AI535" s="81"/>
      <c r="AJ535" s="81"/>
      <c r="AK535" s="81"/>
      <c r="AL535" s="81"/>
      <c r="AM535" s="81"/>
      <c r="AN535" s="81"/>
      <c r="AO535" s="81"/>
      <c r="AP535" s="81"/>
    </row>
    <row r="536" ht="30.0" customHeight="1">
      <c r="A536" s="81"/>
      <c r="B536" s="77"/>
      <c r="C536" s="167" t="s">
        <v>102</v>
      </c>
      <c r="D536" s="165" t="s">
        <v>103</v>
      </c>
      <c r="E536" s="165" t="s">
        <v>84</v>
      </c>
      <c r="F536" s="165"/>
      <c r="G536" s="165"/>
      <c r="H536" s="165" t="s">
        <v>91</v>
      </c>
      <c r="I536" s="165">
        <v>80.0</v>
      </c>
      <c r="J536" s="166">
        <v>2380000.0</v>
      </c>
      <c r="K536" s="166">
        <v>2384000.0</v>
      </c>
      <c r="L536" s="161">
        <v>850560.0</v>
      </c>
      <c r="M536" s="161">
        <v>850560.0</v>
      </c>
      <c r="N536" s="186">
        <v>3230560.0</v>
      </c>
      <c r="O536" s="186">
        <v>3234560.0</v>
      </c>
      <c r="P536" s="81"/>
      <c r="Q536" s="127">
        <v>2380000.0</v>
      </c>
      <c r="R536" s="127">
        <v>2384000.0</v>
      </c>
      <c r="S536" s="127">
        <v>850560.0</v>
      </c>
      <c r="T536" s="127">
        <v>850560.0</v>
      </c>
      <c r="U536" s="127">
        <v>3230560.0</v>
      </c>
      <c r="V536" s="127">
        <v>3234560.0</v>
      </c>
      <c r="W536" s="164">
        <f t="shared" ref="W536:AB536" si="853">+J536-Q536</f>
        <v>0</v>
      </c>
      <c r="X536" s="164">
        <f t="shared" si="853"/>
        <v>0</v>
      </c>
      <c r="Y536" s="164">
        <f t="shared" si="853"/>
        <v>0</v>
      </c>
      <c r="Z536" s="164">
        <f t="shared" si="853"/>
        <v>0</v>
      </c>
      <c r="AA536" s="164">
        <f t="shared" si="853"/>
        <v>0</v>
      </c>
      <c r="AB536" s="164">
        <f t="shared" si="853"/>
        <v>0</v>
      </c>
      <c r="AC536" s="81"/>
      <c r="AD536" s="81"/>
      <c r="AE536" s="81"/>
      <c r="AF536" s="81"/>
      <c r="AG536" s="77"/>
      <c r="AH536" s="77"/>
      <c r="AI536" s="81"/>
      <c r="AJ536" s="81"/>
      <c r="AK536" s="81"/>
      <c r="AL536" s="81"/>
      <c r="AM536" s="81"/>
      <c r="AN536" s="81"/>
      <c r="AO536" s="81"/>
      <c r="AP536" s="81"/>
    </row>
    <row r="537" ht="30.0" customHeight="1">
      <c r="A537" s="81"/>
      <c r="B537" s="77"/>
      <c r="C537" s="130"/>
      <c r="D537" s="165" t="s">
        <v>103</v>
      </c>
      <c r="E537" s="165" t="s">
        <v>85</v>
      </c>
      <c r="F537" s="165"/>
      <c r="G537" s="165"/>
      <c r="H537" s="165" t="s">
        <v>91</v>
      </c>
      <c r="I537" s="165">
        <v>70.0</v>
      </c>
      <c r="J537" s="166">
        <v>2150000.0</v>
      </c>
      <c r="K537" s="166">
        <v>2148000.0</v>
      </c>
      <c r="L537" s="161">
        <v>744240.0</v>
      </c>
      <c r="M537" s="161">
        <v>744240.0</v>
      </c>
      <c r="N537" s="186">
        <v>2894240.0</v>
      </c>
      <c r="O537" s="186">
        <v>2892240.0</v>
      </c>
      <c r="P537" s="81"/>
      <c r="Q537" s="127">
        <v>2150000.0</v>
      </c>
      <c r="R537" s="127">
        <v>2148000.0</v>
      </c>
      <c r="S537" s="127">
        <v>744240.0</v>
      </c>
      <c r="T537" s="127">
        <v>744240.0</v>
      </c>
      <c r="U537" s="127">
        <v>2894240.0</v>
      </c>
      <c r="V537" s="127">
        <v>2892240.0</v>
      </c>
      <c r="W537" s="164">
        <f t="shared" ref="W537:AB537" si="854">+J537-Q537</f>
        <v>0</v>
      </c>
      <c r="X537" s="164">
        <f t="shared" si="854"/>
        <v>0</v>
      </c>
      <c r="Y537" s="164">
        <f t="shared" si="854"/>
        <v>0</v>
      </c>
      <c r="Z537" s="164">
        <f t="shared" si="854"/>
        <v>0</v>
      </c>
      <c r="AA537" s="164">
        <f t="shared" si="854"/>
        <v>0</v>
      </c>
      <c r="AB537" s="164">
        <f t="shared" si="854"/>
        <v>0</v>
      </c>
      <c r="AC537" s="81"/>
      <c r="AD537" s="81"/>
      <c r="AE537" s="81"/>
      <c r="AF537" s="81"/>
      <c r="AG537" s="77"/>
      <c r="AH537" s="77"/>
      <c r="AI537" s="81"/>
      <c r="AJ537" s="81"/>
      <c r="AK537" s="81"/>
      <c r="AL537" s="81"/>
      <c r="AM537" s="81"/>
      <c r="AN537" s="81"/>
      <c r="AO537" s="81"/>
      <c r="AP537" s="81"/>
    </row>
    <row r="538" ht="30.0" customHeight="1">
      <c r="A538" s="81"/>
      <c r="B538" s="77"/>
      <c r="C538" s="130"/>
      <c r="D538" s="165" t="s">
        <v>103</v>
      </c>
      <c r="E538" s="165" t="s">
        <v>86</v>
      </c>
      <c r="F538" s="165"/>
      <c r="G538" s="165"/>
      <c r="H538" s="165" t="s">
        <v>91</v>
      </c>
      <c r="I538" s="165">
        <v>80.0</v>
      </c>
      <c r="J538" s="166">
        <v>2180000.0</v>
      </c>
      <c r="K538" s="166">
        <v>2184000.0</v>
      </c>
      <c r="L538" s="161">
        <v>850560.0</v>
      </c>
      <c r="M538" s="161">
        <v>850560.0</v>
      </c>
      <c r="N538" s="186">
        <v>3030560.0</v>
      </c>
      <c r="O538" s="186">
        <v>3034560.0</v>
      </c>
      <c r="P538" s="81"/>
      <c r="Q538" s="127">
        <v>2180000.0</v>
      </c>
      <c r="R538" s="127">
        <v>2184000.0</v>
      </c>
      <c r="S538" s="127">
        <v>850560.0</v>
      </c>
      <c r="T538" s="127">
        <v>850560.0</v>
      </c>
      <c r="U538" s="127">
        <v>3030560.0</v>
      </c>
      <c r="V538" s="127">
        <v>3034560.0</v>
      </c>
      <c r="W538" s="164">
        <f t="shared" ref="W538:AB538" si="855">+J538-Q538</f>
        <v>0</v>
      </c>
      <c r="X538" s="164">
        <f t="shared" si="855"/>
        <v>0</v>
      </c>
      <c r="Y538" s="164">
        <f t="shared" si="855"/>
        <v>0</v>
      </c>
      <c r="Z538" s="164">
        <f t="shared" si="855"/>
        <v>0</v>
      </c>
      <c r="AA538" s="164">
        <f t="shared" si="855"/>
        <v>0</v>
      </c>
      <c r="AB538" s="164">
        <f t="shared" si="855"/>
        <v>0</v>
      </c>
      <c r="AC538" s="81"/>
      <c r="AD538" s="81"/>
      <c r="AE538" s="81"/>
      <c r="AF538" s="81"/>
      <c r="AG538" s="77"/>
      <c r="AH538" s="77"/>
      <c r="AI538" s="81"/>
      <c r="AJ538" s="81"/>
      <c r="AK538" s="81"/>
      <c r="AL538" s="81"/>
      <c r="AM538" s="81"/>
      <c r="AN538" s="81"/>
      <c r="AO538" s="81"/>
      <c r="AP538" s="81"/>
    </row>
    <row r="539" ht="30.0" customHeight="1">
      <c r="A539" s="81"/>
      <c r="B539" s="77"/>
      <c r="C539" s="130"/>
      <c r="D539" s="165" t="s">
        <v>104</v>
      </c>
      <c r="E539" s="165" t="s">
        <v>84</v>
      </c>
      <c r="F539" s="165"/>
      <c r="G539" s="165"/>
      <c r="H539" s="165" t="s">
        <v>91</v>
      </c>
      <c r="I539" s="165">
        <v>150.0</v>
      </c>
      <c r="J539" s="166">
        <v>3110000.0</v>
      </c>
      <c r="K539" s="166">
        <v>3112000.0</v>
      </c>
      <c r="L539" s="161">
        <v>1594800.0</v>
      </c>
      <c r="M539" s="161">
        <v>1594800.0</v>
      </c>
      <c r="N539" s="186">
        <v>4704800.0</v>
      </c>
      <c r="O539" s="186">
        <v>4706800.0</v>
      </c>
      <c r="P539" s="81"/>
      <c r="Q539" s="127">
        <v>3110000.0</v>
      </c>
      <c r="R539" s="127">
        <v>3112000.0</v>
      </c>
      <c r="S539" s="127">
        <v>1594800.0</v>
      </c>
      <c r="T539" s="127">
        <v>1594800.0</v>
      </c>
      <c r="U539" s="127">
        <v>4704800.0</v>
      </c>
      <c r="V539" s="127">
        <v>4706800.0</v>
      </c>
      <c r="W539" s="164">
        <f t="shared" ref="W539:AB539" si="856">+J539-Q539</f>
        <v>0</v>
      </c>
      <c r="X539" s="164">
        <f t="shared" si="856"/>
        <v>0</v>
      </c>
      <c r="Y539" s="164">
        <f t="shared" si="856"/>
        <v>0</v>
      </c>
      <c r="Z539" s="164">
        <f t="shared" si="856"/>
        <v>0</v>
      </c>
      <c r="AA539" s="164">
        <f t="shared" si="856"/>
        <v>0</v>
      </c>
      <c r="AB539" s="164">
        <f t="shared" si="856"/>
        <v>0</v>
      </c>
      <c r="AC539" s="81"/>
      <c r="AD539" s="81"/>
      <c r="AE539" s="81"/>
      <c r="AF539" s="81"/>
      <c r="AG539" s="77"/>
      <c r="AH539" s="77"/>
      <c r="AI539" s="81"/>
      <c r="AJ539" s="81"/>
      <c r="AK539" s="81"/>
      <c r="AL539" s="81"/>
      <c r="AM539" s="81"/>
      <c r="AN539" s="81"/>
      <c r="AO539" s="81"/>
      <c r="AP539" s="81"/>
    </row>
    <row r="540" ht="30.0" customHeight="1">
      <c r="A540" s="81"/>
      <c r="B540" s="77"/>
      <c r="C540" s="130"/>
      <c r="D540" s="165" t="s">
        <v>104</v>
      </c>
      <c r="E540" s="165" t="s">
        <v>85</v>
      </c>
      <c r="F540" s="165"/>
      <c r="G540" s="165"/>
      <c r="H540" s="165" t="s">
        <v>91</v>
      </c>
      <c r="I540" s="165">
        <v>60.0</v>
      </c>
      <c r="J540" s="166">
        <v>2110000.0</v>
      </c>
      <c r="K540" s="166">
        <v>2113000.0</v>
      </c>
      <c r="L540" s="161">
        <v>637920.0</v>
      </c>
      <c r="M540" s="161">
        <v>637920.0</v>
      </c>
      <c r="N540" s="186">
        <v>2747920.0</v>
      </c>
      <c r="O540" s="186">
        <v>2750920.0</v>
      </c>
      <c r="P540" s="81"/>
      <c r="Q540" s="127">
        <v>2110000.0</v>
      </c>
      <c r="R540" s="127">
        <v>2113000.0</v>
      </c>
      <c r="S540" s="127">
        <v>637920.0</v>
      </c>
      <c r="T540" s="127">
        <v>637920.0</v>
      </c>
      <c r="U540" s="127">
        <v>2747920.0</v>
      </c>
      <c r="V540" s="127">
        <v>2750920.0</v>
      </c>
      <c r="W540" s="164">
        <f t="shared" ref="W540:AB540" si="857">+J540-Q540</f>
        <v>0</v>
      </c>
      <c r="X540" s="164">
        <f t="shared" si="857"/>
        <v>0</v>
      </c>
      <c r="Y540" s="164">
        <f t="shared" si="857"/>
        <v>0</v>
      </c>
      <c r="Z540" s="164">
        <f t="shared" si="857"/>
        <v>0</v>
      </c>
      <c r="AA540" s="164">
        <f t="shared" si="857"/>
        <v>0</v>
      </c>
      <c r="AB540" s="164">
        <f t="shared" si="857"/>
        <v>0</v>
      </c>
      <c r="AC540" s="81"/>
      <c r="AD540" s="81"/>
      <c r="AE540" s="81"/>
      <c r="AF540" s="81"/>
      <c r="AG540" s="77"/>
      <c r="AH540" s="77"/>
      <c r="AI540" s="81"/>
      <c r="AJ540" s="81"/>
      <c r="AK540" s="81"/>
      <c r="AL540" s="81"/>
      <c r="AM540" s="81"/>
      <c r="AN540" s="81"/>
      <c r="AO540" s="81"/>
      <c r="AP540" s="81"/>
    </row>
    <row r="541" ht="30.0" customHeight="1">
      <c r="A541" s="81"/>
      <c r="B541" s="77"/>
      <c r="C541" s="130"/>
      <c r="D541" s="165" t="s">
        <v>104</v>
      </c>
      <c r="E541" s="165" t="s">
        <v>86</v>
      </c>
      <c r="F541" s="165"/>
      <c r="G541" s="165"/>
      <c r="H541" s="165" t="s">
        <v>91</v>
      </c>
      <c r="I541" s="165">
        <v>70.0</v>
      </c>
      <c r="J541" s="166">
        <v>2150000.0</v>
      </c>
      <c r="K541" s="166">
        <v>2148000.0</v>
      </c>
      <c r="L541" s="161">
        <v>744240.0</v>
      </c>
      <c r="M541" s="161">
        <v>744240.0</v>
      </c>
      <c r="N541" s="186">
        <v>2894240.0</v>
      </c>
      <c r="O541" s="186">
        <v>2892240.0</v>
      </c>
      <c r="P541" s="81"/>
      <c r="Q541" s="127">
        <v>2150000.0</v>
      </c>
      <c r="R541" s="127">
        <v>2148000.0</v>
      </c>
      <c r="S541" s="127">
        <v>744240.0</v>
      </c>
      <c r="T541" s="127">
        <v>744240.0</v>
      </c>
      <c r="U541" s="127">
        <v>2894240.0</v>
      </c>
      <c r="V541" s="127">
        <v>2892240.0</v>
      </c>
      <c r="W541" s="164">
        <f t="shared" ref="W541:AB541" si="858">+J541-Q541</f>
        <v>0</v>
      </c>
      <c r="X541" s="164">
        <f t="shared" si="858"/>
        <v>0</v>
      </c>
      <c r="Y541" s="164">
        <f t="shared" si="858"/>
        <v>0</v>
      </c>
      <c r="Z541" s="164">
        <f t="shared" si="858"/>
        <v>0</v>
      </c>
      <c r="AA541" s="164">
        <f t="shared" si="858"/>
        <v>0</v>
      </c>
      <c r="AB541" s="164">
        <f t="shared" si="858"/>
        <v>0</v>
      </c>
      <c r="AC541" s="81"/>
      <c r="AD541" s="81"/>
      <c r="AE541" s="81"/>
      <c r="AF541" s="81"/>
      <c r="AG541" s="77"/>
      <c r="AH541" s="77"/>
      <c r="AI541" s="81"/>
      <c r="AJ541" s="81"/>
      <c r="AK541" s="81"/>
      <c r="AL541" s="81"/>
      <c r="AM541" s="81"/>
      <c r="AN541" s="81"/>
      <c r="AO541" s="81"/>
      <c r="AP541" s="81"/>
    </row>
    <row r="542" ht="30.0" customHeight="1">
      <c r="A542" s="81"/>
      <c r="B542" s="77"/>
      <c r="C542" s="130"/>
      <c r="D542" s="165" t="s">
        <v>105</v>
      </c>
      <c r="E542" s="165" t="s">
        <v>84</v>
      </c>
      <c r="F542" s="165"/>
      <c r="G542" s="165"/>
      <c r="H542" s="165" t="s">
        <v>91</v>
      </c>
      <c r="I542" s="165">
        <v>110.0</v>
      </c>
      <c r="J542" s="166">
        <v>2970000.0</v>
      </c>
      <c r="K542" s="166">
        <v>2970000.0</v>
      </c>
      <c r="L542" s="161">
        <v>1169520.0</v>
      </c>
      <c r="M542" s="161">
        <v>1169520.0</v>
      </c>
      <c r="N542" s="186">
        <v>4139520.0</v>
      </c>
      <c r="O542" s="186">
        <v>4139520.0</v>
      </c>
      <c r="P542" s="81"/>
      <c r="Q542" s="127">
        <v>2970000.0</v>
      </c>
      <c r="R542" s="127">
        <v>2970000.0</v>
      </c>
      <c r="S542" s="127">
        <v>1169520.0</v>
      </c>
      <c r="T542" s="127">
        <v>1169520.0</v>
      </c>
      <c r="U542" s="127">
        <v>4139520.0</v>
      </c>
      <c r="V542" s="127">
        <v>4139520.0</v>
      </c>
      <c r="W542" s="164">
        <f t="shared" ref="W542:AB542" si="859">+J542-Q542</f>
        <v>0</v>
      </c>
      <c r="X542" s="164">
        <f t="shared" si="859"/>
        <v>0</v>
      </c>
      <c r="Y542" s="164">
        <f t="shared" si="859"/>
        <v>0</v>
      </c>
      <c r="Z542" s="164">
        <f t="shared" si="859"/>
        <v>0</v>
      </c>
      <c r="AA542" s="164">
        <f t="shared" si="859"/>
        <v>0</v>
      </c>
      <c r="AB542" s="164">
        <f t="shared" si="859"/>
        <v>0</v>
      </c>
      <c r="AC542" s="81"/>
      <c r="AD542" s="81"/>
      <c r="AE542" s="81"/>
      <c r="AF542" s="81"/>
      <c r="AG542" s="77"/>
      <c r="AH542" s="77"/>
      <c r="AI542" s="81"/>
      <c r="AJ542" s="81"/>
      <c r="AK542" s="81"/>
      <c r="AL542" s="81"/>
      <c r="AM542" s="81"/>
      <c r="AN542" s="81"/>
      <c r="AO542" s="81"/>
      <c r="AP542" s="81"/>
    </row>
    <row r="543" ht="30.0" customHeight="1">
      <c r="A543" s="81"/>
      <c r="B543" s="77"/>
      <c r="C543" s="130"/>
      <c r="D543" s="165" t="s">
        <v>105</v>
      </c>
      <c r="E543" s="165" t="s">
        <v>85</v>
      </c>
      <c r="F543" s="165"/>
      <c r="G543" s="165"/>
      <c r="H543" s="165" t="s">
        <v>91</v>
      </c>
      <c r="I543" s="165">
        <v>60.0</v>
      </c>
      <c r="J543" s="166">
        <v>2110000.0</v>
      </c>
      <c r="K543" s="166">
        <v>2113000.0</v>
      </c>
      <c r="L543" s="161">
        <v>637920.0</v>
      </c>
      <c r="M543" s="161">
        <v>637920.0</v>
      </c>
      <c r="N543" s="186">
        <v>2747920.0</v>
      </c>
      <c r="O543" s="186">
        <v>2750920.0</v>
      </c>
      <c r="P543" s="81"/>
      <c r="Q543" s="127">
        <v>2110000.0</v>
      </c>
      <c r="R543" s="127">
        <v>2113000.0</v>
      </c>
      <c r="S543" s="127">
        <v>637920.0</v>
      </c>
      <c r="T543" s="127">
        <v>637920.0</v>
      </c>
      <c r="U543" s="127">
        <v>2747920.0</v>
      </c>
      <c r="V543" s="127">
        <v>2750920.0</v>
      </c>
      <c r="W543" s="164">
        <f t="shared" ref="W543:AB543" si="860">+J543-Q543</f>
        <v>0</v>
      </c>
      <c r="X543" s="164">
        <f t="shared" si="860"/>
        <v>0</v>
      </c>
      <c r="Y543" s="164">
        <f t="shared" si="860"/>
        <v>0</v>
      </c>
      <c r="Z543" s="164">
        <f t="shared" si="860"/>
        <v>0</v>
      </c>
      <c r="AA543" s="164">
        <f t="shared" si="860"/>
        <v>0</v>
      </c>
      <c r="AB543" s="164">
        <f t="shared" si="860"/>
        <v>0</v>
      </c>
      <c r="AC543" s="81"/>
      <c r="AD543" s="81"/>
      <c r="AE543" s="81"/>
      <c r="AF543" s="81"/>
      <c r="AG543" s="77"/>
      <c r="AH543" s="77"/>
      <c r="AI543" s="81"/>
      <c r="AJ543" s="81"/>
      <c r="AK543" s="81"/>
      <c r="AL543" s="81"/>
      <c r="AM543" s="81"/>
      <c r="AN543" s="81"/>
      <c r="AO543" s="81"/>
      <c r="AP543" s="81"/>
    </row>
    <row r="544" ht="30.0" customHeight="1">
      <c r="A544" s="81"/>
      <c r="B544" s="77"/>
      <c r="C544" s="118"/>
      <c r="D544" s="165" t="s">
        <v>105</v>
      </c>
      <c r="E544" s="165" t="s">
        <v>86</v>
      </c>
      <c r="F544" s="165"/>
      <c r="G544" s="165"/>
      <c r="H544" s="165" t="s">
        <v>91</v>
      </c>
      <c r="I544" s="165">
        <v>80.0</v>
      </c>
      <c r="J544" s="166">
        <v>2180000.0</v>
      </c>
      <c r="K544" s="166">
        <v>2184000.0</v>
      </c>
      <c r="L544" s="161">
        <v>850560.0</v>
      </c>
      <c r="M544" s="161">
        <v>850560.0</v>
      </c>
      <c r="N544" s="186">
        <v>3030560.0</v>
      </c>
      <c r="O544" s="186">
        <v>3034560.0</v>
      </c>
      <c r="P544" s="81"/>
      <c r="Q544" s="127">
        <v>2180000.0</v>
      </c>
      <c r="R544" s="127">
        <v>2184000.0</v>
      </c>
      <c r="S544" s="127">
        <v>850560.0</v>
      </c>
      <c r="T544" s="127">
        <v>850560.0</v>
      </c>
      <c r="U544" s="127">
        <v>3030560.0</v>
      </c>
      <c r="V544" s="127">
        <v>3034560.0</v>
      </c>
      <c r="W544" s="164">
        <f t="shared" ref="W544:AB544" si="861">+J544-Q544</f>
        <v>0</v>
      </c>
      <c r="X544" s="164">
        <f t="shared" si="861"/>
        <v>0</v>
      </c>
      <c r="Y544" s="164">
        <f t="shared" si="861"/>
        <v>0</v>
      </c>
      <c r="Z544" s="164">
        <f t="shared" si="861"/>
        <v>0</v>
      </c>
      <c r="AA544" s="164">
        <f t="shared" si="861"/>
        <v>0</v>
      </c>
      <c r="AB544" s="164">
        <f t="shared" si="861"/>
        <v>0</v>
      </c>
      <c r="AC544" s="81"/>
      <c r="AD544" s="81"/>
      <c r="AE544" s="81"/>
      <c r="AF544" s="81"/>
      <c r="AG544" s="77"/>
      <c r="AH544" s="77"/>
      <c r="AI544" s="81"/>
      <c r="AJ544" s="81"/>
      <c r="AK544" s="81"/>
      <c r="AL544" s="81"/>
      <c r="AM544" s="81"/>
      <c r="AN544" s="81"/>
      <c r="AO544" s="81"/>
      <c r="AP544" s="81"/>
    </row>
    <row r="545" ht="22.5" customHeight="1">
      <c r="A545" s="81"/>
      <c r="B545" s="77"/>
      <c r="C545" s="200"/>
      <c r="D545" s="171"/>
      <c r="E545" s="171"/>
      <c r="F545" s="171"/>
      <c r="G545" s="171"/>
      <c r="H545" s="171"/>
      <c r="I545" s="171"/>
      <c r="J545" s="172"/>
      <c r="K545" s="172"/>
      <c r="L545" s="198"/>
      <c r="M545" s="198"/>
      <c r="N545" s="174"/>
      <c r="O545" s="174"/>
      <c r="P545" s="81"/>
      <c r="Q545" s="127"/>
      <c r="R545" s="127"/>
      <c r="S545" s="127"/>
      <c r="T545" s="127"/>
      <c r="U545" s="127"/>
      <c r="V545" s="127"/>
      <c r="W545" s="144"/>
      <c r="X545" s="144"/>
      <c r="Y545" s="144"/>
      <c r="Z545" s="144"/>
      <c r="AA545" s="144"/>
      <c r="AB545" s="144"/>
      <c r="AC545" s="81"/>
      <c r="AD545" s="81"/>
      <c r="AE545" s="81"/>
      <c r="AF545" s="81"/>
      <c r="AG545" s="77"/>
      <c r="AH545" s="77"/>
      <c r="AI545" s="81"/>
      <c r="AJ545" s="81"/>
      <c r="AK545" s="81"/>
      <c r="AL545" s="81"/>
      <c r="AM545" s="81"/>
      <c r="AN545" s="81"/>
      <c r="AO545" s="81"/>
      <c r="AP545" s="81"/>
    </row>
    <row r="546" ht="24.75" customHeight="1">
      <c r="A546" s="81"/>
      <c r="B546" s="178" t="s">
        <v>125</v>
      </c>
      <c r="C546" s="178" t="s">
        <v>126</v>
      </c>
      <c r="D546" s="171"/>
      <c r="E546" s="171"/>
      <c r="F546" s="171"/>
      <c r="G546" s="171"/>
      <c r="H546" s="171"/>
      <c r="I546" s="171"/>
      <c r="J546" s="172"/>
      <c r="K546" s="172"/>
      <c r="L546" s="173"/>
      <c r="M546" s="173"/>
      <c r="N546" s="174"/>
      <c r="O546" s="174"/>
      <c r="P546" s="81"/>
      <c r="Q546" s="127"/>
      <c r="R546" s="127"/>
      <c r="S546" s="127"/>
      <c r="T546" s="127"/>
      <c r="U546" s="127"/>
      <c r="V546" s="127"/>
      <c r="W546" s="144"/>
      <c r="X546" s="144"/>
      <c r="Y546" s="144"/>
      <c r="Z546" s="144"/>
      <c r="AA546" s="144"/>
      <c r="AB546" s="144"/>
      <c r="AC546" s="81"/>
      <c r="AD546" s="81"/>
      <c r="AE546" s="81"/>
      <c r="AF546" s="81"/>
      <c r="AG546" s="77"/>
      <c r="AH546" s="77"/>
      <c r="AI546" s="81"/>
      <c r="AJ546" s="81"/>
      <c r="AK546" s="81"/>
      <c r="AL546" s="81"/>
      <c r="AM546" s="81"/>
      <c r="AN546" s="81"/>
      <c r="AO546" s="81"/>
      <c r="AP546" s="81"/>
    </row>
    <row r="547" ht="24.75" customHeight="1">
      <c r="A547" s="81"/>
      <c r="B547" s="77"/>
      <c r="C547" s="170"/>
      <c r="D547" s="171"/>
      <c r="E547" s="171"/>
      <c r="F547" s="171"/>
      <c r="G547" s="171"/>
      <c r="H547" s="171"/>
      <c r="I547" s="171"/>
      <c r="J547" s="172"/>
      <c r="K547" s="172"/>
      <c r="L547" s="173"/>
      <c r="M547" s="173"/>
      <c r="N547" s="174"/>
      <c r="O547" s="174"/>
      <c r="P547" s="81"/>
      <c r="Q547" s="127"/>
      <c r="R547" s="127"/>
      <c r="S547" s="127"/>
      <c r="T547" s="127"/>
      <c r="U547" s="127"/>
      <c r="V547" s="127"/>
      <c r="W547" s="144"/>
      <c r="X547" s="144"/>
      <c r="Y547" s="144"/>
      <c r="Z547" s="144"/>
      <c r="AA547" s="144"/>
      <c r="AB547" s="144"/>
      <c r="AC547" s="81"/>
      <c r="AD547" s="81"/>
      <c r="AE547" s="81"/>
      <c r="AF547" s="81"/>
      <c r="AG547" s="77"/>
      <c r="AH547" s="77"/>
      <c r="AI547" s="81"/>
      <c r="AJ547" s="81"/>
      <c r="AK547" s="81"/>
      <c r="AL547" s="81"/>
      <c r="AM547" s="81"/>
      <c r="AN547" s="81"/>
      <c r="AO547" s="81"/>
      <c r="AP547" s="81"/>
    </row>
    <row r="548" ht="34.5" customHeight="1">
      <c r="A548" s="81"/>
      <c r="B548" s="77"/>
      <c r="C548" s="151" t="s">
        <v>76</v>
      </c>
      <c r="D548" s="152" t="s">
        <v>77</v>
      </c>
      <c r="E548" s="136"/>
      <c r="F548" s="136"/>
      <c r="G548" s="136"/>
      <c r="H548" s="137"/>
      <c r="I548" s="153" t="s">
        <v>78</v>
      </c>
      <c r="J548" s="154" t="s">
        <v>79</v>
      </c>
      <c r="K548" s="137"/>
      <c r="L548" s="155" t="s">
        <v>80</v>
      </c>
      <c r="M548" s="137"/>
      <c r="N548" s="152" t="s">
        <v>65</v>
      </c>
      <c r="O548" s="137"/>
      <c r="P548" s="81"/>
      <c r="Q548" s="127"/>
      <c r="R548" s="127"/>
      <c r="S548" s="127"/>
      <c r="T548" s="127"/>
      <c r="U548" s="127"/>
      <c r="V548" s="127"/>
      <c r="W548" s="144"/>
      <c r="X548" s="144"/>
      <c r="Y548" s="144"/>
      <c r="Z548" s="144"/>
      <c r="AA548" s="144"/>
      <c r="AB548" s="144"/>
      <c r="AC548" s="81"/>
      <c r="AD548" s="81"/>
      <c r="AE548" s="81"/>
      <c r="AF548" s="81"/>
      <c r="AG548" s="77"/>
      <c r="AH548" s="77"/>
      <c r="AI548" s="81"/>
      <c r="AJ548" s="81"/>
      <c r="AK548" s="81"/>
      <c r="AL548" s="81"/>
      <c r="AM548" s="81"/>
      <c r="AN548" s="81"/>
      <c r="AO548" s="81"/>
      <c r="AP548" s="81"/>
    </row>
    <row r="549" ht="34.5" customHeight="1">
      <c r="A549" s="81"/>
      <c r="B549" s="77"/>
      <c r="C549" s="118"/>
      <c r="D549" s="158" t="s">
        <v>81</v>
      </c>
      <c r="E549" s="158" t="s">
        <v>82</v>
      </c>
      <c r="F549" s="158" t="s">
        <v>82</v>
      </c>
      <c r="G549" s="158" t="s">
        <v>82</v>
      </c>
      <c r="H549" s="158" t="s">
        <v>82</v>
      </c>
      <c r="I549" s="118"/>
      <c r="J549" s="158" t="s">
        <v>53</v>
      </c>
      <c r="K549" s="158" t="s">
        <v>54</v>
      </c>
      <c r="L549" s="159" t="s">
        <v>53</v>
      </c>
      <c r="M549" s="159" t="s">
        <v>54</v>
      </c>
      <c r="N549" s="158" t="s">
        <v>53</v>
      </c>
      <c r="O549" s="158" t="s">
        <v>54</v>
      </c>
      <c r="P549" s="81"/>
      <c r="Q549" s="127"/>
      <c r="R549" s="127"/>
      <c r="S549" s="127"/>
      <c r="T549" s="127"/>
      <c r="U549" s="127"/>
      <c r="V549" s="127"/>
      <c r="W549" s="144"/>
      <c r="X549" s="144"/>
      <c r="Y549" s="144"/>
      <c r="Z549" s="144"/>
      <c r="AA549" s="144"/>
      <c r="AB549" s="144"/>
      <c r="AC549" s="81"/>
      <c r="AD549" s="81"/>
      <c r="AE549" s="81"/>
      <c r="AF549" s="81"/>
      <c r="AG549" s="77"/>
      <c r="AH549" s="77"/>
      <c r="AI549" s="81"/>
      <c r="AJ549" s="81"/>
      <c r="AK549" s="81"/>
      <c r="AL549" s="81"/>
      <c r="AM549" s="81"/>
      <c r="AN549" s="81"/>
      <c r="AO549" s="81"/>
      <c r="AP549" s="81"/>
    </row>
    <row r="550" ht="34.5" customHeight="1">
      <c r="A550" s="81"/>
      <c r="B550" s="77"/>
      <c r="C550" s="185" t="s">
        <v>119</v>
      </c>
      <c r="D550" s="165" t="s">
        <v>91</v>
      </c>
      <c r="E550" s="165" t="s">
        <v>84</v>
      </c>
      <c r="F550" s="165"/>
      <c r="G550" s="165"/>
      <c r="H550" s="165" t="s">
        <v>91</v>
      </c>
      <c r="I550" s="165">
        <v>130.0</v>
      </c>
      <c r="J550" s="166">
        <v>2490000.0</v>
      </c>
      <c r="K550" s="166">
        <v>2490000.0</v>
      </c>
      <c r="L550" s="161">
        <v>1197872.0</v>
      </c>
      <c r="M550" s="161">
        <v>1197872.0</v>
      </c>
      <c r="N550" s="186">
        <v>3687872.0</v>
      </c>
      <c r="O550" s="186">
        <v>3687872.0</v>
      </c>
      <c r="P550" s="81"/>
      <c r="Q550" s="127">
        <v>2490000.0</v>
      </c>
      <c r="R550" s="127">
        <v>2490000.0</v>
      </c>
      <c r="S550" s="127">
        <v>1197872.0</v>
      </c>
      <c r="T550" s="127">
        <v>1197872.0</v>
      </c>
      <c r="U550" s="127">
        <v>3687872.0</v>
      </c>
      <c r="V550" s="127">
        <v>3687872.0</v>
      </c>
      <c r="W550" s="164">
        <f t="shared" ref="W550:AB550" si="862">+J550-Q550</f>
        <v>0</v>
      </c>
      <c r="X550" s="164">
        <f t="shared" si="862"/>
        <v>0</v>
      </c>
      <c r="Y550" s="164">
        <f t="shared" si="862"/>
        <v>0</v>
      </c>
      <c r="Z550" s="164">
        <f t="shared" si="862"/>
        <v>0</v>
      </c>
      <c r="AA550" s="164">
        <f t="shared" si="862"/>
        <v>0</v>
      </c>
      <c r="AB550" s="164">
        <f t="shared" si="862"/>
        <v>0</v>
      </c>
      <c r="AC550" s="81"/>
      <c r="AD550" s="81"/>
      <c r="AE550" s="81"/>
      <c r="AF550" s="81"/>
      <c r="AG550" s="77"/>
      <c r="AH550" s="77"/>
      <c r="AI550" s="81"/>
      <c r="AJ550" s="81"/>
      <c r="AK550" s="81"/>
      <c r="AL550" s="81"/>
      <c r="AM550" s="81"/>
      <c r="AN550" s="81"/>
      <c r="AO550" s="81"/>
      <c r="AP550" s="81"/>
    </row>
    <row r="551" ht="34.5" customHeight="1">
      <c r="A551" s="81"/>
      <c r="B551" s="77"/>
      <c r="C551" s="130"/>
      <c r="D551" s="165" t="s">
        <v>91</v>
      </c>
      <c r="E551" s="165" t="s">
        <v>85</v>
      </c>
      <c r="F551" s="165"/>
      <c r="G551" s="165"/>
      <c r="H551" s="165" t="s">
        <v>91</v>
      </c>
      <c r="I551" s="165">
        <v>50.0</v>
      </c>
      <c r="J551" s="166">
        <v>1770000.0</v>
      </c>
      <c r="K551" s="166">
        <v>1770000.0</v>
      </c>
      <c r="L551" s="161">
        <v>460720.0</v>
      </c>
      <c r="M551" s="161">
        <v>460720.0</v>
      </c>
      <c r="N551" s="186">
        <v>2230720.0</v>
      </c>
      <c r="O551" s="186">
        <v>2230720.0</v>
      </c>
      <c r="P551" s="81"/>
      <c r="Q551" s="127">
        <v>1770000.0</v>
      </c>
      <c r="R551" s="127">
        <v>1770000.0</v>
      </c>
      <c r="S551" s="127">
        <v>460720.0</v>
      </c>
      <c r="T551" s="127">
        <v>460720.0</v>
      </c>
      <c r="U551" s="127">
        <v>2230720.0</v>
      </c>
      <c r="V551" s="127">
        <v>2230720.0</v>
      </c>
      <c r="W551" s="164">
        <f t="shared" ref="W551:AB551" si="863">+J551-Q551</f>
        <v>0</v>
      </c>
      <c r="X551" s="164">
        <f t="shared" si="863"/>
        <v>0</v>
      </c>
      <c r="Y551" s="164">
        <f t="shared" si="863"/>
        <v>0</v>
      </c>
      <c r="Z551" s="164">
        <f t="shared" si="863"/>
        <v>0</v>
      </c>
      <c r="AA551" s="164">
        <f t="shared" si="863"/>
        <v>0</v>
      </c>
      <c r="AB551" s="164">
        <f t="shared" si="863"/>
        <v>0</v>
      </c>
      <c r="AC551" s="81"/>
      <c r="AD551" s="81"/>
      <c r="AE551" s="81"/>
      <c r="AF551" s="81"/>
      <c r="AG551" s="77"/>
      <c r="AH551" s="77"/>
      <c r="AI551" s="81"/>
      <c r="AJ551" s="81"/>
      <c r="AK551" s="81"/>
      <c r="AL551" s="81"/>
      <c r="AM551" s="81"/>
      <c r="AN551" s="81"/>
      <c r="AO551" s="81"/>
      <c r="AP551" s="81"/>
    </row>
    <row r="552" ht="34.5" customHeight="1">
      <c r="A552" s="81"/>
      <c r="B552" s="77"/>
      <c r="C552" s="130"/>
      <c r="D552" s="165" t="s">
        <v>91</v>
      </c>
      <c r="E552" s="165" t="s">
        <v>86</v>
      </c>
      <c r="F552" s="165"/>
      <c r="G552" s="165"/>
      <c r="H552" s="165" t="s">
        <v>91</v>
      </c>
      <c r="I552" s="165">
        <v>60.0</v>
      </c>
      <c r="J552" s="166">
        <v>1850000.0</v>
      </c>
      <c r="K552" s="166">
        <v>1850000.0</v>
      </c>
      <c r="L552" s="161">
        <v>552864.0</v>
      </c>
      <c r="M552" s="161">
        <v>552864.0</v>
      </c>
      <c r="N552" s="186">
        <v>2402864.0</v>
      </c>
      <c r="O552" s="186">
        <v>2402864.0</v>
      </c>
      <c r="P552" s="81"/>
      <c r="Q552" s="127">
        <v>1850000.0</v>
      </c>
      <c r="R552" s="127">
        <v>1850000.0</v>
      </c>
      <c r="S552" s="127">
        <v>552864.0</v>
      </c>
      <c r="T552" s="127">
        <v>552864.0</v>
      </c>
      <c r="U552" s="127">
        <v>2402864.0</v>
      </c>
      <c r="V552" s="127">
        <v>2402864.0</v>
      </c>
      <c r="W552" s="164">
        <f t="shared" ref="W552:AB552" si="864">+J552-Q552</f>
        <v>0</v>
      </c>
      <c r="X552" s="164">
        <f t="shared" si="864"/>
        <v>0</v>
      </c>
      <c r="Y552" s="164">
        <f t="shared" si="864"/>
        <v>0</v>
      </c>
      <c r="Z552" s="164">
        <f t="shared" si="864"/>
        <v>0</v>
      </c>
      <c r="AA552" s="164">
        <f t="shared" si="864"/>
        <v>0</v>
      </c>
      <c r="AB552" s="164">
        <f t="shared" si="864"/>
        <v>0</v>
      </c>
      <c r="AC552" s="81"/>
      <c r="AD552" s="81"/>
      <c r="AE552" s="81"/>
      <c r="AF552" s="81"/>
      <c r="AG552" s="77"/>
      <c r="AH552" s="77"/>
      <c r="AI552" s="81"/>
      <c r="AJ552" s="81"/>
      <c r="AK552" s="81"/>
      <c r="AL552" s="81"/>
      <c r="AM552" s="81"/>
      <c r="AN552" s="81"/>
      <c r="AO552" s="81"/>
      <c r="AP552" s="81"/>
    </row>
    <row r="553" ht="34.5" customHeight="1">
      <c r="A553" s="81"/>
      <c r="B553" s="77"/>
      <c r="C553" s="130"/>
      <c r="D553" s="165" t="s">
        <v>91</v>
      </c>
      <c r="E553" s="165" t="s">
        <v>84</v>
      </c>
      <c r="F553" s="165" t="s">
        <v>85</v>
      </c>
      <c r="G553" s="165"/>
      <c r="H553" s="165" t="s">
        <v>91</v>
      </c>
      <c r="I553" s="165">
        <v>140.0</v>
      </c>
      <c r="J553" s="166">
        <v>2750000.0</v>
      </c>
      <c r="K553" s="166">
        <v>2750000.0</v>
      </c>
      <c r="L553" s="161">
        <v>1290016.0</v>
      </c>
      <c r="M553" s="161">
        <v>1290016.0</v>
      </c>
      <c r="N553" s="186">
        <v>4040016.0</v>
      </c>
      <c r="O553" s="186">
        <v>4040016.0</v>
      </c>
      <c r="P553" s="81"/>
      <c r="Q553" s="127">
        <v>2750000.0</v>
      </c>
      <c r="R553" s="127">
        <v>2750000.0</v>
      </c>
      <c r="S553" s="127">
        <v>1290016.0</v>
      </c>
      <c r="T553" s="127">
        <v>1290016.0</v>
      </c>
      <c r="U553" s="127">
        <v>4040016.0</v>
      </c>
      <c r="V553" s="127">
        <v>4040016.0</v>
      </c>
      <c r="W553" s="164">
        <f t="shared" ref="W553:AB553" si="865">+J553-Q553</f>
        <v>0</v>
      </c>
      <c r="X553" s="164">
        <f t="shared" si="865"/>
        <v>0</v>
      </c>
      <c r="Y553" s="164">
        <f t="shared" si="865"/>
        <v>0</v>
      </c>
      <c r="Z553" s="164">
        <f t="shared" si="865"/>
        <v>0</v>
      </c>
      <c r="AA553" s="164">
        <f t="shared" si="865"/>
        <v>0</v>
      </c>
      <c r="AB553" s="164">
        <f t="shared" si="865"/>
        <v>0</v>
      </c>
      <c r="AC553" s="81"/>
      <c r="AD553" s="81"/>
      <c r="AE553" s="81"/>
      <c r="AF553" s="81"/>
      <c r="AG553" s="77"/>
      <c r="AH553" s="77"/>
      <c r="AI553" s="81"/>
      <c r="AJ553" s="81"/>
      <c r="AK553" s="81"/>
      <c r="AL553" s="81"/>
      <c r="AM553" s="81"/>
      <c r="AN553" s="81"/>
      <c r="AO553" s="81"/>
      <c r="AP553" s="81"/>
    </row>
    <row r="554" ht="34.5" customHeight="1">
      <c r="A554" s="81"/>
      <c r="B554" s="77"/>
      <c r="C554" s="130"/>
      <c r="D554" s="165" t="s">
        <v>91</v>
      </c>
      <c r="E554" s="165" t="s">
        <v>84</v>
      </c>
      <c r="F554" s="165" t="s">
        <v>86</v>
      </c>
      <c r="G554" s="165"/>
      <c r="H554" s="165" t="s">
        <v>91</v>
      </c>
      <c r="I554" s="165">
        <v>150.0</v>
      </c>
      <c r="J554" s="166">
        <v>2880000.0</v>
      </c>
      <c r="K554" s="166">
        <v>2880000.0</v>
      </c>
      <c r="L554" s="161">
        <v>1382160.0</v>
      </c>
      <c r="M554" s="161">
        <v>1382160.0</v>
      </c>
      <c r="N554" s="186">
        <v>4262160.0</v>
      </c>
      <c r="O554" s="186">
        <v>4262160.0</v>
      </c>
      <c r="P554" s="81"/>
      <c r="Q554" s="127">
        <v>2880000.0</v>
      </c>
      <c r="R554" s="127">
        <v>2880000.0</v>
      </c>
      <c r="S554" s="127">
        <v>1382160.0</v>
      </c>
      <c r="T554" s="127">
        <v>1382160.0</v>
      </c>
      <c r="U554" s="127">
        <v>4262160.0</v>
      </c>
      <c r="V554" s="127">
        <v>4262160.0</v>
      </c>
      <c r="W554" s="164">
        <f t="shared" ref="W554:AB554" si="866">+J554-Q554</f>
        <v>0</v>
      </c>
      <c r="X554" s="164">
        <f t="shared" si="866"/>
        <v>0</v>
      </c>
      <c r="Y554" s="164">
        <f t="shared" si="866"/>
        <v>0</v>
      </c>
      <c r="Z554" s="164">
        <f t="shared" si="866"/>
        <v>0</v>
      </c>
      <c r="AA554" s="164">
        <f t="shared" si="866"/>
        <v>0</v>
      </c>
      <c r="AB554" s="164">
        <f t="shared" si="866"/>
        <v>0</v>
      </c>
      <c r="AC554" s="81"/>
      <c r="AD554" s="81"/>
      <c r="AE554" s="81"/>
      <c r="AF554" s="81"/>
      <c r="AG554" s="77"/>
      <c r="AH554" s="77"/>
      <c r="AI554" s="81"/>
      <c r="AJ554" s="81"/>
      <c r="AK554" s="81"/>
      <c r="AL554" s="81"/>
      <c r="AM554" s="81"/>
      <c r="AN554" s="81"/>
      <c r="AO554" s="81"/>
      <c r="AP554" s="81"/>
    </row>
    <row r="555" ht="34.5" customHeight="1">
      <c r="A555" s="81"/>
      <c r="B555" s="77"/>
      <c r="C555" s="130"/>
      <c r="D555" s="165" t="s">
        <v>91</v>
      </c>
      <c r="E555" s="165" t="s">
        <v>85</v>
      </c>
      <c r="F555" s="165" t="s">
        <v>86</v>
      </c>
      <c r="G555" s="165"/>
      <c r="H555" s="165" t="s">
        <v>91</v>
      </c>
      <c r="I555" s="165">
        <v>70.0</v>
      </c>
      <c r="J555" s="166">
        <v>2320000.0</v>
      </c>
      <c r="K555" s="166">
        <v>2320000.0</v>
      </c>
      <c r="L555" s="161">
        <v>645008.0</v>
      </c>
      <c r="M555" s="161">
        <v>645008.0</v>
      </c>
      <c r="N555" s="186">
        <v>2965008.0</v>
      </c>
      <c r="O555" s="186">
        <v>2965008.0</v>
      </c>
      <c r="P555" s="81"/>
      <c r="Q555" s="127">
        <v>2320000.0</v>
      </c>
      <c r="R555" s="127">
        <v>2320000.0</v>
      </c>
      <c r="S555" s="127">
        <v>645008.0</v>
      </c>
      <c r="T555" s="127">
        <v>645008.0</v>
      </c>
      <c r="U555" s="127">
        <v>2965008.0</v>
      </c>
      <c r="V555" s="127">
        <v>2965008.0</v>
      </c>
      <c r="W555" s="164">
        <f t="shared" ref="W555:AB555" si="867">+J555-Q555</f>
        <v>0</v>
      </c>
      <c r="X555" s="164">
        <f t="shared" si="867"/>
        <v>0</v>
      </c>
      <c r="Y555" s="164">
        <f t="shared" si="867"/>
        <v>0</v>
      </c>
      <c r="Z555" s="164">
        <f t="shared" si="867"/>
        <v>0</v>
      </c>
      <c r="AA555" s="164">
        <f t="shared" si="867"/>
        <v>0</v>
      </c>
      <c r="AB555" s="164">
        <f t="shared" si="867"/>
        <v>0</v>
      </c>
      <c r="AC555" s="81"/>
      <c r="AD555" s="81"/>
      <c r="AE555" s="81"/>
      <c r="AF555" s="81"/>
      <c r="AG555" s="77"/>
      <c r="AH555" s="77"/>
      <c r="AI555" s="81"/>
      <c r="AJ555" s="81"/>
      <c r="AK555" s="81"/>
      <c r="AL555" s="81"/>
      <c r="AM555" s="81"/>
      <c r="AN555" s="81"/>
      <c r="AO555" s="81"/>
      <c r="AP555" s="81"/>
    </row>
    <row r="556" ht="34.5" customHeight="1">
      <c r="A556" s="81"/>
      <c r="B556" s="77"/>
      <c r="C556" s="130"/>
      <c r="D556" s="165" t="s">
        <v>91</v>
      </c>
      <c r="E556" s="165" t="s">
        <v>84</v>
      </c>
      <c r="F556" s="165" t="s">
        <v>85</v>
      </c>
      <c r="G556" s="165" t="s">
        <v>86</v>
      </c>
      <c r="H556" s="165" t="s">
        <v>91</v>
      </c>
      <c r="I556" s="165">
        <v>170.0</v>
      </c>
      <c r="J556" s="166">
        <v>2900000.0</v>
      </c>
      <c r="K556" s="166">
        <v>2900000.0</v>
      </c>
      <c r="L556" s="161">
        <v>1566448.0</v>
      </c>
      <c r="M556" s="161">
        <v>1566448.0</v>
      </c>
      <c r="N556" s="186">
        <v>4466448.0</v>
      </c>
      <c r="O556" s="186">
        <v>4466448.0</v>
      </c>
      <c r="P556" s="81"/>
      <c r="Q556" s="127">
        <v>2900000.0</v>
      </c>
      <c r="R556" s="127">
        <v>2900000.0</v>
      </c>
      <c r="S556" s="127">
        <v>1566448.0</v>
      </c>
      <c r="T556" s="127">
        <v>1566448.0</v>
      </c>
      <c r="U556" s="127">
        <v>4466448.0</v>
      </c>
      <c r="V556" s="127">
        <v>4466448.0</v>
      </c>
      <c r="W556" s="164">
        <f t="shared" ref="W556:AB556" si="868">+J556-Q556</f>
        <v>0</v>
      </c>
      <c r="X556" s="164">
        <f t="shared" si="868"/>
        <v>0</v>
      </c>
      <c r="Y556" s="164">
        <f t="shared" si="868"/>
        <v>0</v>
      </c>
      <c r="Z556" s="164">
        <f t="shared" si="868"/>
        <v>0</v>
      </c>
      <c r="AA556" s="164">
        <f t="shared" si="868"/>
        <v>0</v>
      </c>
      <c r="AB556" s="164">
        <f t="shared" si="868"/>
        <v>0</v>
      </c>
      <c r="AC556" s="81"/>
      <c r="AD556" s="81"/>
      <c r="AE556" s="81"/>
      <c r="AF556" s="81"/>
      <c r="AG556" s="77"/>
      <c r="AH556" s="77"/>
      <c r="AI556" s="81"/>
      <c r="AJ556" s="81"/>
      <c r="AK556" s="81"/>
      <c r="AL556" s="81"/>
      <c r="AM556" s="81"/>
      <c r="AN556" s="81"/>
      <c r="AO556" s="81"/>
      <c r="AP556" s="81"/>
    </row>
    <row r="557" ht="34.5" customHeight="1">
      <c r="A557" s="81"/>
      <c r="B557" s="77"/>
      <c r="C557" s="130"/>
      <c r="D557" s="165" t="s">
        <v>91</v>
      </c>
      <c r="E557" s="165" t="s">
        <v>87</v>
      </c>
      <c r="F557" s="165"/>
      <c r="G557" s="165"/>
      <c r="H557" s="165" t="s">
        <v>91</v>
      </c>
      <c r="I557" s="165">
        <v>70.0</v>
      </c>
      <c r="J557" s="166">
        <v>2350000.0</v>
      </c>
      <c r="K557" s="166">
        <v>2350000.0</v>
      </c>
      <c r="L557" s="161">
        <v>645008.0</v>
      </c>
      <c r="M557" s="161">
        <v>645008.0</v>
      </c>
      <c r="N557" s="186">
        <v>2995008.0</v>
      </c>
      <c r="O557" s="186">
        <v>2995008.0</v>
      </c>
      <c r="P557" s="81"/>
      <c r="Q557" s="127">
        <v>2350000.0</v>
      </c>
      <c r="R557" s="127">
        <v>2350000.0</v>
      </c>
      <c r="S557" s="127">
        <v>645008.0</v>
      </c>
      <c r="T557" s="127">
        <v>645008.0</v>
      </c>
      <c r="U557" s="127">
        <v>2995008.0</v>
      </c>
      <c r="V557" s="127">
        <v>2995008.0</v>
      </c>
      <c r="W557" s="164">
        <f t="shared" ref="W557:AB557" si="869">+J557-Q557</f>
        <v>0</v>
      </c>
      <c r="X557" s="164">
        <f t="shared" si="869"/>
        <v>0</v>
      </c>
      <c r="Y557" s="164">
        <f t="shared" si="869"/>
        <v>0</v>
      </c>
      <c r="Z557" s="164">
        <f t="shared" si="869"/>
        <v>0</v>
      </c>
      <c r="AA557" s="164">
        <f t="shared" si="869"/>
        <v>0</v>
      </c>
      <c r="AB557" s="164">
        <f t="shared" si="869"/>
        <v>0</v>
      </c>
      <c r="AC557" s="81"/>
      <c r="AD557" s="81"/>
      <c r="AE557" s="81"/>
      <c r="AF557" s="81"/>
      <c r="AG557" s="77"/>
      <c r="AH557" s="77"/>
      <c r="AI557" s="81"/>
      <c r="AJ557" s="81"/>
      <c r="AK557" s="81"/>
      <c r="AL557" s="81"/>
      <c r="AM557" s="81"/>
      <c r="AN557" s="81"/>
      <c r="AO557" s="81"/>
      <c r="AP557" s="81"/>
    </row>
    <row r="558" ht="34.5" customHeight="1">
      <c r="A558" s="81"/>
      <c r="B558" s="77"/>
      <c r="C558" s="130"/>
      <c r="D558" s="165" t="s">
        <v>91</v>
      </c>
      <c r="E558" s="165" t="s">
        <v>87</v>
      </c>
      <c r="F558" s="165" t="s">
        <v>84</v>
      </c>
      <c r="G558" s="165"/>
      <c r="H558" s="165" t="s">
        <v>91</v>
      </c>
      <c r="I558" s="165">
        <v>140.0</v>
      </c>
      <c r="J558" s="166">
        <v>3750000.0</v>
      </c>
      <c r="K558" s="166">
        <v>3750000.0</v>
      </c>
      <c r="L558" s="161">
        <v>1290016.0</v>
      </c>
      <c r="M558" s="161">
        <v>1290016.0</v>
      </c>
      <c r="N558" s="186">
        <v>5040016.0</v>
      </c>
      <c r="O558" s="186">
        <v>5040016.0</v>
      </c>
      <c r="P558" s="81"/>
      <c r="Q558" s="127">
        <v>3750000.0</v>
      </c>
      <c r="R558" s="127">
        <v>3750000.0</v>
      </c>
      <c r="S558" s="127">
        <v>1290016.0</v>
      </c>
      <c r="T558" s="127">
        <v>1290016.0</v>
      </c>
      <c r="U558" s="127">
        <v>5040016.0</v>
      </c>
      <c r="V558" s="127">
        <v>5040016.0</v>
      </c>
      <c r="W558" s="164">
        <f t="shared" ref="W558:AB558" si="870">+J558-Q558</f>
        <v>0</v>
      </c>
      <c r="X558" s="164">
        <f t="shared" si="870"/>
        <v>0</v>
      </c>
      <c r="Y558" s="164">
        <f t="shared" si="870"/>
        <v>0</v>
      </c>
      <c r="Z558" s="164">
        <f t="shared" si="870"/>
        <v>0</v>
      </c>
      <c r="AA558" s="164">
        <f t="shared" si="870"/>
        <v>0</v>
      </c>
      <c r="AB558" s="164">
        <f t="shared" si="870"/>
        <v>0</v>
      </c>
      <c r="AC558" s="81"/>
      <c r="AD558" s="81"/>
      <c r="AE558" s="81"/>
      <c r="AF558" s="81"/>
      <c r="AG558" s="77"/>
      <c r="AH558" s="77"/>
      <c r="AI558" s="81"/>
      <c r="AJ558" s="81"/>
      <c r="AK558" s="81"/>
      <c r="AL558" s="81"/>
      <c r="AM558" s="81"/>
      <c r="AN558" s="81"/>
      <c r="AO558" s="81"/>
      <c r="AP558" s="81"/>
    </row>
    <row r="559" ht="34.5" customHeight="1">
      <c r="A559" s="81"/>
      <c r="B559" s="77"/>
      <c r="C559" s="130"/>
      <c r="D559" s="165" t="s">
        <v>91</v>
      </c>
      <c r="E559" s="165" t="s">
        <v>87</v>
      </c>
      <c r="F559" s="165" t="s">
        <v>85</v>
      </c>
      <c r="G559" s="165"/>
      <c r="H559" s="165" t="s">
        <v>91</v>
      </c>
      <c r="I559" s="165">
        <v>100.0</v>
      </c>
      <c r="J559" s="166">
        <v>2950000.0</v>
      </c>
      <c r="K559" s="166">
        <v>2950000.0</v>
      </c>
      <c r="L559" s="161">
        <v>921440.0</v>
      </c>
      <c r="M559" s="161">
        <v>921440.0</v>
      </c>
      <c r="N559" s="186">
        <v>3871440.0</v>
      </c>
      <c r="O559" s="186">
        <v>3871440.0</v>
      </c>
      <c r="P559" s="81"/>
      <c r="Q559" s="127">
        <v>2950000.0</v>
      </c>
      <c r="R559" s="127">
        <v>2950000.0</v>
      </c>
      <c r="S559" s="127">
        <v>921440.0</v>
      </c>
      <c r="T559" s="127">
        <v>921440.0</v>
      </c>
      <c r="U559" s="127">
        <v>3871440.0</v>
      </c>
      <c r="V559" s="127">
        <v>3871440.0</v>
      </c>
      <c r="W559" s="164">
        <f t="shared" ref="W559:AB559" si="871">+J559-Q559</f>
        <v>0</v>
      </c>
      <c r="X559" s="164">
        <f t="shared" si="871"/>
        <v>0</v>
      </c>
      <c r="Y559" s="164">
        <f t="shared" si="871"/>
        <v>0</v>
      </c>
      <c r="Z559" s="164">
        <f t="shared" si="871"/>
        <v>0</v>
      </c>
      <c r="AA559" s="164">
        <f t="shared" si="871"/>
        <v>0</v>
      </c>
      <c r="AB559" s="164">
        <f t="shared" si="871"/>
        <v>0</v>
      </c>
      <c r="AC559" s="81"/>
      <c r="AD559" s="81"/>
      <c r="AE559" s="81"/>
      <c r="AF559" s="81"/>
      <c r="AG559" s="77"/>
      <c r="AH559" s="77"/>
      <c r="AI559" s="81"/>
      <c r="AJ559" s="81"/>
      <c r="AK559" s="81"/>
      <c r="AL559" s="81"/>
      <c r="AM559" s="81"/>
      <c r="AN559" s="81"/>
      <c r="AO559" s="81"/>
      <c r="AP559" s="81"/>
    </row>
    <row r="560" ht="34.5" customHeight="1">
      <c r="A560" s="81"/>
      <c r="B560" s="77"/>
      <c r="C560" s="130"/>
      <c r="D560" s="165" t="s">
        <v>91</v>
      </c>
      <c r="E560" s="165" t="s">
        <v>88</v>
      </c>
      <c r="F560" s="165"/>
      <c r="G560" s="165"/>
      <c r="H560" s="165" t="s">
        <v>91</v>
      </c>
      <c r="I560" s="165">
        <v>40.0</v>
      </c>
      <c r="J560" s="166">
        <v>1430000.0</v>
      </c>
      <c r="K560" s="166">
        <v>1430000.0</v>
      </c>
      <c r="L560" s="161">
        <v>368576.0</v>
      </c>
      <c r="M560" s="161">
        <v>368576.0</v>
      </c>
      <c r="N560" s="186">
        <v>1798576.0</v>
      </c>
      <c r="O560" s="186">
        <v>1798576.0</v>
      </c>
      <c r="P560" s="81"/>
      <c r="Q560" s="127">
        <v>1430000.0</v>
      </c>
      <c r="R560" s="127">
        <v>1430000.0</v>
      </c>
      <c r="S560" s="127">
        <v>368576.0</v>
      </c>
      <c r="T560" s="127">
        <v>368576.0</v>
      </c>
      <c r="U560" s="127">
        <v>1798576.0</v>
      </c>
      <c r="V560" s="127">
        <v>1798576.0</v>
      </c>
      <c r="W560" s="164">
        <f t="shared" ref="W560:AB560" si="872">+J560-Q560</f>
        <v>0</v>
      </c>
      <c r="X560" s="164">
        <f t="shared" si="872"/>
        <v>0</v>
      </c>
      <c r="Y560" s="164">
        <f t="shared" si="872"/>
        <v>0</v>
      </c>
      <c r="Z560" s="164">
        <f t="shared" si="872"/>
        <v>0</v>
      </c>
      <c r="AA560" s="164">
        <f t="shared" si="872"/>
        <v>0</v>
      </c>
      <c r="AB560" s="164">
        <f t="shared" si="872"/>
        <v>0</v>
      </c>
      <c r="AC560" s="81"/>
      <c r="AD560" s="81"/>
      <c r="AE560" s="81"/>
      <c r="AF560" s="81"/>
      <c r="AG560" s="77"/>
      <c r="AH560" s="77"/>
      <c r="AI560" s="81"/>
      <c r="AJ560" s="81"/>
      <c r="AK560" s="81"/>
      <c r="AL560" s="81"/>
      <c r="AM560" s="81"/>
      <c r="AN560" s="81"/>
      <c r="AO560" s="81"/>
      <c r="AP560" s="81"/>
    </row>
    <row r="561" ht="34.5" customHeight="1">
      <c r="A561" s="81"/>
      <c r="B561" s="77"/>
      <c r="C561" s="130"/>
      <c r="D561" s="165" t="s">
        <v>91</v>
      </c>
      <c r="E561" s="165" t="s">
        <v>88</v>
      </c>
      <c r="F561" s="165" t="s">
        <v>85</v>
      </c>
      <c r="G561" s="165"/>
      <c r="H561" s="165" t="s">
        <v>91</v>
      </c>
      <c r="I561" s="165">
        <v>60.0</v>
      </c>
      <c r="J561" s="166">
        <v>2300000.0</v>
      </c>
      <c r="K561" s="166">
        <v>2300000.0</v>
      </c>
      <c r="L561" s="161">
        <v>552864.0</v>
      </c>
      <c r="M561" s="161">
        <v>552864.0</v>
      </c>
      <c r="N561" s="186">
        <v>2852864.0</v>
      </c>
      <c r="O561" s="186">
        <v>2852864.0</v>
      </c>
      <c r="P561" s="81"/>
      <c r="Q561" s="127">
        <v>2300000.0</v>
      </c>
      <c r="R561" s="127">
        <v>2300000.0</v>
      </c>
      <c r="S561" s="127">
        <v>552864.0</v>
      </c>
      <c r="T561" s="127">
        <v>552864.0</v>
      </c>
      <c r="U561" s="127">
        <v>2852864.0</v>
      </c>
      <c r="V561" s="127">
        <v>2852864.0</v>
      </c>
      <c r="W561" s="164">
        <f t="shared" ref="W561:AB561" si="873">+J561-Q561</f>
        <v>0</v>
      </c>
      <c r="X561" s="164">
        <f t="shared" si="873"/>
        <v>0</v>
      </c>
      <c r="Y561" s="164">
        <f t="shared" si="873"/>
        <v>0</v>
      </c>
      <c r="Z561" s="164">
        <f t="shared" si="873"/>
        <v>0</v>
      </c>
      <c r="AA561" s="164">
        <f t="shared" si="873"/>
        <v>0</v>
      </c>
      <c r="AB561" s="164">
        <f t="shared" si="873"/>
        <v>0</v>
      </c>
      <c r="AC561" s="81"/>
      <c r="AD561" s="81"/>
      <c r="AE561" s="81"/>
      <c r="AF561" s="81"/>
      <c r="AG561" s="77"/>
      <c r="AH561" s="77"/>
      <c r="AI561" s="81"/>
      <c r="AJ561" s="81"/>
      <c r="AK561" s="81"/>
      <c r="AL561" s="81"/>
      <c r="AM561" s="81"/>
      <c r="AN561" s="81"/>
      <c r="AO561" s="81"/>
      <c r="AP561" s="81"/>
    </row>
    <row r="562" ht="34.5" customHeight="1">
      <c r="A562" s="81"/>
      <c r="B562" s="77"/>
      <c r="C562" s="130"/>
      <c r="D562" s="165" t="s">
        <v>91</v>
      </c>
      <c r="E562" s="165" t="s">
        <v>88</v>
      </c>
      <c r="F562" s="165" t="s">
        <v>86</v>
      </c>
      <c r="G562" s="165"/>
      <c r="H562" s="165" t="s">
        <v>91</v>
      </c>
      <c r="I562" s="165">
        <v>80.0</v>
      </c>
      <c r="J562" s="166">
        <v>2340000.0</v>
      </c>
      <c r="K562" s="166">
        <v>2340000.0</v>
      </c>
      <c r="L562" s="161">
        <v>737152.0</v>
      </c>
      <c r="M562" s="161">
        <v>737152.0</v>
      </c>
      <c r="N562" s="186">
        <v>3077152.0</v>
      </c>
      <c r="O562" s="186">
        <v>3077152.0</v>
      </c>
      <c r="P562" s="81"/>
      <c r="Q562" s="127">
        <v>2340000.0</v>
      </c>
      <c r="R562" s="127">
        <v>2340000.0</v>
      </c>
      <c r="S562" s="127">
        <v>737152.0</v>
      </c>
      <c r="T562" s="127">
        <v>737152.0</v>
      </c>
      <c r="U562" s="127">
        <v>3077152.0</v>
      </c>
      <c r="V562" s="127">
        <v>3077152.0</v>
      </c>
      <c r="W562" s="164">
        <f t="shared" ref="W562:AB562" si="874">+J562-Q562</f>
        <v>0</v>
      </c>
      <c r="X562" s="164">
        <f t="shared" si="874"/>
        <v>0</v>
      </c>
      <c r="Y562" s="164">
        <f t="shared" si="874"/>
        <v>0</v>
      </c>
      <c r="Z562" s="164">
        <f t="shared" si="874"/>
        <v>0</v>
      </c>
      <c r="AA562" s="164">
        <f t="shared" si="874"/>
        <v>0</v>
      </c>
      <c r="AB562" s="164">
        <f t="shared" si="874"/>
        <v>0</v>
      </c>
      <c r="AC562" s="81"/>
      <c r="AD562" s="81"/>
      <c r="AE562" s="81"/>
      <c r="AF562" s="81"/>
      <c r="AG562" s="77"/>
      <c r="AH562" s="77"/>
      <c r="AI562" s="81"/>
      <c r="AJ562" s="81"/>
      <c r="AK562" s="81"/>
      <c r="AL562" s="81"/>
      <c r="AM562" s="81"/>
      <c r="AN562" s="81"/>
      <c r="AO562" s="81"/>
      <c r="AP562" s="81"/>
    </row>
    <row r="563" ht="34.5" customHeight="1">
      <c r="A563" s="81"/>
      <c r="B563" s="77"/>
      <c r="C563" s="118"/>
      <c r="D563" s="165" t="s">
        <v>91</v>
      </c>
      <c r="E563" s="165" t="s">
        <v>88</v>
      </c>
      <c r="F563" s="165" t="s">
        <v>85</v>
      </c>
      <c r="G563" s="165" t="s">
        <v>86</v>
      </c>
      <c r="H563" s="165" t="s">
        <v>91</v>
      </c>
      <c r="I563" s="165">
        <v>85.0</v>
      </c>
      <c r="J563" s="166">
        <v>2620000.0</v>
      </c>
      <c r="K563" s="166">
        <v>2620000.0</v>
      </c>
      <c r="L563" s="161">
        <v>783224.0</v>
      </c>
      <c r="M563" s="161">
        <v>783224.0</v>
      </c>
      <c r="N563" s="186">
        <v>3403224.0</v>
      </c>
      <c r="O563" s="186">
        <v>3403224.0</v>
      </c>
      <c r="P563" s="81"/>
      <c r="Q563" s="127">
        <v>2620000.0</v>
      </c>
      <c r="R563" s="127">
        <v>2620000.0</v>
      </c>
      <c r="S563" s="127">
        <v>783224.0</v>
      </c>
      <c r="T563" s="127">
        <v>783224.0</v>
      </c>
      <c r="U563" s="127">
        <v>3403224.0</v>
      </c>
      <c r="V563" s="127">
        <v>3403224.0</v>
      </c>
      <c r="W563" s="164">
        <f t="shared" ref="W563:AB563" si="875">+J563-Q563</f>
        <v>0</v>
      </c>
      <c r="X563" s="164">
        <f t="shared" si="875"/>
        <v>0</v>
      </c>
      <c r="Y563" s="164">
        <f t="shared" si="875"/>
        <v>0</v>
      </c>
      <c r="Z563" s="164">
        <f t="shared" si="875"/>
        <v>0</v>
      </c>
      <c r="AA563" s="164">
        <f t="shared" si="875"/>
        <v>0</v>
      </c>
      <c r="AB563" s="164">
        <f t="shared" si="875"/>
        <v>0</v>
      </c>
      <c r="AC563" s="81"/>
      <c r="AD563" s="81"/>
      <c r="AE563" s="81"/>
      <c r="AF563" s="81"/>
      <c r="AG563" s="77"/>
      <c r="AH563" s="77"/>
      <c r="AI563" s="81"/>
      <c r="AJ563" s="81"/>
      <c r="AK563" s="81"/>
      <c r="AL563" s="81"/>
      <c r="AM563" s="81"/>
      <c r="AN563" s="81"/>
      <c r="AO563" s="81"/>
      <c r="AP563" s="81"/>
    </row>
    <row r="564" ht="34.5" customHeight="1">
      <c r="A564" s="81"/>
      <c r="B564" s="77"/>
      <c r="C564" s="167" t="s">
        <v>92</v>
      </c>
      <c r="D564" s="165" t="s">
        <v>90</v>
      </c>
      <c r="E564" s="165" t="s">
        <v>96</v>
      </c>
      <c r="F564" s="165"/>
      <c r="G564" s="165"/>
      <c r="H564" s="165"/>
      <c r="I564" s="165">
        <v>65.0</v>
      </c>
      <c r="J564" s="166">
        <v>1930000.0</v>
      </c>
      <c r="K564" s="166">
        <v>1930000.0</v>
      </c>
      <c r="L564" s="161">
        <v>691080.0</v>
      </c>
      <c r="M564" s="161">
        <v>691080.0</v>
      </c>
      <c r="N564" s="186">
        <v>2621080.0</v>
      </c>
      <c r="O564" s="186">
        <v>2621080.0</v>
      </c>
      <c r="P564" s="81"/>
      <c r="Q564" s="127">
        <v>1930000.0</v>
      </c>
      <c r="R564" s="127">
        <v>1930000.0</v>
      </c>
      <c r="S564" s="127">
        <v>691080.0</v>
      </c>
      <c r="T564" s="127">
        <v>691080.0</v>
      </c>
      <c r="U564" s="127">
        <v>2621080.0</v>
      </c>
      <c r="V564" s="127">
        <v>2621080.0</v>
      </c>
      <c r="W564" s="164">
        <f t="shared" ref="W564:AB564" si="876">+J564-Q564</f>
        <v>0</v>
      </c>
      <c r="X564" s="164">
        <f t="shared" si="876"/>
        <v>0</v>
      </c>
      <c r="Y564" s="164">
        <f t="shared" si="876"/>
        <v>0</v>
      </c>
      <c r="Z564" s="164">
        <f t="shared" si="876"/>
        <v>0</v>
      </c>
      <c r="AA564" s="164">
        <f t="shared" si="876"/>
        <v>0</v>
      </c>
      <c r="AB564" s="164">
        <f t="shared" si="876"/>
        <v>0</v>
      </c>
      <c r="AC564" s="81"/>
      <c r="AD564" s="81"/>
      <c r="AE564" s="81"/>
      <c r="AF564" s="81"/>
      <c r="AG564" s="77"/>
      <c r="AH564" s="77"/>
      <c r="AI564" s="81"/>
      <c r="AJ564" s="81"/>
      <c r="AK564" s="81"/>
      <c r="AL564" s="81"/>
      <c r="AM564" s="81"/>
      <c r="AN564" s="81"/>
      <c r="AO564" s="81"/>
      <c r="AP564" s="81"/>
    </row>
    <row r="565" ht="34.5" customHeight="1">
      <c r="A565" s="81"/>
      <c r="B565" s="77"/>
      <c r="C565" s="130"/>
      <c r="D565" s="165" t="s">
        <v>96</v>
      </c>
      <c r="E565" s="165" t="s">
        <v>84</v>
      </c>
      <c r="F565" s="165"/>
      <c r="G565" s="165"/>
      <c r="H565" s="165" t="s">
        <v>91</v>
      </c>
      <c r="I565" s="165">
        <v>65.0</v>
      </c>
      <c r="J565" s="166">
        <v>1930000.0</v>
      </c>
      <c r="K565" s="166">
        <v>1930000.0</v>
      </c>
      <c r="L565" s="161">
        <v>691080.0</v>
      </c>
      <c r="M565" s="161">
        <v>691080.0</v>
      </c>
      <c r="N565" s="186">
        <v>2621080.0</v>
      </c>
      <c r="O565" s="186">
        <v>2621080.0</v>
      </c>
      <c r="P565" s="81"/>
      <c r="Q565" s="127">
        <v>1930000.0</v>
      </c>
      <c r="R565" s="127">
        <v>1930000.0</v>
      </c>
      <c r="S565" s="127">
        <v>691080.0</v>
      </c>
      <c r="T565" s="127">
        <v>691080.0</v>
      </c>
      <c r="U565" s="127">
        <v>2621080.0</v>
      </c>
      <c r="V565" s="127">
        <v>2621080.0</v>
      </c>
      <c r="W565" s="164">
        <f t="shared" ref="W565:AB565" si="877">+J565-Q565</f>
        <v>0</v>
      </c>
      <c r="X565" s="164">
        <f t="shared" si="877"/>
        <v>0</v>
      </c>
      <c r="Y565" s="164">
        <f t="shared" si="877"/>
        <v>0</v>
      </c>
      <c r="Z565" s="164">
        <f t="shared" si="877"/>
        <v>0</v>
      </c>
      <c r="AA565" s="164">
        <f t="shared" si="877"/>
        <v>0</v>
      </c>
      <c r="AB565" s="164">
        <f t="shared" si="877"/>
        <v>0</v>
      </c>
      <c r="AC565" s="81"/>
      <c r="AD565" s="81"/>
      <c r="AE565" s="81"/>
      <c r="AF565" s="81"/>
      <c r="AG565" s="77"/>
      <c r="AH565" s="77"/>
      <c r="AI565" s="81"/>
      <c r="AJ565" s="81"/>
      <c r="AK565" s="81"/>
      <c r="AL565" s="81"/>
      <c r="AM565" s="81"/>
      <c r="AN565" s="81"/>
      <c r="AO565" s="81"/>
      <c r="AP565" s="81"/>
    </row>
    <row r="566" ht="34.5" customHeight="1">
      <c r="A566" s="81"/>
      <c r="B566" s="77"/>
      <c r="C566" s="130"/>
      <c r="D566" s="165" t="s">
        <v>90</v>
      </c>
      <c r="E566" s="165" t="s">
        <v>96</v>
      </c>
      <c r="F566" s="165"/>
      <c r="G566" s="165"/>
      <c r="H566" s="165"/>
      <c r="I566" s="165">
        <v>65.0</v>
      </c>
      <c r="J566" s="166">
        <v>1930000.0</v>
      </c>
      <c r="K566" s="166">
        <v>1930000.0</v>
      </c>
      <c r="L566" s="161">
        <v>691080.0</v>
      </c>
      <c r="M566" s="161">
        <v>691080.0</v>
      </c>
      <c r="N566" s="186">
        <v>2621080.0</v>
      </c>
      <c r="O566" s="186">
        <v>2621080.0</v>
      </c>
      <c r="P566" s="81"/>
      <c r="Q566" s="127">
        <v>1930000.0</v>
      </c>
      <c r="R566" s="127">
        <v>1930000.0</v>
      </c>
      <c r="S566" s="127">
        <v>691080.0</v>
      </c>
      <c r="T566" s="127">
        <v>691080.0</v>
      </c>
      <c r="U566" s="127">
        <v>2621080.0</v>
      </c>
      <c r="V566" s="127">
        <v>2621080.0</v>
      </c>
      <c r="W566" s="164">
        <f t="shared" ref="W566:AB566" si="878">+J566-Q566</f>
        <v>0</v>
      </c>
      <c r="X566" s="164">
        <f t="shared" si="878"/>
        <v>0</v>
      </c>
      <c r="Y566" s="164">
        <f t="shared" si="878"/>
        <v>0</v>
      </c>
      <c r="Z566" s="164">
        <f t="shared" si="878"/>
        <v>0</v>
      </c>
      <c r="AA566" s="164">
        <f t="shared" si="878"/>
        <v>0</v>
      </c>
      <c r="AB566" s="164">
        <f t="shared" si="878"/>
        <v>0</v>
      </c>
      <c r="AC566" s="81"/>
      <c r="AD566" s="81"/>
      <c r="AE566" s="81"/>
      <c r="AF566" s="81"/>
      <c r="AG566" s="77"/>
      <c r="AH566" s="77"/>
      <c r="AI566" s="81"/>
      <c r="AJ566" s="81"/>
      <c r="AK566" s="81"/>
      <c r="AL566" s="81"/>
      <c r="AM566" s="81"/>
      <c r="AN566" s="81"/>
      <c r="AO566" s="81"/>
      <c r="AP566" s="81"/>
    </row>
    <row r="567" ht="34.5" customHeight="1">
      <c r="A567" s="81"/>
      <c r="B567" s="77"/>
      <c r="C567" s="130"/>
      <c r="D567" s="165" t="s">
        <v>96</v>
      </c>
      <c r="E567" s="165" t="s">
        <v>85</v>
      </c>
      <c r="F567" s="165"/>
      <c r="G567" s="165"/>
      <c r="H567" s="165" t="s">
        <v>91</v>
      </c>
      <c r="I567" s="165">
        <v>75.0</v>
      </c>
      <c r="J567" s="166">
        <v>2120000.0</v>
      </c>
      <c r="K567" s="166">
        <v>2120000.0</v>
      </c>
      <c r="L567" s="161">
        <v>797400.0</v>
      </c>
      <c r="M567" s="161">
        <v>797400.0</v>
      </c>
      <c r="N567" s="186">
        <v>2917400.0</v>
      </c>
      <c r="O567" s="186">
        <v>2917400.0</v>
      </c>
      <c r="P567" s="81"/>
      <c r="Q567" s="127">
        <v>2120000.0</v>
      </c>
      <c r="R567" s="127">
        <v>2120000.0</v>
      </c>
      <c r="S567" s="127">
        <v>797400.0</v>
      </c>
      <c r="T567" s="127">
        <v>797400.0</v>
      </c>
      <c r="U567" s="127">
        <v>2917400.0</v>
      </c>
      <c r="V567" s="127">
        <v>2917400.0</v>
      </c>
      <c r="W567" s="164">
        <f t="shared" ref="W567:AB567" si="879">+J567-Q567</f>
        <v>0</v>
      </c>
      <c r="X567" s="164">
        <f t="shared" si="879"/>
        <v>0</v>
      </c>
      <c r="Y567" s="164">
        <f t="shared" si="879"/>
        <v>0</v>
      </c>
      <c r="Z567" s="164">
        <f t="shared" si="879"/>
        <v>0</v>
      </c>
      <c r="AA567" s="164">
        <f t="shared" si="879"/>
        <v>0</v>
      </c>
      <c r="AB567" s="164">
        <f t="shared" si="879"/>
        <v>0</v>
      </c>
      <c r="AC567" s="81"/>
      <c r="AD567" s="81"/>
      <c r="AE567" s="81"/>
      <c r="AF567" s="81"/>
      <c r="AG567" s="77"/>
      <c r="AH567" s="77"/>
      <c r="AI567" s="81"/>
      <c r="AJ567" s="81"/>
      <c r="AK567" s="81"/>
      <c r="AL567" s="81"/>
      <c r="AM567" s="81"/>
      <c r="AN567" s="81"/>
      <c r="AO567" s="81"/>
      <c r="AP567" s="81"/>
    </row>
    <row r="568" ht="34.5" customHeight="1">
      <c r="A568" s="81"/>
      <c r="B568" s="77"/>
      <c r="C568" s="130"/>
      <c r="D568" s="165" t="s">
        <v>90</v>
      </c>
      <c r="E568" s="165" t="s">
        <v>96</v>
      </c>
      <c r="F568" s="165"/>
      <c r="G568" s="165"/>
      <c r="H568" s="165"/>
      <c r="I568" s="165">
        <v>65.0</v>
      </c>
      <c r="J568" s="161">
        <v>2030000.0</v>
      </c>
      <c r="K568" s="161">
        <v>2030000.0</v>
      </c>
      <c r="L568" s="161">
        <v>691080.0</v>
      </c>
      <c r="M568" s="161">
        <v>691080.0</v>
      </c>
      <c r="N568" s="186">
        <v>2721080.0</v>
      </c>
      <c r="O568" s="186">
        <v>2721080.0</v>
      </c>
      <c r="P568" s="81"/>
      <c r="Q568" s="127">
        <v>2030000.0</v>
      </c>
      <c r="R568" s="127">
        <v>2030000.0</v>
      </c>
      <c r="S568" s="127">
        <v>691080.0</v>
      </c>
      <c r="T568" s="127">
        <v>691080.0</v>
      </c>
      <c r="U568" s="127">
        <v>2721080.0</v>
      </c>
      <c r="V568" s="127">
        <v>2721080.0</v>
      </c>
      <c r="W568" s="164">
        <f t="shared" ref="W568:AB568" si="880">+J568-Q568</f>
        <v>0</v>
      </c>
      <c r="X568" s="164">
        <f t="shared" si="880"/>
        <v>0</v>
      </c>
      <c r="Y568" s="164">
        <f t="shared" si="880"/>
        <v>0</v>
      </c>
      <c r="Z568" s="164">
        <f t="shared" si="880"/>
        <v>0</v>
      </c>
      <c r="AA568" s="164">
        <f t="shared" si="880"/>
        <v>0</v>
      </c>
      <c r="AB568" s="164">
        <f t="shared" si="880"/>
        <v>0</v>
      </c>
      <c r="AC568" s="81"/>
      <c r="AD568" s="81"/>
      <c r="AE568" s="81"/>
      <c r="AF568" s="81"/>
      <c r="AG568" s="77"/>
      <c r="AH568" s="77"/>
      <c r="AI568" s="81"/>
      <c r="AJ568" s="81"/>
      <c r="AK568" s="81"/>
      <c r="AL568" s="81"/>
      <c r="AM568" s="81"/>
      <c r="AN568" s="81"/>
      <c r="AO568" s="81"/>
      <c r="AP568" s="81"/>
    </row>
    <row r="569" ht="34.5" customHeight="1">
      <c r="A569" s="81"/>
      <c r="B569" s="77"/>
      <c r="C569" s="130"/>
      <c r="D569" s="165" t="s">
        <v>96</v>
      </c>
      <c r="E569" s="165" t="s">
        <v>86</v>
      </c>
      <c r="F569" s="165"/>
      <c r="G569" s="165"/>
      <c r="H569" s="165" t="s">
        <v>91</v>
      </c>
      <c r="I569" s="165">
        <v>85.0</v>
      </c>
      <c r="J569" s="166">
        <v>2250000.0</v>
      </c>
      <c r="K569" s="166">
        <v>2250000.0</v>
      </c>
      <c r="L569" s="161">
        <v>903720.0</v>
      </c>
      <c r="M569" s="161">
        <v>903720.0</v>
      </c>
      <c r="N569" s="186">
        <v>3153720.0</v>
      </c>
      <c r="O569" s="186">
        <v>3153720.0</v>
      </c>
      <c r="P569" s="81"/>
      <c r="Q569" s="127">
        <v>2250000.0</v>
      </c>
      <c r="R569" s="127">
        <v>2250000.0</v>
      </c>
      <c r="S569" s="127">
        <v>903720.0</v>
      </c>
      <c r="T569" s="127">
        <v>903720.0</v>
      </c>
      <c r="U569" s="127">
        <v>3153720.0</v>
      </c>
      <c r="V569" s="127">
        <v>3153720.0</v>
      </c>
      <c r="W569" s="164">
        <f t="shared" ref="W569:AB569" si="881">+J569-Q569</f>
        <v>0</v>
      </c>
      <c r="X569" s="164">
        <f t="shared" si="881"/>
        <v>0</v>
      </c>
      <c r="Y569" s="164">
        <f t="shared" si="881"/>
        <v>0</v>
      </c>
      <c r="Z569" s="164">
        <f t="shared" si="881"/>
        <v>0</v>
      </c>
      <c r="AA569" s="164">
        <f t="shared" si="881"/>
        <v>0</v>
      </c>
      <c r="AB569" s="164">
        <f t="shared" si="881"/>
        <v>0</v>
      </c>
      <c r="AC569" s="81"/>
      <c r="AD569" s="81"/>
      <c r="AE569" s="81"/>
      <c r="AF569" s="81"/>
      <c r="AG569" s="77"/>
      <c r="AH569" s="77"/>
      <c r="AI569" s="81"/>
      <c r="AJ569" s="81"/>
      <c r="AK569" s="81"/>
      <c r="AL569" s="81"/>
      <c r="AM569" s="81"/>
      <c r="AN569" s="81"/>
      <c r="AO569" s="81"/>
      <c r="AP569" s="81"/>
    </row>
    <row r="570" ht="34.5" customHeight="1">
      <c r="A570" s="81"/>
      <c r="B570" s="77"/>
      <c r="C570" s="130"/>
      <c r="D570" s="165" t="s">
        <v>90</v>
      </c>
      <c r="E570" s="165" t="s">
        <v>97</v>
      </c>
      <c r="F570" s="165"/>
      <c r="G570" s="165"/>
      <c r="H570" s="165"/>
      <c r="I570" s="165">
        <v>25.0</v>
      </c>
      <c r="J570" s="166">
        <v>1670000.0</v>
      </c>
      <c r="K570" s="166">
        <v>1670000.0</v>
      </c>
      <c r="L570" s="161">
        <v>265800.0</v>
      </c>
      <c r="M570" s="161">
        <v>265800.0</v>
      </c>
      <c r="N570" s="186">
        <v>1935800.0</v>
      </c>
      <c r="O570" s="186">
        <v>1935800.0</v>
      </c>
      <c r="P570" s="81"/>
      <c r="Q570" s="127">
        <v>1670000.0</v>
      </c>
      <c r="R570" s="127">
        <v>1670000.0</v>
      </c>
      <c r="S570" s="127">
        <v>265800.0</v>
      </c>
      <c r="T570" s="127">
        <v>265800.0</v>
      </c>
      <c r="U570" s="127">
        <v>1935800.0</v>
      </c>
      <c r="V570" s="127">
        <v>1935800.0</v>
      </c>
      <c r="W570" s="164">
        <f t="shared" ref="W570:AB570" si="882">+J570-Q570</f>
        <v>0</v>
      </c>
      <c r="X570" s="164">
        <f t="shared" si="882"/>
        <v>0</v>
      </c>
      <c r="Y570" s="164">
        <f t="shared" si="882"/>
        <v>0</v>
      </c>
      <c r="Z570" s="164">
        <f t="shared" si="882"/>
        <v>0</v>
      </c>
      <c r="AA570" s="164">
        <f t="shared" si="882"/>
        <v>0</v>
      </c>
      <c r="AB570" s="164">
        <f t="shared" si="882"/>
        <v>0</v>
      </c>
      <c r="AC570" s="81"/>
      <c r="AD570" s="81"/>
      <c r="AE570" s="81"/>
      <c r="AF570" s="81"/>
      <c r="AG570" s="77"/>
      <c r="AH570" s="77"/>
      <c r="AI570" s="81"/>
      <c r="AJ570" s="81"/>
      <c r="AK570" s="81"/>
      <c r="AL570" s="81"/>
      <c r="AM570" s="81"/>
      <c r="AN570" s="81"/>
      <c r="AO570" s="81"/>
      <c r="AP570" s="81"/>
    </row>
    <row r="571" ht="34.5" customHeight="1">
      <c r="A571" s="81"/>
      <c r="B571" s="77"/>
      <c r="C571" s="130"/>
      <c r="D571" s="165" t="s">
        <v>97</v>
      </c>
      <c r="E571" s="165" t="s">
        <v>84</v>
      </c>
      <c r="F571" s="165"/>
      <c r="G571" s="165"/>
      <c r="H571" s="165" t="s">
        <v>91</v>
      </c>
      <c r="I571" s="165">
        <v>120.0</v>
      </c>
      <c r="J571" s="166">
        <v>2580000.0</v>
      </c>
      <c r="K571" s="166">
        <v>2580000.0</v>
      </c>
      <c r="L571" s="161">
        <v>1275840.0</v>
      </c>
      <c r="M571" s="161">
        <v>1275840.0</v>
      </c>
      <c r="N571" s="186">
        <v>3855840.0</v>
      </c>
      <c r="O571" s="186">
        <v>3855840.0</v>
      </c>
      <c r="P571" s="81"/>
      <c r="Q571" s="127">
        <v>2580000.0</v>
      </c>
      <c r="R571" s="127">
        <v>2580000.0</v>
      </c>
      <c r="S571" s="127">
        <v>1275840.0</v>
      </c>
      <c r="T571" s="127">
        <v>1275840.0</v>
      </c>
      <c r="U571" s="127">
        <v>3855840.0</v>
      </c>
      <c r="V571" s="127">
        <v>3855840.0</v>
      </c>
      <c r="W571" s="164">
        <f t="shared" ref="W571:AB571" si="883">+J571-Q571</f>
        <v>0</v>
      </c>
      <c r="X571" s="164">
        <f t="shared" si="883"/>
        <v>0</v>
      </c>
      <c r="Y571" s="164">
        <f t="shared" si="883"/>
        <v>0</v>
      </c>
      <c r="Z571" s="164">
        <f t="shared" si="883"/>
        <v>0</v>
      </c>
      <c r="AA571" s="164">
        <f t="shared" si="883"/>
        <v>0</v>
      </c>
      <c r="AB571" s="164">
        <f t="shared" si="883"/>
        <v>0</v>
      </c>
      <c r="AC571" s="81"/>
      <c r="AD571" s="81"/>
      <c r="AE571" s="81"/>
      <c r="AF571" s="81"/>
      <c r="AG571" s="77"/>
      <c r="AH571" s="77"/>
      <c r="AI571" s="81"/>
      <c r="AJ571" s="81"/>
      <c r="AK571" s="81"/>
      <c r="AL571" s="81"/>
      <c r="AM571" s="81"/>
      <c r="AN571" s="81"/>
      <c r="AO571" s="81"/>
      <c r="AP571" s="81"/>
    </row>
    <row r="572" ht="34.5" customHeight="1">
      <c r="A572" s="81"/>
      <c r="B572" s="77"/>
      <c r="C572" s="130"/>
      <c r="D572" s="165" t="s">
        <v>90</v>
      </c>
      <c r="E572" s="165" t="s">
        <v>97</v>
      </c>
      <c r="F572" s="165"/>
      <c r="G572" s="165"/>
      <c r="H572" s="165"/>
      <c r="I572" s="165">
        <v>25.0</v>
      </c>
      <c r="J572" s="166">
        <v>1670000.0</v>
      </c>
      <c r="K572" s="166">
        <v>1670000.0</v>
      </c>
      <c r="L572" s="161">
        <v>265800.0</v>
      </c>
      <c r="M572" s="161">
        <v>265800.0</v>
      </c>
      <c r="N572" s="186">
        <v>1935800.0</v>
      </c>
      <c r="O572" s="186">
        <v>1935800.0</v>
      </c>
      <c r="P572" s="81"/>
      <c r="Q572" s="127">
        <v>1670000.0</v>
      </c>
      <c r="R572" s="127">
        <v>1670000.0</v>
      </c>
      <c r="S572" s="127">
        <v>265800.0</v>
      </c>
      <c r="T572" s="127">
        <v>265800.0</v>
      </c>
      <c r="U572" s="127">
        <v>1935800.0</v>
      </c>
      <c r="V572" s="127">
        <v>1935800.0</v>
      </c>
      <c r="W572" s="164">
        <f t="shared" ref="W572:AB572" si="884">+J572-Q572</f>
        <v>0</v>
      </c>
      <c r="X572" s="164">
        <f t="shared" si="884"/>
        <v>0</v>
      </c>
      <c r="Y572" s="164">
        <f t="shared" si="884"/>
        <v>0</v>
      </c>
      <c r="Z572" s="164">
        <f t="shared" si="884"/>
        <v>0</v>
      </c>
      <c r="AA572" s="164">
        <f t="shared" si="884"/>
        <v>0</v>
      </c>
      <c r="AB572" s="164">
        <f t="shared" si="884"/>
        <v>0</v>
      </c>
      <c r="AC572" s="81"/>
      <c r="AD572" s="81"/>
      <c r="AE572" s="81"/>
      <c r="AF572" s="81"/>
      <c r="AG572" s="77"/>
      <c r="AH572" s="77"/>
      <c r="AI572" s="81"/>
      <c r="AJ572" s="81"/>
      <c r="AK572" s="81"/>
      <c r="AL572" s="81"/>
      <c r="AM572" s="81"/>
      <c r="AN572" s="81"/>
      <c r="AO572" s="81"/>
      <c r="AP572" s="81"/>
    </row>
    <row r="573" ht="34.5" customHeight="1">
      <c r="A573" s="81"/>
      <c r="B573" s="77"/>
      <c r="C573" s="130"/>
      <c r="D573" s="165" t="s">
        <v>97</v>
      </c>
      <c r="E573" s="165" t="s">
        <v>85</v>
      </c>
      <c r="F573" s="165"/>
      <c r="G573" s="165"/>
      <c r="H573" s="165" t="s">
        <v>91</v>
      </c>
      <c r="I573" s="165">
        <v>25.0</v>
      </c>
      <c r="J573" s="166">
        <v>1670000.0</v>
      </c>
      <c r="K573" s="166">
        <v>1670000.0</v>
      </c>
      <c r="L573" s="161">
        <v>265800.0</v>
      </c>
      <c r="M573" s="161">
        <v>265800.0</v>
      </c>
      <c r="N573" s="186">
        <v>1935800.0</v>
      </c>
      <c r="O573" s="186">
        <v>1935800.0</v>
      </c>
      <c r="P573" s="81"/>
      <c r="Q573" s="127">
        <v>1670000.0</v>
      </c>
      <c r="R573" s="127">
        <v>1670000.0</v>
      </c>
      <c r="S573" s="127">
        <v>265800.0</v>
      </c>
      <c r="T573" s="127">
        <v>265800.0</v>
      </c>
      <c r="U573" s="127">
        <v>1935800.0</v>
      </c>
      <c r="V573" s="127">
        <v>1935800.0</v>
      </c>
      <c r="W573" s="164">
        <f t="shared" ref="W573:AB573" si="885">+J573-Q573</f>
        <v>0</v>
      </c>
      <c r="X573" s="164">
        <f t="shared" si="885"/>
        <v>0</v>
      </c>
      <c r="Y573" s="164">
        <f t="shared" si="885"/>
        <v>0</v>
      </c>
      <c r="Z573" s="164">
        <f t="shared" si="885"/>
        <v>0</v>
      </c>
      <c r="AA573" s="164">
        <f t="shared" si="885"/>
        <v>0</v>
      </c>
      <c r="AB573" s="164">
        <f t="shared" si="885"/>
        <v>0</v>
      </c>
      <c r="AC573" s="81"/>
      <c r="AD573" s="81"/>
      <c r="AE573" s="81"/>
      <c r="AF573" s="81"/>
      <c r="AG573" s="77"/>
      <c r="AH573" s="77"/>
      <c r="AI573" s="81"/>
      <c r="AJ573" s="81"/>
      <c r="AK573" s="81"/>
      <c r="AL573" s="81"/>
      <c r="AM573" s="81"/>
      <c r="AN573" s="81"/>
      <c r="AO573" s="81"/>
      <c r="AP573" s="81"/>
    </row>
    <row r="574" ht="34.5" customHeight="1">
      <c r="A574" s="81"/>
      <c r="B574" s="77"/>
      <c r="C574" s="130"/>
      <c r="D574" s="165" t="s">
        <v>90</v>
      </c>
      <c r="E574" s="165" t="s">
        <v>97</v>
      </c>
      <c r="F574" s="165"/>
      <c r="G574" s="165"/>
      <c r="H574" s="165"/>
      <c r="I574" s="165">
        <v>25.0</v>
      </c>
      <c r="J574" s="166">
        <v>1670000.0</v>
      </c>
      <c r="K574" s="166">
        <v>1670000.0</v>
      </c>
      <c r="L574" s="161">
        <v>265800.0</v>
      </c>
      <c r="M574" s="161">
        <v>265800.0</v>
      </c>
      <c r="N574" s="186">
        <v>1935800.0</v>
      </c>
      <c r="O574" s="186">
        <v>1935800.0</v>
      </c>
      <c r="P574" s="81"/>
      <c r="Q574" s="127">
        <v>1670000.0</v>
      </c>
      <c r="R574" s="127">
        <v>1670000.0</v>
      </c>
      <c r="S574" s="127">
        <v>265800.0</v>
      </c>
      <c r="T574" s="127">
        <v>265800.0</v>
      </c>
      <c r="U574" s="127">
        <v>1935800.0</v>
      </c>
      <c r="V574" s="127">
        <v>1935800.0</v>
      </c>
      <c r="W574" s="164">
        <f t="shared" ref="W574:AB574" si="886">+J574-Q574</f>
        <v>0</v>
      </c>
      <c r="X574" s="164">
        <f t="shared" si="886"/>
        <v>0</v>
      </c>
      <c r="Y574" s="164">
        <f t="shared" si="886"/>
        <v>0</v>
      </c>
      <c r="Z574" s="164">
        <f t="shared" si="886"/>
        <v>0</v>
      </c>
      <c r="AA574" s="164">
        <f t="shared" si="886"/>
        <v>0</v>
      </c>
      <c r="AB574" s="164">
        <f t="shared" si="886"/>
        <v>0</v>
      </c>
      <c r="AC574" s="81"/>
      <c r="AD574" s="81"/>
      <c r="AE574" s="81"/>
      <c r="AF574" s="81"/>
      <c r="AG574" s="77"/>
      <c r="AH574" s="77"/>
      <c r="AI574" s="81"/>
      <c r="AJ574" s="81"/>
      <c r="AK574" s="81"/>
      <c r="AL574" s="81"/>
      <c r="AM574" s="81"/>
      <c r="AN574" s="81"/>
      <c r="AO574" s="81"/>
      <c r="AP574" s="81"/>
    </row>
    <row r="575" ht="34.5" customHeight="1">
      <c r="A575" s="81"/>
      <c r="B575" s="77"/>
      <c r="C575" s="130"/>
      <c r="D575" s="165" t="s">
        <v>97</v>
      </c>
      <c r="E575" s="165" t="s">
        <v>86</v>
      </c>
      <c r="F575" s="165"/>
      <c r="G575" s="165"/>
      <c r="H575" s="165" t="s">
        <v>91</v>
      </c>
      <c r="I575" s="165">
        <v>50.0</v>
      </c>
      <c r="J575" s="166">
        <v>2030000.0</v>
      </c>
      <c r="K575" s="166">
        <v>2030000.0</v>
      </c>
      <c r="L575" s="161">
        <v>531600.0</v>
      </c>
      <c r="M575" s="161">
        <v>531600.0</v>
      </c>
      <c r="N575" s="186">
        <v>2561600.0</v>
      </c>
      <c r="O575" s="186">
        <v>2561600.0</v>
      </c>
      <c r="P575" s="81"/>
      <c r="Q575" s="127">
        <v>2030000.0</v>
      </c>
      <c r="R575" s="127">
        <v>2030000.0</v>
      </c>
      <c r="S575" s="127">
        <v>531600.0</v>
      </c>
      <c r="T575" s="127">
        <v>531600.0</v>
      </c>
      <c r="U575" s="127">
        <v>2561600.0</v>
      </c>
      <c r="V575" s="127">
        <v>2561600.0</v>
      </c>
      <c r="W575" s="164">
        <f t="shared" ref="W575:AB575" si="887">+J575-Q575</f>
        <v>0</v>
      </c>
      <c r="X575" s="164">
        <f t="shared" si="887"/>
        <v>0</v>
      </c>
      <c r="Y575" s="164">
        <f t="shared" si="887"/>
        <v>0</v>
      </c>
      <c r="Z575" s="164">
        <f t="shared" si="887"/>
        <v>0</v>
      </c>
      <c r="AA575" s="164">
        <f t="shared" si="887"/>
        <v>0</v>
      </c>
      <c r="AB575" s="164">
        <f t="shared" si="887"/>
        <v>0</v>
      </c>
      <c r="AC575" s="81"/>
      <c r="AD575" s="81"/>
      <c r="AE575" s="81"/>
      <c r="AF575" s="81"/>
      <c r="AG575" s="77"/>
      <c r="AH575" s="77"/>
      <c r="AI575" s="81"/>
      <c r="AJ575" s="81"/>
      <c r="AK575" s="81"/>
      <c r="AL575" s="81"/>
      <c r="AM575" s="81"/>
      <c r="AN575" s="81"/>
      <c r="AO575" s="81"/>
      <c r="AP575" s="81"/>
    </row>
    <row r="576" ht="34.5" customHeight="1">
      <c r="A576" s="81"/>
      <c r="B576" s="77"/>
      <c r="C576" s="130"/>
      <c r="D576" s="165" t="s">
        <v>90</v>
      </c>
      <c r="E576" s="165" t="s">
        <v>98</v>
      </c>
      <c r="F576" s="165"/>
      <c r="G576" s="165"/>
      <c r="H576" s="165"/>
      <c r="I576" s="165">
        <v>30.0</v>
      </c>
      <c r="J576" s="166">
        <v>1810000.0</v>
      </c>
      <c r="K576" s="166">
        <v>1810000.0</v>
      </c>
      <c r="L576" s="161">
        <v>318960.0</v>
      </c>
      <c r="M576" s="161">
        <v>318960.0</v>
      </c>
      <c r="N576" s="186">
        <v>2128960.0</v>
      </c>
      <c r="O576" s="186">
        <v>2128960.0</v>
      </c>
      <c r="P576" s="81"/>
      <c r="Q576" s="127">
        <v>1810000.0</v>
      </c>
      <c r="R576" s="127">
        <v>1810000.0</v>
      </c>
      <c r="S576" s="127">
        <v>318960.0</v>
      </c>
      <c r="T576" s="127">
        <v>318960.0</v>
      </c>
      <c r="U576" s="127">
        <v>2128960.0</v>
      </c>
      <c r="V576" s="127">
        <v>2128960.0</v>
      </c>
      <c r="W576" s="164">
        <f t="shared" ref="W576:AB576" si="888">+J576-Q576</f>
        <v>0</v>
      </c>
      <c r="X576" s="164">
        <f t="shared" si="888"/>
        <v>0</v>
      </c>
      <c r="Y576" s="164">
        <f t="shared" si="888"/>
        <v>0</v>
      </c>
      <c r="Z576" s="164">
        <f t="shared" si="888"/>
        <v>0</v>
      </c>
      <c r="AA576" s="164">
        <f t="shared" si="888"/>
        <v>0</v>
      </c>
      <c r="AB576" s="164">
        <f t="shared" si="888"/>
        <v>0</v>
      </c>
      <c r="AC576" s="81"/>
      <c r="AD576" s="81"/>
      <c r="AE576" s="81"/>
      <c r="AF576" s="81"/>
      <c r="AG576" s="77"/>
      <c r="AH576" s="77"/>
      <c r="AI576" s="81"/>
      <c r="AJ576" s="81"/>
      <c r="AK576" s="81"/>
      <c r="AL576" s="81"/>
      <c r="AM576" s="81"/>
      <c r="AN576" s="81"/>
      <c r="AO576" s="81"/>
      <c r="AP576" s="81"/>
    </row>
    <row r="577" ht="34.5" customHeight="1">
      <c r="A577" s="81"/>
      <c r="B577" s="77"/>
      <c r="C577" s="130"/>
      <c r="D577" s="165" t="s">
        <v>98</v>
      </c>
      <c r="E577" s="165" t="s">
        <v>84</v>
      </c>
      <c r="F577" s="165"/>
      <c r="G577" s="165"/>
      <c r="H577" s="165" t="s">
        <v>91</v>
      </c>
      <c r="I577" s="165">
        <v>120.0</v>
      </c>
      <c r="J577" s="166">
        <v>2680000.0</v>
      </c>
      <c r="K577" s="166">
        <v>2680000.0</v>
      </c>
      <c r="L577" s="161">
        <v>1275840.0</v>
      </c>
      <c r="M577" s="161">
        <v>1275840.0</v>
      </c>
      <c r="N577" s="186">
        <v>3955840.0</v>
      </c>
      <c r="O577" s="186">
        <v>3955840.0</v>
      </c>
      <c r="P577" s="81"/>
      <c r="Q577" s="127">
        <v>2680000.0</v>
      </c>
      <c r="R577" s="127">
        <v>2680000.0</v>
      </c>
      <c r="S577" s="127">
        <v>1275840.0</v>
      </c>
      <c r="T577" s="127">
        <v>1275840.0</v>
      </c>
      <c r="U577" s="127">
        <v>3955840.0</v>
      </c>
      <c r="V577" s="127">
        <v>3955840.0</v>
      </c>
      <c r="W577" s="164">
        <f t="shared" ref="W577:AB577" si="889">+J577-Q577</f>
        <v>0</v>
      </c>
      <c r="X577" s="164">
        <f t="shared" si="889"/>
        <v>0</v>
      </c>
      <c r="Y577" s="164">
        <f t="shared" si="889"/>
        <v>0</v>
      </c>
      <c r="Z577" s="164">
        <f t="shared" si="889"/>
        <v>0</v>
      </c>
      <c r="AA577" s="164">
        <f t="shared" si="889"/>
        <v>0</v>
      </c>
      <c r="AB577" s="164">
        <f t="shared" si="889"/>
        <v>0</v>
      </c>
      <c r="AC577" s="81"/>
      <c r="AD577" s="81"/>
      <c r="AE577" s="81"/>
      <c r="AF577" s="81"/>
      <c r="AG577" s="77"/>
      <c r="AH577" s="77"/>
      <c r="AI577" s="81"/>
      <c r="AJ577" s="81"/>
      <c r="AK577" s="81"/>
      <c r="AL577" s="81"/>
      <c r="AM577" s="81"/>
      <c r="AN577" s="81"/>
      <c r="AO577" s="81"/>
      <c r="AP577" s="81"/>
    </row>
    <row r="578" ht="34.5" customHeight="1">
      <c r="A578" s="81"/>
      <c r="B578" s="77"/>
      <c r="C578" s="130"/>
      <c r="D578" s="165" t="s">
        <v>90</v>
      </c>
      <c r="E578" s="165" t="s">
        <v>98</v>
      </c>
      <c r="F578" s="165"/>
      <c r="G578" s="165"/>
      <c r="H578" s="165"/>
      <c r="I578" s="165">
        <v>30.0</v>
      </c>
      <c r="J578" s="166">
        <v>1710000.0</v>
      </c>
      <c r="K578" s="166">
        <v>1710000.0</v>
      </c>
      <c r="L578" s="161">
        <v>318960.0</v>
      </c>
      <c r="M578" s="161">
        <v>318960.0</v>
      </c>
      <c r="N578" s="186">
        <v>2028960.0</v>
      </c>
      <c r="O578" s="186">
        <v>2028960.0</v>
      </c>
      <c r="P578" s="81"/>
      <c r="Q578" s="127">
        <v>1710000.0</v>
      </c>
      <c r="R578" s="127">
        <v>1710000.0</v>
      </c>
      <c r="S578" s="127">
        <v>318960.0</v>
      </c>
      <c r="T578" s="127">
        <v>318960.0</v>
      </c>
      <c r="U578" s="127">
        <v>2028960.0</v>
      </c>
      <c r="V578" s="127">
        <v>2028960.0</v>
      </c>
      <c r="W578" s="164">
        <f t="shared" ref="W578:AB578" si="890">+J578-Q578</f>
        <v>0</v>
      </c>
      <c r="X578" s="164">
        <f t="shared" si="890"/>
        <v>0</v>
      </c>
      <c r="Y578" s="164">
        <f t="shared" si="890"/>
        <v>0</v>
      </c>
      <c r="Z578" s="164">
        <f t="shared" si="890"/>
        <v>0</v>
      </c>
      <c r="AA578" s="164">
        <f t="shared" si="890"/>
        <v>0</v>
      </c>
      <c r="AB578" s="164">
        <f t="shared" si="890"/>
        <v>0</v>
      </c>
      <c r="AC578" s="81"/>
      <c r="AD578" s="81"/>
      <c r="AE578" s="81"/>
      <c r="AF578" s="81"/>
      <c r="AG578" s="77"/>
      <c r="AH578" s="77"/>
      <c r="AI578" s="81"/>
      <c r="AJ578" s="81"/>
      <c r="AK578" s="81"/>
      <c r="AL578" s="81"/>
      <c r="AM578" s="81"/>
      <c r="AN578" s="81"/>
      <c r="AO578" s="81"/>
      <c r="AP578" s="81"/>
    </row>
    <row r="579" ht="34.5" customHeight="1">
      <c r="A579" s="81"/>
      <c r="B579" s="77"/>
      <c r="C579" s="130"/>
      <c r="D579" s="165" t="s">
        <v>98</v>
      </c>
      <c r="E579" s="165" t="s">
        <v>85</v>
      </c>
      <c r="F579" s="165"/>
      <c r="G579" s="165"/>
      <c r="H579" s="165" t="s">
        <v>91</v>
      </c>
      <c r="I579" s="165">
        <v>50.0</v>
      </c>
      <c r="J579" s="166">
        <v>1930000.0</v>
      </c>
      <c r="K579" s="166">
        <v>1930000.0</v>
      </c>
      <c r="L579" s="161">
        <v>531600.0</v>
      </c>
      <c r="M579" s="161">
        <v>531600.0</v>
      </c>
      <c r="N579" s="186">
        <v>2461600.0</v>
      </c>
      <c r="O579" s="186">
        <v>2461600.0</v>
      </c>
      <c r="P579" s="81"/>
      <c r="Q579" s="127">
        <v>1930000.0</v>
      </c>
      <c r="R579" s="127">
        <v>1930000.0</v>
      </c>
      <c r="S579" s="127">
        <v>531600.0</v>
      </c>
      <c r="T579" s="127">
        <v>531600.0</v>
      </c>
      <c r="U579" s="127">
        <v>2461600.0</v>
      </c>
      <c r="V579" s="127">
        <v>2461600.0</v>
      </c>
      <c r="W579" s="164">
        <f t="shared" ref="W579:AB579" si="891">+J579-Q579</f>
        <v>0</v>
      </c>
      <c r="X579" s="164">
        <f t="shared" si="891"/>
        <v>0</v>
      </c>
      <c r="Y579" s="164">
        <f t="shared" si="891"/>
        <v>0</v>
      </c>
      <c r="Z579" s="164">
        <f t="shared" si="891"/>
        <v>0</v>
      </c>
      <c r="AA579" s="164">
        <f t="shared" si="891"/>
        <v>0</v>
      </c>
      <c r="AB579" s="164">
        <f t="shared" si="891"/>
        <v>0</v>
      </c>
      <c r="AC579" s="81"/>
      <c r="AD579" s="81"/>
      <c r="AE579" s="81"/>
      <c r="AF579" s="81"/>
      <c r="AG579" s="77"/>
      <c r="AH579" s="77"/>
      <c r="AI579" s="81"/>
      <c r="AJ579" s="81"/>
      <c r="AK579" s="81"/>
      <c r="AL579" s="81"/>
      <c r="AM579" s="81"/>
      <c r="AN579" s="81"/>
      <c r="AO579" s="81"/>
      <c r="AP579" s="81"/>
    </row>
    <row r="580" ht="34.5" customHeight="1">
      <c r="A580" s="81"/>
      <c r="B580" s="77"/>
      <c r="C580" s="130"/>
      <c r="D580" s="165" t="s">
        <v>90</v>
      </c>
      <c r="E580" s="165" t="s">
        <v>98</v>
      </c>
      <c r="F580" s="165"/>
      <c r="G580" s="165"/>
      <c r="H580" s="165"/>
      <c r="I580" s="165">
        <v>30.0</v>
      </c>
      <c r="J580" s="166">
        <v>1710000.0</v>
      </c>
      <c r="K580" s="166">
        <v>1710000.0</v>
      </c>
      <c r="L580" s="161">
        <v>318960.0</v>
      </c>
      <c r="M580" s="161">
        <v>318960.0</v>
      </c>
      <c r="N580" s="186">
        <v>2028960.0</v>
      </c>
      <c r="O580" s="186">
        <v>2028960.0</v>
      </c>
      <c r="P580" s="81"/>
      <c r="Q580" s="127">
        <v>1710000.0</v>
      </c>
      <c r="R580" s="127">
        <v>1710000.0</v>
      </c>
      <c r="S580" s="127">
        <v>318960.0</v>
      </c>
      <c r="T580" s="127">
        <v>318960.0</v>
      </c>
      <c r="U580" s="127">
        <v>2028960.0</v>
      </c>
      <c r="V580" s="127">
        <v>2028960.0</v>
      </c>
      <c r="W580" s="164">
        <f t="shared" ref="W580:AB580" si="892">+J580-Q580</f>
        <v>0</v>
      </c>
      <c r="X580" s="164">
        <f t="shared" si="892"/>
        <v>0</v>
      </c>
      <c r="Y580" s="164">
        <f t="shared" si="892"/>
        <v>0</v>
      </c>
      <c r="Z580" s="164">
        <f t="shared" si="892"/>
        <v>0</v>
      </c>
      <c r="AA580" s="164">
        <f t="shared" si="892"/>
        <v>0</v>
      </c>
      <c r="AB580" s="164">
        <f t="shared" si="892"/>
        <v>0</v>
      </c>
      <c r="AC580" s="81"/>
      <c r="AD580" s="81"/>
      <c r="AE580" s="81"/>
      <c r="AF580" s="81"/>
      <c r="AG580" s="77"/>
      <c r="AH580" s="77"/>
      <c r="AI580" s="81"/>
      <c r="AJ580" s="81"/>
      <c r="AK580" s="81"/>
      <c r="AL580" s="81"/>
      <c r="AM580" s="81"/>
      <c r="AN580" s="81"/>
      <c r="AO580" s="81"/>
      <c r="AP580" s="81"/>
    </row>
    <row r="581" ht="34.5" customHeight="1">
      <c r="A581" s="81"/>
      <c r="B581" s="77"/>
      <c r="C581" s="118"/>
      <c r="D581" s="165" t="s">
        <v>98</v>
      </c>
      <c r="E581" s="165" t="s">
        <v>86</v>
      </c>
      <c r="F581" s="165"/>
      <c r="G581" s="165"/>
      <c r="H581" s="165" t="s">
        <v>91</v>
      </c>
      <c r="I581" s="165">
        <v>30.0</v>
      </c>
      <c r="J581" s="166">
        <v>1710000.0</v>
      </c>
      <c r="K581" s="166">
        <v>1710000.0</v>
      </c>
      <c r="L581" s="161">
        <v>318960.0</v>
      </c>
      <c r="M581" s="161">
        <v>318960.0</v>
      </c>
      <c r="N581" s="186">
        <v>2028960.0</v>
      </c>
      <c r="O581" s="186">
        <v>2028960.0</v>
      </c>
      <c r="P581" s="81"/>
      <c r="Q581" s="127">
        <v>1710000.0</v>
      </c>
      <c r="R581" s="127">
        <v>1710000.0</v>
      </c>
      <c r="S581" s="127">
        <v>318960.0</v>
      </c>
      <c r="T581" s="127">
        <v>318960.0</v>
      </c>
      <c r="U581" s="127">
        <v>2028960.0</v>
      </c>
      <c r="V581" s="127">
        <v>2028960.0</v>
      </c>
      <c r="W581" s="164">
        <f t="shared" ref="W581:AB581" si="893">+J581-Q581</f>
        <v>0</v>
      </c>
      <c r="X581" s="164">
        <f t="shared" si="893"/>
        <v>0</v>
      </c>
      <c r="Y581" s="164">
        <f t="shared" si="893"/>
        <v>0</v>
      </c>
      <c r="Z581" s="164">
        <f t="shared" si="893"/>
        <v>0</v>
      </c>
      <c r="AA581" s="164">
        <f t="shared" si="893"/>
        <v>0</v>
      </c>
      <c r="AB581" s="164">
        <f t="shared" si="893"/>
        <v>0</v>
      </c>
      <c r="AC581" s="81"/>
      <c r="AD581" s="81"/>
      <c r="AE581" s="81"/>
      <c r="AF581" s="81"/>
      <c r="AG581" s="77"/>
      <c r="AH581" s="77"/>
      <c r="AI581" s="81"/>
      <c r="AJ581" s="81"/>
      <c r="AK581" s="81"/>
      <c r="AL581" s="81"/>
      <c r="AM581" s="81"/>
      <c r="AN581" s="81"/>
      <c r="AO581" s="81"/>
      <c r="AP581" s="81"/>
    </row>
    <row r="582" ht="30.0" customHeight="1">
      <c r="A582" s="81"/>
      <c r="B582" s="77"/>
      <c r="C582" s="167" t="s">
        <v>102</v>
      </c>
      <c r="D582" s="165" t="s">
        <v>103</v>
      </c>
      <c r="E582" s="165" t="s">
        <v>84</v>
      </c>
      <c r="F582" s="165"/>
      <c r="G582" s="165"/>
      <c r="H582" s="165" t="s">
        <v>91</v>
      </c>
      <c r="I582" s="165">
        <v>80.0</v>
      </c>
      <c r="J582" s="166">
        <v>2730000.0</v>
      </c>
      <c r="K582" s="166">
        <v>2730000.0</v>
      </c>
      <c r="L582" s="161">
        <v>850560.0</v>
      </c>
      <c r="M582" s="161">
        <v>850560.0</v>
      </c>
      <c r="N582" s="186">
        <v>3580560.0</v>
      </c>
      <c r="O582" s="186">
        <v>3580560.0</v>
      </c>
      <c r="P582" s="81"/>
      <c r="Q582" s="127">
        <v>2730000.0</v>
      </c>
      <c r="R582" s="127">
        <v>2730000.0</v>
      </c>
      <c r="S582" s="127">
        <v>850560.0</v>
      </c>
      <c r="T582" s="127">
        <v>850560.0</v>
      </c>
      <c r="U582" s="127">
        <v>3580560.0</v>
      </c>
      <c r="V582" s="127">
        <v>3580560.0</v>
      </c>
      <c r="W582" s="164">
        <f t="shared" ref="W582:AB582" si="894">+J582-Q582</f>
        <v>0</v>
      </c>
      <c r="X582" s="164">
        <f t="shared" si="894"/>
        <v>0</v>
      </c>
      <c r="Y582" s="164">
        <f t="shared" si="894"/>
        <v>0</v>
      </c>
      <c r="Z582" s="164">
        <f t="shared" si="894"/>
        <v>0</v>
      </c>
      <c r="AA582" s="164">
        <f t="shared" si="894"/>
        <v>0</v>
      </c>
      <c r="AB582" s="164">
        <f t="shared" si="894"/>
        <v>0</v>
      </c>
      <c r="AC582" s="81"/>
      <c r="AD582" s="81"/>
      <c r="AE582" s="81"/>
      <c r="AF582" s="81"/>
      <c r="AG582" s="77"/>
      <c r="AH582" s="77"/>
      <c r="AI582" s="81"/>
      <c r="AJ582" s="81"/>
      <c r="AK582" s="81"/>
      <c r="AL582" s="81"/>
      <c r="AM582" s="81"/>
      <c r="AN582" s="81"/>
      <c r="AO582" s="81"/>
      <c r="AP582" s="81"/>
    </row>
    <row r="583" ht="30.0" customHeight="1">
      <c r="A583" s="81"/>
      <c r="B583" s="77"/>
      <c r="C583" s="130"/>
      <c r="D583" s="165" t="s">
        <v>103</v>
      </c>
      <c r="E583" s="165" t="s">
        <v>85</v>
      </c>
      <c r="F583" s="165"/>
      <c r="G583" s="165"/>
      <c r="H583" s="165" t="s">
        <v>91</v>
      </c>
      <c r="I583" s="165">
        <v>70.0</v>
      </c>
      <c r="J583" s="166">
        <v>2500000.0</v>
      </c>
      <c r="K583" s="166">
        <v>2500000.0</v>
      </c>
      <c r="L583" s="161">
        <v>744240.0</v>
      </c>
      <c r="M583" s="161">
        <v>744240.0</v>
      </c>
      <c r="N583" s="186">
        <v>3244240.0</v>
      </c>
      <c r="O583" s="186">
        <v>3244240.0</v>
      </c>
      <c r="P583" s="81"/>
      <c r="Q583" s="127">
        <v>2500000.0</v>
      </c>
      <c r="R583" s="127">
        <v>2500000.0</v>
      </c>
      <c r="S583" s="127">
        <v>744240.0</v>
      </c>
      <c r="T583" s="127">
        <v>744240.0</v>
      </c>
      <c r="U583" s="127">
        <v>3244240.0</v>
      </c>
      <c r="V583" s="127">
        <v>3244240.0</v>
      </c>
      <c r="W583" s="164">
        <f t="shared" ref="W583:AB583" si="895">+J583-Q583</f>
        <v>0</v>
      </c>
      <c r="X583" s="164">
        <f t="shared" si="895"/>
        <v>0</v>
      </c>
      <c r="Y583" s="164">
        <f t="shared" si="895"/>
        <v>0</v>
      </c>
      <c r="Z583" s="164">
        <f t="shared" si="895"/>
        <v>0</v>
      </c>
      <c r="AA583" s="164">
        <f t="shared" si="895"/>
        <v>0</v>
      </c>
      <c r="AB583" s="164">
        <f t="shared" si="895"/>
        <v>0</v>
      </c>
      <c r="AC583" s="81"/>
      <c r="AD583" s="81"/>
      <c r="AE583" s="81"/>
      <c r="AF583" s="81"/>
      <c r="AG583" s="77"/>
      <c r="AH583" s="77"/>
      <c r="AI583" s="81"/>
      <c r="AJ583" s="81"/>
      <c r="AK583" s="81"/>
      <c r="AL583" s="81"/>
      <c r="AM583" s="81"/>
      <c r="AN583" s="81"/>
      <c r="AO583" s="81"/>
      <c r="AP583" s="81"/>
    </row>
    <row r="584" ht="30.0" customHeight="1">
      <c r="A584" s="81"/>
      <c r="B584" s="77"/>
      <c r="C584" s="130"/>
      <c r="D584" s="165" t="s">
        <v>103</v>
      </c>
      <c r="E584" s="165" t="s">
        <v>86</v>
      </c>
      <c r="F584" s="165"/>
      <c r="G584" s="165"/>
      <c r="H584" s="165" t="s">
        <v>91</v>
      </c>
      <c r="I584" s="165">
        <v>80.0</v>
      </c>
      <c r="J584" s="166">
        <v>2530000.0</v>
      </c>
      <c r="K584" s="166">
        <v>2530000.0</v>
      </c>
      <c r="L584" s="161">
        <v>850560.0</v>
      </c>
      <c r="M584" s="161">
        <v>850560.0</v>
      </c>
      <c r="N584" s="186">
        <v>3380560.0</v>
      </c>
      <c r="O584" s="186">
        <v>3380560.0</v>
      </c>
      <c r="P584" s="81"/>
      <c r="Q584" s="127">
        <v>2530000.0</v>
      </c>
      <c r="R584" s="127">
        <v>2530000.0</v>
      </c>
      <c r="S584" s="127">
        <v>850560.0</v>
      </c>
      <c r="T584" s="127">
        <v>850560.0</v>
      </c>
      <c r="U584" s="127">
        <v>3380560.0</v>
      </c>
      <c r="V584" s="127">
        <v>3380560.0</v>
      </c>
      <c r="W584" s="164">
        <f t="shared" ref="W584:AB584" si="896">+J584-Q584</f>
        <v>0</v>
      </c>
      <c r="X584" s="164">
        <f t="shared" si="896"/>
        <v>0</v>
      </c>
      <c r="Y584" s="164">
        <f t="shared" si="896"/>
        <v>0</v>
      </c>
      <c r="Z584" s="164">
        <f t="shared" si="896"/>
        <v>0</v>
      </c>
      <c r="AA584" s="164">
        <f t="shared" si="896"/>
        <v>0</v>
      </c>
      <c r="AB584" s="164">
        <f t="shared" si="896"/>
        <v>0</v>
      </c>
      <c r="AC584" s="81"/>
      <c r="AD584" s="81"/>
      <c r="AE584" s="81"/>
      <c r="AF584" s="81"/>
      <c r="AG584" s="77"/>
      <c r="AH584" s="77"/>
      <c r="AI584" s="81"/>
      <c r="AJ584" s="81"/>
      <c r="AK584" s="81"/>
      <c r="AL584" s="81"/>
      <c r="AM584" s="81"/>
      <c r="AN584" s="81"/>
      <c r="AO584" s="81"/>
      <c r="AP584" s="81"/>
    </row>
    <row r="585" ht="30.0" customHeight="1">
      <c r="A585" s="81"/>
      <c r="B585" s="77"/>
      <c r="C585" s="130"/>
      <c r="D585" s="165" t="s">
        <v>104</v>
      </c>
      <c r="E585" s="165" t="s">
        <v>84</v>
      </c>
      <c r="F585" s="165"/>
      <c r="G585" s="165"/>
      <c r="H585" s="165" t="s">
        <v>91</v>
      </c>
      <c r="I585" s="165">
        <v>150.0</v>
      </c>
      <c r="J585" s="166">
        <v>3460000.0</v>
      </c>
      <c r="K585" s="166">
        <v>3460000.0</v>
      </c>
      <c r="L585" s="161">
        <v>1594800.0</v>
      </c>
      <c r="M585" s="161">
        <v>1594800.0</v>
      </c>
      <c r="N585" s="186">
        <v>5054800.0</v>
      </c>
      <c r="O585" s="186">
        <v>5054800.0</v>
      </c>
      <c r="P585" s="81"/>
      <c r="Q585" s="127">
        <v>3460000.0</v>
      </c>
      <c r="R585" s="127">
        <v>3460000.0</v>
      </c>
      <c r="S585" s="127">
        <v>1594800.0</v>
      </c>
      <c r="T585" s="127">
        <v>1594800.0</v>
      </c>
      <c r="U585" s="127">
        <v>5054800.0</v>
      </c>
      <c r="V585" s="127">
        <v>5054800.0</v>
      </c>
      <c r="W585" s="164">
        <f t="shared" ref="W585:AB585" si="897">+J585-Q585</f>
        <v>0</v>
      </c>
      <c r="X585" s="164">
        <f t="shared" si="897"/>
        <v>0</v>
      </c>
      <c r="Y585" s="164">
        <f t="shared" si="897"/>
        <v>0</v>
      </c>
      <c r="Z585" s="164">
        <f t="shared" si="897"/>
        <v>0</v>
      </c>
      <c r="AA585" s="164">
        <f t="shared" si="897"/>
        <v>0</v>
      </c>
      <c r="AB585" s="164">
        <f t="shared" si="897"/>
        <v>0</v>
      </c>
      <c r="AC585" s="81"/>
      <c r="AD585" s="81"/>
      <c r="AE585" s="81"/>
      <c r="AF585" s="81"/>
      <c r="AG585" s="77"/>
      <c r="AH585" s="77"/>
      <c r="AI585" s="81"/>
      <c r="AJ585" s="81"/>
      <c r="AK585" s="81"/>
      <c r="AL585" s="81"/>
      <c r="AM585" s="81"/>
      <c r="AN585" s="81"/>
      <c r="AO585" s="81"/>
      <c r="AP585" s="81"/>
    </row>
    <row r="586" ht="30.0" customHeight="1">
      <c r="A586" s="81"/>
      <c r="B586" s="77"/>
      <c r="C586" s="130"/>
      <c r="D586" s="165" t="s">
        <v>104</v>
      </c>
      <c r="E586" s="165" t="s">
        <v>85</v>
      </c>
      <c r="F586" s="165"/>
      <c r="G586" s="165"/>
      <c r="H586" s="165" t="s">
        <v>91</v>
      </c>
      <c r="I586" s="165">
        <v>60.0</v>
      </c>
      <c r="J586" s="166">
        <v>2460000.0</v>
      </c>
      <c r="K586" s="166">
        <v>2460000.0</v>
      </c>
      <c r="L586" s="161">
        <v>637920.0</v>
      </c>
      <c r="M586" s="161">
        <v>637920.0</v>
      </c>
      <c r="N586" s="186">
        <v>3097920.0</v>
      </c>
      <c r="O586" s="186">
        <v>3097920.0</v>
      </c>
      <c r="P586" s="81"/>
      <c r="Q586" s="127">
        <v>2460000.0</v>
      </c>
      <c r="R586" s="127">
        <v>2460000.0</v>
      </c>
      <c r="S586" s="127">
        <v>637920.0</v>
      </c>
      <c r="T586" s="127">
        <v>637920.0</v>
      </c>
      <c r="U586" s="127">
        <v>3097920.0</v>
      </c>
      <c r="V586" s="127">
        <v>3097920.0</v>
      </c>
      <c r="W586" s="164">
        <f t="shared" ref="W586:AB586" si="898">+J586-Q586</f>
        <v>0</v>
      </c>
      <c r="X586" s="164">
        <f t="shared" si="898"/>
        <v>0</v>
      </c>
      <c r="Y586" s="164">
        <f t="shared" si="898"/>
        <v>0</v>
      </c>
      <c r="Z586" s="164">
        <f t="shared" si="898"/>
        <v>0</v>
      </c>
      <c r="AA586" s="164">
        <f t="shared" si="898"/>
        <v>0</v>
      </c>
      <c r="AB586" s="164">
        <f t="shared" si="898"/>
        <v>0</v>
      </c>
      <c r="AC586" s="81"/>
      <c r="AD586" s="81"/>
      <c r="AE586" s="81"/>
      <c r="AF586" s="81"/>
      <c r="AG586" s="77"/>
      <c r="AH586" s="77"/>
      <c r="AI586" s="81"/>
      <c r="AJ586" s="81"/>
      <c r="AK586" s="81"/>
      <c r="AL586" s="81"/>
      <c r="AM586" s="81"/>
      <c r="AN586" s="81"/>
      <c r="AO586" s="81"/>
      <c r="AP586" s="81"/>
    </row>
    <row r="587" ht="30.0" customHeight="1">
      <c r="A587" s="81"/>
      <c r="B587" s="77"/>
      <c r="C587" s="130"/>
      <c r="D587" s="165" t="s">
        <v>104</v>
      </c>
      <c r="E587" s="165" t="s">
        <v>86</v>
      </c>
      <c r="F587" s="165"/>
      <c r="G587" s="165"/>
      <c r="H587" s="165" t="s">
        <v>91</v>
      </c>
      <c r="I587" s="165">
        <v>70.0</v>
      </c>
      <c r="J587" s="166">
        <v>2500000.0</v>
      </c>
      <c r="K587" s="166">
        <v>2500000.0</v>
      </c>
      <c r="L587" s="161">
        <v>744240.0</v>
      </c>
      <c r="M587" s="161">
        <v>744240.0</v>
      </c>
      <c r="N587" s="186">
        <v>3244240.0</v>
      </c>
      <c r="O587" s="186">
        <v>3244240.0</v>
      </c>
      <c r="P587" s="81"/>
      <c r="Q587" s="127">
        <v>2500000.0</v>
      </c>
      <c r="R587" s="127">
        <v>2500000.0</v>
      </c>
      <c r="S587" s="127">
        <v>744240.0</v>
      </c>
      <c r="T587" s="127">
        <v>744240.0</v>
      </c>
      <c r="U587" s="127">
        <v>3244240.0</v>
      </c>
      <c r="V587" s="127">
        <v>3244240.0</v>
      </c>
      <c r="W587" s="164">
        <f t="shared" ref="W587:AB587" si="899">+J587-Q587</f>
        <v>0</v>
      </c>
      <c r="X587" s="164">
        <f t="shared" si="899"/>
        <v>0</v>
      </c>
      <c r="Y587" s="164">
        <f t="shared" si="899"/>
        <v>0</v>
      </c>
      <c r="Z587" s="164">
        <f t="shared" si="899"/>
        <v>0</v>
      </c>
      <c r="AA587" s="164">
        <f t="shared" si="899"/>
        <v>0</v>
      </c>
      <c r="AB587" s="164">
        <f t="shared" si="899"/>
        <v>0</v>
      </c>
      <c r="AC587" s="81"/>
      <c r="AD587" s="81"/>
      <c r="AE587" s="81"/>
      <c r="AF587" s="81"/>
      <c r="AG587" s="77"/>
      <c r="AH587" s="77"/>
      <c r="AI587" s="81"/>
      <c r="AJ587" s="81"/>
      <c r="AK587" s="81"/>
      <c r="AL587" s="81"/>
      <c r="AM587" s="81"/>
      <c r="AN587" s="81"/>
      <c r="AO587" s="81"/>
      <c r="AP587" s="81"/>
    </row>
    <row r="588" ht="30.0" customHeight="1">
      <c r="A588" s="81"/>
      <c r="B588" s="77"/>
      <c r="C588" s="130"/>
      <c r="D588" s="165" t="s">
        <v>105</v>
      </c>
      <c r="E588" s="165" t="s">
        <v>84</v>
      </c>
      <c r="F588" s="165"/>
      <c r="G588" s="165"/>
      <c r="H588" s="165" t="s">
        <v>91</v>
      </c>
      <c r="I588" s="165">
        <v>110.0</v>
      </c>
      <c r="J588" s="166">
        <v>3320000.0</v>
      </c>
      <c r="K588" s="166">
        <v>3320000.0</v>
      </c>
      <c r="L588" s="161">
        <v>1169520.0</v>
      </c>
      <c r="M588" s="161">
        <v>1169520.0</v>
      </c>
      <c r="N588" s="186">
        <v>4489520.0</v>
      </c>
      <c r="O588" s="186">
        <v>4489520.0</v>
      </c>
      <c r="P588" s="81"/>
      <c r="Q588" s="127">
        <v>3320000.0</v>
      </c>
      <c r="R588" s="127">
        <v>3320000.0</v>
      </c>
      <c r="S588" s="127">
        <v>1169520.0</v>
      </c>
      <c r="T588" s="127">
        <v>1169520.0</v>
      </c>
      <c r="U588" s="127">
        <v>4489520.0</v>
      </c>
      <c r="V588" s="127">
        <v>4489520.0</v>
      </c>
      <c r="W588" s="164">
        <f t="shared" ref="W588:AB588" si="900">+J588-Q588</f>
        <v>0</v>
      </c>
      <c r="X588" s="164">
        <f t="shared" si="900"/>
        <v>0</v>
      </c>
      <c r="Y588" s="164">
        <f t="shared" si="900"/>
        <v>0</v>
      </c>
      <c r="Z588" s="164">
        <f t="shared" si="900"/>
        <v>0</v>
      </c>
      <c r="AA588" s="164">
        <f t="shared" si="900"/>
        <v>0</v>
      </c>
      <c r="AB588" s="164">
        <f t="shared" si="900"/>
        <v>0</v>
      </c>
      <c r="AC588" s="81"/>
      <c r="AD588" s="81"/>
      <c r="AE588" s="81"/>
      <c r="AF588" s="81"/>
      <c r="AG588" s="77"/>
      <c r="AH588" s="77"/>
      <c r="AI588" s="81"/>
      <c r="AJ588" s="81"/>
      <c r="AK588" s="81"/>
      <c r="AL588" s="81"/>
      <c r="AM588" s="81"/>
      <c r="AN588" s="81"/>
      <c r="AO588" s="81"/>
      <c r="AP588" s="81"/>
    </row>
    <row r="589" ht="30.0" customHeight="1">
      <c r="A589" s="81"/>
      <c r="B589" s="77"/>
      <c r="C589" s="130"/>
      <c r="D589" s="165" t="s">
        <v>105</v>
      </c>
      <c r="E589" s="165" t="s">
        <v>85</v>
      </c>
      <c r="F589" s="165"/>
      <c r="G589" s="165"/>
      <c r="H589" s="165" t="s">
        <v>91</v>
      </c>
      <c r="I589" s="165">
        <v>60.0</v>
      </c>
      <c r="J589" s="166">
        <v>2460000.0</v>
      </c>
      <c r="K589" s="166">
        <v>2460000.0</v>
      </c>
      <c r="L589" s="161">
        <v>637920.0</v>
      </c>
      <c r="M589" s="161">
        <v>637920.0</v>
      </c>
      <c r="N589" s="186">
        <v>3097920.0</v>
      </c>
      <c r="O589" s="186">
        <v>3097920.0</v>
      </c>
      <c r="P589" s="81"/>
      <c r="Q589" s="127">
        <v>2460000.0</v>
      </c>
      <c r="R589" s="127">
        <v>2460000.0</v>
      </c>
      <c r="S589" s="127">
        <v>637920.0</v>
      </c>
      <c r="T589" s="127">
        <v>637920.0</v>
      </c>
      <c r="U589" s="127">
        <v>3097920.0</v>
      </c>
      <c r="V589" s="127">
        <v>3097920.0</v>
      </c>
      <c r="W589" s="164">
        <f t="shared" ref="W589:AB589" si="901">+J589-Q589</f>
        <v>0</v>
      </c>
      <c r="X589" s="164">
        <f t="shared" si="901"/>
        <v>0</v>
      </c>
      <c r="Y589" s="164">
        <f t="shared" si="901"/>
        <v>0</v>
      </c>
      <c r="Z589" s="164">
        <f t="shared" si="901"/>
        <v>0</v>
      </c>
      <c r="AA589" s="164">
        <f t="shared" si="901"/>
        <v>0</v>
      </c>
      <c r="AB589" s="164">
        <f t="shared" si="901"/>
        <v>0</v>
      </c>
      <c r="AC589" s="81"/>
      <c r="AD589" s="81"/>
      <c r="AE589" s="81"/>
      <c r="AF589" s="81"/>
      <c r="AG589" s="77"/>
      <c r="AH589" s="77"/>
      <c r="AI589" s="81"/>
      <c r="AJ589" s="81"/>
      <c r="AK589" s="81"/>
      <c r="AL589" s="81"/>
      <c r="AM589" s="81"/>
      <c r="AN589" s="81"/>
      <c r="AO589" s="81"/>
      <c r="AP589" s="81"/>
    </row>
    <row r="590" ht="30.0" customHeight="1">
      <c r="A590" s="81"/>
      <c r="B590" s="77"/>
      <c r="C590" s="118"/>
      <c r="D590" s="165" t="s">
        <v>105</v>
      </c>
      <c r="E590" s="165" t="s">
        <v>86</v>
      </c>
      <c r="F590" s="165"/>
      <c r="G590" s="165"/>
      <c r="H590" s="165" t="s">
        <v>91</v>
      </c>
      <c r="I590" s="165">
        <v>80.0</v>
      </c>
      <c r="J590" s="166">
        <v>2530000.0</v>
      </c>
      <c r="K590" s="166">
        <v>2530000.0</v>
      </c>
      <c r="L590" s="161">
        <v>850560.0</v>
      </c>
      <c r="M590" s="161">
        <v>850560.0</v>
      </c>
      <c r="N590" s="186">
        <v>3380560.0</v>
      </c>
      <c r="O590" s="186">
        <v>3380560.0</v>
      </c>
      <c r="P590" s="81"/>
      <c r="Q590" s="127">
        <v>2530000.0</v>
      </c>
      <c r="R590" s="127">
        <v>2530000.0</v>
      </c>
      <c r="S590" s="127">
        <v>850560.0</v>
      </c>
      <c r="T590" s="127">
        <v>850560.0</v>
      </c>
      <c r="U590" s="127">
        <v>3380560.0</v>
      </c>
      <c r="V590" s="127">
        <v>3380560.0</v>
      </c>
      <c r="W590" s="164">
        <f t="shared" ref="W590:AB590" si="902">+J590-Q590</f>
        <v>0</v>
      </c>
      <c r="X590" s="164">
        <f t="shared" si="902"/>
        <v>0</v>
      </c>
      <c r="Y590" s="164">
        <f t="shared" si="902"/>
        <v>0</v>
      </c>
      <c r="Z590" s="164">
        <f t="shared" si="902"/>
        <v>0</v>
      </c>
      <c r="AA590" s="164">
        <f t="shared" si="902"/>
        <v>0</v>
      </c>
      <c r="AB590" s="164">
        <f t="shared" si="902"/>
        <v>0</v>
      </c>
      <c r="AC590" s="81"/>
      <c r="AD590" s="81"/>
      <c r="AE590" s="81"/>
      <c r="AF590" s="81"/>
      <c r="AG590" s="77"/>
      <c r="AH590" s="77"/>
      <c r="AI590" s="81"/>
      <c r="AJ590" s="81"/>
      <c r="AK590" s="81"/>
      <c r="AL590" s="81"/>
      <c r="AM590" s="81"/>
      <c r="AN590" s="81"/>
      <c r="AO590" s="81"/>
      <c r="AP590" s="81"/>
    </row>
    <row r="591" ht="24.75" customHeight="1">
      <c r="A591" s="81"/>
      <c r="B591" s="77"/>
      <c r="C591" s="170"/>
      <c r="D591" s="171"/>
      <c r="E591" s="171"/>
      <c r="F591" s="171"/>
      <c r="G591" s="171"/>
      <c r="H591" s="171"/>
      <c r="I591" s="171"/>
      <c r="J591" s="172"/>
      <c r="K591" s="172"/>
      <c r="L591" s="173"/>
      <c r="M591" s="173"/>
      <c r="N591" s="174"/>
      <c r="O591" s="174"/>
      <c r="P591" s="81"/>
      <c r="Q591" s="127"/>
      <c r="R591" s="127"/>
      <c r="S591" s="127"/>
      <c r="T591" s="127"/>
      <c r="U591" s="127"/>
      <c r="V591" s="127"/>
      <c r="W591" s="144"/>
      <c r="X591" s="144"/>
      <c r="Y591" s="144"/>
      <c r="Z591" s="144"/>
      <c r="AA591" s="144"/>
      <c r="AB591" s="144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</row>
    <row r="592" ht="24.75" customHeight="1">
      <c r="A592" s="81"/>
      <c r="B592" s="77"/>
      <c r="C592" s="170"/>
      <c r="D592" s="171"/>
      <c r="E592" s="171"/>
      <c r="F592" s="171"/>
      <c r="G592" s="171"/>
      <c r="H592" s="171"/>
      <c r="I592" s="171"/>
      <c r="J592" s="172"/>
      <c r="K592" s="172"/>
      <c r="L592" s="173"/>
      <c r="M592" s="173"/>
      <c r="N592" s="174"/>
      <c r="O592" s="174"/>
      <c r="P592" s="81"/>
      <c r="Q592" s="127"/>
      <c r="R592" s="127"/>
      <c r="S592" s="127"/>
      <c r="T592" s="127"/>
      <c r="U592" s="127"/>
      <c r="V592" s="127"/>
      <c r="W592" s="144"/>
      <c r="X592" s="144"/>
      <c r="Y592" s="144"/>
      <c r="Z592" s="144"/>
      <c r="AA592" s="144"/>
      <c r="AB592" s="144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</row>
    <row r="593" ht="24.75" customHeight="1">
      <c r="A593" s="169"/>
      <c r="B593" s="201" t="s">
        <v>127</v>
      </c>
      <c r="C593" s="107" t="s">
        <v>128</v>
      </c>
      <c r="D593" s="197"/>
      <c r="E593" s="197"/>
      <c r="F593" s="197"/>
      <c r="G593" s="171"/>
      <c r="H593" s="171"/>
      <c r="I593" s="171"/>
      <c r="J593" s="202"/>
      <c r="K593" s="202"/>
      <c r="L593" s="172"/>
      <c r="M593" s="172"/>
      <c r="N593" s="203"/>
      <c r="O593" s="203"/>
      <c r="P593" s="169"/>
      <c r="Q593" s="175"/>
      <c r="R593" s="175"/>
      <c r="S593" s="175"/>
      <c r="T593" s="175"/>
      <c r="U593" s="175"/>
      <c r="V593" s="175"/>
      <c r="W593" s="176"/>
      <c r="X593" s="176"/>
      <c r="Y593" s="176"/>
      <c r="Z593" s="176"/>
      <c r="AA593" s="176"/>
      <c r="AB593" s="176"/>
      <c r="AC593" s="169"/>
      <c r="AD593" s="169"/>
      <c r="AE593" s="169"/>
      <c r="AF593" s="169"/>
      <c r="AG593" s="169"/>
      <c r="AH593" s="169"/>
      <c r="AI593" s="169"/>
      <c r="AJ593" s="169"/>
      <c r="AK593" s="169"/>
      <c r="AL593" s="169"/>
      <c r="AM593" s="169"/>
      <c r="AN593" s="169"/>
      <c r="AO593" s="169"/>
      <c r="AP593" s="169"/>
    </row>
    <row r="594" ht="24.75" customHeight="1">
      <c r="A594" s="169"/>
      <c r="B594" s="169"/>
      <c r="C594" s="204" t="s">
        <v>68</v>
      </c>
      <c r="D594" s="205" t="s">
        <v>129</v>
      </c>
      <c r="E594" s="197"/>
      <c r="F594" s="197"/>
      <c r="G594" s="171"/>
      <c r="H594" s="171"/>
      <c r="I594" s="171"/>
      <c r="J594" s="202"/>
      <c r="K594" s="202"/>
      <c r="L594" s="172"/>
      <c r="M594" s="172"/>
      <c r="N594" s="203"/>
      <c r="O594" s="203"/>
      <c r="P594" s="77"/>
      <c r="Q594" s="156" t="s">
        <v>129</v>
      </c>
      <c r="R594" s="156"/>
      <c r="S594" s="156"/>
      <c r="T594" s="156"/>
      <c r="U594" s="156"/>
      <c r="V594" s="156"/>
      <c r="W594" s="157" t="b">
        <f t="shared" ref="W594:W597" si="903">+D594=Q594</f>
        <v>1</v>
      </c>
      <c r="X594" s="157"/>
      <c r="Y594" s="157"/>
      <c r="Z594" s="157"/>
      <c r="AA594" s="157"/>
      <c r="AB594" s="15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</row>
    <row r="595" ht="24.75" customHeight="1">
      <c r="A595" s="169"/>
      <c r="B595" s="169"/>
      <c r="C595" s="204" t="s">
        <v>68</v>
      </c>
      <c r="D595" s="205" t="s">
        <v>130</v>
      </c>
      <c r="E595" s="197"/>
      <c r="F595" s="197"/>
      <c r="G595" s="171"/>
      <c r="H595" s="171"/>
      <c r="I595" s="171"/>
      <c r="J595" s="202"/>
      <c r="K595" s="202"/>
      <c r="L595" s="172"/>
      <c r="M595" s="172"/>
      <c r="N595" s="203"/>
      <c r="O595" s="203"/>
      <c r="P595" s="77"/>
      <c r="Q595" s="156" t="s">
        <v>130</v>
      </c>
      <c r="R595" s="156"/>
      <c r="S595" s="156"/>
      <c r="T595" s="156"/>
      <c r="U595" s="156"/>
      <c r="V595" s="156"/>
      <c r="W595" s="157" t="b">
        <f t="shared" si="903"/>
        <v>1</v>
      </c>
      <c r="X595" s="157"/>
      <c r="Y595" s="157"/>
      <c r="Z595" s="157"/>
      <c r="AA595" s="157"/>
      <c r="AB595" s="15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</row>
    <row r="596" ht="24.75" customHeight="1">
      <c r="A596" s="169"/>
      <c r="B596" s="169"/>
      <c r="C596" s="204" t="s">
        <v>131</v>
      </c>
      <c r="D596" s="205" t="s">
        <v>132</v>
      </c>
      <c r="E596" s="197"/>
      <c r="F596" s="197"/>
      <c r="G596" s="171"/>
      <c r="H596" s="171"/>
      <c r="I596" s="171"/>
      <c r="J596" s="202"/>
      <c r="K596" s="202"/>
      <c r="L596" s="172"/>
      <c r="M596" s="172"/>
      <c r="N596" s="203"/>
      <c r="O596" s="203"/>
      <c r="P596" s="77"/>
      <c r="Q596" s="156" t="s">
        <v>132</v>
      </c>
      <c r="R596" s="156"/>
      <c r="S596" s="156"/>
      <c r="T596" s="156"/>
      <c r="U596" s="156"/>
      <c r="V596" s="156"/>
      <c r="W596" s="157" t="b">
        <f t="shared" si="903"/>
        <v>1</v>
      </c>
      <c r="X596" s="157"/>
      <c r="Y596" s="157"/>
      <c r="Z596" s="157"/>
      <c r="AA596" s="157"/>
      <c r="AB596" s="15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</row>
    <row r="597" ht="24.75" customHeight="1">
      <c r="A597" s="169"/>
      <c r="B597" s="169"/>
      <c r="C597" s="204" t="s">
        <v>131</v>
      </c>
      <c r="D597" s="205" t="s">
        <v>133</v>
      </c>
      <c r="E597" s="197"/>
      <c r="F597" s="197"/>
      <c r="G597" s="171"/>
      <c r="H597" s="171"/>
      <c r="I597" s="171"/>
      <c r="J597" s="202"/>
      <c r="K597" s="202"/>
      <c r="L597" s="172"/>
      <c r="M597" s="172"/>
      <c r="N597" s="203"/>
      <c r="O597" s="203"/>
      <c r="P597" s="77"/>
      <c r="Q597" s="156" t="s">
        <v>133</v>
      </c>
      <c r="R597" s="156"/>
      <c r="S597" s="156"/>
      <c r="T597" s="156"/>
      <c r="U597" s="156"/>
      <c r="V597" s="156"/>
      <c r="W597" s="157" t="b">
        <f t="shared" si="903"/>
        <v>1</v>
      </c>
      <c r="X597" s="157"/>
      <c r="Y597" s="157"/>
      <c r="Z597" s="157"/>
      <c r="AA597" s="157"/>
      <c r="AB597" s="15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</row>
    <row r="598" ht="24.75" customHeight="1">
      <c r="A598" s="81"/>
      <c r="B598" s="206" t="s">
        <v>127</v>
      </c>
      <c r="C598" s="107" t="s">
        <v>134</v>
      </c>
      <c r="D598" s="197"/>
      <c r="E598" s="197"/>
      <c r="F598" s="197"/>
      <c r="G598" s="197"/>
      <c r="H598" s="197"/>
      <c r="I598" s="197"/>
      <c r="J598" s="81"/>
      <c r="K598" s="79" t="s">
        <v>135</v>
      </c>
      <c r="L598" s="198"/>
      <c r="M598" s="198"/>
      <c r="N598" s="207"/>
      <c r="O598" s="207"/>
      <c r="P598" s="81"/>
      <c r="Q598" s="127"/>
      <c r="R598" s="127"/>
      <c r="S598" s="127"/>
      <c r="T598" s="127"/>
      <c r="U598" s="127"/>
      <c r="V598" s="127"/>
      <c r="W598" s="144"/>
      <c r="X598" s="144"/>
      <c r="Y598" s="144"/>
      <c r="Z598" s="144"/>
      <c r="AA598" s="144"/>
      <c r="AB598" s="144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</row>
    <row r="599" ht="24.75" customHeight="1">
      <c r="A599" s="81"/>
      <c r="B599" s="81"/>
      <c r="C599" s="204"/>
      <c r="D599" s="205"/>
      <c r="E599" s="197"/>
      <c r="F599" s="197"/>
      <c r="G599" s="197"/>
      <c r="H599" s="197"/>
      <c r="I599" s="197"/>
      <c r="J599" s="79"/>
      <c r="K599" s="79"/>
      <c r="L599" s="198"/>
      <c r="M599" s="198"/>
      <c r="N599" s="207"/>
      <c r="O599" s="207"/>
      <c r="P599" s="81"/>
      <c r="Q599" s="208"/>
      <c r="R599" s="208"/>
      <c r="S599" s="208"/>
      <c r="T599" s="208"/>
      <c r="U599" s="208"/>
      <c r="V599" s="208"/>
      <c r="W599" s="209"/>
      <c r="X599" s="209"/>
      <c r="Y599" s="209"/>
      <c r="Z599" s="209"/>
      <c r="AA599" s="209"/>
      <c r="AB599" s="209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</row>
    <row r="600" ht="24.75" customHeight="1">
      <c r="A600" s="81"/>
      <c r="B600" s="206" t="s">
        <v>127</v>
      </c>
      <c r="C600" s="107" t="s">
        <v>136</v>
      </c>
      <c r="D600" s="197"/>
      <c r="E600" s="197"/>
      <c r="F600" s="197"/>
      <c r="G600" s="197"/>
      <c r="H600" s="197"/>
      <c r="I600" s="197"/>
      <c r="J600" s="81"/>
      <c r="K600" s="79" t="s">
        <v>137</v>
      </c>
      <c r="L600" s="198"/>
      <c r="M600" s="198"/>
      <c r="N600" s="207"/>
      <c r="O600" s="207"/>
      <c r="P600" s="81"/>
      <c r="Q600" s="208"/>
      <c r="R600" s="208"/>
      <c r="S600" s="208"/>
      <c r="T600" s="208"/>
      <c r="U600" s="208"/>
      <c r="V600" s="208"/>
      <c r="W600" s="209"/>
      <c r="X600" s="209"/>
      <c r="Y600" s="209"/>
      <c r="Z600" s="209"/>
      <c r="AA600" s="209"/>
      <c r="AB600" s="209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</row>
    <row r="601" ht="24.75" customHeight="1">
      <c r="A601" s="81"/>
      <c r="B601" s="81"/>
      <c r="C601" s="204"/>
      <c r="D601" s="205"/>
      <c r="E601" s="197"/>
      <c r="F601" s="197"/>
      <c r="G601" s="197"/>
      <c r="H601" s="197"/>
      <c r="I601" s="197"/>
      <c r="J601" s="79"/>
      <c r="K601" s="79"/>
      <c r="L601" s="198"/>
      <c r="M601" s="198"/>
      <c r="N601" s="207"/>
      <c r="O601" s="207"/>
      <c r="P601" s="81"/>
      <c r="Q601" s="208"/>
      <c r="R601" s="208"/>
      <c r="S601" s="208"/>
      <c r="T601" s="208"/>
      <c r="U601" s="208"/>
      <c r="V601" s="208"/>
      <c r="W601" s="209"/>
      <c r="X601" s="209"/>
      <c r="Y601" s="209"/>
      <c r="Z601" s="209"/>
      <c r="AA601" s="209"/>
      <c r="AB601" s="209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</row>
    <row r="602" ht="24.75" customHeight="1">
      <c r="A602" s="210"/>
      <c r="B602" s="206" t="s">
        <v>127</v>
      </c>
      <c r="C602" s="107" t="s">
        <v>138</v>
      </c>
      <c r="D602" s="197"/>
      <c r="E602" s="197"/>
      <c r="F602" s="197"/>
      <c r="G602" s="197"/>
      <c r="H602" s="197"/>
      <c r="I602" s="197"/>
      <c r="J602" s="81"/>
      <c r="K602" s="79"/>
      <c r="L602" s="198"/>
      <c r="M602" s="198"/>
      <c r="N602" s="207"/>
      <c r="O602" s="207"/>
      <c r="P602" s="210"/>
      <c r="Q602" s="208"/>
      <c r="R602" s="208"/>
      <c r="S602" s="208"/>
      <c r="T602" s="208"/>
      <c r="U602" s="208"/>
      <c r="V602" s="208"/>
      <c r="W602" s="209"/>
      <c r="X602" s="209"/>
      <c r="Y602" s="209"/>
      <c r="Z602" s="209"/>
      <c r="AA602" s="209"/>
      <c r="AB602" s="209"/>
      <c r="AC602" s="210"/>
      <c r="AD602" s="210"/>
      <c r="AE602" s="210"/>
      <c r="AF602" s="210"/>
      <c r="AG602" s="210"/>
      <c r="AH602" s="210"/>
      <c r="AI602" s="210"/>
      <c r="AJ602" s="210"/>
      <c r="AK602" s="210"/>
      <c r="AL602" s="210"/>
      <c r="AM602" s="210"/>
      <c r="AN602" s="210"/>
      <c r="AO602" s="210"/>
      <c r="AP602" s="210"/>
    </row>
    <row r="603" ht="24.75" customHeight="1">
      <c r="A603" s="210"/>
      <c r="B603" s="81"/>
      <c r="C603" s="211" t="s">
        <v>68</v>
      </c>
      <c r="D603" s="212" t="s">
        <v>139</v>
      </c>
      <c r="E603" s="197"/>
      <c r="F603" s="197"/>
      <c r="G603" s="197"/>
      <c r="H603" s="197"/>
      <c r="I603" s="197"/>
      <c r="J603" s="81"/>
      <c r="K603" s="79"/>
      <c r="L603" s="198"/>
      <c r="M603" s="198"/>
      <c r="N603" s="207"/>
      <c r="O603" s="207"/>
      <c r="P603" s="210"/>
      <c r="Q603" s="175"/>
      <c r="R603" s="175"/>
      <c r="S603" s="175"/>
      <c r="T603" s="175"/>
      <c r="U603" s="175"/>
      <c r="V603" s="175"/>
      <c r="W603" s="176"/>
      <c r="X603" s="176"/>
      <c r="Y603" s="176"/>
      <c r="Z603" s="176"/>
      <c r="AA603" s="176"/>
      <c r="AB603" s="176"/>
      <c r="AC603" s="210"/>
      <c r="AD603" s="210"/>
      <c r="AE603" s="210"/>
      <c r="AF603" s="210"/>
      <c r="AG603" s="210"/>
      <c r="AH603" s="210"/>
      <c r="AI603" s="210"/>
      <c r="AJ603" s="210"/>
      <c r="AK603" s="210"/>
      <c r="AL603" s="210"/>
      <c r="AM603" s="210"/>
      <c r="AN603" s="210"/>
      <c r="AO603" s="210"/>
      <c r="AP603" s="210"/>
    </row>
    <row r="604" ht="24.75" customHeight="1">
      <c r="A604" s="210"/>
      <c r="B604" s="81"/>
      <c r="C604" s="211" t="s">
        <v>68</v>
      </c>
      <c r="D604" s="212" t="s">
        <v>140</v>
      </c>
      <c r="E604" s="197"/>
      <c r="F604" s="197"/>
      <c r="G604" s="197"/>
      <c r="H604" s="197"/>
      <c r="I604" s="197"/>
      <c r="J604" s="81"/>
      <c r="K604" s="79" t="s">
        <v>141</v>
      </c>
      <c r="L604" s="198"/>
      <c r="M604" s="198"/>
      <c r="N604" s="207"/>
      <c r="O604" s="207"/>
      <c r="P604" s="210"/>
      <c r="Q604" s="175"/>
      <c r="R604" s="175"/>
      <c r="S604" s="175"/>
      <c r="T604" s="175"/>
      <c r="U604" s="175"/>
      <c r="V604" s="175"/>
      <c r="W604" s="176"/>
      <c r="X604" s="176"/>
      <c r="Y604" s="176"/>
      <c r="Z604" s="176"/>
      <c r="AA604" s="176"/>
      <c r="AB604" s="176"/>
      <c r="AC604" s="210"/>
      <c r="AD604" s="210"/>
      <c r="AE604" s="210"/>
      <c r="AF604" s="210"/>
      <c r="AG604" s="210"/>
      <c r="AH604" s="210"/>
      <c r="AI604" s="210"/>
      <c r="AJ604" s="210"/>
      <c r="AK604" s="210"/>
      <c r="AL604" s="210"/>
      <c r="AM604" s="210"/>
      <c r="AN604" s="210"/>
      <c r="AO604" s="210"/>
      <c r="AP604" s="210"/>
    </row>
    <row r="605" ht="24.75" customHeight="1">
      <c r="A605" s="210"/>
      <c r="B605" s="81"/>
      <c r="C605" s="211"/>
      <c r="D605" s="212"/>
      <c r="E605" s="197"/>
      <c r="F605" s="197"/>
      <c r="G605" s="197"/>
      <c r="H605" s="197"/>
      <c r="I605" s="197"/>
      <c r="J605" s="81"/>
      <c r="K605" s="79"/>
      <c r="L605" s="198"/>
      <c r="M605" s="198"/>
      <c r="N605" s="207"/>
      <c r="O605" s="207"/>
      <c r="P605" s="210"/>
      <c r="Q605" s="88"/>
      <c r="R605" s="88"/>
      <c r="S605" s="88"/>
      <c r="T605" s="88"/>
      <c r="U605" s="88"/>
      <c r="V605" s="88"/>
      <c r="W605" s="89"/>
      <c r="X605" s="89"/>
      <c r="Y605" s="89"/>
      <c r="Z605" s="89"/>
      <c r="AA605" s="89"/>
      <c r="AB605" s="89"/>
      <c r="AC605" s="210"/>
      <c r="AD605" s="210"/>
      <c r="AE605" s="210"/>
      <c r="AF605" s="210"/>
      <c r="AG605" s="210"/>
      <c r="AH605" s="210"/>
      <c r="AI605" s="210"/>
      <c r="AJ605" s="210"/>
      <c r="AK605" s="210"/>
      <c r="AL605" s="210"/>
      <c r="AM605" s="210"/>
      <c r="AN605" s="210"/>
      <c r="AO605" s="210"/>
      <c r="AP605" s="210"/>
    </row>
    <row r="606" ht="24.75" customHeight="1">
      <c r="A606" s="169"/>
      <c r="B606" s="105">
        <v>2.5</v>
      </c>
      <c r="C606" s="105" t="s">
        <v>142</v>
      </c>
      <c r="D606" s="171"/>
      <c r="E606" s="171"/>
      <c r="F606" s="171"/>
      <c r="G606" s="171"/>
      <c r="H606" s="171"/>
      <c r="I606" s="171"/>
      <c r="J606" s="172"/>
      <c r="K606" s="172"/>
      <c r="L606" s="173"/>
      <c r="M606" s="173"/>
      <c r="N606" s="174"/>
      <c r="O606" s="174"/>
      <c r="P606" s="169"/>
      <c r="Q606" s="88"/>
      <c r="R606" s="88"/>
      <c r="S606" s="88"/>
      <c r="T606" s="88"/>
      <c r="U606" s="88"/>
      <c r="V606" s="88"/>
      <c r="W606" s="89"/>
      <c r="X606" s="89"/>
      <c r="Y606" s="89"/>
      <c r="Z606" s="89"/>
      <c r="AA606" s="89"/>
      <c r="AB606" s="89"/>
      <c r="AC606" s="169"/>
      <c r="AD606" s="169"/>
      <c r="AE606" s="169"/>
      <c r="AF606" s="169"/>
      <c r="AG606" s="169"/>
      <c r="AH606" s="169"/>
      <c r="AI606" s="169"/>
      <c r="AJ606" s="169"/>
      <c r="AK606" s="169"/>
      <c r="AL606" s="169"/>
      <c r="AM606" s="169"/>
      <c r="AN606" s="169"/>
      <c r="AO606" s="169"/>
      <c r="AP606" s="169"/>
    </row>
    <row r="607" ht="24.75" customHeight="1">
      <c r="A607" s="169"/>
      <c r="B607" s="169"/>
      <c r="C607" s="170"/>
      <c r="D607" s="171"/>
      <c r="E607" s="171"/>
      <c r="F607" s="171"/>
      <c r="G607" s="171"/>
      <c r="H607" s="171"/>
      <c r="I607" s="171"/>
      <c r="J607" s="172"/>
      <c r="K607" s="172"/>
      <c r="L607" s="173"/>
      <c r="M607" s="173"/>
      <c r="N607" s="174"/>
      <c r="O607" s="174"/>
      <c r="P607" s="169"/>
      <c r="Q607" s="88"/>
      <c r="R607" s="88"/>
      <c r="S607" s="88"/>
      <c r="T607" s="88"/>
      <c r="U607" s="88"/>
      <c r="V607" s="88"/>
      <c r="W607" s="89"/>
      <c r="X607" s="89"/>
      <c r="Y607" s="89"/>
      <c r="Z607" s="89"/>
      <c r="AA607" s="89"/>
      <c r="AB607" s="89"/>
      <c r="AC607" s="169"/>
      <c r="AD607" s="169"/>
      <c r="AE607" s="169"/>
      <c r="AF607" s="169"/>
      <c r="AG607" s="169"/>
      <c r="AH607" s="169"/>
      <c r="AI607" s="169"/>
      <c r="AJ607" s="169"/>
      <c r="AK607" s="169"/>
      <c r="AL607" s="169"/>
      <c r="AM607" s="169"/>
      <c r="AN607" s="169"/>
      <c r="AO607" s="169"/>
      <c r="AP607" s="169"/>
    </row>
    <row r="608" ht="24.75" customHeight="1">
      <c r="A608" s="50"/>
      <c r="B608" s="201" t="s">
        <v>127</v>
      </c>
      <c r="C608" s="213" t="s">
        <v>143</v>
      </c>
      <c r="D608" s="171"/>
      <c r="E608" s="171"/>
      <c r="F608" s="171"/>
      <c r="G608" s="171"/>
      <c r="H608" s="171"/>
      <c r="I608" s="171"/>
      <c r="J608" s="202"/>
      <c r="K608" s="202"/>
      <c r="L608" s="172"/>
      <c r="M608" s="172"/>
      <c r="N608" s="203"/>
      <c r="O608" s="203"/>
      <c r="P608" s="13"/>
      <c r="Q608" s="88"/>
      <c r="R608" s="88"/>
      <c r="S608" s="88"/>
      <c r="T608" s="88"/>
      <c r="U608" s="88"/>
      <c r="V608" s="88"/>
      <c r="W608" s="89"/>
      <c r="X608" s="89"/>
      <c r="Y608" s="89"/>
      <c r="Z608" s="89"/>
      <c r="AA608" s="89"/>
      <c r="AB608" s="89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</row>
    <row r="609" ht="24.75" customHeight="1">
      <c r="A609" s="50"/>
      <c r="B609" s="214"/>
      <c r="C609" s="215" t="s">
        <v>144</v>
      </c>
      <c r="D609" s="171"/>
      <c r="E609" s="171"/>
      <c r="F609" s="171"/>
      <c r="G609" s="171"/>
      <c r="H609" s="171"/>
      <c r="I609" s="171"/>
      <c r="J609" s="202"/>
      <c r="K609" s="202"/>
      <c r="L609" s="172"/>
      <c r="M609" s="172"/>
      <c r="N609" s="203"/>
      <c r="O609" s="203"/>
      <c r="P609" s="13"/>
      <c r="Q609" s="88"/>
      <c r="R609" s="88"/>
      <c r="S609" s="88"/>
      <c r="T609" s="88"/>
      <c r="U609" s="88"/>
      <c r="V609" s="88"/>
      <c r="W609" s="89"/>
      <c r="X609" s="89"/>
      <c r="Y609" s="89"/>
      <c r="Z609" s="89"/>
      <c r="AA609" s="89"/>
      <c r="AB609" s="89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</row>
    <row r="610" ht="24.75" customHeight="1">
      <c r="A610" s="50"/>
      <c r="B610" s="214"/>
      <c r="C610" s="216" t="s">
        <v>145</v>
      </c>
      <c r="D610" s="171"/>
      <c r="E610" s="171"/>
      <c r="F610" s="171"/>
      <c r="G610" s="171"/>
      <c r="H610" s="217" t="s">
        <v>146</v>
      </c>
      <c r="I610" s="171"/>
      <c r="J610" s="202"/>
      <c r="K610" s="202"/>
      <c r="L610" s="172"/>
      <c r="M610" s="172"/>
      <c r="N610" s="203"/>
      <c r="O610" s="203"/>
      <c r="P610" s="13"/>
      <c r="Q610" s="88"/>
      <c r="R610" s="88"/>
      <c r="S610" s="88"/>
      <c r="T610" s="88"/>
      <c r="U610" s="88"/>
      <c r="V610" s="88"/>
      <c r="W610" s="89"/>
      <c r="X610" s="89"/>
      <c r="Y610" s="89"/>
      <c r="Z610" s="89"/>
      <c r="AA610" s="89"/>
      <c r="AB610" s="89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</row>
    <row r="611" ht="24.75" customHeight="1">
      <c r="A611" s="50"/>
      <c r="B611" s="214"/>
      <c r="C611" s="216" t="s">
        <v>147</v>
      </c>
      <c r="D611" s="171"/>
      <c r="E611" s="171"/>
      <c r="F611" s="171"/>
      <c r="G611" s="171"/>
      <c r="H611" s="217" t="s">
        <v>148</v>
      </c>
      <c r="I611" s="171"/>
      <c r="J611" s="202"/>
      <c r="K611" s="202"/>
      <c r="L611" s="172"/>
      <c r="M611" s="172"/>
      <c r="N611" s="203"/>
      <c r="O611" s="203"/>
      <c r="P611" s="13"/>
      <c r="Q611" s="88"/>
      <c r="R611" s="88"/>
      <c r="S611" s="88"/>
      <c r="T611" s="88"/>
      <c r="U611" s="88"/>
      <c r="V611" s="88"/>
      <c r="W611" s="89"/>
      <c r="X611" s="89"/>
      <c r="Y611" s="89"/>
      <c r="Z611" s="89"/>
      <c r="AA611" s="89"/>
      <c r="AB611" s="89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</row>
    <row r="612" ht="24.75" customHeight="1">
      <c r="A612" s="50"/>
      <c r="B612" s="214"/>
      <c r="C612" s="216" t="s">
        <v>149</v>
      </c>
      <c r="D612" s="171"/>
      <c r="E612" s="171"/>
      <c r="F612" s="171"/>
      <c r="G612" s="171"/>
      <c r="H612" s="217" t="s">
        <v>150</v>
      </c>
      <c r="I612" s="171"/>
      <c r="J612" s="202"/>
      <c r="K612" s="202"/>
      <c r="L612" s="172"/>
      <c r="M612" s="172"/>
      <c r="N612" s="203"/>
      <c r="O612" s="203"/>
      <c r="P612" s="13"/>
      <c r="Q612" s="218"/>
      <c r="R612" s="218"/>
      <c r="S612" s="218"/>
      <c r="T612" s="218"/>
      <c r="U612" s="218"/>
      <c r="V612" s="218"/>
      <c r="W612" s="219"/>
      <c r="X612" s="219"/>
      <c r="Y612" s="219"/>
      <c r="Z612" s="219"/>
      <c r="AA612" s="219"/>
      <c r="AB612" s="219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</row>
    <row r="613" ht="24.75" customHeight="1">
      <c r="A613" s="50"/>
      <c r="B613" s="214"/>
      <c r="C613" s="216"/>
      <c r="D613" s="171"/>
      <c r="E613" s="171"/>
      <c r="F613" s="171"/>
      <c r="G613" s="171"/>
      <c r="H613" s="217"/>
      <c r="I613" s="171"/>
      <c r="J613" s="202"/>
      <c r="K613" s="202"/>
      <c r="L613" s="172"/>
      <c r="M613" s="172"/>
      <c r="N613" s="203"/>
      <c r="O613" s="203"/>
      <c r="P613" s="13"/>
      <c r="Q613" s="218"/>
      <c r="R613" s="218"/>
      <c r="S613" s="218"/>
      <c r="T613" s="218"/>
      <c r="U613" s="218"/>
      <c r="V613" s="218"/>
      <c r="W613" s="219"/>
      <c r="X613" s="219"/>
      <c r="Y613" s="219"/>
      <c r="Z613" s="219"/>
      <c r="AA613" s="219"/>
      <c r="AB613" s="219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</row>
    <row r="614" ht="24.75" customHeight="1">
      <c r="A614" s="50"/>
      <c r="B614" s="214"/>
      <c r="C614" s="215" t="s">
        <v>151</v>
      </c>
      <c r="D614" s="171"/>
      <c r="E614" s="171"/>
      <c r="F614" s="171"/>
      <c r="G614" s="171"/>
      <c r="H614" s="171"/>
      <c r="I614" s="171"/>
      <c r="J614" s="202"/>
      <c r="K614" s="202"/>
      <c r="L614" s="172"/>
      <c r="M614" s="172"/>
      <c r="N614" s="203"/>
      <c r="O614" s="203"/>
      <c r="P614" s="13"/>
      <c r="Q614" s="218"/>
      <c r="R614" s="218"/>
      <c r="S614" s="218"/>
      <c r="T614" s="218"/>
      <c r="U614" s="218"/>
      <c r="V614" s="218"/>
      <c r="W614" s="219"/>
      <c r="X614" s="219"/>
      <c r="Y614" s="219"/>
      <c r="Z614" s="219"/>
      <c r="AA614" s="219"/>
      <c r="AB614" s="219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</row>
    <row r="615" ht="24.75" customHeight="1">
      <c r="A615" s="50"/>
      <c r="B615" s="214"/>
      <c r="C615" s="216" t="s">
        <v>145</v>
      </c>
      <c r="D615" s="171"/>
      <c r="E615" s="171"/>
      <c r="F615" s="171"/>
      <c r="G615" s="171"/>
      <c r="H615" s="217" t="s">
        <v>152</v>
      </c>
      <c r="I615" s="171"/>
      <c r="J615" s="202"/>
      <c r="K615" s="202"/>
      <c r="L615" s="172"/>
      <c r="M615" s="172"/>
      <c r="N615" s="203"/>
      <c r="O615" s="203"/>
      <c r="P615" s="13"/>
      <c r="Q615" s="218"/>
      <c r="R615" s="218"/>
      <c r="S615" s="218"/>
      <c r="T615" s="218"/>
      <c r="U615" s="218"/>
      <c r="V615" s="218"/>
      <c r="W615" s="219"/>
      <c r="X615" s="219"/>
      <c r="Y615" s="219"/>
      <c r="Z615" s="219"/>
      <c r="AA615" s="219"/>
      <c r="AB615" s="219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</row>
    <row r="616" ht="24.75" customHeight="1">
      <c r="A616" s="50"/>
      <c r="B616" s="214"/>
      <c r="C616" s="216" t="s">
        <v>153</v>
      </c>
      <c r="D616" s="171"/>
      <c r="E616" s="171"/>
      <c r="F616" s="171"/>
      <c r="G616" s="171"/>
      <c r="H616" s="217"/>
      <c r="I616" s="171"/>
      <c r="J616" s="202"/>
      <c r="K616" s="202"/>
      <c r="L616" s="172"/>
      <c r="M616" s="172"/>
      <c r="N616" s="203"/>
      <c r="O616" s="203"/>
      <c r="P616" s="13"/>
      <c r="Q616" s="218"/>
      <c r="R616" s="218"/>
      <c r="S616" s="218"/>
      <c r="T616" s="218"/>
      <c r="U616" s="218"/>
      <c r="V616" s="218"/>
      <c r="W616" s="219"/>
      <c r="X616" s="219"/>
      <c r="Y616" s="219"/>
      <c r="Z616" s="219"/>
      <c r="AA616" s="219"/>
      <c r="AB616" s="219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</row>
    <row r="617" ht="24.75" customHeight="1">
      <c r="A617" s="50"/>
      <c r="B617" s="214"/>
      <c r="C617" s="216"/>
      <c r="D617" s="171"/>
      <c r="E617" s="171"/>
      <c r="F617" s="171"/>
      <c r="G617" s="171"/>
      <c r="H617" s="217"/>
      <c r="I617" s="171"/>
      <c r="J617" s="202"/>
      <c r="K617" s="202"/>
      <c r="L617" s="172"/>
      <c r="M617" s="172"/>
      <c r="N617" s="203"/>
      <c r="O617" s="203"/>
      <c r="P617" s="13"/>
      <c r="Q617" s="88"/>
      <c r="R617" s="88"/>
      <c r="S617" s="88"/>
      <c r="T617" s="88"/>
      <c r="U617" s="88"/>
      <c r="V617" s="88"/>
      <c r="W617" s="89"/>
      <c r="X617" s="89"/>
      <c r="Y617" s="89"/>
      <c r="Z617" s="89"/>
      <c r="AA617" s="89"/>
      <c r="AB617" s="89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</row>
    <row r="618" ht="24.75" customHeight="1">
      <c r="A618" s="13"/>
      <c r="B618" s="206" t="s">
        <v>127</v>
      </c>
      <c r="C618" s="220" t="s">
        <v>154</v>
      </c>
      <c r="D618" s="197"/>
      <c r="E618" s="197"/>
      <c r="F618" s="197"/>
      <c r="G618" s="197"/>
      <c r="H618" s="212"/>
      <c r="I618" s="197"/>
      <c r="J618" s="79"/>
      <c r="K618" s="79"/>
      <c r="L618" s="198"/>
      <c r="M618" s="198"/>
      <c r="N618" s="207"/>
      <c r="O618" s="203"/>
      <c r="P618" s="13"/>
      <c r="Q618" s="88"/>
      <c r="R618" s="88"/>
      <c r="S618" s="88"/>
      <c r="T618" s="88"/>
      <c r="U618" s="88"/>
      <c r="V618" s="88"/>
      <c r="W618" s="89"/>
      <c r="X618" s="89"/>
      <c r="Y618" s="89"/>
      <c r="Z618" s="89"/>
      <c r="AA618" s="89"/>
      <c r="AB618" s="89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</row>
    <row r="619" ht="24.75" customHeight="1">
      <c r="A619" s="13"/>
      <c r="B619" s="217"/>
      <c r="C619" s="212" t="s">
        <v>155</v>
      </c>
      <c r="D619" s="212"/>
      <c r="E619" s="212"/>
      <c r="F619" s="212"/>
      <c r="G619" s="212"/>
      <c r="H619" s="212" t="s">
        <v>156</v>
      </c>
      <c r="I619" s="212"/>
      <c r="J619" s="221"/>
      <c r="K619" s="221"/>
      <c r="L619" s="222"/>
      <c r="M619" s="222"/>
      <c r="N619" s="221"/>
      <c r="O619" s="223"/>
      <c r="P619" s="13"/>
      <c r="Q619" s="88"/>
      <c r="R619" s="88"/>
      <c r="S619" s="88"/>
      <c r="T619" s="88"/>
      <c r="U619" s="88"/>
      <c r="V619" s="88"/>
      <c r="W619" s="89"/>
      <c r="X619" s="89"/>
      <c r="Y619" s="89"/>
      <c r="Z619" s="89"/>
      <c r="AA619" s="89"/>
      <c r="AB619" s="89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</row>
    <row r="620" ht="24.75" customHeight="1">
      <c r="A620" s="13"/>
      <c r="B620" s="224"/>
      <c r="C620" s="205" t="s">
        <v>157</v>
      </c>
      <c r="D620" s="197"/>
      <c r="E620" s="197"/>
      <c r="F620" s="197"/>
      <c r="G620" s="197"/>
      <c r="H620" s="212" t="s">
        <v>158</v>
      </c>
      <c r="I620" s="197"/>
      <c r="J620" s="79"/>
      <c r="K620" s="79"/>
      <c r="L620" s="198"/>
      <c r="M620" s="198"/>
      <c r="N620" s="207"/>
      <c r="O620" s="203"/>
      <c r="P620" s="13"/>
      <c r="Q620" s="88"/>
      <c r="R620" s="88"/>
      <c r="S620" s="88"/>
      <c r="T620" s="88"/>
      <c r="U620" s="88"/>
      <c r="V620" s="88"/>
      <c r="W620" s="89"/>
      <c r="X620" s="89"/>
      <c r="Y620" s="89"/>
      <c r="Z620" s="89"/>
      <c r="AA620" s="89"/>
      <c r="AB620" s="89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</row>
    <row r="621" ht="24.75" customHeight="1">
      <c r="A621" s="13"/>
      <c r="B621" s="224"/>
      <c r="C621" s="205" t="s">
        <v>159</v>
      </c>
      <c r="D621" s="197"/>
      <c r="E621" s="197"/>
      <c r="F621" s="197"/>
      <c r="G621" s="197"/>
      <c r="H621" s="212" t="s">
        <v>160</v>
      </c>
      <c r="I621" s="197"/>
      <c r="J621" s="79"/>
      <c r="K621" s="79"/>
      <c r="L621" s="198"/>
      <c r="M621" s="198"/>
      <c r="N621" s="207"/>
      <c r="O621" s="203"/>
      <c r="P621" s="13"/>
      <c r="Q621" s="88"/>
      <c r="R621" s="88"/>
      <c r="S621" s="88"/>
      <c r="T621" s="88"/>
      <c r="U621" s="88"/>
      <c r="V621" s="88"/>
      <c r="W621" s="89"/>
      <c r="X621" s="89"/>
      <c r="Y621" s="89"/>
      <c r="Z621" s="89"/>
      <c r="AA621" s="89"/>
      <c r="AB621" s="89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</row>
    <row r="622" ht="24.75" customHeight="1">
      <c r="A622" s="13"/>
      <c r="B622" s="206" t="s">
        <v>127</v>
      </c>
      <c r="C622" s="225" t="s">
        <v>161</v>
      </c>
      <c r="D622" s="140"/>
      <c r="E622" s="141"/>
      <c r="F622" s="141"/>
      <c r="G622" s="141"/>
      <c r="H622" s="142"/>
      <c r="I622" s="142"/>
      <c r="J622" s="226"/>
      <c r="K622" s="226"/>
      <c r="L622" s="143"/>
      <c r="M622" s="143"/>
      <c r="N622" s="227"/>
      <c r="O622" s="227"/>
      <c r="P622" s="13"/>
      <c r="Q622" s="208"/>
      <c r="R622" s="208"/>
      <c r="S622" s="208"/>
      <c r="T622" s="208"/>
      <c r="U622" s="208"/>
      <c r="V622" s="208"/>
      <c r="W622" s="209"/>
      <c r="X622" s="209"/>
      <c r="Y622" s="209"/>
      <c r="Z622" s="209"/>
      <c r="AA622" s="209"/>
      <c r="AB622" s="209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</row>
    <row r="623" ht="24.75" customHeight="1">
      <c r="A623" s="50"/>
      <c r="B623" s="214"/>
      <c r="C623" s="217" t="s">
        <v>162</v>
      </c>
      <c r="D623" s="228"/>
      <c r="E623" s="229"/>
      <c r="F623" s="229"/>
      <c r="G623" s="141"/>
      <c r="H623" s="212" t="s">
        <v>163</v>
      </c>
      <c r="I623" s="142"/>
      <c r="J623" s="230"/>
      <c r="K623" s="230"/>
      <c r="L623" s="231"/>
      <c r="M623" s="231"/>
      <c r="N623" s="232"/>
      <c r="O623" s="232"/>
      <c r="P623" s="50"/>
      <c r="Q623" s="88"/>
      <c r="R623" s="88"/>
      <c r="S623" s="88"/>
      <c r="T623" s="88"/>
      <c r="U623" s="88"/>
      <c r="V623" s="88"/>
      <c r="W623" s="89"/>
      <c r="X623" s="89"/>
      <c r="Y623" s="89"/>
      <c r="Z623" s="89"/>
      <c r="AA623" s="89"/>
      <c r="AB623" s="89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</row>
    <row r="624" ht="24.75" customHeight="1">
      <c r="A624" s="50"/>
      <c r="B624" s="214"/>
      <c r="C624" s="217" t="s">
        <v>164</v>
      </c>
      <c r="D624" s="228"/>
      <c r="E624" s="229"/>
      <c r="F624" s="229"/>
      <c r="G624" s="229"/>
      <c r="H624" s="217" t="s">
        <v>165</v>
      </c>
      <c r="I624" s="229"/>
      <c r="J624" s="230"/>
      <c r="K624" s="230"/>
      <c r="L624" s="231"/>
      <c r="M624" s="231"/>
      <c r="N624" s="232"/>
      <c r="O624" s="232"/>
      <c r="P624" s="50"/>
      <c r="Q624" s="88"/>
      <c r="R624" s="88"/>
      <c r="S624" s="88"/>
      <c r="T624" s="88"/>
      <c r="U624" s="88"/>
      <c r="V624" s="88"/>
      <c r="W624" s="89"/>
      <c r="X624" s="89"/>
      <c r="Y624" s="89"/>
      <c r="Z624" s="89"/>
      <c r="AA624" s="89"/>
      <c r="AB624" s="89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</row>
    <row r="625" ht="24.75" customHeight="1">
      <c r="A625" s="50"/>
      <c r="B625" s="214"/>
      <c r="C625" s="217" t="s">
        <v>166</v>
      </c>
      <c r="D625" s="228"/>
      <c r="E625" s="229"/>
      <c r="F625" s="229"/>
      <c r="G625" s="229"/>
      <c r="H625" s="217" t="s">
        <v>167</v>
      </c>
      <c r="I625" s="229"/>
      <c r="J625" s="230"/>
      <c r="K625" s="230"/>
      <c r="L625" s="231"/>
      <c r="M625" s="231"/>
      <c r="N625" s="232"/>
      <c r="O625" s="232"/>
      <c r="P625" s="50"/>
      <c r="Q625" s="233"/>
      <c r="R625" s="88"/>
      <c r="S625" s="88"/>
      <c r="T625" s="88"/>
      <c r="U625" s="88"/>
      <c r="V625" s="88"/>
      <c r="W625" s="89"/>
      <c r="X625" s="89"/>
      <c r="Y625" s="89"/>
      <c r="Z625" s="89"/>
      <c r="AA625" s="89"/>
      <c r="AB625" s="89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</row>
    <row r="626" ht="24.75" customHeight="1">
      <c r="A626" s="50"/>
      <c r="B626" s="214"/>
      <c r="C626" s="217" t="s">
        <v>168</v>
      </c>
      <c r="D626" s="228"/>
      <c r="E626" s="229"/>
      <c r="F626" s="229"/>
      <c r="G626" s="229"/>
      <c r="H626" s="217" t="s">
        <v>169</v>
      </c>
      <c r="I626" s="229"/>
      <c r="J626" s="230"/>
      <c r="K626" s="230"/>
      <c r="L626" s="231"/>
      <c r="M626" s="231"/>
      <c r="N626" s="232"/>
      <c r="O626" s="232"/>
      <c r="P626" s="50"/>
      <c r="Q626" s="88"/>
      <c r="R626" s="88"/>
      <c r="S626" s="88"/>
      <c r="T626" s="88"/>
      <c r="U626" s="88"/>
      <c r="V626" s="88"/>
      <c r="W626" s="89"/>
      <c r="X626" s="89"/>
      <c r="Y626" s="89"/>
      <c r="Z626" s="89"/>
      <c r="AA626" s="89"/>
      <c r="AB626" s="89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</row>
    <row r="627" ht="27.0" customHeight="1">
      <c r="A627" s="13"/>
      <c r="B627" s="224"/>
      <c r="C627" s="217" t="s">
        <v>170</v>
      </c>
      <c r="D627" s="228"/>
      <c r="E627" s="229"/>
      <c r="F627" s="229"/>
      <c r="G627" s="229"/>
      <c r="H627" s="217" t="s">
        <v>171</v>
      </c>
      <c r="I627" s="229"/>
      <c r="J627" s="226"/>
      <c r="K627" s="226"/>
      <c r="L627" s="143"/>
      <c r="M627" s="143"/>
      <c r="N627" s="227"/>
      <c r="O627" s="227"/>
      <c r="P627" s="13"/>
      <c r="Q627" s="88"/>
      <c r="R627" s="88"/>
      <c r="S627" s="88"/>
      <c r="T627" s="88"/>
      <c r="U627" s="88"/>
      <c r="V627" s="88"/>
      <c r="W627" s="89"/>
      <c r="X627" s="89"/>
      <c r="Y627" s="89"/>
      <c r="Z627" s="89"/>
      <c r="AA627" s="89"/>
      <c r="AB627" s="89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</row>
    <row r="628" ht="24.75" customHeight="1">
      <c r="A628" s="13"/>
      <c r="B628" s="224"/>
      <c r="C628" s="217" t="s">
        <v>172</v>
      </c>
      <c r="D628" s="228"/>
      <c r="E628" s="229"/>
      <c r="F628" s="229"/>
      <c r="G628" s="229"/>
      <c r="H628" s="217" t="s">
        <v>173</v>
      </c>
      <c r="I628" s="229"/>
      <c r="J628" s="226"/>
      <c r="K628" s="226"/>
      <c r="L628" s="143"/>
      <c r="M628" s="143"/>
      <c r="N628" s="227"/>
      <c r="O628" s="227"/>
      <c r="P628" s="13"/>
      <c r="Q628" s="88"/>
      <c r="R628" s="88"/>
      <c r="S628" s="88"/>
      <c r="T628" s="88"/>
      <c r="U628" s="88"/>
      <c r="V628" s="88"/>
      <c r="W628" s="89"/>
      <c r="X628" s="89"/>
      <c r="Y628" s="89"/>
      <c r="Z628" s="89"/>
      <c r="AA628" s="89"/>
      <c r="AB628" s="89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</row>
    <row r="629" ht="24.75" customHeight="1">
      <c r="A629" s="13"/>
      <c r="B629" s="224"/>
      <c r="C629" s="217" t="s">
        <v>174</v>
      </c>
      <c r="D629" s="228"/>
      <c r="E629" s="229"/>
      <c r="F629" s="229"/>
      <c r="G629" s="229"/>
      <c r="H629" s="217" t="s">
        <v>175</v>
      </c>
      <c r="I629" s="229"/>
      <c r="J629" s="226"/>
      <c r="K629" s="226"/>
      <c r="L629" s="143"/>
      <c r="M629" s="143"/>
      <c r="N629" s="227"/>
      <c r="O629" s="227"/>
      <c r="P629" s="13"/>
      <c r="Q629" s="88"/>
      <c r="R629" s="88"/>
      <c r="S629" s="88"/>
      <c r="T629" s="88"/>
      <c r="U629" s="88"/>
      <c r="V629" s="88"/>
      <c r="W629" s="89"/>
      <c r="X629" s="89"/>
      <c r="Y629" s="89"/>
      <c r="Z629" s="89"/>
      <c r="AA629" s="89"/>
      <c r="AB629" s="89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</row>
    <row r="630" ht="24.75" customHeight="1">
      <c r="A630" s="13"/>
      <c r="B630" s="224"/>
      <c r="C630" s="217" t="s">
        <v>176</v>
      </c>
      <c r="D630" s="228"/>
      <c r="E630" s="229"/>
      <c r="F630" s="229"/>
      <c r="G630" s="229"/>
      <c r="H630" s="217" t="s">
        <v>177</v>
      </c>
      <c r="I630" s="229"/>
      <c r="J630" s="226"/>
      <c r="K630" s="226"/>
      <c r="L630" s="143"/>
      <c r="M630" s="143"/>
      <c r="N630" s="227"/>
      <c r="O630" s="227"/>
      <c r="P630" s="13"/>
      <c r="Q630" s="88"/>
      <c r="R630" s="88"/>
      <c r="S630" s="88"/>
      <c r="T630" s="88"/>
      <c r="U630" s="88"/>
      <c r="V630" s="88"/>
      <c r="W630" s="89"/>
      <c r="X630" s="89"/>
      <c r="Y630" s="89"/>
      <c r="Z630" s="89"/>
      <c r="AA630" s="89"/>
      <c r="AB630" s="89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</row>
    <row r="631" ht="24.75" customHeight="1">
      <c r="A631" s="13"/>
      <c r="B631" s="206" t="s">
        <v>127</v>
      </c>
      <c r="C631" s="234" t="s">
        <v>178</v>
      </c>
      <c r="D631" s="140"/>
      <c r="E631" s="141"/>
      <c r="F631" s="141"/>
      <c r="G631" s="141"/>
      <c r="H631" s="142"/>
      <c r="I631" s="142"/>
      <c r="J631" s="226"/>
      <c r="K631" s="221"/>
      <c r="L631" s="143"/>
      <c r="M631" s="143"/>
      <c r="N631" s="227"/>
      <c r="O631" s="227"/>
      <c r="P631" s="13"/>
      <c r="Q631" s="88"/>
      <c r="R631" s="88"/>
      <c r="S631" s="88"/>
      <c r="T631" s="88"/>
      <c r="U631" s="88"/>
      <c r="V631" s="88"/>
      <c r="W631" s="89"/>
      <c r="X631" s="89"/>
      <c r="Y631" s="89"/>
      <c r="Z631" s="89"/>
      <c r="AA631" s="89"/>
      <c r="AB631" s="89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</row>
    <row r="632" ht="24.75" customHeight="1">
      <c r="A632" s="13"/>
      <c r="B632" s="224"/>
      <c r="C632" s="235" t="s">
        <v>127</v>
      </c>
      <c r="D632" s="212" t="s">
        <v>179</v>
      </c>
      <c r="E632" s="141"/>
      <c r="F632" s="141"/>
      <c r="G632" s="141"/>
      <c r="H632" s="142"/>
      <c r="I632" s="212" t="s">
        <v>180</v>
      </c>
      <c r="J632" s="226"/>
      <c r="K632" s="221" t="s">
        <v>181</v>
      </c>
      <c r="L632" s="143"/>
      <c r="M632" s="143"/>
      <c r="N632" s="227"/>
      <c r="O632" s="227"/>
      <c r="P632" s="13"/>
      <c r="Q632" s="88"/>
      <c r="R632" s="88"/>
      <c r="S632" s="88"/>
      <c r="T632" s="88"/>
      <c r="U632" s="88"/>
      <c r="V632" s="88"/>
      <c r="W632" s="89"/>
      <c r="X632" s="89"/>
      <c r="Y632" s="89"/>
      <c r="Z632" s="89"/>
      <c r="AA632" s="89"/>
      <c r="AB632" s="89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</row>
    <row r="633" ht="24.75" customHeight="1">
      <c r="A633" s="13"/>
      <c r="B633" s="13"/>
      <c r="C633" s="235" t="s">
        <v>127</v>
      </c>
      <c r="D633" s="212" t="s">
        <v>182</v>
      </c>
      <c r="E633" s="13"/>
      <c r="F633" s="13"/>
      <c r="G633" s="13"/>
      <c r="H633" s="13"/>
      <c r="I633" s="81" t="s">
        <v>183</v>
      </c>
      <c r="J633" s="81"/>
      <c r="K633" s="13"/>
      <c r="L633" s="87"/>
      <c r="M633" s="87"/>
      <c r="N633" s="13"/>
      <c r="O633" s="13"/>
      <c r="P633" s="13"/>
      <c r="Q633" s="88"/>
      <c r="R633" s="88"/>
      <c r="S633" s="88"/>
      <c r="T633" s="88"/>
      <c r="U633" s="88"/>
      <c r="V633" s="88"/>
      <c r="W633" s="89"/>
      <c r="X633" s="89"/>
      <c r="Y633" s="89"/>
      <c r="Z633" s="89"/>
      <c r="AA633" s="89"/>
      <c r="AB633" s="89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</row>
    <row r="634" ht="24.75" customHeight="1">
      <c r="A634" s="13"/>
      <c r="B634" s="13"/>
      <c r="C634" s="236"/>
      <c r="D634" s="212"/>
      <c r="E634" s="13"/>
      <c r="F634" s="13"/>
      <c r="G634" s="13"/>
      <c r="H634" s="13"/>
      <c r="I634" s="81"/>
      <c r="J634" s="81"/>
      <c r="K634" s="13"/>
      <c r="L634" s="87"/>
      <c r="M634" s="87"/>
      <c r="N634" s="13"/>
      <c r="O634" s="13"/>
      <c r="P634" s="13"/>
      <c r="Q634" s="88"/>
      <c r="R634" s="88"/>
      <c r="S634" s="88"/>
      <c r="T634" s="88"/>
      <c r="U634" s="88"/>
      <c r="V634" s="88"/>
      <c r="W634" s="89"/>
      <c r="X634" s="89"/>
      <c r="Y634" s="89"/>
      <c r="Z634" s="89"/>
      <c r="AA634" s="89"/>
      <c r="AB634" s="89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</row>
    <row r="635" ht="24.75" customHeight="1">
      <c r="A635" s="210"/>
      <c r="B635" s="105">
        <v>3.0</v>
      </c>
      <c r="C635" s="105" t="s">
        <v>184</v>
      </c>
      <c r="D635" s="210"/>
      <c r="E635" s="210"/>
      <c r="F635" s="210"/>
      <c r="G635" s="210"/>
      <c r="H635" s="210"/>
      <c r="I635" s="210"/>
      <c r="J635" s="210"/>
      <c r="K635" s="210"/>
      <c r="L635" s="237"/>
      <c r="M635" s="237"/>
      <c r="N635" s="210"/>
      <c r="O635" s="210"/>
      <c r="P635" s="210"/>
      <c r="Q635" s="88"/>
      <c r="R635" s="88"/>
      <c r="S635" s="88"/>
      <c r="T635" s="88"/>
      <c r="U635" s="88"/>
      <c r="V635" s="88"/>
      <c r="W635" s="89"/>
      <c r="X635" s="89"/>
      <c r="Y635" s="89"/>
      <c r="Z635" s="89"/>
      <c r="AA635" s="89"/>
      <c r="AB635" s="89"/>
      <c r="AC635" s="210"/>
      <c r="AD635" s="210"/>
      <c r="AE635" s="210"/>
      <c r="AF635" s="210"/>
      <c r="AG635" s="210"/>
      <c r="AH635" s="210"/>
      <c r="AI635" s="210"/>
      <c r="AJ635" s="210"/>
      <c r="AK635" s="210"/>
      <c r="AL635" s="210"/>
      <c r="AM635" s="210"/>
      <c r="AN635" s="210"/>
      <c r="AO635" s="210"/>
      <c r="AP635" s="210"/>
    </row>
    <row r="636" ht="24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87"/>
      <c r="M636" s="87"/>
      <c r="N636" s="13"/>
      <c r="O636" s="13"/>
      <c r="P636" s="13"/>
      <c r="Q636" s="88"/>
      <c r="R636" s="88"/>
      <c r="S636" s="88"/>
      <c r="T636" s="88"/>
      <c r="U636" s="88"/>
      <c r="V636" s="88"/>
      <c r="W636" s="89"/>
      <c r="X636" s="89"/>
      <c r="Y636" s="89"/>
      <c r="Z636" s="89"/>
      <c r="AA636" s="89"/>
      <c r="AB636" s="89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</row>
    <row r="637" ht="26.25" customHeight="1">
      <c r="A637" s="13"/>
      <c r="B637" s="13"/>
      <c r="C637" s="238" t="s">
        <v>51</v>
      </c>
      <c r="D637" s="137"/>
      <c r="E637" s="238" t="s">
        <v>52</v>
      </c>
      <c r="F637" s="136"/>
      <c r="G637" s="136"/>
      <c r="H637" s="136"/>
      <c r="I637" s="136"/>
      <c r="J637" s="137"/>
      <c r="K637" s="239" t="s">
        <v>185</v>
      </c>
      <c r="L637" s="240" t="s">
        <v>186</v>
      </c>
      <c r="M637" s="137"/>
      <c r="N637" s="238" t="s">
        <v>58</v>
      </c>
      <c r="O637" s="137"/>
      <c r="P637" s="13"/>
      <c r="Q637" s="88"/>
      <c r="R637" s="88"/>
      <c r="S637" s="88"/>
      <c r="T637" s="88"/>
      <c r="U637" s="88"/>
      <c r="V637" s="88"/>
      <c r="W637" s="89"/>
      <c r="X637" s="89"/>
      <c r="Y637" s="89"/>
      <c r="Z637" s="89"/>
      <c r="AA637" s="89"/>
      <c r="AB637" s="89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</row>
    <row r="638" ht="26.25" customHeight="1">
      <c r="A638" s="13"/>
      <c r="B638" s="13"/>
      <c r="C638" s="241" t="s">
        <v>187</v>
      </c>
      <c r="D638" s="111"/>
      <c r="E638" s="135" t="s">
        <v>188</v>
      </c>
      <c r="F638" s="136"/>
      <c r="G638" s="136"/>
      <c r="H638" s="136"/>
      <c r="I638" s="136"/>
      <c r="J638" s="137"/>
      <c r="K638" s="242" t="s">
        <v>54</v>
      </c>
      <c r="L638" s="243">
        <v>848499.0</v>
      </c>
      <c r="M638" s="137"/>
      <c r="N638" s="244" t="s">
        <v>189</v>
      </c>
      <c r="O638" s="137"/>
      <c r="P638" s="13"/>
      <c r="Q638" s="88"/>
      <c r="R638" s="88"/>
      <c r="S638" s="88"/>
      <c r="T638" s="88"/>
      <c r="U638" s="88"/>
      <c r="V638" s="88"/>
      <c r="W638" s="89"/>
      <c r="X638" s="89"/>
      <c r="Y638" s="89"/>
      <c r="Z638" s="89"/>
      <c r="AA638" s="89"/>
      <c r="AB638" s="89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</row>
    <row r="639" ht="26.25" customHeight="1">
      <c r="A639" s="13"/>
      <c r="B639" s="13"/>
      <c r="C639" s="128"/>
      <c r="D639" s="129"/>
      <c r="E639" s="135" t="s">
        <v>188</v>
      </c>
      <c r="F639" s="136"/>
      <c r="G639" s="136"/>
      <c r="H639" s="136"/>
      <c r="I639" s="136"/>
      <c r="J639" s="137"/>
      <c r="K639" s="242" t="s">
        <v>53</v>
      </c>
      <c r="L639" s="243">
        <v>848499.0</v>
      </c>
      <c r="M639" s="137"/>
      <c r="N639" s="244" t="s">
        <v>189</v>
      </c>
      <c r="O639" s="137"/>
      <c r="P639" s="13"/>
      <c r="Q639" s="88"/>
      <c r="R639" s="88"/>
      <c r="S639" s="88"/>
      <c r="T639" s="88"/>
      <c r="U639" s="88"/>
      <c r="V639" s="88"/>
      <c r="W639" s="89"/>
      <c r="X639" s="89"/>
      <c r="Y639" s="89"/>
      <c r="Z639" s="89"/>
      <c r="AA639" s="89"/>
      <c r="AB639" s="89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</row>
    <row r="640" ht="26.25" customHeight="1">
      <c r="A640" s="13"/>
      <c r="B640" s="13"/>
      <c r="C640" s="128"/>
      <c r="D640" s="129"/>
      <c r="E640" s="135" t="s">
        <v>190</v>
      </c>
      <c r="F640" s="136"/>
      <c r="G640" s="136"/>
      <c r="H640" s="136"/>
      <c r="I640" s="136"/>
      <c r="J640" s="137"/>
      <c r="K640" s="242" t="s">
        <v>54</v>
      </c>
      <c r="L640" s="243">
        <v>729208.0</v>
      </c>
      <c r="M640" s="137"/>
      <c r="N640" s="244" t="s">
        <v>189</v>
      </c>
      <c r="O640" s="137"/>
      <c r="P640" s="13"/>
      <c r="Q640" s="88"/>
      <c r="R640" s="88"/>
      <c r="S640" s="88"/>
      <c r="T640" s="88"/>
      <c r="U640" s="88"/>
      <c r="V640" s="88"/>
      <c r="W640" s="89"/>
      <c r="X640" s="89"/>
      <c r="Y640" s="89"/>
      <c r="Z640" s="89"/>
      <c r="AA640" s="89"/>
      <c r="AB640" s="89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</row>
    <row r="641" ht="26.25" customHeight="1">
      <c r="A641" s="13"/>
      <c r="B641" s="13"/>
      <c r="C641" s="116"/>
      <c r="D641" s="117"/>
      <c r="E641" s="135" t="s">
        <v>190</v>
      </c>
      <c r="F641" s="136"/>
      <c r="G641" s="136"/>
      <c r="H641" s="136"/>
      <c r="I641" s="136"/>
      <c r="J641" s="137"/>
      <c r="K641" s="242" t="s">
        <v>53</v>
      </c>
      <c r="L641" s="243">
        <v>729208.0</v>
      </c>
      <c r="M641" s="137"/>
      <c r="N641" s="244" t="s">
        <v>189</v>
      </c>
      <c r="O641" s="137"/>
      <c r="P641" s="13"/>
      <c r="Q641" s="88"/>
      <c r="R641" s="88"/>
      <c r="S641" s="88"/>
      <c r="T641" s="88"/>
      <c r="U641" s="88"/>
      <c r="V641" s="88"/>
      <c r="W641" s="89"/>
      <c r="X641" s="89"/>
      <c r="Y641" s="89"/>
      <c r="Z641" s="89"/>
      <c r="AA641" s="89"/>
      <c r="AB641" s="89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</row>
    <row r="642" ht="24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87"/>
      <c r="M642" s="87"/>
      <c r="N642" s="13"/>
      <c r="O642" s="13"/>
      <c r="P642" s="13"/>
      <c r="Q642" s="88"/>
      <c r="R642" s="88"/>
      <c r="S642" s="88"/>
      <c r="T642" s="88"/>
      <c r="U642" s="88"/>
      <c r="V642" s="88"/>
      <c r="W642" s="89"/>
      <c r="X642" s="89"/>
      <c r="Y642" s="89"/>
      <c r="Z642" s="89"/>
      <c r="AA642" s="89"/>
      <c r="AB642" s="89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</row>
  </sheetData>
  <mergeCells count="111">
    <mergeCell ref="C119:C132"/>
    <mergeCell ref="C133:C146"/>
    <mergeCell ref="C147:C164"/>
    <mergeCell ref="C165:C182"/>
    <mergeCell ref="C183:C200"/>
    <mergeCell ref="C201:C209"/>
    <mergeCell ref="C214:C215"/>
    <mergeCell ref="C216:C229"/>
    <mergeCell ref="C230:C243"/>
    <mergeCell ref="C244:C261"/>
    <mergeCell ref="C262:C279"/>
    <mergeCell ref="C280:C297"/>
    <mergeCell ref="C298:C306"/>
    <mergeCell ref="C311:C312"/>
    <mergeCell ref="C313:C326"/>
    <mergeCell ref="C327:C340"/>
    <mergeCell ref="C341:C358"/>
    <mergeCell ref="C359:C376"/>
    <mergeCell ref="C377:C394"/>
    <mergeCell ref="C395:C403"/>
    <mergeCell ref="C408:C409"/>
    <mergeCell ref="C410:C423"/>
    <mergeCell ref="C424:C441"/>
    <mergeCell ref="C442:C450"/>
    <mergeCell ref="C454:C455"/>
    <mergeCell ref="C456:C469"/>
    <mergeCell ref="C470:C487"/>
    <mergeCell ref="C488:C496"/>
    <mergeCell ref="C582:C590"/>
    <mergeCell ref="C637:D637"/>
    <mergeCell ref="C638:D641"/>
    <mergeCell ref="C502:C503"/>
    <mergeCell ref="C504:C517"/>
    <mergeCell ref="C518:C535"/>
    <mergeCell ref="C536:C544"/>
    <mergeCell ref="C548:C549"/>
    <mergeCell ref="C550:C563"/>
    <mergeCell ref="C564:C581"/>
    <mergeCell ref="D311:H311"/>
    <mergeCell ref="I311:I312"/>
    <mergeCell ref="J311:K311"/>
    <mergeCell ref="L311:M311"/>
    <mergeCell ref="N311:O311"/>
    <mergeCell ref="D408:H408"/>
    <mergeCell ref="I408:I409"/>
    <mergeCell ref="N408:O408"/>
    <mergeCell ref="J408:K408"/>
    <mergeCell ref="L408:M408"/>
    <mergeCell ref="D454:H454"/>
    <mergeCell ref="I454:I455"/>
    <mergeCell ref="J454:K454"/>
    <mergeCell ref="L454:M454"/>
    <mergeCell ref="N454:O454"/>
    <mergeCell ref="J548:K548"/>
    <mergeCell ref="L548:M548"/>
    <mergeCell ref="E637:J637"/>
    <mergeCell ref="L637:M637"/>
    <mergeCell ref="N637:O637"/>
    <mergeCell ref="L638:M638"/>
    <mergeCell ref="N638:O638"/>
    <mergeCell ref="L640:M640"/>
    <mergeCell ref="L641:M641"/>
    <mergeCell ref="E638:J638"/>
    <mergeCell ref="E639:J639"/>
    <mergeCell ref="L639:M639"/>
    <mergeCell ref="N639:O639"/>
    <mergeCell ref="E640:J640"/>
    <mergeCell ref="N640:O640"/>
    <mergeCell ref="E641:J641"/>
    <mergeCell ref="N641:O641"/>
    <mergeCell ref="I2:J2"/>
    <mergeCell ref="I3:J3"/>
    <mergeCell ref="L3:M3"/>
    <mergeCell ref="C7:D8"/>
    <mergeCell ref="E7:E8"/>
    <mergeCell ref="F7:I8"/>
    <mergeCell ref="E9:E11"/>
    <mergeCell ref="J20:K20"/>
    <mergeCell ref="L20:M20"/>
    <mergeCell ref="N20:O20"/>
    <mergeCell ref="C9:D11"/>
    <mergeCell ref="C12:I12"/>
    <mergeCell ref="C13:I13"/>
    <mergeCell ref="C14:I14"/>
    <mergeCell ref="C20:C21"/>
    <mergeCell ref="D20:H20"/>
    <mergeCell ref="I20:I21"/>
    <mergeCell ref="D117:H117"/>
    <mergeCell ref="I117:I118"/>
    <mergeCell ref="J117:K117"/>
    <mergeCell ref="L117:M117"/>
    <mergeCell ref="N117:O117"/>
    <mergeCell ref="C36:C49"/>
    <mergeCell ref="C50:C67"/>
    <mergeCell ref="C68:C85"/>
    <mergeCell ref="C86:C103"/>
    <mergeCell ref="C104:C112"/>
    <mergeCell ref="C117:C118"/>
    <mergeCell ref="D214:H214"/>
    <mergeCell ref="I214:I215"/>
    <mergeCell ref="J214:K214"/>
    <mergeCell ref="L214:M214"/>
    <mergeCell ref="N214:O214"/>
    <mergeCell ref="D502:H502"/>
    <mergeCell ref="I502:I503"/>
    <mergeCell ref="J502:K502"/>
    <mergeCell ref="L502:M502"/>
    <mergeCell ref="N502:O502"/>
    <mergeCell ref="D548:H548"/>
    <mergeCell ref="I548:I549"/>
    <mergeCell ref="N548:O548"/>
  </mergeCells>
  <printOptions horizontalCentered="1"/>
  <pageMargins bottom="0.3" footer="0.0" header="0.0" left="0.0" right="0.0" top="0.37"/>
  <pageSetup paperSize="9" scale="4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11.75"/>
    <col customWidth="1" min="3" max="3" width="31.38"/>
    <col customWidth="1" min="4" max="5" width="12.13"/>
    <col customWidth="1" min="6" max="7" width="4.75"/>
    <col customWidth="1" min="8" max="8" width="6.13"/>
    <col customWidth="1" min="9" max="9" width="26.25"/>
    <col customWidth="1" min="10" max="10" width="12.13"/>
    <col customWidth="1" min="11" max="12" width="12.25"/>
    <col customWidth="1" min="13" max="14" width="11.88"/>
    <col customWidth="1" min="15" max="16" width="9.5"/>
  </cols>
  <sheetData>
    <row r="1">
      <c r="A1" s="245" t="s">
        <v>191</v>
      </c>
      <c r="B1" s="245" t="s">
        <v>192</v>
      </c>
      <c r="C1" s="245" t="s">
        <v>76</v>
      </c>
      <c r="D1" s="245" t="s">
        <v>81</v>
      </c>
      <c r="E1" s="245" t="s">
        <v>193</v>
      </c>
      <c r="F1" s="245" t="s">
        <v>194</v>
      </c>
      <c r="G1" s="245" t="s">
        <v>195</v>
      </c>
      <c r="H1" s="245" t="s">
        <v>196</v>
      </c>
      <c r="I1" s="245" t="s">
        <v>197</v>
      </c>
      <c r="J1" s="245" t="s">
        <v>198</v>
      </c>
      <c r="K1" s="245" t="s">
        <v>199</v>
      </c>
      <c r="L1" s="245" t="s">
        <v>200</v>
      </c>
      <c r="M1" s="245" t="s">
        <v>201</v>
      </c>
      <c r="N1" s="245" t="s">
        <v>202</v>
      </c>
      <c r="O1" s="245" t="s">
        <v>203</v>
      </c>
      <c r="P1" s="245" t="s">
        <v>204</v>
      </c>
    </row>
    <row r="2">
      <c r="A2" s="246" t="s">
        <v>205</v>
      </c>
      <c r="B2" s="246" t="s">
        <v>206</v>
      </c>
      <c r="C2" s="247"/>
      <c r="D2" s="246" t="s">
        <v>83</v>
      </c>
      <c r="E2" s="246" t="s">
        <v>84</v>
      </c>
      <c r="F2" s="247"/>
      <c r="G2" s="247"/>
      <c r="H2" s="246" t="s">
        <v>83</v>
      </c>
      <c r="I2" s="246" t="s">
        <v>207</v>
      </c>
      <c r="J2" s="248">
        <v>287.0</v>
      </c>
      <c r="K2" s="249">
        <v>3320000.0</v>
      </c>
      <c r="L2" s="249">
        <v>3320000.0</v>
      </c>
      <c r="M2" s="249">
        <v>2644533.0</v>
      </c>
      <c r="N2" s="249">
        <v>2644533.0</v>
      </c>
      <c r="O2" s="250">
        <f t="shared" ref="O2:P2" si="1">K2+M2</f>
        <v>5964533</v>
      </c>
      <c r="P2" s="250">
        <f t="shared" si="1"/>
        <v>5964533</v>
      </c>
    </row>
    <row r="3">
      <c r="A3" s="246" t="s">
        <v>205</v>
      </c>
      <c r="B3" s="246" t="s">
        <v>206</v>
      </c>
      <c r="C3" s="247"/>
      <c r="D3" s="246" t="s">
        <v>83</v>
      </c>
      <c r="E3" s="246" t="s">
        <v>85</v>
      </c>
      <c r="F3" s="247"/>
      <c r="G3" s="247"/>
      <c r="H3" s="246" t="s">
        <v>83</v>
      </c>
      <c r="I3" s="246" t="s">
        <v>208</v>
      </c>
      <c r="J3" s="248">
        <v>266.0</v>
      </c>
      <c r="K3" s="249">
        <v>3000000.0</v>
      </c>
      <c r="L3" s="249">
        <v>3000000.0</v>
      </c>
      <c r="M3" s="249">
        <v>2451030.0</v>
      </c>
      <c r="N3" s="249">
        <v>2451030.0</v>
      </c>
      <c r="O3" s="250">
        <f t="shared" ref="O3:P3" si="2">K3+M3</f>
        <v>5451030</v>
      </c>
      <c r="P3" s="250">
        <f t="shared" si="2"/>
        <v>5451030</v>
      </c>
    </row>
    <row r="4">
      <c r="A4" s="246" t="s">
        <v>205</v>
      </c>
      <c r="B4" s="246" t="s">
        <v>206</v>
      </c>
      <c r="C4" s="247"/>
      <c r="D4" s="246" t="s">
        <v>83</v>
      </c>
      <c r="E4" s="246" t="s">
        <v>86</v>
      </c>
      <c r="F4" s="247"/>
      <c r="G4" s="247"/>
      <c r="H4" s="246" t="s">
        <v>83</v>
      </c>
      <c r="I4" s="246" t="s">
        <v>209</v>
      </c>
      <c r="J4" s="248">
        <v>255.0</v>
      </c>
      <c r="K4" s="249">
        <v>3000000.0</v>
      </c>
      <c r="L4" s="249">
        <v>3000000.0</v>
      </c>
      <c r="M4" s="249">
        <v>2349672.0</v>
      </c>
      <c r="N4" s="249">
        <v>2349672.0</v>
      </c>
      <c r="O4" s="250">
        <f t="shared" ref="O4:P4" si="3">K4+M4</f>
        <v>5349672</v>
      </c>
      <c r="P4" s="250">
        <f t="shared" si="3"/>
        <v>5349672</v>
      </c>
    </row>
    <row r="5">
      <c r="A5" s="246" t="s">
        <v>205</v>
      </c>
      <c r="B5" s="246" t="s">
        <v>206</v>
      </c>
      <c r="C5" s="247"/>
      <c r="D5" s="246" t="s">
        <v>83</v>
      </c>
      <c r="E5" s="246" t="s">
        <v>84</v>
      </c>
      <c r="F5" s="246" t="s">
        <v>85</v>
      </c>
      <c r="G5" s="247"/>
      <c r="H5" s="246" t="s">
        <v>83</v>
      </c>
      <c r="I5" s="246" t="s">
        <v>210</v>
      </c>
      <c r="J5" s="248">
        <v>312.0</v>
      </c>
      <c r="K5" s="249">
        <v>3800000.0</v>
      </c>
      <c r="L5" s="249">
        <v>3800000.0</v>
      </c>
      <c r="M5" s="249">
        <v>2874893.0</v>
      </c>
      <c r="N5" s="249">
        <v>2874893.0</v>
      </c>
      <c r="O5" s="250">
        <f t="shared" ref="O5:P5" si="4">K5+M5</f>
        <v>6674893</v>
      </c>
      <c r="P5" s="250">
        <f t="shared" si="4"/>
        <v>6674893</v>
      </c>
    </row>
    <row r="6">
      <c r="A6" s="246" t="s">
        <v>205</v>
      </c>
      <c r="B6" s="246" t="s">
        <v>206</v>
      </c>
      <c r="C6" s="247"/>
      <c r="D6" s="246" t="s">
        <v>83</v>
      </c>
      <c r="E6" s="246" t="s">
        <v>84</v>
      </c>
      <c r="F6" s="246" t="s">
        <v>86</v>
      </c>
      <c r="G6" s="247"/>
      <c r="H6" s="246" t="s">
        <v>83</v>
      </c>
      <c r="I6" s="246" t="s">
        <v>211</v>
      </c>
      <c r="J6" s="248">
        <v>320.0</v>
      </c>
      <c r="K6" s="249">
        <v>3820000.0</v>
      </c>
      <c r="L6" s="249">
        <v>3820000.0</v>
      </c>
      <c r="M6" s="249">
        <v>2948608.0</v>
      </c>
      <c r="N6" s="249">
        <v>2948608.0</v>
      </c>
      <c r="O6" s="250">
        <f t="shared" ref="O6:P6" si="5">K6+M6</f>
        <v>6768608</v>
      </c>
      <c r="P6" s="250">
        <f t="shared" si="5"/>
        <v>6768608</v>
      </c>
    </row>
    <row r="7">
      <c r="A7" s="246" t="s">
        <v>205</v>
      </c>
      <c r="B7" s="246" t="s">
        <v>206</v>
      </c>
      <c r="C7" s="247"/>
      <c r="D7" s="246" t="s">
        <v>83</v>
      </c>
      <c r="E7" s="246" t="s">
        <v>85</v>
      </c>
      <c r="F7" s="246" t="s">
        <v>86</v>
      </c>
      <c r="G7" s="247"/>
      <c r="H7" s="246" t="s">
        <v>83</v>
      </c>
      <c r="I7" s="246" t="s">
        <v>212</v>
      </c>
      <c r="J7" s="248">
        <v>280.0</v>
      </c>
      <c r="K7" s="249">
        <v>3390000.0</v>
      </c>
      <c r="L7" s="249">
        <v>3390000.0</v>
      </c>
      <c r="M7" s="249">
        <v>2580032.0</v>
      </c>
      <c r="N7" s="249">
        <v>2580032.0</v>
      </c>
      <c r="O7" s="250">
        <f t="shared" ref="O7:P7" si="6">K7+M7</f>
        <v>5970032</v>
      </c>
      <c r="P7" s="250">
        <f t="shared" si="6"/>
        <v>5970032</v>
      </c>
    </row>
    <row r="8">
      <c r="A8" s="246" t="s">
        <v>205</v>
      </c>
      <c r="B8" s="246" t="s">
        <v>206</v>
      </c>
      <c r="C8" s="247"/>
      <c r="D8" s="246" t="s">
        <v>83</v>
      </c>
      <c r="E8" s="246" t="s">
        <v>84</v>
      </c>
      <c r="F8" s="246" t="s">
        <v>85</v>
      </c>
      <c r="G8" s="246" t="s">
        <v>86</v>
      </c>
      <c r="H8" s="246" t="s">
        <v>83</v>
      </c>
      <c r="I8" s="246" t="s">
        <v>213</v>
      </c>
      <c r="J8" s="248">
        <v>366.0</v>
      </c>
      <c r="K8" s="249">
        <v>4120000.0</v>
      </c>
      <c r="L8" s="249">
        <v>4120000.0</v>
      </c>
      <c r="M8" s="249">
        <v>3372470.0</v>
      </c>
      <c r="N8" s="249">
        <v>3372470.0</v>
      </c>
      <c r="O8" s="250">
        <f t="shared" ref="O8:P8" si="7">K8+M8</f>
        <v>7492470</v>
      </c>
      <c r="P8" s="250">
        <f t="shared" si="7"/>
        <v>7492470</v>
      </c>
    </row>
    <row r="9">
      <c r="A9" s="246" t="s">
        <v>205</v>
      </c>
      <c r="B9" s="246" t="s">
        <v>206</v>
      </c>
      <c r="C9" s="247"/>
      <c r="D9" s="246" t="s">
        <v>83</v>
      </c>
      <c r="E9" s="246" t="s">
        <v>87</v>
      </c>
      <c r="F9" s="247"/>
      <c r="G9" s="247"/>
      <c r="H9" s="246" t="s">
        <v>83</v>
      </c>
      <c r="I9" s="246" t="s">
        <v>214</v>
      </c>
      <c r="J9" s="248">
        <v>195.0</v>
      </c>
      <c r="K9" s="249">
        <v>2720000.0</v>
      </c>
      <c r="L9" s="249">
        <v>2720000.0</v>
      </c>
      <c r="M9" s="249">
        <v>1796808.0</v>
      </c>
      <c r="N9" s="249">
        <v>1796808.0</v>
      </c>
      <c r="O9" s="250">
        <f t="shared" ref="O9:P9" si="8">K9+M9</f>
        <v>4516808</v>
      </c>
      <c r="P9" s="250">
        <f t="shared" si="8"/>
        <v>4516808</v>
      </c>
    </row>
    <row r="10">
      <c r="A10" s="246" t="s">
        <v>205</v>
      </c>
      <c r="B10" s="246" t="s">
        <v>206</v>
      </c>
      <c r="C10" s="247"/>
      <c r="D10" s="246" t="s">
        <v>83</v>
      </c>
      <c r="E10" s="246" t="s">
        <v>87</v>
      </c>
      <c r="F10" s="246" t="s">
        <v>84</v>
      </c>
      <c r="G10" s="247"/>
      <c r="H10" s="246" t="s">
        <v>83</v>
      </c>
      <c r="I10" s="246" t="s">
        <v>215</v>
      </c>
      <c r="J10" s="248">
        <v>288.0</v>
      </c>
      <c r="K10" s="249">
        <v>3470000.0</v>
      </c>
      <c r="L10" s="249">
        <v>3470000.0</v>
      </c>
      <c r="M10" s="249">
        <v>2653747.0</v>
      </c>
      <c r="N10" s="249">
        <v>2653747.0</v>
      </c>
      <c r="O10" s="250">
        <f t="shared" ref="O10:P10" si="9">K10+M10</f>
        <v>6123747</v>
      </c>
      <c r="P10" s="250">
        <f t="shared" si="9"/>
        <v>6123747</v>
      </c>
    </row>
    <row r="11">
      <c r="A11" s="246" t="s">
        <v>205</v>
      </c>
      <c r="B11" s="246" t="s">
        <v>206</v>
      </c>
      <c r="C11" s="247"/>
      <c r="D11" s="246" t="s">
        <v>83</v>
      </c>
      <c r="E11" s="246" t="s">
        <v>87</v>
      </c>
      <c r="F11" s="246" t="s">
        <v>85</v>
      </c>
      <c r="G11" s="247"/>
      <c r="H11" s="246" t="s">
        <v>83</v>
      </c>
      <c r="I11" s="246" t="s">
        <v>216</v>
      </c>
      <c r="J11" s="248">
        <v>276.0</v>
      </c>
      <c r="K11" s="249">
        <v>3430000.0</v>
      </c>
      <c r="L11" s="249">
        <v>3430000.0</v>
      </c>
      <c r="M11" s="249">
        <v>2543174.0</v>
      </c>
      <c r="N11" s="249">
        <v>2543174.0</v>
      </c>
      <c r="O11" s="250">
        <f t="shared" ref="O11:P11" si="10">K11+M11</f>
        <v>5973174</v>
      </c>
      <c r="P11" s="250">
        <f t="shared" si="10"/>
        <v>5973174</v>
      </c>
    </row>
    <row r="12">
      <c r="A12" s="246" t="s">
        <v>205</v>
      </c>
      <c r="B12" s="246" t="s">
        <v>206</v>
      </c>
      <c r="C12" s="247"/>
      <c r="D12" s="246" t="s">
        <v>83</v>
      </c>
      <c r="E12" s="246" t="s">
        <v>88</v>
      </c>
      <c r="F12" s="247"/>
      <c r="G12" s="247"/>
      <c r="H12" s="246" t="s">
        <v>83</v>
      </c>
      <c r="I12" s="246" t="s">
        <v>217</v>
      </c>
      <c r="J12" s="248">
        <v>246.0</v>
      </c>
      <c r="K12" s="249">
        <v>3070000.0</v>
      </c>
      <c r="L12" s="249">
        <v>3070000.0</v>
      </c>
      <c r="M12" s="249">
        <v>2266742.0</v>
      </c>
      <c r="N12" s="249">
        <v>2266742.0</v>
      </c>
      <c r="O12" s="250">
        <f t="shared" ref="O12:P12" si="11">K12+M12</f>
        <v>5336742</v>
      </c>
      <c r="P12" s="250">
        <f t="shared" si="11"/>
        <v>5336742</v>
      </c>
    </row>
    <row r="13">
      <c r="A13" s="246" t="s">
        <v>205</v>
      </c>
      <c r="B13" s="246" t="s">
        <v>206</v>
      </c>
      <c r="C13" s="247"/>
      <c r="D13" s="246" t="s">
        <v>83</v>
      </c>
      <c r="E13" s="246" t="s">
        <v>88</v>
      </c>
      <c r="F13" s="246" t="s">
        <v>85</v>
      </c>
      <c r="G13" s="247"/>
      <c r="H13" s="246" t="s">
        <v>83</v>
      </c>
      <c r="I13" s="246" t="s">
        <v>218</v>
      </c>
      <c r="J13" s="248">
        <v>266.0</v>
      </c>
      <c r="K13" s="249">
        <v>3400000.0</v>
      </c>
      <c r="L13" s="249">
        <v>3400000.0</v>
      </c>
      <c r="M13" s="249">
        <v>2451030.0</v>
      </c>
      <c r="N13" s="249">
        <v>2451030.0</v>
      </c>
      <c r="O13" s="250">
        <f t="shared" ref="O13:P13" si="12">K13+M13</f>
        <v>5851030</v>
      </c>
      <c r="P13" s="250">
        <f t="shared" si="12"/>
        <v>5851030</v>
      </c>
    </row>
    <row r="14">
      <c r="A14" s="246" t="s">
        <v>205</v>
      </c>
      <c r="B14" s="246" t="s">
        <v>206</v>
      </c>
      <c r="C14" s="247"/>
      <c r="D14" s="246" t="s">
        <v>83</v>
      </c>
      <c r="E14" s="246" t="s">
        <v>88</v>
      </c>
      <c r="F14" s="246" t="s">
        <v>86</v>
      </c>
      <c r="G14" s="247"/>
      <c r="H14" s="246" t="s">
        <v>83</v>
      </c>
      <c r="I14" s="246" t="s">
        <v>219</v>
      </c>
      <c r="J14" s="248">
        <v>268.0</v>
      </c>
      <c r="K14" s="249">
        <v>3410000.0</v>
      </c>
      <c r="L14" s="249">
        <v>3410000.0</v>
      </c>
      <c r="M14" s="249">
        <v>2469459.0</v>
      </c>
      <c r="N14" s="249">
        <v>2469459.0</v>
      </c>
      <c r="O14" s="250">
        <f t="shared" ref="O14:P14" si="13">K14+M14</f>
        <v>5879459</v>
      </c>
      <c r="P14" s="250">
        <f t="shared" si="13"/>
        <v>5879459</v>
      </c>
    </row>
    <row r="15">
      <c r="A15" s="246" t="s">
        <v>205</v>
      </c>
      <c r="B15" s="246" t="s">
        <v>206</v>
      </c>
      <c r="C15" s="247"/>
      <c r="D15" s="246" t="s">
        <v>83</v>
      </c>
      <c r="E15" s="246" t="s">
        <v>88</v>
      </c>
      <c r="F15" s="246" t="s">
        <v>85</v>
      </c>
      <c r="G15" s="246" t="s">
        <v>86</v>
      </c>
      <c r="H15" s="246" t="s">
        <v>83</v>
      </c>
      <c r="I15" s="246" t="s">
        <v>220</v>
      </c>
      <c r="J15" s="248">
        <v>288.0</v>
      </c>
      <c r="K15" s="249">
        <v>3620000.0</v>
      </c>
      <c r="L15" s="249">
        <v>3620000.0</v>
      </c>
      <c r="M15" s="249">
        <v>2653747.0</v>
      </c>
      <c r="N15" s="249">
        <v>2653747.0</v>
      </c>
      <c r="O15" s="250">
        <f t="shared" ref="O15:P15" si="14">K15+M15</f>
        <v>6273747</v>
      </c>
      <c r="P15" s="250">
        <f t="shared" si="14"/>
        <v>6273747</v>
      </c>
    </row>
    <row r="16">
      <c r="A16" s="246" t="s">
        <v>205</v>
      </c>
      <c r="B16" s="246" t="s">
        <v>206</v>
      </c>
      <c r="C16" s="246" t="s">
        <v>89</v>
      </c>
      <c r="D16" s="246" t="s">
        <v>90</v>
      </c>
      <c r="E16" s="246" t="s">
        <v>84</v>
      </c>
      <c r="F16" s="247"/>
      <c r="G16" s="247"/>
      <c r="H16" s="246" t="s">
        <v>83</v>
      </c>
      <c r="I16" s="246" t="s">
        <v>221</v>
      </c>
      <c r="J16" s="248">
        <v>287.0</v>
      </c>
      <c r="K16" s="249">
        <v>3320000.0</v>
      </c>
      <c r="L16" s="249">
        <v>3320000.0</v>
      </c>
      <c r="M16" s="249">
        <v>2644533.0</v>
      </c>
      <c r="N16" s="249">
        <v>2644533.0</v>
      </c>
      <c r="O16" s="250">
        <f t="shared" ref="O16:P16" si="15">K16+M16</f>
        <v>5964533</v>
      </c>
      <c r="P16" s="250">
        <f t="shared" si="15"/>
        <v>5964533</v>
      </c>
    </row>
    <row r="17">
      <c r="A17" s="246" t="s">
        <v>205</v>
      </c>
      <c r="B17" s="246" t="s">
        <v>206</v>
      </c>
      <c r="C17" s="246" t="s">
        <v>89</v>
      </c>
      <c r="D17" s="246" t="s">
        <v>90</v>
      </c>
      <c r="E17" s="246" t="s">
        <v>85</v>
      </c>
      <c r="F17" s="247"/>
      <c r="G17" s="247"/>
      <c r="H17" s="246" t="s">
        <v>83</v>
      </c>
      <c r="I17" s="246" t="s">
        <v>222</v>
      </c>
      <c r="J17" s="248">
        <v>266.0</v>
      </c>
      <c r="K17" s="249">
        <v>3050000.0</v>
      </c>
      <c r="L17" s="249">
        <v>3050000.0</v>
      </c>
      <c r="M17" s="249">
        <v>2451030.0</v>
      </c>
      <c r="N17" s="249">
        <v>2451030.0</v>
      </c>
      <c r="O17" s="250">
        <f t="shared" ref="O17:P17" si="16">K17+M17</f>
        <v>5501030</v>
      </c>
      <c r="P17" s="250">
        <f t="shared" si="16"/>
        <v>5501030</v>
      </c>
    </row>
    <row r="18">
      <c r="A18" s="246" t="s">
        <v>205</v>
      </c>
      <c r="B18" s="246" t="s">
        <v>206</v>
      </c>
      <c r="C18" s="246" t="s">
        <v>89</v>
      </c>
      <c r="D18" s="246" t="s">
        <v>90</v>
      </c>
      <c r="E18" s="246" t="s">
        <v>86</v>
      </c>
      <c r="F18" s="247"/>
      <c r="G18" s="247"/>
      <c r="H18" s="246" t="s">
        <v>83</v>
      </c>
      <c r="I18" s="246" t="s">
        <v>223</v>
      </c>
      <c r="J18" s="248">
        <v>255.0</v>
      </c>
      <c r="K18" s="249">
        <v>3010000.0</v>
      </c>
      <c r="L18" s="249">
        <v>3010000.0</v>
      </c>
      <c r="M18" s="249">
        <v>2349672.0</v>
      </c>
      <c r="N18" s="249">
        <v>2349672.0</v>
      </c>
      <c r="O18" s="250">
        <f t="shared" ref="O18:P18" si="17">K18+M18</f>
        <v>5359672</v>
      </c>
      <c r="P18" s="250">
        <f t="shared" si="17"/>
        <v>5359672</v>
      </c>
    </row>
    <row r="19">
      <c r="A19" s="246" t="s">
        <v>205</v>
      </c>
      <c r="B19" s="246" t="s">
        <v>206</v>
      </c>
      <c r="C19" s="246" t="s">
        <v>89</v>
      </c>
      <c r="D19" s="246" t="s">
        <v>90</v>
      </c>
      <c r="E19" s="246" t="s">
        <v>84</v>
      </c>
      <c r="F19" s="246" t="s">
        <v>85</v>
      </c>
      <c r="G19" s="247"/>
      <c r="H19" s="246" t="s">
        <v>83</v>
      </c>
      <c r="I19" s="246" t="s">
        <v>224</v>
      </c>
      <c r="J19" s="248">
        <v>312.0</v>
      </c>
      <c r="K19" s="249">
        <v>3800000.0</v>
      </c>
      <c r="L19" s="249">
        <v>3800000.0</v>
      </c>
      <c r="M19" s="249">
        <v>2874893.0</v>
      </c>
      <c r="N19" s="249">
        <v>2874893.0</v>
      </c>
      <c r="O19" s="250">
        <f t="shared" ref="O19:P19" si="18">K19+M19</f>
        <v>6674893</v>
      </c>
      <c r="P19" s="250">
        <f t="shared" si="18"/>
        <v>6674893</v>
      </c>
    </row>
    <row r="20">
      <c r="A20" s="246" t="s">
        <v>205</v>
      </c>
      <c r="B20" s="246" t="s">
        <v>206</v>
      </c>
      <c r="C20" s="246" t="s">
        <v>89</v>
      </c>
      <c r="D20" s="246" t="s">
        <v>90</v>
      </c>
      <c r="E20" s="246" t="s">
        <v>84</v>
      </c>
      <c r="F20" s="246" t="s">
        <v>86</v>
      </c>
      <c r="G20" s="247"/>
      <c r="H20" s="246" t="s">
        <v>83</v>
      </c>
      <c r="I20" s="246" t="s">
        <v>225</v>
      </c>
      <c r="J20" s="248">
        <v>320.0</v>
      </c>
      <c r="K20" s="249">
        <v>3820000.0</v>
      </c>
      <c r="L20" s="249">
        <v>3820000.0</v>
      </c>
      <c r="M20" s="249">
        <v>2948608.0</v>
      </c>
      <c r="N20" s="249">
        <v>2948608.0</v>
      </c>
      <c r="O20" s="250">
        <f t="shared" ref="O20:P20" si="19">K20+M20</f>
        <v>6768608</v>
      </c>
      <c r="P20" s="250">
        <f t="shared" si="19"/>
        <v>6768608</v>
      </c>
    </row>
    <row r="21">
      <c r="A21" s="246" t="s">
        <v>205</v>
      </c>
      <c r="B21" s="246" t="s">
        <v>206</v>
      </c>
      <c r="C21" s="246" t="s">
        <v>89</v>
      </c>
      <c r="D21" s="246" t="s">
        <v>90</v>
      </c>
      <c r="E21" s="246" t="s">
        <v>85</v>
      </c>
      <c r="F21" s="246" t="s">
        <v>86</v>
      </c>
      <c r="G21" s="247"/>
      <c r="H21" s="246" t="s">
        <v>83</v>
      </c>
      <c r="I21" s="246" t="s">
        <v>226</v>
      </c>
      <c r="J21" s="248">
        <v>280.0</v>
      </c>
      <c r="K21" s="249">
        <v>3390000.0</v>
      </c>
      <c r="L21" s="249">
        <v>3390000.0</v>
      </c>
      <c r="M21" s="249">
        <v>2580032.0</v>
      </c>
      <c r="N21" s="249">
        <v>2580032.0</v>
      </c>
      <c r="O21" s="250">
        <f t="shared" ref="O21:P21" si="20">K21+M21</f>
        <v>5970032</v>
      </c>
      <c r="P21" s="250">
        <f t="shared" si="20"/>
        <v>5970032</v>
      </c>
    </row>
    <row r="22">
      <c r="A22" s="246" t="s">
        <v>205</v>
      </c>
      <c r="B22" s="246" t="s">
        <v>206</v>
      </c>
      <c r="C22" s="246" t="s">
        <v>89</v>
      </c>
      <c r="D22" s="246" t="s">
        <v>90</v>
      </c>
      <c r="E22" s="246" t="s">
        <v>84</v>
      </c>
      <c r="F22" s="246" t="s">
        <v>85</v>
      </c>
      <c r="G22" s="246" t="s">
        <v>86</v>
      </c>
      <c r="H22" s="246" t="s">
        <v>83</v>
      </c>
      <c r="I22" s="246" t="s">
        <v>227</v>
      </c>
      <c r="J22" s="248">
        <v>366.0</v>
      </c>
      <c r="K22" s="249">
        <v>4120000.0</v>
      </c>
      <c r="L22" s="249">
        <v>4120000.0</v>
      </c>
      <c r="M22" s="249">
        <v>3372470.0</v>
      </c>
      <c r="N22" s="249">
        <v>3372470.0</v>
      </c>
      <c r="O22" s="250">
        <f t="shared" ref="O22:P22" si="21">K22+M22</f>
        <v>7492470</v>
      </c>
      <c r="P22" s="250">
        <f t="shared" si="21"/>
        <v>7492470</v>
      </c>
    </row>
    <row r="23">
      <c r="A23" s="246" t="s">
        <v>205</v>
      </c>
      <c r="B23" s="246" t="s">
        <v>206</v>
      </c>
      <c r="C23" s="246" t="s">
        <v>89</v>
      </c>
      <c r="D23" s="246" t="s">
        <v>91</v>
      </c>
      <c r="E23" s="246" t="s">
        <v>84</v>
      </c>
      <c r="F23" s="247"/>
      <c r="G23" s="247"/>
      <c r="H23" s="246" t="s">
        <v>83</v>
      </c>
      <c r="I23" s="246" t="s">
        <v>228</v>
      </c>
      <c r="J23" s="248">
        <v>287.0</v>
      </c>
      <c r="K23" s="249">
        <v>3320000.0</v>
      </c>
      <c r="L23" s="249">
        <v>3320000.0</v>
      </c>
      <c r="M23" s="249">
        <v>2644533.0</v>
      </c>
      <c r="N23" s="249">
        <v>2644533.0</v>
      </c>
      <c r="O23" s="250">
        <f t="shared" ref="O23:P23" si="22">K23+M23</f>
        <v>5964533</v>
      </c>
      <c r="P23" s="250">
        <f t="shared" si="22"/>
        <v>5964533</v>
      </c>
    </row>
    <row r="24">
      <c r="A24" s="246" t="s">
        <v>205</v>
      </c>
      <c r="B24" s="246" t="s">
        <v>206</v>
      </c>
      <c r="C24" s="246" t="s">
        <v>89</v>
      </c>
      <c r="D24" s="246" t="s">
        <v>91</v>
      </c>
      <c r="E24" s="246" t="s">
        <v>85</v>
      </c>
      <c r="F24" s="247"/>
      <c r="G24" s="247"/>
      <c r="H24" s="246" t="s">
        <v>83</v>
      </c>
      <c r="I24" s="246" t="s">
        <v>229</v>
      </c>
      <c r="J24" s="248">
        <v>266.0</v>
      </c>
      <c r="K24" s="249">
        <v>3050000.0</v>
      </c>
      <c r="L24" s="249">
        <v>3050000.0</v>
      </c>
      <c r="M24" s="249">
        <v>2451030.0</v>
      </c>
      <c r="N24" s="249">
        <v>2451030.0</v>
      </c>
      <c r="O24" s="250">
        <f t="shared" ref="O24:P24" si="23">K24+M24</f>
        <v>5501030</v>
      </c>
      <c r="P24" s="250">
        <f t="shared" si="23"/>
        <v>5501030</v>
      </c>
    </row>
    <row r="25">
      <c r="A25" s="246" t="s">
        <v>205</v>
      </c>
      <c r="B25" s="246" t="s">
        <v>206</v>
      </c>
      <c r="C25" s="246" t="s">
        <v>89</v>
      </c>
      <c r="D25" s="246" t="s">
        <v>91</v>
      </c>
      <c r="E25" s="246" t="s">
        <v>86</v>
      </c>
      <c r="F25" s="247"/>
      <c r="G25" s="247"/>
      <c r="H25" s="246" t="s">
        <v>83</v>
      </c>
      <c r="I25" s="246" t="s">
        <v>230</v>
      </c>
      <c r="J25" s="248">
        <v>255.0</v>
      </c>
      <c r="K25" s="249">
        <v>3010000.0</v>
      </c>
      <c r="L25" s="249">
        <v>3010000.0</v>
      </c>
      <c r="M25" s="249">
        <v>2349672.0</v>
      </c>
      <c r="N25" s="249">
        <v>2349672.0</v>
      </c>
      <c r="O25" s="250">
        <f t="shared" ref="O25:P25" si="24">K25+M25</f>
        <v>5359672</v>
      </c>
      <c r="P25" s="250">
        <f t="shared" si="24"/>
        <v>5359672</v>
      </c>
    </row>
    <row r="26">
      <c r="A26" s="246" t="s">
        <v>205</v>
      </c>
      <c r="B26" s="246" t="s">
        <v>206</v>
      </c>
      <c r="C26" s="246" t="s">
        <v>89</v>
      </c>
      <c r="D26" s="246" t="s">
        <v>91</v>
      </c>
      <c r="E26" s="246" t="s">
        <v>84</v>
      </c>
      <c r="F26" s="246" t="s">
        <v>85</v>
      </c>
      <c r="G26" s="247"/>
      <c r="H26" s="246" t="s">
        <v>83</v>
      </c>
      <c r="I26" s="246" t="s">
        <v>231</v>
      </c>
      <c r="J26" s="248">
        <v>312.0</v>
      </c>
      <c r="K26" s="249">
        <v>3800000.0</v>
      </c>
      <c r="L26" s="249">
        <v>3800000.0</v>
      </c>
      <c r="M26" s="249">
        <v>2874893.0</v>
      </c>
      <c r="N26" s="249">
        <v>2874893.0</v>
      </c>
      <c r="O26" s="250">
        <f t="shared" ref="O26:P26" si="25">K26+M26</f>
        <v>6674893</v>
      </c>
      <c r="P26" s="250">
        <f t="shared" si="25"/>
        <v>6674893</v>
      </c>
    </row>
    <row r="27">
      <c r="A27" s="246" t="s">
        <v>205</v>
      </c>
      <c r="B27" s="246" t="s">
        <v>206</v>
      </c>
      <c r="C27" s="246" t="s">
        <v>89</v>
      </c>
      <c r="D27" s="246" t="s">
        <v>91</v>
      </c>
      <c r="E27" s="246" t="s">
        <v>84</v>
      </c>
      <c r="F27" s="246" t="s">
        <v>86</v>
      </c>
      <c r="G27" s="247"/>
      <c r="H27" s="246" t="s">
        <v>83</v>
      </c>
      <c r="I27" s="246" t="s">
        <v>232</v>
      </c>
      <c r="J27" s="248">
        <v>320.0</v>
      </c>
      <c r="K27" s="249">
        <v>3820000.0</v>
      </c>
      <c r="L27" s="249">
        <v>3820000.0</v>
      </c>
      <c r="M27" s="249">
        <v>2948608.0</v>
      </c>
      <c r="N27" s="249">
        <v>2948608.0</v>
      </c>
      <c r="O27" s="250">
        <f t="shared" ref="O27:P27" si="26">K27+M27</f>
        <v>6768608</v>
      </c>
      <c r="P27" s="250">
        <f t="shared" si="26"/>
        <v>6768608</v>
      </c>
    </row>
    <row r="28">
      <c r="A28" s="246" t="s">
        <v>205</v>
      </c>
      <c r="B28" s="246" t="s">
        <v>206</v>
      </c>
      <c r="C28" s="246" t="s">
        <v>89</v>
      </c>
      <c r="D28" s="246" t="s">
        <v>91</v>
      </c>
      <c r="E28" s="246" t="s">
        <v>85</v>
      </c>
      <c r="F28" s="246" t="s">
        <v>86</v>
      </c>
      <c r="G28" s="247"/>
      <c r="H28" s="246" t="s">
        <v>83</v>
      </c>
      <c r="I28" s="246" t="s">
        <v>233</v>
      </c>
      <c r="J28" s="248">
        <v>280.0</v>
      </c>
      <c r="K28" s="249">
        <v>3390000.0</v>
      </c>
      <c r="L28" s="249">
        <v>3390000.0</v>
      </c>
      <c r="M28" s="249">
        <v>2580032.0</v>
      </c>
      <c r="N28" s="249">
        <v>2580032.0</v>
      </c>
      <c r="O28" s="250">
        <f t="shared" ref="O28:P28" si="27">K28+M28</f>
        <v>5970032</v>
      </c>
      <c r="P28" s="250">
        <f t="shared" si="27"/>
        <v>5970032</v>
      </c>
    </row>
    <row r="29">
      <c r="A29" s="246" t="s">
        <v>205</v>
      </c>
      <c r="B29" s="246" t="s">
        <v>206</v>
      </c>
      <c r="C29" s="246" t="s">
        <v>89</v>
      </c>
      <c r="D29" s="246" t="s">
        <v>91</v>
      </c>
      <c r="E29" s="246" t="s">
        <v>84</v>
      </c>
      <c r="F29" s="246" t="s">
        <v>85</v>
      </c>
      <c r="G29" s="246" t="s">
        <v>86</v>
      </c>
      <c r="H29" s="246" t="s">
        <v>83</v>
      </c>
      <c r="I29" s="246" t="s">
        <v>234</v>
      </c>
      <c r="J29" s="248">
        <v>366.0</v>
      </c>
      <c r="K29" s="249">
        <v>4120000.0</v>
      </c>
      <c r="L29" s="249">
        <v>4120000.0</v>
      </c>
      <c r="M29" s="249">
        <v>3372470.0</v>
      </c>
      <c r="N29" s="249">
        <v>3372470.0</v>
      </c>
      <c r="O29" s="250">
        <f t="shared" ref="O29:P29" si="28">K29+M29</f>
        <v>7492470</v>
      </c>
      <c r="P29" s="250">
        <f t="shared" si="28"/>
        <v>7492470</v>
      </c>
    </row>
    <row r="30">
      <c r="A30" s="246" t="s">
        <v>205</v>
      </c>
      <c r="B30" s="246" t="s">
        <v>206</v>
      </c>
      <c r="C30" s="246" t="s">
        <v>92</v>
      </c>
      <c r="D30" s="246" t="s">
        <v>83</v>
      </c>
      <c r="E30" s="246" t="s">
        <v>93</v>
      </c>
      <c r="F30" s="247"/>
      <c r="G30" s="247"/>
      <c r="H30" s="247"/>
      <c r="I30" s="246" t="s">
        <v>235</v>
      </c>
      <c r="J30" s="248">
        <v>144.0</v>
      </c>
      <c r="K30" s="249">
        <v>2300000.0</v>
      </c>
      <c r="L30" s="249">
        <v>2300000.0</v>
      </c>
      <c r="M30" s="249">
        <v>1531008.0</v>
      </c>
      <c r="N30" s="249">
        <v>1531008.0</v>
      </c>
      <c r="O30" s="250">
        <f t="shared" ref="O30:P30" si="29">K30+M30</f>
        <v>3831008</v>
      </c>
      <c r="P30" s="250">
        <f t="shared" si="29"/>
        <v>3831008</v>
      </c>
    </row>
    <row r="31">
      <c r="A31" s="246" t="s">
        <v>205</v>
      </c>
      <c r="B31" s="246" t="s">
        <v>206</v>
      </c>
      <c r="C31" s="246" t="s">
        <v>92</v>
      </c>
      <c r="D31" s="246" t="s">
        <v>93</v>
      </c>
      <c r="E31" s="246" t="s">
        <v>84</v>
      </c>
      <c r="F31" s="247"/>
      <c r="G31" s="247"/>
      <c r="H31" s="246" t="s">
        <v>83</v>
      </c>
      <c r="I31" s="246" t="s">
        <v>236</v>
      </c>
      <c r="J31" s="248">
        <v>144.0</v>
      </c>
      <c r="K31" s="249">
        <v>2300000.0</v>
      </c>
      <c r="L31" s="249">
        <v>2300000.0</v>
      </c>
      <c r="M31" s="249">
        <v>1531008.0</v>
      </c>
      <c r="N31" s="249">
        <v>1531008.0</v>
      </c>
      <c r="O31" s="250">
        <f t="shared" ref="O31:P31" si="30">K31+M31</f>
        <v>3831008</v>
      </c>
      <c r="P31" s="250">
        <f t="shared" si="30"/>
        <v>3831008</v>
      </c>
    </row>
    <row r="32">
      <c r="A32" s="246" t="s">
        <v>205</v>
      </c>
      <c r="B32" s="246" t="s">
        <v>206</v>
      </c>
      <c r="C32" s="246" t="s">
        <v>92</v>
      </c>
      <c r="D32" s="246" t="s">
        <v>83</v>
      </c>
      <c r="E32" s="246" t="s">
        <v>93</v>
      </c>
      <c r="F32" s="247"/>
      <c r="G32" s="247"/>
      <c r="H32" s="247"/>
      <c r="I32" s="246" t="s">
        <v>235</v>
      </c>
      <c r="J32" s="248">
        <v>144.0</v>
      </c>
      <c r="K32" s="249">
        <v>2300000.0</v>
      </c>
      <c r="L32" s="249">
        <v>2300000.0</v>
      </c>
      <c r="M32" s="249">
        <v>1531008.0</v>
      </c>
      <c r="N32" s="249">
        <v>1531008.0</v>
      </c>
      <c r="O32" s="250">
        <f t="shared" ref="O32:P32" si="31">K32+M32</f>
        <v>3831008</v>
      </c>
      <c r="P32" s="250">
        <f t="shared" si="31"/>
        <v>3831008</v>
      </c>
    </row>
    <row r="33">
      <c r="A33" s="246" t="s">
        <v>205</v>
      </c>
      <c r="B33" s="246" t="s">
        <v>206</v>
      </c>
      <c r="C33" s="246" t="s">
        <v>92</v>
      </c>
      <c r="D33" s="246" t="s">
        <v>93</v>
      </c>
      <c r="E33" s="246" t="s">
        <v>85</v>
      </c>
      <c r="F33" s="247"/>
      <c r="G33" s="247"/>
      <c r="H33" s="246" t="s">
        <v>83</v>
      </c>
      <c r="I33" s="246" t="s">
        <v>237</v>
      </c>
      <c r="J33" s="248">
        <v>168.0</v>
      </c>
      <c r="K33" s="249">
        <v>2550000.0</v>
      </c>
      <c r="L33" s="249">
        <v>2550000.0</v>
      </c>
      <c r="M33" s="249">
        <v>1786176.0</v>
      </c>
      <c r="N33" s="249">
        <v>1786176.0</v>
      </c>
      <c r="O33" s="250">
        <f t="shared" ref="O33:P33" si="32">K33+M33</f>
        <v>4336176</v>
      </c>
      <c r="P33" s="250">
        <f t="shared" si="32"/>
        <v>4336176</v>
      </c>
    </row>
    <row r="34">
      <c r="A34" s="246" t="s">
        <v>205</v>
      </c>
      <c r="B34" s="246" t="s">
        <v>206</v>
      </c>
      <c r="C34" s="246" t="s">
        <v>92</v>
      </c>
      <c r="D34" s="246" t="s">
        <v>83</v>
      </c>
      <c r="E34" s="246" t="s">
        <v>93</v>
      </c>
      <c r="F34" s="247"/>
      <c r="G34" s="247"/>
      <c r="H34" s="247"/>
      <c r="I34" s="246" t="s">
        <v>235</v>
      </c>
      <c r="J34" s="248">
        <v>144.0</v>
      </c>
      <c r="K34" s="249">
        <v>2300000.0</v>
      </c>
      <c r="L34" s="249">
        <v>2300000.0</v>
      </c>
      <c r="M34" s="249">
        <v>1531008.0</v>
      </c>
      <c r="N34" s="249">
        <v>1531008.0</v>
      </c>
      <c r="O34" s="250">
        <f t="shared" ref="O34:P34" si="33">K34+M34</f>
        <v>3831008</v>
      </c>
      <c r="P34" s="250">
        <f t="shared" si="33"/>
        <v>3831008</v>
      </c>
    </row>
    <row r="35">
      <c r="A35" s="246" t="s">
        <v>205</v>
      </c>
      <c r="B35" s="246" t="s">
        <v>206</v>
      </c>
      <c r="C35" s="246" t="s">
        <v>92</v>
      </c>
      <c r="D35" s="246" t="s">
        <v>93</v>
      </c>
      <c r="E35" s="246" t="s">
        <v>86</v>
      </c>
      <c r="F35" s="247"/>
      <c r="G35" s="247"/>
      <c r="H35" s="246" t="s">
        <v>83</v>
      </c>
      <c r="I35" s="246" t="s">
        <v>238</v>
      </c>
      <c r="J35" s="248">
        <v>177.0</v>
      </c>
      <c r="K35" s="249">
        <v>2580000.0</v>
      </c>
      <c r="L35" s="249">
        <v>2580000.0</v>
      </c>
      <c r="M35" s="249">
        <v>1881864.0</v>
      </c>
      <c r="N35" s="249">
        <v>1881864.0</v>
      </c>
      <c r="O35" s="250">
        <f t="shared" ref="O35:P35" si="34">K35+M35</f>
        <v>4461864</v>
      </c>
      <c r="P35" s="250">
        <f t="shared" si="34"/>
        <v>4461864</v>
      </c>
    </row>
    <row r="36">
      <c r="A36" s="246" t="s">
        <v>205</v>
      </c>
      <c r="B36" s="246" t="s">
        <v>206</v>
      </c>
      <c r="C36" s="246" t="s">
        <v>92</v>
      </c>
      <c r="D36" s="246" t="s">
        <v>83</v>
      </c>
      <c r="E36" s="246" t="s">
        <v>94</v>
      </c>
      <c r="F36" s="247"/>
      <c r="G36" s="247"/>
      <c r="H36" s="247"/>
      <c r="I36" s="246" t="s">
        <v>239</v>
      </c>
      <c r="J36" s="248">
        <v>133.0</v>
      </c>
      <c r="K36" s="249">
        <v>2210000.0</v>
      </c>
      <c r="L36" s="249">
        <v>2210000.0</v>
      </c>
      <c r="M36" s="249">
        <v>1414056.0</v>
      </c>
      <c r="N36" s="249">
        <v>1414056.0</v>
      </c>
      <c r="O36" s="250">
        <f t="shared" ref="O36:P36" si="35">K36+M36</f>
        <v>3624056</v>
      </c>
      <c r="P36" s="250">
        <f t="shared" si="35"/>
        <v>3624056</v>
      </c>
    </row>
    <row r="37">
      <c r="A37" s="246" t="s">
        <v>205</v>
      </c>
      <c r="B37" s="246" t="s">
        <v>206</v>
      </c>
      <c r="C37" s="246" t="s">
        <v>92</v>
      </c>
      <c r="D37" s="246" t="s">
        <v>94</v>
      </c>
      <c r="E37" s="246" t="s">
        <v>84</v>
      </c>
      <c r="F37" s="247"/>
      <c r="G37" s="247"/>
      <c r="H37" s="246" t="s">
        <v>83</v>
      </c>
      <c r="I37" s="246" t="s">
        <v>240</v>
      </c>
      <c r="J37" s="248">
        <v>179.0</v>
      </c>
      <c r="K37" s="249">
        <v>2530000.0</v>
      </c>
      <c r="L37" s="249">
        <v>2530000.0</v>
      </c>
      <c r="M37" s="249">
        <v>1903128.0</v>
      </c>
      <c r="N37" s="249">
        <v>1903128.0</v>
      </c>
      <c r="O37" s="250">
        <f t="shared" ref="O37:P37" si="36">K37+M37</f>
        <v>4433128</v>
      </c>
      <c r="P37" s="250">
        <f t="shared" si="36"/>
        <v>4433128</v>
      </c>
    </row>
    <row r="38">
      <c r="A38" s="246" t="s">
        <v>205</v>
      </c>
      <c r="B38" s="246" t="s">
        <v>206</v>
      </c>
      <c r="C38" s="246" t="s">
        <v>92</v>
      </c>
      <c r="D38" s="246" t="s">
        <v>83</v>
      </c>
      <c r="E38" s="246" t="s">
        <v>94</v>
      </c>
      <c r="F38" s="247"/>
      <c r="G38" s="247"/>
      <c r="H38" s="247"/>
      <c r="I38" s="246" t="s">
        <v>239</v>
      </c>
      <c r="J38" s="248">
        <v>133.0</v>
      </c>
      <c r="K38" s="249">
        <v>2210000.0</v>
      </c>
      <c r="L38" s="249">
        <v>2210000.0</v>
      </c>
      <c r="M38" s="249">
        <v>1414056.0</v>
      </c>
      <c r="N38" s="249">
        <v>1414056.0</v>
      </c>
      <c r="O38" s="250">
        <f t="shared" ref="O38:P38" si="37">K38+M38</f>
        <v>3624056</v>
      </c>
      <c r="P38" s="250">
        <f t="shared" si="37"/>
        <v>3624056</v>
      </c>
    </row>
    <row r="39">
      <c r="A39" s="246" t="s">
        <v>205</v>
      </c>
      <c r="B39" s="246" t="s">
        <v>206</v>
      </c>
      <c r="C39" s="246" t="s">
        <v>92</v>
      </c>
      <c r="D39" s="246" t="s">
        <v>94</v>
      </c>
      <c r="E39" s="246" t="s">
        <v>85</v>
      </c>
      <c r="F39" s="247"/>
      <c r="G39" s="247"/>
      <c r="H39" s="246" t="s">
        <v>83</v>
      </c>
      <c r="I39" s="246" t="s">
        <v>241</v>
      </c>
      <c r="J39" s="248">
        <v>133.0</v>
      </c>
      <c r="K39" s="249">
        <v>2210000.0</v>
      </c>
      <c r="L39" s="249">
        <v>2210000.0</v>
      </c>
      <c r="M39" s="249">
        <v>1414056.0</v>
      </c>
      <c r="N39" s="249">
        <v>1414056.0</v>
      </c>
      <c r="O39" s="250">
        <f t="shared" ref="O39:P39" si="38">K39+M39</f>
        <v>3624056</v>
      </c>
      <c r="P39" s="250">
        <f t="shared" si="38"/>
        <v>3624056</v>
      </c>
    </row>
    <row r="40">
      <c r="A40" s="246" t="s">
        <v>205</v>
      </c>
      <c r="B40" s="246" t="s">
        <v>206</v>
      </c>
      <c r="C40" s="246" t="s">
        <v>92</v>
      </c>
      <c r="D40" s="246" t="s">
        <v>83</v>
      </c>
      <c r="E40" s="246" t="s">
        <v>94</v>
      </c>
      <c r="F40" s="247"/>
      <c r="G40" s="247"/>
      <c r="H40" s="247"/>
      <c r="I40" s="246" t="s">
        <v>239</v>
      </c>
      <c r="J40" s="248">
        <v>133.0</v>
      </c>
      <c r="K40" s="249">
        <v>2210000.0</v>
      </c>
      <c r="L40" s="249">
        <v>2210000.0</v>
      </c>
      <c r="M40" s="249">
        <v>1414056.0</v>
      </c>
      <c r="N40" s="249">
        <v>1414056.0</v>
      </c>
      <c r="O40" s="250">
        <f t="shared" ref="O40:P40" si="39">K40+M40</f>
        <v>3624056</v>
      </c>
      <c r="P40" s="250">
        <f t="shared" si="39"/>
        <v>3624056</v>
      </c>
    </row>
    <row r="41">
      <c r="A41" s="246" t="s">
        <v>205</v>
      </c>
      <c r="B41" s="246" t="s">
        <v>206</v>
      </c>
      <c r="C41" s="246" t="s">
        <v>92</v>
      </c>
      <c r="D41" s="246" t="s">
        <v>94</v>
      </c>
      <c r="E41" s="246" t="s">
        <v>86</v>
      </c>
      <c r="F41" s="247"/>
      <c r="G41" s="247"/>
      <c r="H41" s="246" t="s">
        <v>83</v>
      </c>
      <c r="I41" s="246" t="s">
        <v>242</v>
      </c>
      <c r="J41" s="248">
        <v>147.0</v>
      </c>
      <c r="K41" s="249">
        <v>2420000.0</v>
      </c>
      <c r="L41" s="249">
        <v>2420000.0</v>
      </c>
      <c r="M41" s="249">
        <v>1562904.0</v>
      </c>
      <c r="N41" s="249">
        <v>1562904.0</v>
      </c>
      <c r="O41" s="250">
        <f t="shared" ref="O41:P41" si="40">K41+M41</f>
        <v>3982904</v>
      </c>
      <c r="P41" s="250">
        <f t="shared" si="40"/>
        <v>3982904</v>
      </c>
    </row>
    <row r="42">
      <c r="A42" s="246" t="s">
        <v>205</v>
      </c>
      <c r="B42" s="246" t="s">
        <v>206</v>
      </c>
      <c r="C42" s="246" t="s">
        <v>92</v>
      </c>
      <c r="D42" s="246" t="s">
        <v>83</v>
      </c>
      <c r="E42" s="246" t="s">
        <v>95</v>
      </c>
      <c r="F42" s="247"/>
      <c r="G42" s="247"/>
      <c r="H42" s="247"/>
      <c r="I42" s="246" t="s">
        <v>243</v>
      </c>
      <c r="J42" s="248">
        <v>122.0</v>
      </c>
      <c r="K42" s="249">
        <v>2170000.0</v>
      </c>
      <c r="L42" s="249">
        <v>2170000.0</v>
      </c>
      <c r="M42" s="249">
        <v>1297104.0</v>
      </c>
      <c r="N42" s="249">
        <v>1297104.0</v>
      </c>
      <c r="O42" s="250">
        <f t="shared" ref="O42:P42" si="41">K42+M42</f>
        <v>3467104</v>
      </c>
      <c r="P42" s="250">
        <f t="shared" si="41"/>
        <v>3467104</v>
      </c>
    </row>
    <row r="43">
      <c r="A43" s="246" t="s">
        <v>205</v>
      </c>
      <c r="B43" s="246" t="s">
        <v>206</v>
      </c>
      <c r="C43" s="246" t="s">
        <v>92</v>
      </c>
      <c r="D43" s="246" t="s">
        <v>95</v>
      </c>
      <c r="E43" s="246" t="s">
        <v>84</v>
      </c>
      <c r="F43" s="247"/>
      <c r="G43" s="247"/>
      <c r="H43" s="246" t="s">
        <v>83</v>
      </c>
      <c r="I43" s="246" t="s">
        <v>244</v>
      </c>
      <c r="J43" s="248">
        <v>199.0</v>
      </c>
      <c r="K43" s="249">
        <v>2610000.0</v>
      </c>
      <c r="L43" s="249">
        <v>2610000.0</v>
      </c>
      <c r="M43" s="249">
        <v>2115768.0</v>
      </c>
      <c r="N43" s="249">
        <v>2115768.0</v>
      </c>
      <c r="O43" s="250">
        <f t="shared" ref="O43:P43" si="42">K43+M43</f>
        <v>4725768</v>
      </c>
      <c r="P43" s="250">
        <f t="shared" si="42"/>
        <v>4725768</v>
      </c>
    </row>
    <row r="44">
      <c r="A44" s="246" t="s">
        <v>205</v>
      </c>
      <c r="B44" s="246" t="s">
        <v>206</v>
      </c>
      <c r="C44" s="246" t="s">
        <v>92</v>
      </c>
      <c r="D44" s="246" t="s">
        <v>83</v>
      </c>
      <c r="E44" s="246" t="s">
        <v>95</v>
      </c>
      <c r="F44" s="247"/>
      <c r="G44" s="247"/>
      <c r="H44" s="247"/>
      <c r="I44" s="246" t="s">
        <v>243</v>
      </c>
      <c r="J44" s="248">
        <v>122.0</v>
      </c>
      <c r="K44" s="249">
        <v>2170000.0</v>
      </c>
      <c r="L44" s="249">
        <v>2170000.0</v>
      </c>
      <c r="M44" s="249">
        <v>1297104.0</v>
      </c>
      <c r="N44" s="249">
        <v>1297104.0</v>
      </c>
      <c r="O44" s="250">
        <f t="shared" ref="O44:P44" si="43">K44+M44</f>
        <v>3467104</v>
      </c>
      <c r="P44" s="250">
        <f t="shared" si="43"/>
        <v>3467104</v>
      </c>
    </row>
    <row r="45">
      <c r="A45" s="246" t="s">
        <v>205</v>
      </c>
      <c r="B45" s="246" t="s">
        <v>206</v>
      </c>
      <c r="C45" s="246" t="s">
        <v>92</v>
      </c>
      <c r="D45" s="246" t="s">
        <v>95</v>
      </c>
      <c r="E45" s="246" t="s">
        <v>85</v>
      </c>
      <c r="F45" s="247"/>
      <c r="G45" s="247"/>
      <c r="H45" s="246" t="s">
        <v>83</v>
      </c>
      <c r="I45" s="246" t="s">
        <v>245</v>
      </c>
      <c r="J45" s="248">
        <v>153.0</v>
      </c>
      <c r="K45" s="249">
        <v>2440000.0</v>
      </c>
      <c r="L45" s="249">
        <v>2440000.0</v>
      </c>
      <c r="M45" s="249">
        <v>1626696.0</v>
      </c>
      <c r="N45" s="249">
        <v>1626696.0</v>
      </c>
      <c r="O45" s="250">
        <f t="shared" ref="O45:P45" si="44">K45+M45</f>
        <v>4066696</v>
      </c>
      <c r="P45" s="250">
        <f t="shared" si="44"/>
        <v>4066696</v>
      </c>
    </row>
    <row r="46">
      <c r="A46" s="246" t="s">
        <v>205</v>
      </c>
      <c r="B46" s="246" t="s">
        <v>206</v>
      </c>
      <c r="C46" s="246" t="s">
        <v>92</v>
      </c>
      <c r="D46" s="246" t="s">
        <v>83</v>
      </c>
      <c r="E46" s="246" t="s">
        <v>95</v>
      </c>
      <c r="F46" s="247"/>
      <c r="G46" s="247"/>
      <c r="H46" s="247"/>
      <c r="I46" s="246" t="s">
        <v>243</v>
      </c>
      <c r="J46" s="248">
        <v>122.0</v>
      </c>
      <c r="K46" s="249">
        <v>2170000.0</v>
      </c>
      <c r="L46" s="249">
        <v>2170000.0</v>
      </c>
      <c r="M46" s="249">
        <v>1297104.0</v>
      </c>
      <c r="N46" s="249">
        <v>1297104.0</v>
      </c>
      <c r="O46" s="250">
        <f t="shared" ref="O46:P46" si="45">K46+M46</f>
        <v>3467104</v>
      </c>
      <c r="P46" s="250">
        <f t="shared" si="45"/>
        <v>3467104</v>
      </c>
    </row>
    <row r="47">
      <c r="A47" s="246" t="s">
        <v>205</v>
      </c>
      <c r="B47" s="246" t="s">
        <v>206</v>
      </c>
      <c r="C47" s="246" t="s">
        <v>92</v>
      </c>
      <c r="D47" s="246" t="s">
        <v>95</v>
      </c>
      <c r="E47" s="246" t="s">
        <v>86</v>
      </c>
      <c r="F47" s="247"/>
      <c r="G47" s="247"/>
      <c r="H47" s="246" t="s">
        <v>83</v>
      </c>
      <c r="I47" s="246" t="s">
        <v>246</v>
      </c>
      <c r="J47" s="248">
        <v>122.0</v>
      </c>
      <c r="K47" s="249">
        <v>2170000.0</v>
      </c>
      <c r="L47" s="249">
        <v>2170000.0</v>
      </c>
      <c r="M47" s="249">
        <v>1297104.0</v>
      </c>
      <c r="N47" s="249">
        <v>1297104.0</v>
      </c>
      <c r="O47" s="250">
        <f t="shared" ref="O47:P47" si="46">K47+M47</f>
        <v>3467104</v>
      </c>
      <c r="P47" s="250">
        <f t="shared" si="46"/>
        <v>3467104</v>
      </c>
    </row>
    <row r="48">
      <c r="A48" s="246" t="s">
        <v>205</v>
      </c>
      <c r="B48" s="246" t="s">
        <v>206</v>
      </c>
      <c r="C48" s="246" t="s">
        <v>92</v>
      </c>
      <c r="D48" s="246" t="s">
        <v>90</v>
      </c>
      <c r="E48" s="246" t="s">
        <v>96</v>
      </c>
      <c r="F48" s="247"/>
      <c r="G48" s="247"/>
      <c r="H48" s="247"/>
      <c r="I48" s="246" t="s">
        <v>247</v>
      </c>
      <c r="J48" s="248">
        <v>85.0</v>
      </c>
      <c r="K48" s="249">
        <v>1600000.0</v>
      </c>
      <c r="L48" s="249">
        <v>1600000.0</v>
      </c>
      <c r="M48" s="249">
        <v>903720.0</v>
      </c>
      <c r="N48" s="249">
        <v>903720.0</v>
      </c>
      <c r="O48" s="250">
        <f t="shared" ref="O48:P48" si="47">K48+M48</f>
        <v>2503720</v>
      </c>
      <c r="P48" s="250">
        <f t="shared" si="47"/>
        <v>2503720</v>
      </c>
    </row>
    <row r="49">
      <c r="A49" s="246" t="s">
        <v>205</v>
      </c>
      <c r="B49" s="246" t="s">
        <v>206</v>
      </c>
      <c r="C49" s="246" t="s">
        <v>92</v>
      </c>
      <c r="D49" s="246" t="s">
        <v>96</v>
      </c>
      <c r="E49" s="246" t="s">
        <v>84</v>
      </c>
      <c r="F49" s="247"/>
      <c r="G49" s="247"/>
      <c r="H49" s="246" t="s">
        <v>83</v>
      </c>
      <c r="I49" s="246" t="s">
        <v>248</v>
      </c>
      <c r="J49" s="248">
        <v>202.0</v>
      </c>
      <c r="K49" s="249">
        <v>3000000.0</v>
      </c>
      <c r="L49" s="249">
        <v>3000000.0</v>
      </c>
      <c r="M49" s="249">
        <v>2147664.0</v>
      </c>
      <c r="N49" s="249">
        <v>2147664.0</v>
      </c>
      <c r="O49" s="250">
        <f t="shared" ref="O49:P49" si="48">K49+M49</f>
        <v>5147664</v>
      </c>
      <c r="P49" s="250">
        <f t="shared" si="48"/>
        <v>5147664</v>
      </c>
    </row>
    <row r="50">
      <c r="A50" s="246" t="s">
        <v>205</v>
      </c>
      <c r="B50" s="246" t="s">
        <v>206</v>
      </c>
      <c r="C50" s="246" t="s">
        <v>92</v>
      </c>
      <c r="D50" s="246" t="s">
        <v>90</v>
      </c>
      <c r="E50" s="246" t="s">
        <v>96</v>
      </c>
      <c r="F50" s="247"/>
      <c r="G50" s="247"/>
      <c r="H50" s="247"/>
      <c r="I50" s="246" t="s">
        <v>247</v>
      </c>
      <c r="J50" s="248">
        <v>85.0</v>
      </c>
      <c r="K50" s="249">
        <v>1600000.0</v>
      </c>
      <c r="L50" s="249">
        <v>1600000.0</v>
      </c>
      <c r="M50" s="249">
        <v>903720.0</v>
      </c>
      <c r="N50" s="249">
        <v>903720.0</v>
      </c>
      <c r="O50" s="250">
        <f t="shared" ref="O50:P50" si="49">K50+M50</f>
        <v>2503720</v>
      </c>
      <c r="P50" s="250">
        <f t="shared" si="49"/>
        <v>2503720</v>
      </c>
    </row>
    <row r="51">
      <c r="A51" s="246" t="s">
        <v>205</v>
      </c>
      <c r="B51" s="246" t="s">
        <v>206</v>
      </c>
      <c r="C51" s="246" t="s">
        <v>92</v>
      </c>
      <c r="D51" s="246" t="s">
        <v>96</v>
      </c>
      <c r="E51" s="246" t="s">
        <v>85</v>
      </c>
      <c r="F51" s="247"/>
      <c r="G51" s="247"/>
      <c r="H51" s="246" t="s">
        <v>83</v>
      </c>
      <c r="I51" s="246" t="s">
        <v>249</v>
      </c>
      <c r="J51" s="248">
        <v>227.0</v>
      </c>
      <c r="K51" s="249">
        <v>3240000.0</v>
      </c>
      <c r="L51" s="249">
        <v>3240000.0</v>
      </c>
      <c r="M51" s="249">
        <v>2413464.0</v>
      </c>
      <c r="N51" s="249">
        <v>2413464.0</v>
      </c>
      <c r="O51" s="250">
        <f t="shared" ref="O51:P51" si="50">K51+M51</f>
        <v>5653464</v>
      </c>
      <c r="P51" s="250">
        <f t="shared" si="50"/>
        <v>5653464</v>
      </c>
    </row>
    <row r="52">
      <c r="A52" s="246" t="s">
        <v>205</v>
      </c>
      <c r="B52" s="246" t="s">
        <v>206</v>
      </c>
      <c r="C52" s="246" t="s">
        <v>92</v>
      </c>
      <c r="D52" s="246" t="s">
        <v>90</v>
      </c>
      <c r="E52" s="246" t="s">
        <v>96</v>
      </c>
      <c r="F52" s="247"/>
      <c r="G52" s="247"/>
      <c r="H52" s="247"/>
      <c r="I52" s="246" t="s">
        <v>247</v>
      </c>
      <c r="J52" s="248">
        <v>85.0</v>
      </c>
      <c r="K52" s="249">
        <v>1600000.0</v>
      </c>
      <c r="L52" s="249">
        <v>1600000.0</v>
      </c>
      <c r="M52" s="249">
        <v>903720.0</v>
      </c>
      <c r="N52" s="249">
        <v>903720.0</v>
      </c>
      <c r="O52" s="250">
        <f t="shared" ref="O52:P52" si="51">K52+M52</f>
        <v>2503720</v>
      </c>
      <c r="P52" s="250">
        <f t="shared" si="51"/>
        <v>2503720</v>
      </c>
    </row>
    <row r="53">
      <c r="A53" s="246" t="s">
        <v>205</v>
      </c>
      <c r="B53" s="246" t="s">
        <v>206</v>
      </c>
      <c r="C53" s="246" t="s">
        <v>92</v>
      </c>
      <c r="D53" s="246" t="s">
        <v>96</v>
      </c>
      <c r="E53" s="246" t="s">
        <v>86</v>
      </c>
      <c r="F53" s="247"/>
      <c r="G53" s="247"/>
      <c r="H53" s="246" t="s">
        <v>83</v>
      </c>
      <c r="I53" s="246" t="s">
        <v>250</v>
      </c>
      <c r="J53" s="248">
        <v>236.0</v>
      </c>
      <c r="K53" s="249">
        <v>3270000.0</v>
      </c>
      <c r="L53" s="249">
        <v>3270000.0</v>
      </c>
      <c r="M53" s="249">
        <v>2509152.0</v>
      </c>
      <c r="N53" s="249">
        <v>2509152.0</v>
      </c>
      <c r="O53" s="250">
        <f t="shared" ref="O53:P53" si="52">K53+M53</f>
        <v>5779152</v>
      </c>
      <c r="P53" s="250">
        <f t="shared" si="52"/>
        <v>5779152</v>
      </c>
    </row>
    <row r="54">
      <c r="A54" s="246" t="s">
        <v>205</v>
      </c>
      <c r="B54" s="246" t="s">
        <v>206</v>
      </c>
      <c r="C54" s="246" t="s">
        <v>92</v>
      </c>
      <c r="D54" s="246" t="s">
        <v>90</v>
      </c>
      <c r="E54" s="246" t="s">
        <v>97</v>
      </c>
      <c r="F54" s="247"/>
      <c r="G54" s="247"/>
      <c r="H54" s="247"/>
      <c r="I54" s="246" t="s">
        <v>251</v>
      </c>
      <c r="J54" s="248">
        <v>35.0</v>
      </c>
      <c r="K54" s="249">
        <v>1100000.0</v>
      </c>
      <c r="L54" s="249">
        <v>1100000.0</v>
      </c>
      <c r="M54" s="249">
        <v>372120.0</v>
      </c>
      <c r="N54" s="249">
        <v>372120.0</v>
      </c>
      <c r="O54" s="250">
        <f t="shared" ref="O54:P54" si="53">K54+M54</f>
        <v>1472120</v>
      </c>
      <c r="P54" s="250">
        <f t="shared" si="53"/>
        <v>1472120</v>
      </c>
    </row>
    <row r="55">
      <c r="A55" s="246" t="s">
        <v>205</v>
      </c>
      <c r="B55" s="246" t="s">
        <v>206</v>
      </c>
      <c r="C55" s="246" t="s">
        <v>92</v>
      </c>
      <c r="D55" s="246" t="s">
        <v>97</v>
      </c>
      <c r="E55" s="246" t="s">
        <v>84</v>
      </c>
      <c r="F55" s="247"/>
      <c r="G55" s="247"/>
      <c r="H55" s="246" t="s">
        <v>83</v>
      </c>
      <c r="I55" s="246" t="s">
        <v>252</v>
      </c>
      <c r="J55" s="248">
        <v>277.0</v>
      </c>
      <c r="K55" s="249">
        <v>3600000.0</v>
      </c>
      <c r="L55" s="249">
        <v>3600000.0</v>
      </c>
      <c r="M55" s="249">
        <v>2945064.0</v>
      </c>
      <c r="N55" s="249">
        <v>2945064.0</v>
      </c>
      <c r="O55" s="250">
        <f t="shared" ref="O55:P55" si="54">K55+M55</f>
        <v>6545064</v>
      </c>
      <c r="P55" s="250">
        <f t="shared" si="54"/>
        <v>6545064</v>
      </c>
    </row>
    <row r="56">
      <c r="A56" s="246" t="s">
        <v>205</v>
      </c>
      <c r="B56" s="246" t="s">
        <v>206</v>
      </c>
      <c r="C56" s="246" t="s">
        <v>92</v>
      </c>
      <c r="D56" s="246" t="s">
        <v>90</v>
      </c>
      <c r="E56" s="246" t="s">
        <v>97</v>
      </c>
      <c r="F56" s="247"/>
      <c r="G56" s="247"/>
      <c r="H56" s="247"/>
      <c r="I56" s="246" t="s">
        <v>251</v>
      </c>
      <c r="J56" s="248">
        <v>35.0</v>
      </c>
      <c r="K56" s="249">
        <v>1100000.0</v>
      </c>
      <c r="L56" s="249">
        <v>1100000.0</v>
      </c>
      <c r="M56" s="249">
        <v>372120.0</v>
      </c>
      <c r="N56" s="249">
        <v>372120.0</v>
      </c>
      <c r="O56" s="250">
        <f t="shared" ref="O56:P56" si="55">K56+M56</f>
        <v>1472120</v>
      </c>
      <c r="P56" s="250">
        <f t="shared" si="55"/>
        <v>1472120</v>
      </c>
    </row>
    <row r="57">
      <c r="A57" s="246" t="s">
        <v>205</v>
      </c>
      <c r="B57" s="246" t="s">
        <v>206</v>
      </c>
      <c r="C57" s="246" t="s">
        <v>92</v>
      </c>
      <c r="D57" s="246" t="s">
        <v>97</v>
      </c>
      <c r="E57" s="246" t="s">
        <v>85</v>
      </c>
      <c r="F57" s="247"/>
      <c r="G57" s="247"/>
      <c r="H57" s="246" t="s">
        <v>83</v>
      </c>
      <c r="I57" s="246" t="s">
        <v>253</v>
      </c>
      <c r="J57" s="248">
        <v>231.0</v>
      </c>
      <c r="K57" s="249">
        <v>3300000.0</v>
      </c>
      <c r="L57" s="249">
        <v>3300000.0</v>
      </c>
      <c r="M57" s="249">
        <v>2455992.0</v>
      </c>
      <c r="N57" s="249">
        <v>2455992.0</v>
      </c>
      <c r="O57" s="250">
        <f t="shared" ref="O57:P57" si="56">K57+M57</f>
        <v>5755992</v>
      </c>
      <c r="P57" s="250">
        <f t="shared" si="56"/>
        <v>5755992</v>
      </c>
    </row>
    <row r="58">
      <c r="A58" s="246" t="s">
        <v>205</v>
      </c>
      <c r="B58" s="246" t="s">
        <v>206</v>
      </c>
      <c r="C58" s="246" t="s">
        <v>92</v>
      </c>
      <c r="D58" s="246" t="s">
        <v>90</v>
      </c>
      <c r="E58" s="246" t="s">
        <v>97</v>
      </c>
      <c r="F58" s="247"/>
      <c r="G58" s="247"/>
      <c r="H58" s="247"/>
      <c r="I58" s="246" t="s">
        <v>251</v>
      </c>
      <c r="J58" s="248">
        <v>35.0</v>
      </c>
      <c r="K58" s="249">
        <v>1100000.0</v>
      </c>
      <c r="L58" s="249">
        <v>1100000.0</v>
      </c>
      <c r="M58" s="249">
        <v>372120.0</v>
      </c>
      <c r="N58" s="249">
        <v>372120.0</v>
      </c>
      <c r="O58" s="250">
        <f t="shared" ref="O58:P58" si="57">K58+M58</f>
        <v>1472120</v>
      </c>
      <c r="P58" s="250">
        <f t="shared" si="57"/>
        <v>1472120</v>
      </c>
    </row>
    <row r="59">
      <c r="A59" s="246" t="s">
        <v>205</v>
      </c>
      <c r="B59" s="246" t="s">
        <v>206</v>
      </c>
      <c r="C59" s="246" t="s">
        <v>92</v>
      </c>
      <c r="D59" s="246" t="s">
        <v>97</v>
      </c>
      <c r="E59" s="246" t="s">
        <v>86</v>
      </c>
      <c r="F59" s="247"/>
      <c r="G59" s="247"/>
      <c r="H59" s="246" t="s">
        <v>83</v>
      </c>
      <c r="I59" s="246" t="s">
        <v>254</v>
      </c>
      <c r="J59" s="248">
        <v>245.0</v>
      </c>
      <c r="K59" s="249">
        <v>3300000.0</v>
      </c>
      <c r="L59" s="249">
        <v>3300000.0</v>
      </c>
      <c r="M59" s="249">
        <v>2604840.0</v>
      </c>
      <c r="N59" s="249">
        <v>2604840.0</v>
      </c>
      <c r="O59" s="250">
        <f t="shared" ref="O59:P59" si="58">K59+M59</f>
        <v>5904840</v>
      </c>
      <c r="P59" s="250">
        <f t="shared" si="58"/>
        <v>5904840</v>
      </c>
    </row>
    <row r="60">
      <c r="A60" s="246" t="s">
        <v>205</v>
      </c>
      <c r="B60" s="246" t="s">
        <v>206</v>
      </c>
      <c r="C60" s="246" t="s">
        <v>92</v>
      </c>
      <c r="D60" s="246" t="s">
        <v>90</v>
      </c>
      <c r="E60" s="246" t="s">
        <v>98</v>
      </c>
      <c r="F60" s="247"/>
      <c r="G60" s="247"/>
      <c r="H60" s="247"/>
      <c r="I60" s="246" t="s">
        <v>255</v>
      </c>
      <c r="J60" s="248">
        <v>25.0</v>
      </c>
      <c r="K60" s="249">
        <v>1000000.0</v>
      </c>
      <c r="L60" s="249">
        <v>1000000.0</v>
      </c>
      <c r="M60" s="249">
        <v>265800.0</v>
      </c>
      <c r="N60" s="249">
        <v>265800.0</v>
      </c>
      <c r="O60" s="250">
        <f t="shared" ref="O60:P60" si="59">K60+M60</f>
        <v>1265800</v>
      </c>
      <c r="P60" s="250">
        <f t="shared" si="59"/>
        <v>1265800</v>
      </c>
    </row>
    <row r="61">
      <c r="A61" s="246" t="s">
        <v>205</v>
      </c>
      <c r="B61" s="246" t="s">
        <v>206</v>
      </c>
      <c r="C61" s="246" t="s">
        <v>92</v>
      </c>
      <c r="D61" s="246" t="s">
        <v>98</v>
      </c>
      <c r="E61" s="246" t="s">
        <v>84</v>
      </c>
      <c r="F61" s="247"/>
      <c r="G61" s="247"/>
      <c r="H61" s="246" t="s">
        <v>83</v>
      </c>
      <c r="I61" s="246" t="s">
        <v>256</v>
      </c>
      <c r="J61" s="248">
        <v>296.0</v>
      </c>
      <c r="K61" s="249">
        <v>3600000.0</v>
      </c>
      <c r="L61" s="249">
        <v>3600000.0</v>
      </c>
      <c r="M61" s="249">
        <v>3147072.0</v>
      </c>
      <c r="N61" s="249">
        <v>3147072.0</v>
      </c>
      <c r="O61" s="250">
        <f t="shared" ref="O61:P61" si="60">K61+M61</f>
        <v>6747072</v>
      </c>
      <c r="P61" s="250">
        <f t="shared" si="60"/>
        <v>6747072</v>
      </c>
    </row>
    <row r="62">
      <c r="A62" s="246" t="s">
        <v>205</v>
      </c>
      <c r="B62" s="246" t="s">
        <v>206</v>
      </c>
      <c r="C62" s="246" t="s">
        <v>92</v>
      </c>
      <c r="D62" s="246" t="s">
        <v>90</v>
      </c>
      <c r="E62" s="246" t="s">
        <v>98</v>
      </c>
      <c r="F62" s="247"/>
      <c r="G62" s="247"/>
      <c r="H62" s="247"/>
      <c r="I62" s="246" t="s">
        <v>255</v>
      </c>
      <c r="J62" s="248">
        <v>25.0</v>
      </c>
      <c r="K62" s="249">
        <v>1000000.0</v>
      </c>
      <c r="L62" s="249">
        <v>1000000.0</v>
      </c>
      <c r="M62" s="249">
        <v>265800.0</v>
      </c>
      <c r="N62" s="249">
        <v>265800.0</v>
      </c>
      <c r="O62" s="250">
        <f t="shared" ref="O62:P62" si="61">K62+M62</f>
        <v>1265800</v>
      </c>
      <c r="P62" s="250">
        <f t="shared" si="61"/>
        <v>1265800</v>
      </c>
    </row>
    <row r="63">
      <c r="A63" s="246" t="s">
        <v>205</v>
      </c>
      <c r="B63" s="246" t="s">
        <v>206</v>
      </c>
      <c r="C63" s="246" t="s">
        <v>92</v>
      </c>
      <c r="D63" s="246" t="s">
        <v>98</v>
      </c>
      <c r="E63" s="246" t="s">
        <v>85</v>
      </c>
      <c r="F63" s="247"/>
      <c r="G63" s="247"/>
      <c r="H63" s="246" t="s">
        <v>83</v>
      </c>
      <c r="I63" s="246" t="s">
        <v>257</v>
      </c>
      <c r="J63" s="248">
        <v>250.0</v>
      </c>
      <c r="K63" s="249">
        <v>3300000.0</v>
      </c>
      <c r="L63" s="249">
        <v>3300000.0</v>
      </c>
      <c r="M63" s="249">
        <v>2658000.0</v>
      </c>
      <c r="N63" s="249">
        <v>2658000.0</v>
      </c>
      <c r="O63" s="250">
        <f t="shared" ref="O63:P63" si="62">K63+M63</f>
        <v>5958000</v>
      </c>
      <c r="P63" s="250">
        <f t="shared" si="62"/>
        <v>5958000</v>
      </c>
    </row>
    <row r="64">
      <c r="A64" s="246" t="s">
        <v>205</v>
      </c>
      <c r="B64" s="246" t="s">
        <v>206</v>
      </c>
      <c r="C64" s="246" t="s">
        <v>92</v>
      </c>
      <c r="D64" s="246" t="s">
        <v>90</v>
      </c>
      <c r="E64" s="246" t="s">
        <v>98</v>
      </c>
      <c r="F64" s="247"/>
      <c r="G64" s="247"/>
      <c r="H64" s="247"/>
      <c r="I64" s="246" t="s">
        <v>255</v>
      </c>
      <c r="J64" s="248">
        <v>25.0</v>
      </c>
      <c r="K64" s="249">
        <v>1000000.0</v>
      </c>
      <c r="L64" s="249">
        <v>1000000.0</v>
      </c>
      <c r="M64" s="249">
        <v>265800.0</v>
      </c>
      <c r="N64" s="249">
        <v>265800.0</v>
      </c>
      <c r="O64" s="250">
        <f t="shared" ref="O64:P64" si="63">K64+M64</f>
        <v>1265800</v>
      </c>
      <c r="P64" s="250">
        <f t="shared" si="63"/>
        <v>1265800</v>
      </c>
    </row>
    <row r="65">
      <c r="A65" s="246" t="s">
        <v>205</v>
      </c>
      <c r="B65" s="246" t="s">
        <v>206</v>
      </c>
      <c r="C65" s="246" t="s">
        <v>92</v>
      </c>
      <c r="D65" s="246" t="s">
        <v>98</v>
      </c>
      <c r="E65" s="246" t="s">
        <v>86</v>
      </c>
      <c r="F65" s="247"/>
      <c r="G65" s="247"/>
      <c r="H65" s="246" t="s">
        <v>83</v>
      </c>
      <c r="I65" s="246" t="s">
        <v>258</v>
      </c>
      <c r="J65" s="248">
        <v>219.0</v>
      </c>
      <c r="K65" s="249">
        <v>3000000.0</v>
      </c>
      <c r="L65" s="249">
        <v>3000000.0</v>
      </c>
      <c r="M65" s="249">
        <v>2328408.0</v>
      </c>
      <c r="N65" s="249">
        <v>2328408.0</v>
      </c>
      <c r="O65" s="250">
        <f t="shared" ref="O65:P65" si="64">K65+M65</f>
        <v>5328408</v>
      </c>
      <c r="P65" s="250">
        <f t="shared" si="64"/>
        <v>5328408</v>
      </c>
    </row>
    <row r="66">
      <c r="A66" s="246" t="s">
        <v>205</v>
      </c>
      <c r="B66" s="246" t="s">
        <v>206</v>
      </c>
      <c r="C66" s="246" t="s">
        <v>92</v>
      </c>
      <c r="D66" s="246" t="s">
        <v>91</v>
      </c>
      <c r="E66" s="246" t="s">
        <v>99</v>
      </c>
      <c r="F66" s="247"/>
      <c r="G66" s="247"/>
      <c r="H66" s="247"/>
      <c r="I66" s="246" t="s">
        <v>259</v>
      </c>
      <c r="J66" s="248">
        <v>65.0</v>
      </c>
      <c r="K66" s="249">
        <v>1580000.0</v>
      </c>
      <c r="L66" s="249">
        <v>1580000.0</v>
      </c>
      <c r="M66" s="249">
        <v>691080.0</v>
      </c>
      <c r="N66" s="249">
        <v>691080.0</v>
      </c>
      <c r="O66" s="250">
        <f t="shared" ref="O66:P66" si="65">K66+M66</f>
        <v>2271080</v>
      </c>
      <c r="P66" s="250">
        <f t="shared" si="65"/>
        <v>2271080</v>
      </c>
    </row>
    <row r="67">
      <c r="A67" s="246" t="s">
        <v>205</v>
      </c>
      <c r="B67" s="246" t="s">
        <v>206</v>
      </c>
      <c r="C67" s="246" t="s">
        <v>92</v>
      </c>
      <c r="D67" s="246" t="s">
        <v>99</v>
      </c>
      <c r="E67" s="246" t="s">
        <v>84</v>
      </c>
      <c r="F67" s="247"/>
      <c r="G67" s="247"/>
      <c r="H67" s="246" t="s">
        <v>83</v>
      </c>
      <c r="I67" s="246" t="s">
        <v>260</v>
      </c>
      <c r="J67" s="248">
        <v>223.0</v>
      </c>
      <c r="K67" s="249">
        <v>3010000.0</v>
      </c>
      <c r="L67" s="249">
        <v>3010000.0</v>
      </c>
      <c r="M67" s="249">
        <v>2370936.0</v>
      </c>
      <c r="N67" s="249">
        <v>2370936.0</v>
      </c>
      <c r="O67" s="250">
        <f t="shared" ref="O67:P67" si="66">K67+M67</f>
        <v>5380936</v>
      </c>
      <c r="P67" s="250">
        <f t="shared" si="66"/>
        <v>5380936</v>
      </c>
    </row>
    <row r="68">
      <c r="A68" s="246" t="s">
        <v>205</v>
      </c>
      <c r="B68" s="246" t="s">
        <v>206</v>
      </c>
      <c r="C68" s="246" t="s">
        <v>92</v>
      </c>
      <c r="D68" s="246" t="s">
        <v>91</v>
      </c>
      <c r="E68" s="246" t="s">
        <v>99</v>
      </c>
      <c r="F68" s="247"/>
      <c r="G68" s="247"/>
      <c r="H68" s="247"/>
      <c r="I68" s="246" t="s">
        <v>259</v>
      </c>
      <c r="J68" s="248">
        <v>65.0</v>
      </c>
      <c r="K68" s="249">
        <v>1580000.0</v>
      </c>
      <c r="L68" s="249">
        <v>1580000.0</v>
      </c>
      <c r="M68" s="249">
        <v>691080.0</v>
      </c>
      <c r="N68" s="249">
        <v>691080.0</v>
      </c>
      <c r="O68" s="250">
        <f t="shared" ref="O68:P68" si="67">K68+M68</f>
        <v>2271080</v>
      </c>
      <c r="P68" s="250">
        <f t="shared" si="67"/>
        <v>2271080</v>
      </c>
    </row>
    <row r="69">
      <c r="A69" s="246" t="s">
        <v>205</v>
      </c>
      <c r="B69" s="246" t="s">
        <v>206</v>
      </c>
      <c r="C69" s="246" t="s">
        <v>92</v>
      </c>
      <c r="D69" s="246" t="s">
        <v>99</v>
      </c>
      <c r="E69" s="246" t="s">
        <v>85</v>
      </c>
      <c r="F69" s="247"/>
      <c r="G69" s="247"/>
      <c r="H69" s="246" t="s">
        <v>83</v>
      </c>
      <c r="I69" s="246" t="s">
        <v>261</v>
      </c>
      <c r="J69" s="248">
        <v>247.0</v>
      </c>
      <c r="K69" s="249">
        <v>3260000.0</v>
      </c>
      <c r="L69" s="249">
        <v>3260000.0</v>
      </c>
      <c r="M69" s="249">
        <v>2626104.0</v>
      </c>
      <c r="N69" s="249">
        <v>2626104.0</v>
      </c>
      <c r="O69" s="250">
        <f t="shared" ref="O69:P69" si="68">K69+M69</f>
        <v>5886104</v>
      </c>
      <c r="P69" s="250">
        <f t="shared" si="68"/>
        <v>5886104</v>
      </c>
    </row>
    <row r="70">
      <c r="A70" s="246" t="s">
        <v>205</v>
      </c>
      <c r="B70" s="246" t="s">
        <v>206</v>
      </c>
      <c r="C70" s="246" t="s">
        <v>92</v>
      </c>
      <c r="D70" s="246" t="s">
        <v>91</v>
      </c>
      <c r="E70" s="246" t="s">
        <v>99</v>
      </c>
      <c r="F70" s="247"/>
      <c r="G70" s="247"/>
      <c r="H70" s="247"/>
      <c r="I70" s="246" t="s">
        <v>259</v>
      </c>
      <c r="J70" s="248">
        <v>65.0</v>
      </c>
      <c r="K70" s="249">
        <v>1580000.0</v>
      </c>
      <c r="L70" s="249">
        <v>1580000.0</v>
      </c>
      <c r="M70" s="249">
        <v>691080.0</v>
      </c>
      <c r="N70" s="249">
        <v>691080.0</v>
      </c>
      <c r="O70" s="250">
        <f t="shared" ref="O70:P70" si="69">K70+M70</f>
        <v>2271080</v>
      </c>
      <c r="P70" s="250">
        <f t="shared" si="69"/>
        <v>2271080</v>
      </c>
    </row>
    <row r="71">
      <c r="A71" s="246" t="s">
        <v>205</v>
      </c>
      <c r="B71" s="246" t="s">
        <v>206</v>
      </c>
      <c r="C71" s="246" t="s">
        <v>92</v>
      </c>
      <c r="D71" s="246" t="s">
        <v>99</v>
      </c>
      <c r="E71" s="246" t="s">
        <v>86</v>
      </c>
      <c r="F71" s="247"/>
      <c r="G71" s="247"/>
      <c r="H71" s="246" t="s">
        <v>83</v>
      </c>
      <c r="I71" s="246" t="s">
        <v>262</v>
      </c>
      <c r="J71" s="248">
        <v>256.0</v>
      </c>
      <c r="K71" s="249">
        <v>3290000.0</v>
      </c>
      <c r="L71" s="249">
        <v>3290000.0</v>
      </c>
      <c r="M71" s="249">
        <v>2721792.0</v>
      </c>
      <c r="N71" s="249">
        <v>2721792.0</v>
      </c>
      <c r="O71" s="250">
        <f t="shared" ref="O71:P71" si="70">K71+M71</f>
        <v>6011792</v>
      </c>
      <c r="P71" s="250">
        <f t="shared" si="70"/>
        <v>6011792</v>
      </c>
    </row>
    <row r="72">
      <c r="A72" s="246" t="s">
        <v>205</v>
      </c>
      <c r="B72" s="246" t="s">
        <v>206</v>
      </c>
      <c r="C72" s="246" t="s">
        <v>92</v>
      </c>
      <c r="D72" s="246" t="s">
        <v>91</v>
      </c>
      <c r="E72" s="246" t="s">
        <v>100</v>
      </c>
      <c r="F72" s="247"/>
      <c r="G72" s="247"/>
      <c r="H72" s="247"/>
      <c r="I72" s="246" t="s">
        <v>263</v>
      </c>
      <c r="J72" s="248">
        <v>25.0</v>
      </c>
      <c r="K72" s="249">
        <v>1320000.0</v>
      </c>
      <c r="L72" s="249">
        <v>1320000.0</v>
      </c>
      <c r="M72" s="249">
        <v>265800.0</v>
      </c>
      <c r="N72" s="249">
        <v>265800.0</v>
      </c>
      <c r="O72" s="250">
        <f t="shared" ref="O72:P72" si="71">K72+M72</f>
        <v>1585800</v>
      </c>
      <c r="P72" s="250">
        <f t="shared" si="71"/>
        <v>1585800</v>
      </c>
    </row>
    <row r="73">
      <c r="A73" s="246" t="s">
        <v>205</v>
      </c>
      <c r="B73" s="246" t="s">
        <v>206</v>
      </c>
      <c r="C73" s="246" t="s">
        <v>92</v>
      </c>
      <c r="D73" s="246" t="s">
        <v>100</v>
      </c>
      <c r="E73" s="246" t="s">
        <v>84</v>
      </c>
      <c r="F73" s="247"/>
      <c r="G73" s="247"/>
      <c r="H73" s="246" t="s">
        <v>83</v>
      </c>
      <c r="I73" s="246" t="s">
        <v>264</v>
      </c>
      <c r="J73" s="248">
        <v>287.0</v>
      </c>
      <c r="K73" s="249">
        <v>3420000.0</v>
      </c>
      <c r="L73" s="249">
        <v>3420000.0</v>
      </c>
      <c r="M73" s="249">
        <v>3051384.0</v>
      </c>
      <c r="N73" s="249">
        <v>3051384.0</v>
      </c>
      <c r="O73" s="250">
        <f t="shared" ref="O73:P73" si="72">K73+M73</f>
        <v>6471384</v>
      </c>
      <c r="P73" s="250">
        <f t="shared" si="72"/>
        <v>6471384</v>
      </c>
    </row>
    <row r="74">
      <c r="A74" s="246" t="s">
        <v>205</v>
      </c>
      <c r="B74" s="246" t="s">
        <v>206</v>
      </c>
      <c r="C74" s="246" t="s">
        <v>92</v>
      </c>
      <c r="D74" s="246" t="s">
        <v>91</v>
      </c>
      <c r="E74" s="246" t="s">
        <v>100</v>
      </c>
      <c r="F74" s="247"/>
      <c r="G74" s="247"/>
      <c r="H74" s="247"/>
      <c r="I74" s="246" t="s">
        <v>263</v>
      </c>
      <c r="J74" s="248">
        <v>25.0</v>
      </c>
      <c r="K74" s="249">
        <v>1320000.0</v>
      </c>
      <c r="L74" s="249">
        <v>1320000.0</v>
      </c>
      <c r="M74" s="249">
        <v>265800.0</v>
      </c>
      <c r="N74" s="249">
        <v>265800.0</v>
      </c>
      <c r="O74" s="250">
        <f t="shared" ref="O74:P74" si="73">K74+M74</f>
        <v>1585800</v>
      </c>
      <c r="P74" s="250">
        <f t="shared" si="73"/>
        <v>1585800</v>
      </c>
    </row>
    <row r="75">
      <c r="A75" s="246" t="s">
        <v>205</v>
      </c>
      <c r="B75" s="246" t="s">
        <v>206</v>
      </c>
      <c r="C75" s="246" t="s">
        <v>92</v>
      </c>
      <c r="D75" s="246" t="s">
        <v>100</v>
      </c>
      <c r="E75" s="246" t="s">
        <v>85</v>
      </c>
      <c r="F75" s="247"/>
      <c r="G75" s="247"/>
      <c r="H75" s="246" t="s">
        <v>83</v>
      </c>
      <c r="I75" s="246" t="s">
        <v>265</v>
      </c>
      <c r="J75" s="248">
        <v>241.0</v>
      </c>
      <c r="K75" s="249">
        <v>3100000.0</v>
      </c>
      <c r="L75" s="249">
        <v>3100000.0</v>
      </c>
      <c r="M75" s="249">
        <v>2562312.0</v>
      </c>
      <c r="N75" s="249">
        <v>2562312.0</v>
      </c>
      <c r="O75" s="250">
        <f t="shared" ref="O75:P75" si="74">K75+M75</f>
        <v>5662312</v>
      </c>
      <c r="P75" s="250">
        <f t="shared" si="74"/>
        <v>5662312</v>
      </c>
    </row>
    <row r="76">
      <c r="A76" s="246" t="s">
        <v>205</v>
      </c>
      <c r="B76" s="246" t="s">
        <v>206</v>
      </c>
      <c r="C76" s="246" t="s">
        <v>92</v>
      </c>
      <c r="D76" s="246" t="s">
        <v>91</v>
      </c>
      <c r="E76" s="246" t="s">
        <v>100</v>
      </c>
      <c r="F76" s="247"/>
      <c r="G76" s="247"/>
      <c r="H76" s="247"/>
      <c r="I76" s="246" t="s">
        <v>263</v>
      </c>
      <c r="J76" s="248">
        <v>25.0</v>
      </c>
      <c r="K76" s="249">
        <v>1320000.0</v>
      </c>
      <c r="L76" s="249">
        <v>1320000.0</v>
      </c>
      <c r="M76" s="249">
        <v>265800.0</v>
      </c>
      <c r="N76" s="249">
        <v>265800.0</v>
      </c>
      <c r="O76" s="250">
        <f t="shared" ref="O76:P76" si="75">K76+M76</f>
        <v>1585800</v>
      </c>
      <c r="P76" s="250">
        <f t="shared" si="75"/>
        <v>1585800</v>
      </c>
    </row>
    <row r="77">
      <c r="A77" s="246" t="s">
        <v>205</v>
      </c>
      <c r="B77" s="246" t="s">
        <v>206</v>
      </c>
      <c r="C77" s="246" t="s">
        <v>92</v>
      </c>
      <c r="D77" s="246" t="s">
        <v>100</v>
      </c>
      <c r="E77" s="246" t="s">
        <v>86</v>
      </c>
      <c r="F77" s="247"/>
      <c r="G77" s="247"/>
      <c r="H77" s="246" t="s">
        <v>83</v>
      </c>
      <c r="I77" s="246" t="s">
        <v>266</v>
      </c>
      <c r="J77" s="248">
        <v>250.0</v>
      </c>
      <c r="K77" s="249">
        <v>3360000.0</v>
      </c>
      <c r="L77" s="249">
        <v>3360000.0</v>
      </c>
      <c r="M77" s="249">
        <v>2658000.0</v>
      </c>
      <c r="N77" s="249">
        <v>2658000.0</v>
      </c>
      <c r="O77" s="250">
        <f t="shared" ref="O77:P77" si="76">K77+M77</f>
        <v>6018000</v>
      </c>
      <c r="P77" s="250">
        <f t="shared" si="76"/>
        <v>6018000</v>
      </c>
    </row>
    <row r="78">
      <c r="A78" s="246" t="s">
        <v>205</v>
      </c>
      <c r="B78" s="246" t="s">
        <v>206</v>
      </c>
      <c r="C78" s="246" t="s">
        <v>92</v>
      </c>
      <c r="D78" s="246" t="s">
        <v>91</v>
      </c>
      <c r="E78" s="246" t="s">
        <v>101</v>
      </c>
      <c r="F78" s="247"/>
      <c r="G78" s="247"/>
      <c r="H78" s="247"/>
      <c r="I78" s="246" t="s">
        <v>267</v>
      </c>
      <c r="J78" s="248">
        <v>30.0</v>
      </c>
      <c r="K78" s="249">
        <v>1460000.0</v>
      </c>
      <c r="L78" s="249">
        <v>1460000.0</v>
      </c>
      <c r="M78" s="249">
        <v>318960.0</v>
      </c>
      <c r="N78" s="249">
        <v>318960.0</v>
      </c>
      <c r="O78" s="250">
        <f t="shared" ref="O78:P78" si="77">K78+M78</f>
        <v>1778960</v>
      </c>
      <c r="P78" s="250">
        <f t="shared" si="77"/>
        <v>1778960</v>
      </c>
    </row>
    <row r="79">
      <c r="A79" s="246" t="s">
        <v>205</v>
      </c>
      <c r="B79" s="246" t="s">
        <v>206</v>
      </c>
      <c r="C79" s="246" t="s">
        <v>92</v>
      </c>
      <c r="D79" s="246" t="s">
        <v>101</v>
      </c>
      <c r="E79" s="246" t="s">
        <v>84</v>
      </c>
      <c r="F79" s="247"/>
      <c r="G79" s="247"/>
      <c r="H79" s="246" t="s">
        <v>83</v>
      </c>
      <c r="I79" s="246" t="s">
        <v>268</v>
      </c>
      <c r="J79" s="248">
        <v>258.0</v>
      </c>
      <c r="K79" s="249">
        <v>3670000.0</v>
      </c>
      <c r="L79" s="249">
        <v>3670000.0</v>
      </c>
      <c r="M79" s="249">
        <v>2743056.0</v>
      </c>
      <c r="N79" s="249">
        <v>2743056.0</v>
      </c>
      <c r="O79" s="250">
        <f t="shared" ref="O79:P79" si="78">K79+M79</f>
        <v>6413056</v>
      </c>
      <c r="P79" s="250">
        <f t="shared" si="78"/>
        <v>6413056</v>
      </c>
    </row>
    <row r="80">
      <c r="A80" s="246" t="s">
        <v>205</v>
      </c>
      <c r="B80" s="246" t="s">
        <v>206</v>
      </c>
      <c r="C80" s="246" t="s">
        <v>92</v>
      </c>
      <c r="D80" s="246" t="s">
        <v>91</v>
      </c>
      <c r="E80" s="246" t="s">
        <v>101</v>
      </c>
      <c r="F80" s="247"/>
      <c r="G80" s="247"/>
      <c r="H80" s="247"/>
      <c r="I80" s="246" t="s">
        <v>267</v>
      </c>
      <c r="J80" s="248">
        <v>30.0</v>
      </c>
      <c r="K80" s="249">
        <v>1460000.0</v>
      </c>
      <c r="L80" s="249">
        <v>1460000.0</v>
      </c>
      <c r="M80" s="249">
        <v>318960.0</v>
      </c>
      <c r="N80" s="249">
        <v>318960.0</v>
      </c>
      <c r="O80" s="250">
        <f t="shared" ref="O80:P80" si="79">K80+M80</f>
        <v>1778960</v>
      </c>
      <c r="P80" s="250">
        <f t="shared" si="79"/>
        <v>1778960</v>
      </c>
    </row>
    <row r="81">
      <c r="A81" s="246" t="s">
        <v>205</v>
      </c>
      <c r="B81" s="246" t="s">
        <v>206</v>
      </c>
      <c r="C81" s="246" t="s">
        <v>92</v>
      </c>
      <c r="D81" s="246" t="s">
        <v>101</v>
      </c>
      <c r="E81" s="246" t="s">
        <v>85</v>
      </c>
      <c r="F81" s="247"/>
      <c r="G81" s="247"/>
      <c r="H81" s="246" t="s">
        <v>83</v>
      </c>
      <c r="I81" s="246" t="s">
        <v>269</v>
      </c>
      <c r="J81" s="248">
        <v>245.0</v>
      </c>
      <c r="K81" s="249">
        <v>3160000.0</v>
      </c>
      <c r="L81" s="249">
        <v>3160000.0</v>
      </c>
      <c r="M81" s="249">
        <v>2604840.0</v>
      </c>
      <c r="N81" s="249">
        <v>2604840.0</v>
      </c>
      <c r="O81" s="250">
        <f t="shared" ref="O81:P81" si="80">K81+M81</f>
        <v>5764840</v>
      </c>
      <c r="P81" s="250">
        <f t="shared" si="80"/>
        <v>5764840</v>
      </c>
    </row>
    <row r="82">
      <c r="A82" s="246" t="s">
        <v>205</v>
      </c>
      <c r="B82" s="246" t="s">
        <v>206</v>
      </c>
      <c r="C82" s="246" t="s">
        <v>92</v>
      </c>
      <c r="D82" s="246" t="s">
        <v>91</v>
      </c>
      <c r="E82" s="246" t="s">
        <v>101</v>
      </c>
      <c r="F82" s="247"/>
      <c r="G82" s="247"/>
      <c r="H82" s="247"/>
      <c r="I82" s="246" t="s">
        <v>267</v>
      </c>
      <c r="J82" s="248">
        <v>30.0</v>
      </c>
      <c r="K82" s="249">
        <v>1460000.0</v>
      </c>
      <c r="L82" s="249">
        <v>1460000.0</v>
      </c>
      <c r="M82" s="249">
        <v>318960.0</v>
      </c>
      <c r="N82" s="249">
        <v>318960.0</v>
      </c>
      <c r="O82" s="250">
        <f t="shared" ref="O82:P82" si="81">K82+M82</f>
        <v>1778960</v>
      </c>
      <c r="P82" s="250">
        <f t="shared" si="81"/>
        <v>1778960</v>
      </c>
    </row>
    <row r="83">
      <c r="A83" s="246" t="s">
        <v>205</v>
      </c>
      <c r="B83" s="246" t="s">
        <v>206</v>
      </c>
      <c r="C83" s="246" t="s">
        <v>92</v>
      </c>
      <c r="D83" s="246" t="s">
        <v>101</v>
      </c>
      <c r="E83" s="246" t="s">
        <v>86</v>
      </c>
      <c r="F83" s="247"/>
      <c r="G83" s="247"/>
      <c r="H83" s="246" t="s">
        <v>83</v>
      </c>
      <c r="I83" s="246" t="s">
        <v>270</v>
      </c>
      <c r="J83" s="248">
        <v>214.0</v>
      </c>
      <c r="K83" s="249">
        <v>2890000.0</v>
      </c>
      <c r="L83" s="249">
        <v>2890000.0</v>
      </c>
      <c r="M83" s="249">
        <v>2275248.0</v>
      </c>
      <c r="N83" s="249">
        <v>2275248.0</v>
      </c>
      <c r="O83" s="250">
        <f t="shared" ref="O83:P83" si="82">K83+M83</f>
        <v>5165248</v>
      </c>
      <c r="P83" s="250">
        <f t="shared" si="82"/>
        <v>5165248</v>
      </c>
    </row>
    <row r="84">
      <c r="A84" s="246" t="s">
        <v>205</v>
      </c>
      <c r="B84" s="246" t="s">
        <v>206</v>
      </c>
      <c r="C84" s="246" t="s">
        <v>102</v>
      </c>
      <c r="D84" s="246" t="s">
        <v>103</v>
      </c>
      <c r="E84" s="246" t="s">
        <v>84</v>
      </c>
      <c r="F84" s="247"/>
      <c r="G84" s="247"/>
      <c r="H84" s="246" t="s">
        <v>83</v>
      </c>
      <c r="I84" s="246" t="s">
        <v>271</v>
      </c>
      <c r="J84" s="248">
        <v>195.0</v>
      </c>
      <c r="K84" s="249">
        <v>2750000.0</v>
      </c>
      <c r="L84" s="249">
        <v>2750000.0</v>
      </c>
      <c r="M84" s="249">
        <v>2073240.0</v>
      </c>
      <c r="N84" s="249">
        <v>2073240.0</v>
      </c>
      <c r="O84" s="250">
        <f t="shared" ref="O84:P84" si="83">K84+M84</f>
        <v>4823240</v>
      </c>
      <c r="P84" s="250">
        <f t="shared" si="83"/>
        <v>4823240</v>
      </c>
    </row>
    <row r="85">
      <c r="A85" s="246" t="s">
        <v>205</v>
      </c>
      <c r="B85" s="246" t="s">
        <v>206</v>
      </c>
      <c r="C85" s="246" t="s">
        <v>102</v>
      </c>
      <c r="D85" s="246" t="s">
        <v>103</v>
      </c>
      <c r="E85" s="246" t="s">
        <v>85</v>
      </c>
      <c r="F85" s="247"/>
      <c r="G85" s="247"/>
      <c r="H85" s="246" t="s">
        <v>83</v>
      </c>
      <c r="I85" s="246" t="s">
        <v>272</v>
      </c>
      <c r="J85" s="248">
        <v>183.0</v>
      </c>
      <c r="K85" s="249">
        <v>2750000.0</v>
      </c>
      <c r="L85" s="249">
        <v>2750000.0</v>
      </c>
      <c r="M85" s="249">
        <v>1945656.0</v>
      </c>
      <c r="N85" s="249">
        <v>1945656.0</v>
      </c>
      <c r="O85" s="250">
        <f t="shared" ref="O85:P85" si="84">K85+M85</f>
        <v>4695656</v>
      </c>
      <c r="P85" s="250">
        <f t="shared" si="84"/>
        <v>4695656</v>
      </c>
    </row>
    <row r="86">
      <c r="A86" s="246" t="s">
        <v>205</v>
      </c>
      <c r="B86" s="246" t="s">
        <v>206</v>
      </c>
      <c r="C86" s="246" t="s">
        <v>102</v>
      </c>
      <c r="D86" s="246" t="s">
        <v>103</v>
      </c>
      <c r="E86" s="246" t="s">
        <v>86</v>
      </c>
      <c r="F86" s="247"/>
      <c r="G86" s="247"/>
      <c r="H86" s="246" t="s">
        <v>83</v>
      </c>
      <c r="I86" s="246" t="s">
        <v>273</v>
      </c>
      <c r="J86" s="248">
        <v>190.0</v>
      </c>
      <c r="K86" s="249">
        <v>2770000.0</v>
      </c>
      <c r="L86" s="249">
        <v>2770000.0</v>
      </c>
      <c r="M86" s="249">
        <v>2020080.0</v>
      </c>
      <c r="N86" s="249">
        <v>2020080.0</v>
      </c>
      <c r="O86" s="250">
        <f t="shared" ref="O86:P86" si="85">K86+M86</f>
        <v>4790080</v>
      </c>
      <c r="P86" s="250">
        <f t="shared" si="85"/>
        <v>4790080</v>
      </c>
    </row>
    <row r="87">
      <c r="A87" s="246" t="s">
        <v>205</v>
      </c>
      <c r="B87" s="246" t="s">
        <v>206</v>
      </c>
      <c r="C87" s="246" t="s">
        <v>102</v>
      </c>
      <c r="D87" s="246" t="s">
        <v>104</v>
      </c>
      <c r="E87" s="246" t="s">
        <v>84</v>
      </c>
      <c r="F87" s="247"/>
      <c r="G87" s="247"/>
      <c r="H87" s="246" t="s">
        <v>83</v>
      </c>
      <c r="I87" s="246" t="s">
        <v>274</v>
      </c>
      <c r="J87" s="248">
        <v>214.0</v>
      </c>
      <c r="K87" s="249">
        <v>3620000.0</v>
      </c>
      <c r="L87" s="249">
        <v>3620000.0</v>
      </c>
      <c r="M87" s="249">
        <v>2275248.0</v>
      </c>
      <c r="N87" s="249">
        <v>2275248.0</v>
      </c>
      <c r="O87" s="250">
        <f t="shared" ref="O87:P87" si="86">K87+M87</f>
        <v>5895248</v>
      </c>
      <c r="P87" s="250">
        <f t="shared" si="86"/>
        <v>5895248</v>
      </c>
    </row>
    <row r="88">
      <c r="A88" s="246" t="s">
        <v>205</v>
      </c>
      <c r="B88" s="246" t="s">
        <v>206</v>
      </c>
      <c r="C88" s="246" t="s">
        <v>102</v>
      </c>
      <c r="D88" s="246" t="s">
        <v>104</v>
      </c>
      <c r="E88" s="246" t="s">
        <v>85</v>
      </c>
      <c r="F88" s="247"/>
      <c r="G88" s="247"/>
      <c r="H88" s="246" t="s">
        <v>83</v>
      </c>
      <c r="I88" s="246" t="s">
        <v>275</v>
      </c>
      <c r="J88" s="248">
        <v>168.0</v>
      </c>
      <c r="K88" s="249">
        <v>3290000.0</v>
      </c>
      <c r="L88" s="249">
        <v>3290000.0</v>
      </c>
      <c r="M88" s="249">
        <v>1786176.0</v>
      </c>
      <c r="N88" s="249">
        <v>1786176.0</v>
      </c>
      <c r="O88" s="250">
        <f t="shared" ref="O88:P88" si="87">K88+M88</f>
        <v>5076176</v>
      </c>
      <c r="P88" s="250">
        <f t="shared" si="87"/>
        <v>5076176</v>
      </c>
    </row>
    <row r="89">
      <c r="A89" s="246" t="s">
        <v>205</v>
      </c>
      <c r="B89" s="246" t="s">
        <v>206</v>
      </c>
      <c r="C89" s="246" t="s">
        <v>102</v>
      </c>
      <c r="D89" s="246" t="s">
        <v>104</v>
      </c>
      <c r="E89" s="246" t="s">
        <v>86</v>
      </c>
      <c r="F89" s="247"/>
      <c r="G89" s="247"/>
      <c r="H89" s="246" t="s">
        <v>83</v>
      </c>
      <c r="I89" s="246" t="s">
        <v>276</v>
      </c>
      <c r="J89" s="248">
        <v>147.0</v>
      </c>
      <c r="K89" s="249">
        <v>3230000.0</v>
      </c>
      <c r="L89" s="249">
        <v>3230000.0</v>
      </c>
      <c r="M89" s="249">
        <v>1562904.0</v>
      </c>
      <c r="N89" s="249">
        <v>1562904.0</v>
      </c>
      <c r="O89" s="250">
        <f t="shared" ref="O89:P89" si="88">K89+M89</f>
        <v>4792904</v>
      </c>
      <c r="P89" s="250">
        <f t="shared" si="88"/>
        <v>4792904</v>
      </c>
    </row>
    <row r="90">
      <c r="A90" s="246" t="s">
        <v>205</v>
      </c>
      <c r="B90" s="246" t="s">
        <v>206</v>
      </c>
      <c r="C90" s="246" t="s">
        <v>102</v>
      </c>
      <c r="D90" s="246" t="s">
        <v>105</v>
      </c>
      <c r="E90" s="246" t="s">
        <v>84</v>
      </c>
      <c r="F90" s="247"/>
      <c r="G90" s="247"/>
      <c r="H90" s="246" t="s">
        <v>83</v>
      </c>
      <c r="I90" s="246" t="s">
        <v>277</v>
      </c>
      <c r="J90" s="248">
        <v>184.0</v>
      </c>
      <c r="K90" s="249">
        <v>2700000.0</v>
      </c>
      <c r="L90" s="249">
        <v>2700000.0</v>
      </c>
      <c r="M90" s="249">
        <v>1956288.0</v>
      </c>
      <c r="N90" s="249">
        <v>1956288.0</v>
      </c>
      <c r="O90" s="250">
        <f t="shared" ref="O90:P90" si="89">K90+M90</f>
        <v>4656288</v>
      </c>
      <c r="P90" s="250">
        <f t="shared" si="89"/>
        <v>4656288</v>
      </c>
    </row>
    <row r="91">
      <c r="A91" s="246" t="s">
        <v>205</v>
      </c>
      <c r="B91" s="246" t="s">
        <v>206</v>
      </c>
      <c r="C91" s="246" t="s">
        <v>102</v>
      </c>
      <c r="D91" s="246" t="s">
        <v>105</v>
      </c>
      <c r="E91" s="246" t="s">
        <v>85</v>
      </c>
      <c r="F91" s="247"/>
      <c r="G91" s="247"/>
      <c r="H91" s="246" t="s">
        <v>83</v>
      </c>
      <c r="I91" s="246" t="s">
        <v>278</v>
      </c>
      <c r="J91" s="248">
        <v>163.0</v>
      </c>
      <c r="K91" s="249">
        <v>2650000.0</v>
      </c>
      <c r="L91" s="249">
        <v>2650000.0</v>
      </c>
      <c r="M91" s="249">
        <v>1733016.0</v>
      </c>
      <c r="N91" s="249">
        <v>1733016.0</v>
      </c>
      <c r="O91" s="250">
        <f t="shared" ref="O91:P91" si="90">K91+M91</f>
        <v>4383016</v>
      </c>
      <c r="P91" s="250">
        <f t="shared" si="90"/>
        <v>4383016</v>
      </c>
    </row>
    <row r="92">
      <c r="A92" s="246" t="s">
        <v>205</v>
      </c>
      <c r="B92" s="246" t="s">
        <v>206</v>
      </c>
      <c r="C92" s="246" t="s">
        <v>102</v>
      </c>
      <c r="D92" s="246" t="s">
        <v>105</v>
      </c>
      <c r="E92" s="246" t="s">
        <v>86</v>
      </c>
      <c r="F92" s="247"/>
      <c r="G92" s="247"/>
      <c r="H92" s="246" t="s">
        <v>83</v>
      </c>
      <c r="I92" s="246" t="s">
        <v>279</v>
      </c>
      <c r="J92" s="248">
        <v>177.0</v>
      </c>
      <c r="K92" s="249">
        <v>2700000.0</v>
      </c>
      <c r="L92" s="249">
        <v>2700000.0</v>
      </c>
      <c r="M92" s="249">
        <v>1881864.0</v>
      </c>
      <c r="N92" s="249">
        <v>1881864.0</v>
      </c>
      <c r="O92" s="250">
        <f t="shared" ref="O92:P92" si="91">K92+M92</f>
        <v>4581864</v>
      </c>
      <c r="P92" s="250">
        <f t="shared" si="91"/>
        <v>4581864</v>
      </c>
    </row>
    <row r="93">
      <c r="A93" s="246" t="s">
        <v>280</v>
      </c>
      <c r="B93" s="246" t="s">
        <v>206</v>
      </c>
      <c r="C93" s="246" t="s">
        <v>89</v>
      </c>
      <c r="D93" s="246" t="s">
        <v>83</v>
      </c>
      <c r="E93" s="246" t="s">
        <v>84</v>
      </c>
      <c r="F93" s="247"/>
      <c r="G93" s="247"/>
      <c r="H93" s="246" t="s">
        <v>83</v>
      </c>
      <c r="I93" s="246" t="s">
        <v>207</v>
      </c>
      <c r="J93" s="248">
        <v>287.0</v>
      </c>
      <c r="K93" s="249">
        <v>3670000.0</v>
      </c>
      <c r="L93" s="249">
        <v>3670000.0</v>
      </c>
      <c r="M93" s="249">
        <v>2644533.0</v>
      </c>
      <c r="N93" s="249">
        <v>2644533.0</v>
      </c>
      <c r="O93" s="250">
        <f t="shared" ref="O93:P93" si="92">K93+M93</f>
        <v>6314533</v>
      </c>
      <c r="P93" s="250">
        <f t="shared" si="92"/>
        <v>6314533</v>
      </c>
    </row>
    <row r="94">
      <c r="A94" s="246" t="s">
        <v>280</v>
      </c>
      <c r="B94" s="246" t="s">
        <v>206</v>
      </c>
      <c r="C94" s="246" t="s">
        <v>89</v>
      </c>
      <c r="D94" s="246" t="s">
        <v>83</v>
      </c>
      <c r="E94" s="246" t="s">
        <v>85</v>
      </c>
      <c r="F94" s="247"/>
      <c r="G94" s="247"/>
      <c r="H94" s="246" t="s">
        <v>83</v>
      </c>
      <c r="I94" s="246" t="s">
        <v>208</v>
      </c>
      <c r="J94" s="248">
        <v>266.0</v>
      </c>
      <c r="K94" s="249">
        <v>3350000.0</v>
      </c>
      <c r="L94" s="249">
        <v>3350000.0</v>
      </c>
      <c r="M94" s="249">
        <v>2451030.0</v>
      </c>
      <c r="N94" s="249">
        <v>2451030.0</v>
      </c>
      <c r="O94" s="250">
        <f t="shared" ref="O94:P94" si="93">K94+M94</f>
        <v>5801030</v>
      </c>
      <c r="P94" s="250">
        <f t="shared" si="93"/>
        <v>5801030</v>
      </c>
    </row>
    <row r="95">
      <c r="A95" s="246" t="s">
        <v>280</v>
      </c>
      <c r="B95" s="246" t="s">
        <v>206</v>
      </c>
      <c r="C95" s="246" t="s">
        <v>89</v>
      </c>
      <c r="D95" s="246" t="s">
        <v>83</v>
      </c>
      <c r="E95" s="246" t="s">
        <v>86</v>
      </c>
      <c r="F95" s="247"/>
      <c r="G95" s="247"/>
      <c r="H95" s="246" t="s">
        <v>83</v>
      </c>
      <c r="I95" s="246" t="s">
        <v>209</v>
      </c>
      <c r="J95" s="248">
        <v>255.0</v>
      </c>
      <c r="K95" s="249">
        <v>3350000.0</v>
      </c>
      <c r="L95" s="249">
        <v>3350000.0</v>
      </c>
      <c r="M95" s="249">
        <v>2349672.0</v>
      </c>
      <c r="N95" s="249">
        <v>2349672.0</v>
      </c>
      <c r="O95" s="250">
        <f t="shared" ref="O95:P95" si="94">K95+M95</f>
        <v>5699672</v>
      </c>
      <c r="P95" s="250">
        <f t="shared" si="94"/>
        <v>5699672</v>
      </c>
    </row>
    <row r="96">
      <c r="A96" s="246" t="s">
        <v>280</v>
      </c>
      <c r="B96" s="246" t="s">
        <v>206</v>
      </c>
      <c r="C96" s="246" t="s">
        <v>89</v>
      </c>
      <c r="D96" s="246" t="s">
        <v>83</v>
      </c>
      <c r="E96" s="246" t="s">
        <v>84</v>
      </c>
      <c r="F96" s="246" t="s">
        <v>85</v>
      </c>
      <c r="G96" s="247"/>
      <c r="H96" s="246" t="s">
        <v>83</v>
      </c>
      <c r="I96" s="246" t="s">
        <v>210</v>
      </c>
      <c r="J96" s="248">
        <v>312.0</v>
      </c>
      <c r="K96" s="249">
        <v>4150000.0</v>
      </c>
      <c r="L96" s="249">
        <v>4150000.0</v>
      </c>
      <c r="M96" s="249">
        <v>2874893.0</v>
      </c>
      <c r="N96" s="249">
        <v>2874893.0</v>
      </c>
      <c r="O96" s="250">
        <f t="shared" ref="O96:P96" si="95">K96+M96</f>
        <v>7024893</v>
      </c>
      <c r="P96" s="250">
        <f t="shared" si="95"/>
        <v>7024893</v>
      </c>
    </row>
    <row r="97">
      <c r="A97" s="246" t="s">
        <v>280</v>
      </c>
      <c r="B97" s="246" t="s">
        <v>206</v>
      </c>
      <c r="C97" s="246" t="s">
        <v>89</v>
      </c>
      <c r="D97" s="246" t="s">
        <v>83</v>
      </c>
      <c r="E97" s="246" t="s">
        <v>84</v>
      </c>
      <c r="F97" s="246" t="s">
        <v>86</v>
      </c>
      <c r="G97" s="247"/>
      <c r="H97" s="246" t="s">
        <v>83</v>
      </c>
      <c r="I97" s="246" t="s">
        <v>211</v>
      </c>
      <c r="J97" s="248">
        <v>320.0</v>
      </c>
      <c r="K97" s="249">
        <v>4170000.0</v>
      </c>
      <c r="L97" s="249">
        <v>4170000.0</v>
      </c>
      <c r="M97" s="249">
        <v>2948608.0</v>
      </c>
      <c r="N97" s="249">
        <v>2948608.0</v>
      </c>
      <c r="O97" s="250">
        <f t="shared" ref="O97:P97" si="96">K97+M97</f>
        <v>7118608</v>
      </c>
      <c r="P97" s="250">
        <f t="shared" si="96"/>
        <v>7118608</v>
      </c>
    </row>
    <row r="98">
      <c r="A98" s="246" t="s">
        <v>280</v>
      </c>
      <c r="B98" s="246" t="s">
        <v>206</v>
      </c>
      <c r="C98" s="246" t="s">
        <v>89</v>
      </c>
      <c r="D98" s="246" t="s">
        <v>83</v>
      </c>
      <c r="E98" s="246" t="s">
        <v>85</v>
      </c>
      <c r="F98" s="246" t="s">
        <v>86</v>
      </c>
      <c r="G98" s="247"/>
      <c r="H98" s="246" t="s">
        <v>83</v>
      </c>
      <c r="I98" s="246" t="s">
        <v>212</v>
      </c>
      <c r="J98" s="248">
        <v>280.0</v>
      </c>
      <c r="K98" s="249">
        <v>3740000.0</v>
      </c>
      <c r="L98" s="249">
        <v>3740000.0</v>
      </c>
      <c r="M98" s="249">
        <v>2580032.0</v>
      </c>
      <c r="N98" s="249">
        <v>2580032.0</v>
      </c>
      <c r="O98" s="250">
        <f t="shared" ref="O98:P98" si="97">K98+M98</f>
        <v>6320032</v>
      </c>
      <c r="P98" s="250">
        <f t="shared" si="97"/>
        <v>6320032</v>
      </c>
    </row>
    <row r="99">
      <c r="A99" s="246" t="s">
        <v>280</v>
      </c>
      <c r="B99" s="246" t="s">
        <v>206</v>
      </c>
      <c r="C99" s="246" t="s">
        <v>89</v>
      </c>
      <c r="D99" s="246" t="s">
        <v>83</v>
      </c>
      <c r="E99" s="246" t="s">
        <v>84</v>
      </c>
      <c r="F99" s="246" t="s">
        <v>85</v>
      </c>
      <c r="G99" s="246" t="s">
        <v>86</v>
      </c>
      <c r="H99" s="246" t="s">
        <v>83</v>
      </c>
      <c r="I99" s="246" t="s">
        <v>213</v>
      </c>
      <c r="J99" s="248">
        <v>366.0</v>
      </c>
      <c r="K99" s="249">
        <v>4470000.0</v>
      </c>
      <c r="L99" s="249">
        <v>4470000.0</v>
      </c>
      <c r="M99" s="249">
        <v>3372470.0</v>
      </c>
      <c r="N99" s="249">
        <v>3372470.0</v>
      </c>
      <c r="O99" s="250">
        <f t="shared" ref="O99:P99" si="98">K99+M99</f>
        <v>7842470</v>
      </c>
      <c r="P99" s="250">
        <f t="shared" si="98"/>
        <v>7842470</v>
      </c>
    </row>
    <row r="100">
      <c r="A100" s="246" t="s">
        <v>280</v>
      </c>
      <c r="B100" s="246" t="s">
        <v>206</v>
      </c>
      <c r="C100" s="246" t="s">
        <v>89</v>
      </c>
      <c r="D100" s="246" t="s">
        <v>83</v>
      </c>
      <c r="E100" s="246" t="s">
        <v>87</v>
      </c>
      <c r="F100" s="247"/>
      <c r="G100" s="247"/>
      <c r="H100" s="246" t="s">
        <v>83</v>
      </c>
      <c r="I100" s="246" t="s">
        <v>214</v>
      </c>
      <c r="J100" s="248">
        <v>195.0</v>
      </c>
      <c r="K100" s="249">
        <v>3070000.0</v>
      </c>
      <c r="L100" s="249">
        <v>3070000.0</v>
      </c>
      <c r="M100" s="249">
        <v>1796808.0</v>
      </c>
      <c r="N100" s="249">
        <v>1796808.0</v>
      </c>
      <c r="O100" s="250">
        <f t="shared" ref="O100:P100" si="99">K100+M100</f>
        <v>4866808</v>
      </c>
      <c r="P100" s="250">
        <f t="shared" si="99"/>
        <v>4866808</v>
      </c>
    </row>
    <row r="101">
      <c r="A101" s="246" t="s">
        <v>280</v>
      </c>
      <c r="B101" s="246" t="s">
        <v>206</v>
      </c>
      <c r="C101" s="246" t="s">
        <v>89</v>
      </c>
      <c r="D101" s="246" t="s">
        <v>83</v>
      </c>
      <c r="E101" s="246" t="s">
        <v>87</v>
      </c>
      <c r="F101" s="246" t="s">
        <v>84</v>
      </c>
      <c r="G101" s="247"/>
      <c r="H101" s="246" t="s">
        <v>83</v>
      </c>
      <c r="I101" s="246" t="s">
        <v>215</v>
      </c>
      <c r="J101" s="248">
        <v>288.0</v>
      </c>
      <c r="K101" s="249">
        <v>3820000.0</v>
      </c>
      <c r="L101" s="249">
        <v>3820000.0</v>
      </c>
      <c r="M101" s="249">
        <v>2653747.0</v>
      </c>
      <c r="N101" s="249">
        <v>2653747.0</v>
      </c>
      <c r="O101" s="250">
        <f t="shared" ref="O101:P101" si="100">K101+M101</f>
        <v>6473747</v>
      </c>
      <c r="P101" s="250">
        <f t="shared" si="100"/>
        <v>6473747</v>
      </c>
    </row>
    <row r="102">
      <c r="A102" s="246" t="s">
        <v>280</v>
      </c>
      <c r="B102" s="246" t="s">
        <v>206</v>
      </c>
      <c r="C102" s="246" t="s">
        <v>89</v>
      </c>
      <c r="D102" s="246" t="s">
        <v>83</v>
      </c>
      <c r="E102" s="246" t="s">
        <v>87</v>
      </c>
      <c r="F102" s="246" t="s">
        <v>85</v>
      </c>
      <c r="G102" s="247"/>
      <c r="H102" s="246" t="s">
        <v>83</v>
      </c>
      <c r="I102" s="246" t="s">
        <v>216</v>
      </c>
      <c r="J102" s="248">
        <v>276.0</v>
      </c>
      <c r="K102" s="249">
        <v>3780000.0</v>
      </c>
      <c r="L102" s="249">
        <v>3780000.0</v>
      </c>
      <c r="M102" s="249">
        <v>2543174.0</v>
      </c>
      <c r="N102" s="249">
        <v>2543174.0</v>
      </c>
      <c r="O102" s="250">
        <f t="shared" ref="O102:P102" si="101">K102+M102</f>
        <v>6323174</v>
      </c>
      <c r="P102" s="250">
        <f t="shared" si="101"/>
        <v>6323174</v>
      </c>
    </row>
    <row r="103">
      <c r="A103" s="246" t="s">
        <v>280</v>
      </c>
      <c r="B103" s="246" t="s">
        <v>206</v>
      </c>
      <c r="C103" s="246" t="s">
        <v>89</v>
      </c>
      <c r="D103" s="246" t="s">
        <v>83</v>
      </c>
      <c r="E103" s="246" t="s">
        <v>88</v>
      </c>
      <c r="F103" s="247"/>
      <c r="G103" s="247"/>
      <c r="H103" s="246" t="s">
        <v>83</v>
      </c>
      <c r="I103" s="246" t="s">
        <v>217</v>
      </c>
      <c r="J103" s="248">
        <v>246.0</v>
      </c>
      <c r="K103" s="249">
        <v>3420000.0</v>
      </c>
      <c r="L103" s="249">
        <v>3420000.0</v>
      </c>
      <c r="M103" s="249">
        <v>2266742.0</v>
      </c>
      <c r="N103" s="249">
        <v>2266742.0</v>
      </c>
      <c r="O103" s="250">
        <f t="shared" ref="O103:P103" si="102">K103+M103</f>
        <v>5686742</v>
      </c>
      <c r="P103" s="250">
        <f t="shared" si="102"/>
        <v>5686742</v>
      </c>
    </row>
    <row r="104">
      <c r="A104" s="246" t="s">
        <v>280</v>
      </c>
      <c r="B104" s="246" t="s">
        <v>206</v>
      </c>
      <c r="C104" s="246" t="s">
        <v>89</v>
      </c>
      <c r="D104" s="246" t="s">
        <v>83</v>
      </c>
      <c r="E104" s="246" t="s">
        <v>88</v>
      </c>
      <c r="F104" s="246" t="s">
        <v>85</v>
      </c>
      <c r="G104" s="247"/>
      <c r="H104" s="246" t="s">
        <v>83</v>
      </c>
      <c r="I104" s="246" t="s">
        <v>218</v>
      </c>
      <c r="J104" s="248">
        <v>266.0</v>
      </c>
      <c r="K104" s="249">
        <v>3750000.0</v>
      </c>
      <c r="L104" s="249">
        <v>3750000.0</v>
      </c>
      <c r="M104" s="249">
        <v>2451030.0</v>
      </c>
      <c r="N104" s="249">
        <v>2451030.0</v>
      </c>
      <c r="O104" s="250">
        <f t="shared" ref="O104:P104" si="103">K104+M104</f>
        <v>6201030</v>
      </c>
      <c r="P104" s="250">
        <f t="shared" si="103"/>
        <v>6201030</v>
      </c>
    </row>
    <row r="105">
      <c r="A105" s="246" t="s">
        <v>280</v>
      </c>
      <c r="B105" s="246" t="s">
        <v>206</v>
      </c>
      <c r="C105" s="246" t="s">
        <v>89</v>
      </c>
      <c r="D105" s="246" t="s">
        <v>83</v>
      </c>
      <c r="E105" s="246" t="s">
        <v>88</v>
      </c>
      <c r="F105" s="246" t="s">
        <v>86</v>
      </c>
      <c r="G105" s="247"/>
      <c r="H105" s="246" t="s">
        <v>83</v>
      </c>
      <c r="I105" s="246" t="s">
        <v>219</v>
      </c>
      <c r="J105" s="248">
        <v>268.0</v>
      </c>
      <c r="K105" s="249">
        <v>3760000.0</v>
      </c>
      <c r="L105" s="249">
        <v>3760000.0</v>
      </c>
      <c r="M105" s="249">
        <v>2469459.0</v>
      </c>
      <c r="N105" s="249">
        <v>2469459.0</v>
      </c>
      <c r="O105" s="250">
        <f t="shared" ref="O105:P105" si="104">K105+M105</f>
        <v>6229459</v>
      </c>
      <c r="P105" s="250">
        <f t="shared" si="104"/>
        <v>6229459</v>
      </c>
    </row>
    <row r="106">
      <c r="A106" s="246" t="s">
        <v>280</v>
      </c>
      <c r="B106" s="246" t="s">
        <v>206</v>
      </c>
      <c r="C106" s="246" t="s">
        <v>89</v>
      </c>
      <c r="D106" s="246" t="s">
        <v>83</v>
      </c>
      <c r="E106" s="246" t="s">
        <v>88</v>
      </c>
      <c r="F106" s="246" t="s">
        <v>85</v>
      </c>
      <c r="G106" s="246" t="s">
        <v>86</v>
      </c>
      <c r="H106" s="246" t="s">
        <v>83</v>
      </c>
      <c r="I106" s="246" t="s">
        <v>220</v>
      </c>
      <c r="J106" s="248">
        <v>288.0</v>
      </c>
      <c r="K106" s="249">
        <v>3970000.0</v>
      </c>
      <c r="L106" s="249">
        <v>3970000.0</v>
      </c>
      <c r="M106" s="249">
        <v>2653747.0</v>
      </c>
      <c r="N106" s="249">
        <v>2653747.0</v>
      </c>
      <c r="O106" s="250">
        <f t="shared" ref="O106:P106" si="105">K106+M106</f>
        <v>6623747</v>
      </c>
      <c r="P106" s="250">
        <f t="shared" si="105"/>
        <v>6623747</v>
      </c>
    </row>
    <row r="107">
      <c r="A107" s="246" t="s">
        <v>280</v>
      </c>
      <c r="B107" s="246" t="s">
        <v>206</v>
      </c>
      <c r="C107" s="246" t="s">
        <v>89</v>
      </c>
      <c r="D107" s="246" t="s">
        <v>90</v>
      </c>
      <c r="E107" s="246" t="s">
        <v>84</v>
      </c>
      <c r="F107" s="247"/>
      <c r="G107" s="247"/>
      <c r="H107" s="246" t="s">
        <v>83</v>
      </c>
      <c r="I107" s="246" t="s">
        <v>221</v>
      </c>
      <c r="J107" s="248">
        <v>287.0</v>
      </c>
      <c r="K107" s="249">
        <v>3670000.0</v>
      </c>
      <c r="L107" s="249">
        <v>3670000.0</v>
      </c>
      <c r="M107" s="249">
        <v>2644533.0</v>
      </c>
      <c r="N107" s="249">
        <v>2644533.0</v>
      </c>
      <c r="O107" s="250">
        <f t="shared" ref="O107:P107" si="106">K107+M107</f>
        <v>6314533</v>
      </c>
      <c r="P107" s="250">
        <f t="shared" si="106"/>
        <v>6314533</v>
      </c>
    </row>
    <row r="108">
      <c r="A108" s="246" t="s">
        <v>280</v>
      </c>
      <c r="B108" s="246" t="s">
        <v>206</v>
      </c>
      <c r="C108" s="246" t="s">
        <v>89</v>
      </c>
      <c r="D108" s="246" t="s">
        <v>90</v>
      </c>
      <c r="E108" s="246" t="s">
        <v>85</v>
      </c>
      <c r="F108" s="247"/>
      <c r="G108" s="247"/>
      <c r="H108" s="246" t="s">
        <v>83</v>
      </c>
      <c r="I108" s="246" t="s">
        <v>222</v>
      </c>
      <c r="J108" s="248">
        <v>266.0</v>
      </c>
      <c r="K108" s="249">
        <v>3400000.0</v>
      </c>
      <c r="L108" s="249">
        <v>3400000.0</v>
      </c>
      <c r="M108" s="249">
        <v>2451030.0</v>
      </c>
      <c r="N108" s="249">
        <v>2451030.0</v>
      </c>
      <c r="O108" s="250">
        <f t="shared" ref="O108:P108" si="107">K108+M108</f>
        <v>5851030</v>
      </c>
      <c r="P108" s="250">
        <f t="shared" si="107"/>
        <v>5851030</v>
      </c>
    </row>
    <row r="109">
      <c r="A109" s="246" t="s">
        <v>280</v>
      </c>
      <c r="B109" s="246" t="s">
        <v>206</v>
      </c>
      <c r="C109" s="246" t="s">
        <v>89</v>
      </c>
      <c r="D109" s="246" t="s">
        <v>90</v>
      </c>
      <c r="E109" s="246" t="s">
        <v>86</v>
      </c>
      <c r="F109" s="247"/>
      <c r="G109" s="247"/>
      <c r="H109" s="246" t="s">
        <v>83</v>
      </c>
      <c r="I109" s="246" t="s">
        <v>223</v>
      </c>
      <c r="J109" s="248">
        <v>255.0</v>
      </c>
      <c r="K109" s="249">
        <v>3360000.0</v>
      </c>
      <c r="L109" s="249">
        <v>3360000.0</v>
      </c>
      <c r="M109" s="249">
        <v>2349672.0</v>
      </c>
      <c r="N109" s="249">
        <v>2349672.0</v>
      </c>
      <c r="O109" s="250">
        <f t="shared" ref="O109:P109" si="108">K109+M109</f>
        <v>5709672</v>
      </c>
      <c r="P109" s="250">
        <f t="shared" si="108"/>
        <v>5709672</v>
      </c>
    </row>
    <row r="110">
      <c r="A110" s="246" t="s">
        <v>280</v>
      </c>
      <c r="B110" s="246" t="s">
        <v>206</v>
      </c>
      <c r="C110" s="246" t="s">
        <v>89</v>
      </c>
      <c r="D110" s="246" t="s">
        <v>90</v>
      </c>
      <c r="E110" s="246" t="s">
        <v>84</v>
      </c>
      <c r="F110" s="246" t="s">
        <v>85</v>
      </c>
      <c r="G110" s="247"/>
      <c r="H110" s="246" t="s">
        <v>83</v>
      </c>
      <c r="I110" s="246" t="s">
        <v>224</v>
      </c>
      <c r="J110" s="248">
        <v>312.0</v>
      </c>
      <c r="K110" s="249">
        <v>4150000.0</v>
      </c>
      <c r="L110" s="249">
        <v>4150000.0</v>
      </c>
      <c r="M110" s="249">
        <v>2874893.0</v>
      </c>
      <c r="N110" s="249">
        <v>2874893.0</v>
      </c>
      <c r="O110" s="250">
        <f t="shared" ref="O110:P110" si="109">K110+M110</f>
        <v>7024893</v>
      </c>
      <c r="P110" s="250">
        <f t="shared" si="109"/>
        <v>7024893</v>
      </c>
    </row>
    <row r="111">
      <c r="A111" s="246" t="s">
        <v>280</v>
      </c>
      <c r="B111" s="246" t="s">
        <v>206</v>
      </c>
      <c r="C111" s="246" t="s">
        <v>89</v>
      </c>
      <c r="D111" s="246" t="s">
        <v>90</v>
      </c>
      <c r="E111" s="246" t="s">
        <v>84</v>
      </c>
      <c r="F111" s="246" t="s">
        <v>86</v>
      </c>
      <c r="G111" s="247"/>
      <c r="H111" s="246" t="s">
        <v>83</v>
      </c>
      <c r="I111" s="246" t="s">
        <v>225</v>
      </c>
      <c r="J111" s="248">
        <v>320.0</v>
      </c>
      <c r="K111" s="249">
        <v>4170000.0</v>
      </c>
      <c r="L111" s="249">
        <v>4170000.0</v>
      </c>
      <c r="M111" s="249">
        <v>2948608.0</v>
      </c>
      <c r="N111" s="249">
        <v>2948608.0</v>
      </c>
      <c r="O111" s="250">
        <f t="shared" ref="O111:P111" si="110">K111+M111</f>
        <v>7118608</v>
      </c>
      <c r="P111" s="250">
        <f t="shared" si="110"/>
        <v>7118608</v>
      </c>
    </row>
    <row r="112">
      <c r="A112" s="246" t="s">
        <v>280</v>
      </c>
      <c r="B112" s="246" t="s">
        <v>206</v>
      </c>
      <c r="C112" s="246" t="s">
        <v>89</v>
      </c>
      <c r="D112" s="246" t="s">
        <v>90</v>
      </c>
      <c r="E112" s="246" t="s">
        <v>85</v>
      </c>
      <c r="F112" s="246" t="s">
        <v>86</v>
      </c>
      <c r="G112" s="247"/>
      <c r="H112" s="246" t="s">
        <v>83</v>
      </c>
      <c r="I112" s="246" t="s">
        <v>226</v>
      </c>
      <c r="J112" s="248">
        <v>280.0</v>
      </c>
      <c r="K112" s="249">
        <v>3740000.0</v>
      </c>
      <c r="L112" s="249">
        <v>3740000.0</v>
      </c>
      <c r="M112" s="249">
        <v>2580032.0</v>
      </c>
      <c r="N112" s="249">
        <v>2580032.0</v>
      </c>
      <c r="O112" s="250">
        <f t="shared" ref="O112:P112" si="111">K112+M112</f>
        <v>6320032</v>
      </c>
      <c r="P112" s="250">
        <f t="shared" si="111"/>
        <v>6320032</v>
      </c>
    </row>
    <row r="113">
      <c r="A113" s="246" t="s">
        <v>280</v>
      </c>
      <c r="B113" s="246" t="s">
        <v>206</v>
      </c>
      <c r="C113" s="246" t="s">
        <v>89</v>
      </c>
      <c r="D113" s="246" t="s">
        <v>90</v>
      </c>
      <c r="E113" s="246" t="s">
        <v>84</v>
      </c>
      <c r="F113" s="246" t="s">
        <v>85</v>
      </c>
      <c r="G113" s="246" t="s">
        <v>86</v>
      </c>
      <c r="H113" s="246" t="s">
        <v>83</v>
      </c>
      <c r="I113" s="246" t="s">
        <v>227</v>
      </c>
      <c r="J113" s="248">
        <v>366.0</v>
      </c>
      <c r="K113" s="249">
        <v>4470000.0</v>
      </c>
      <c r="L113" s="249">
        <v>4470000.0</v>
      </c>
      <c r="M113" s="249">
        <v>3372470.0</v>
      </c>
      <c r="N113" s="249">
        <v>3372470.0</v>
      </c>
      <c r="O113" s="250">
        <f t="shared" ref="O113:P113" si="112">K113+M113</f>
        <v>7842470</v>
      </c>
      <c r="P113" s="250">
        <f t="shared" si="112"/>
        <v>7842470</v>
      </c>
    </row>
    <row r="114">
      <c r="A114" s="246" t="s">
        <v>280</v>
      </c>
      <c r="B114" s="246" t="s">
        <v>206</v>
      </c>
      <c r="C114" s="246" t="s">
        <v>89</v>
      </c>
      <c r="D114" s="246" t="s">
        <v>91</v>
      </c>
      <c r="E114" s="246" t="s">
        <v>84</v>
      </c>
      <c r="F114" s="247"/>
      <c r="G114" s="247"/>
      <c r="H114" s="246" t="s">
        <v>83</v>
      </c>
      <c r="I114" s="246" t="s">
        <v>228</v>
      </c>
      <c r="J114" s="248">
        <v>287.0</v>
      </c>
      <c r="K114" s="249">
        <v>3670000.0</v>
      </c>
      <c r="L114" s="249">
        <v>3670000.0</v>
      </c>
      <c r="M114" s="249">
        <v>2644533.0</v>
      </c>
      <c r="N114" s="249">
        <v>2644533.0</v>
      </c>
      <c r="O114" s="250">
        <f t="shared" ref="O114:P114" si="113">K114+M114</f>
        <v>6314533</v>
      </c>
      <c r="P114" s="250">
        <f t="shared" si="113"/>
        <v>6314533</v>
      </c>
    </row>
    <row r="115">
      <c r="A115" s="246" t="s">
        <v>280</v>
      </c>
      <c r="B115" s="246" t="s">
        <v>206</v>
      </c>
      <c r="C115" s="246" t="s">
        <v>89</v>
      </c>
      <c r="D115" s="246" t="s">
        <v>91</v>
      </c>
      <c r="E115" s="246" t="s">
        <v>85</v>
      </c>
      <c r="F115" s="247"/>
      <c r="G115" s="247"/>
      <c r="H115" s="246" t="s">
        <v>83</v>
      </c>
      <c r="I115" s="246" t="s">
        <v>229</v>
      </c>
      <c r="J115" s="248">
        <v>266.0</v>
      </c>
      <c r="K115" s="249">
        <v>3400000.0</v>
      </c>
      <c r="L115" s="249">
        <v>3400000.0</v>
      </c>
      <c r="M115" s="249">
        <v>2451030.0</v>
      </c>
      <c r="N115" s="249">
        <v>2451030.0</v>
      </c>
      <c r="O115" s="250">
        <f t="shared" ref="O115:P115" si="114">K115+M115</f>
        <v>5851030</v>
      </c>
      <c r="P115" s="250">
        <f t="shared" si="114"/>
        <v>5851030</v>
      </c>
    </row>
    <row r="116">
      <c r="A116" s="246" t="s">
        <v>280</v>
      </c>
      <c r="B116" s="246" t="s">
        <v>206</v>
      </c>
      <c r="C116" s="246" t="s">
        <v>89</v>
      </c>
      <c r="D116" s="246" t="s">
        <v>91</v>
      </c>
      <c r="E116" s="246" t="s">
        <v>86</v>
      </c>
      <c r="F116" s="247"/>
      <c r="G116" s="247"/>
      <c r="H116" s="246" t="s">
        <v>83</v>
      </c>
      <c r="I116" s="246" t="s">
        <v>230</v>
      </c>
      <c r="J116" s="248">
        <v>255.0</v>
      </c>
      <c r="K116" s="249">
        <v>3360000.0</v>
      </c>
      <c r="L116" s="249">
        <v>3360000.0</v>
      </c>
      <c r="M116" s="249">
        <v>2349672.0</v>
      </c>
      <c r="N116" s="249">
        <v>2349672.0</v>
      </c>
      <c r="O116" s="250">
        <f t="shared" ref="O116:P116" si="115">K116+M116</f>
        <v>5709672</v>
      </c>
      <c r="P116" s="250">
        <f t="shared" si="115"/>
        <v>5709672</v>
      </c>
    </row>
    <row r="117">
      <c r="A117" s="246" t="s">
        <v>280</v>
      </c>
      <c r="B117" s="246" t="s">
        <v>206</v>
      </c>
      <c r="C117" s="246" t="s">
        <v>89</v>
      </c>
      <c r="D117" s="246" t="s">
        <v>91</v>
      </c>
      <c r="E117" s="246" t="s">
        <v>84</v>
      </c>
      <c r="F117" s="246" t="s">
        <v>85</v>
      </c>
      <c r="G117" s="247"/>
      <c r="H117" s="246" t="s">
        <v>83</v>
      </c>
      <c r="I117" s="246" t="s">
        <v>231</v>
      </c>
      <c r="J117" s="248">
        <v>312.0</v>
      </c>
      <c r="K117" s="249">
        <v>4150000.0</v>
      </c>
      <c r="L117" s="249">
        <v>4150000.0</v>
      </c>
      <c r="M117" s="249">
        <v>2874893.0</v>
      </c>
      <c r="N117" s="249">
        <v>2874893.0</v>
      </c>
      <c r="O117" s="250">
        <f t="shared" ref="O117:P117" si="116">K117+M117</f>
        <v>7024893</v>
      </c>
      <c r="P117" s="250">
        <f t="shared" si="116"/>
        <v>7024893</v>
      </c>
    </row>
    <row r="118">
      <c r="A118" s="246" t="s">
        <v>280</v>
      </c>
      <c r="B118" s="246" t="s">
        <v>206</v>
      </c>
      <c r="C118" s="246" t="s">
        <v>89</v>
      </c>
      <c r="D118" s="246" t="s">
        <v>91</v>
      </c>
      <c r="E118" s="246" t="s">
        <v>84</v>
      </c>
      <c r="F118" s="246" t="s">
        <v>86</v>
      </c>
      <c r="G118" s="247"/>
      <c r="H118" s="246" t="s">
        <v>83</v>
      </c>
      <c r="I118" s="246" t="s">
        <v>232</v>
      </c>
      <c r="J118" s="248">
        <v>320.0</v>
      </c>
      <c r="K118" s="249">
        <v>4170000.0</v>
      </c>
      <c r="L118" s="249">
        <v>4170000.0</v>
      </c>
      <c r="M118" s="249">
        <v>2948608.0</v>
      </c>
      <c r="N118" s="249">
        <v>2948608.0</v>
      </c>
      <c r="O118" s="250">
        <f t="shared" ref="O118:P118" si="117">K118+M118</f>
        <v>7118608</v>
      </c>
      <c r="P118" s="250">
        <f t="shared" si="117"/>
        <v>7118608</v>
      </c>
    </row>
    <row r="119">
      <c r="A119" s="246" t="s">
        <v>280</v>
      </c>
      <c r="B119" s="246" t="s">
        <v>206</v>
      </c>
      <c r="C119" s="246" t="s">
        <v>89</v>
      </c>
      <c r="D119" s="246" t="s">
        <v>91</v>
      </c>
      <c r="E119" s="246" t="s">
        <v>85</v>
      </c>
      <c r="F119" s="246" t="s">
        <v>86</v>
      </c>
      <c r="G119" s="247"/>
      <c r="H119" s="246" t="s">
        <v>83</v>
      </c>
      <c r="I119" s="246" t="s">
        <v>233</v>
      </c>
      <c r="J119" s="248">
        <v>280.0</v>
      </c>
      <c r="K119" s="249">
        <v>3740000.0</v>
      </c>
      <c r="L119" s="249">
        <v>3740000.0</v>
      </c>
      <c r="M119" s="249">
        <v>2580032.0</v>
      </c>
      <c r="N119" s="249">
        <v>2580032.0</v>
      </c>
      <c r="O119" s="250">
        <f t="shared" ref="O119:P119" si="118">K119+M119</f>
        <v>6320032</v>
      </c>
      <c r="P119" s="250">
        <f t="shared" si="118"/>
        <v>6320032</v>
      </c>
    </row>
    <row r="120">
      <c r="A120" s="246" t="s">
        <v>280</v>
      </c>
      <c r="B120" s="246" t="s">
        <v>206</v>
      </c>
      <c r="C120" s="246" t="s">
        <v>89</v>
      </c>
      <c r="D120" s="246" t="s">
        <v>91</v>
      </c>
      <c r="E120" s="246" t="s">
        <v>84</v>
      </c>
      <c r="F120" s="246" t="s">
        <v>85</v>
      </c>
      <c r="G120" s="246" t="s">
        <v>86</v>
      </c>
      <c r="H120" s="246" t="s">
        <v>83</v>
      </c>
      <c r="I120" s="246" t="s">
        <v>234</v>
      </c>
      <c r="J120" s="248">
        <v>366.0</v>
      </c>
      <c r="K120" s="249">
        <v>4470000.0</v>
      </c>
      <c r="L120" s="249">
        <v>4470000.0</v>
      </c>
      <c r="M120" s="249">
        <v>3372470.0</v>
      </c>
      <c r="N120" s="249">
        <v>3372470.0</v>
      </c>
      <c r="O120" s="250">
        <f t="shared" ref="O120:P120" si="119">K120+M120</f>
        <v>7842470</v>
      </c>
      <c r="P120" s="250">
        <f t="shared" si="119"/>
        <v>7842470</v>
      </c>
    </row>
    <row r="121">
      <c r="A121" s="246" t="s">
        <v>280</v>
      </c>
      <c r="B121" s="246" t="s">
        <v>206</v>
      </c>
      <c r="C121" s="246" t="s">
        <v>92</v>
      </c>
      <c r="D121" s="246" t="s">
        <v>83</v>
      </c>
      <c r="E121" s="246" t="s">
        <v>93</v>
      </c>
      <c r="F121" s="247"/>
      <c r="G121" s="247"/>
      <c r="H121" s="247"/>
      <c r="I121" s="246" t="s">
        <v>235</v>
      </c>
      <c r="J121" s="248">
        <v>144.0</v>
      </c>
      <c r="K121" s="249">
        <v>2650000.0</v>
      </c>
      <c r="L121" s="249">
        <v>2650000.0</v>
      </c>
      <c r="M121" s="249">
        <v>1531008.0</v>
      </c>
      <c r="N121" s="249">
        <v>1531008.0</v>
      </c>
      <c r="O121" s="250">
        <f t="shared" ref="O121:P121" si="120">K121+M121</f>
        <v>4181008</v>
      </c>
      <c r="P121" s="250">
        <f t="shared" si="120"/>
        <v>4181008</v>
      </c>
    </row>
    <row r="122">
      <c r="A122" s="246" t="s">
        <v>280</v>
      </c>
      <c r="B122" s="246" t="s">
        <v>206</v>
      </c>
      <c r="C122" s="246" t="s">
        <v>92</v>
      </c>
      <c r="D122" s="246" t="s">
        <v>93</v>
      </c>
      <c r="E122" s="246" t="s">
        <v>84</v>
      </c>
      <c r="F122" s="247"/>
      <c r="G122" s="247"/>
      <c r="H122" s="246" t="s">
        <v>83</v>
      </c>
      <c r="I122" s="246" t="s">
        <v>236</v>
      </c>
      <c r="J122" s="248">
        <v>144.0</v>
      </c>
      <c r="K122" s="249">
        <v>2650000.0</v>
      </c>
      <c r="L122" s="249">
        <v>2650000.0</v>
      </c>
      <c r="M122" s="249">
        <v>1531008.0</v>
      </c>
      <c r="N122" s="249">
        <v>1531008.0</v>
      </c>
      <c r="O122" s="250">
        <f t="shared" ref="O122:P122" si="121">K122+M122</f>
        <v>4181008</v>
      </c>
      <c r="P122" s="250">
        <f t="shared" si="121"/>
        <v>4181008</v>
      </c>
    </row>
    <row r="123">
      <c r="A123" s="246" t="s">
        <v>280</v>
      </c>
      <c r="B123" s="246" t="s">
        <v>206</v>
      </c>
      <c r="C123" s="246" t="s">
        <v>92</v>
      </c>
      <c r="D123" s="246" t="s">
        <v>83</v>
      </c>
      <c r="E123" s="246" t="s">
        <v>93</v>
      </c>
      <c r="F123" s="247"/>
      <c r="G123" s="247"/>
      <c r="H123" s="247"/>
      <c r="I123" s="246" t="s">
        <v>235</v>
      </c>
      <c r="J123" s="248">
        <v>144.0</v>
      </c>
      <c r="K123" s="249">
        <v>2650000.0</v>
      </c>
      <c r="L123" s="249">
        <v>2650000.0</v>
      </c>
      <c r="M123" s="249">
        <v>1531008.0</v>
      </c>
      <c r="N123" s="249">
        <v>1531008.0</v>
      </c>
      <c r="O123" s="250">
        <f t="shared" ref="O123:P123" si="122">K123+M123</f>
        <v>4181008</v>
      </c>
      <c r="P123" s="250">
        <f t="shared" si="122"/>
        <v>4181008</v>
      </c>
    </row>
    <row r="124">
      <c r="A124" s="246" t="s">
        <v>280</v>
      </c>
      <c r="B124" s="246" t="s">
        <v>206</v>
      </c>
      <c r="C124" s="246" t="s">
        <v>92</v>
      </c>
      <c r="D124" s="246" t="s">
        <v>93</v>
      </c>
      <c r="E124" s="246" t="s">
        <v>85</v>
      </c>
      <c r="F124" s="247"/>
      <c r="G124" s="247"/>
      <c r="H124" s="246" t="s">
        <v>83</v>
      </c>
      <c r="I124" s="246" t="s">
        <v>237</v>
      </c>
      <c r="J124" s="248">
        <v>168.0</v>
      </c>
      <c r="K124" s="249">
        <v>2900000.0</v>
      </c>
      <c r="L124" s="249">
        <v>2900000.0</v>
      </c>
      <c r="M124" s="249">
        <v>1786176.0</v>
      </c>
      <c r="N124" s="249">
        <v>1786176.0</v>
      </c>
      <c r="O124" s="250">
        <f t="shared" ref="O124:P124" si="123">K124+M124</f>
        <v>4686176</v>
      </c>
      <c r="P124" s="250">
        <f t="shared" si="123"/>
        <v>4686176</v>
      </c>
    </row>
    <row r="125">
      <c r="A125" s="246" t="s">
        <v>280</v>
      </c>
      <c r="B125" s="246" t="s">
        <v>206</v>
      </c>
      <c r="C125" s="246" t="s">
        <v>92</v>
      </c>
      <c r="D125" s="246" t="s">
        <v>83</v>
      </c>
      <c r="E125" s="246" t="s">
        <v>93</v>
      </c>
      <c r="F125" s="247"/>
      <c r="G125" s="247"/>
      <c r="H125" s="247"/>
      <c r="I125" s="246" t="s">
        <v>235</v>
      </c>
      <c r="J125" s="248">
        <v>144.0</v>
      </c>
      <c r="K125" s="249">
        <v>2650000.0</v>
      </c>
      <c r="L125" s="249">
        <v>2650000.0</v>
      </c>
      <c r="M125" s="249">
        <v>1531008.0</v>
      </c>
      <c r="N125" s="249">
        <v>1531008.0</v>
      </c>
      <c r="O125" s="250">
        <f t="shared" ref="O125:P125" si="124">K125+M125</f>
        <v>4181008</v>
      </c>
      <c r="P125" s="250">
        <f t="shared" si="124"/>
        <v>4181008</v>
      </c>
    </row>
    <row r="126">
      <c r="A126" s="246" t="s">
        <v>280</v>
      </c>
      <c r="B126" s="246" t="s">
        <v>206</v>
      </c>
      <c r="C126" s="246" t="s">
        <v>92</v>
      </c>
      <c r="D126" s="246" t="s">
        <v>93</v>
      </c>
      <c r="E126" s="246" t="s">
        <v>86</v>
      </c>
      <c r="F126" s="247"/>
      <c r="G126" s="247"/>
      <c r="H126" s="246" t="s">
        <v>83</v>
      </c>
      <c r="I126" s="246" t="s">
        <v>238</v>
      </c>
      <c r="J126" s="248">
        <v>177.0</v>
      </c>
      <c r="K126" s="249">
        <v>2930000.0</v>
      </c>
      <c r="L126" s="249">
        <v>2930000.0</v>
      </c>
      <c r="M126" s="249">
        <v>1881864.0</v>
      </c>
      <c r="N126" s="249">
        <v>1881864.0</v>
      </c>
      <c r="O126" s="250">
        <f t="shared" ref="O126:P126" si="125">K126+M126</f>
        <v>4811864</v>
      </c>
      <c r="P126" s="250">
        <f t="shared" si="125"/>
        <v>4811864</v>
      </c>
    </row>
    <row r="127">
      <c r="A127" s="246" t="s">
        <v>280</v>
      </c>
      <c r="B127" s="246" t="s">
        <v>206</v>
      </c>
      <c r="C127" s="246" t="s">
        <v>92</v>
      </c>
      <c r="D127" s="246" t="s">
        <v>83</v>
      </c>
      <c r="E127" s="246" t="s">
        <v>94</v>
      </c>
      <c r="F127" s="247"/>
      <c r="G127" s="247"/>
      <c r="H127" s="247"/>
      <c r="I127" s="246" t="s">
        <v>239</v>
      </c>
      <c r="J127" s="248">
        <v>133.0</v>
      </c>
      <c r="K127" s="249">
        <v>2560000.0</v>
      </c>
      <c r="L127" s="249">
        <v>2560000.0</v>
      </c>
      <c r="M127" s="249">
        <v>1414056.0</v>
      </c>
      <c r="N127" s="249">
        <v>1414056.0</v>
      </c>
      <c r="O127" s="250">
        <f t="shared" ref="O127:P127" si="126">K127+M127</f>
        <v>3974056</v>
      </c>
      <c r="P127" s="250">
        <f t="shared" si="126"/>
        <v>3974056</v>
      </c>
    </row>
    <row r="128">
      <c r="A128" s="246" t="s">
        <v>280</v>
      </c>
      <c r="B128" s="246" t="s">
        <v>206</v>
      </c>
      <c r="C128" s="246" t="s">
        <v>92</v>
      </c>
      <c r="D128" s="246" t="s">
        <v>94</v>
      </c>
      <c r="E128" s="246" t="s">
        <v>84</v>
      </c>
      <c r="F128" s="247"/>
      <c r="G128" s="247"/>
      <c r="H128" s="246" t="s">
        <v>83</v>
      </c>
      <c r="I128" s="246" t="s">
        <v>240</v>
      </c>
      <c r="J128" s="248">
        <v>179.0</v>
      </c>
      <c r="K128" s="249">
        <v>2880000.0</v>
      </c>
      <c r="L128" s="249">
        <v>2880000.0</v>
      </c>
      <c r="M128" s="249">
        <v>1903128.0</v>
      </c>
      <c r="N128" s="249">
        <v>1903128.0</v>
      </c>
      <c r="O128" s="250">
        <f t="shared" ref="O128:P128" si="127">K128+M128</f>
        <v>4783128</v>
      </c>
      <c r="P128" s="250">
        <f t="shared" si="127"/>
        <v>4783128</v>
      </c>
    </row>
    <row r="129">
      <c r="A129" s="246" t="s">
        <v>280</v>
      </c>
      <c r="B129" s="246" t="s">
        <v>206</v>
      </c>
      <c r="C129" s="246" t="s">
        <v>92</v>
      </c>
      <c r="D129" s="246" t="s">
        <v>83</v>
      </c>
      <c r="E129" s="246" t="s">
        <v>94</v>
      </c>
      <c r="F129" s="247"/>
      <c r="G129" s="247"/>
      <c r="H129" s="247"/>
      <c r="I129" s="246" t="s">
        <v>239</v>
      </c>
      <c r="J129" s="248">
        <v>133.0</v>
      </c>
      <c r="K129" s="249">
        <v>2560000.0</v>
      </c>
      <c r="L129" s="249">
        <v>2560000.0</v>
      </c>
      <c r="M129" s="249">
        <v>1414056.0</v>
      </c>
      <c r="N129" s="249">
        <v>1414056.0</v>
      </c>
      <c r="O129" s="250">
        <f t="shared" ref="O129:P129" si="128">K129+M129</f>
        <v>3974056</v>
      </c>
      <c r="P129" s="250">
        <f t="shared" si="128"/>
        <v>3974056</v>
      </c>
    </row>
    <row r="130">
      <c r="A130" s="246" t="s">
        <v>280</v>
      </c>
      <c r="B130" s="246" t="s">
        <v>206</v>
      </c>
      <c r="C130" s="246" t="s">
        <v>92</v>
      </c>
      <c r="D130" s="246" t="s">
        <v>94</v>
      </c>
      <c r="E130" s="246" t="s">
        <v>85</v>
      </c>
      <c r="F130" s="247"/>
      <c r="G130" s="247"/>
      <c r="H130" s="246" t="s">
        <v>83</v>
      </c>
      <c r="I130" s="246" t="s">
        <v>241</v>
      </c>
      <c r="J130" s="248">
        <v>133.0</v>
      </c>
      <c r="K130" s="249">
        <v>2560000.0</v>
      </c>
      <c r="L130" s="249">
        <v>2560000.0</v>
      </c>
      <c r="M130" s="249">
        <v>1414056.0</v>
      </c>
      <c r="N130" s="249">
        <v>1414056.0</v>
      </c>
      <c r="O130" s="250">
        <f t="shared" ref="O130:P130" si="129">K130+M130</f>
        <v>3974056</v>
      </c>
      <c r="P130" s="250">
        <f t="shared" si="129"/>
        <v>3974056</v>
      </c>
    </row>
    <row r="131">
      <c r="A131" s="246" t="s">
        <v>280</v>
      </c>
      <c r="B131" s="246" t="s">
        <v>206</v>
      </c>
      <c r="C131" s="246" t="s">
        <v>92</v>
      </c>
      <c r="D131" s="246" t="s">
        <v>83</v>
      </c>
      <c r="E131" s="246" t="s">
        <v>94</v>
      </c>
      <c r="F131" s="247"/>
      <c r="G131" s="247"/>
      <c r="H131" s="247"/>
      <c r="I131" s="246" t="s">
        <v>239</v>
      </c>
      <c r="J131" s="248">
        <v>133.0</v>
      </c>
      <c r="K131" s="249">
        <v>2560000.0</v>
      </c>
      <c r="L131" s="249">
        <v>2560000.0</v>
      </c>
      <c r="M131" s="249">
        <v>1414056.0</v>
      </c>
      <c r="N131" s="249">
        <v>1414056.0</v>
      </c>
      <c r="O131" s="250">
        <f t="shared" ref="O131:P131" si="130">K131+M131</f>
        <v>3974056</v>
      </c>
      <c r="P131" s="250">
        <f t="shared" si="130"/>
        <v>3974056</v>
      </c>
    </row>
    <row r="132">
      <c r="A132" s="246" t="s">
        <v>280</v>
      </c>
      <c r="B132" s="246" t="s">
        <v>206</v>
      </c>
      <c r="C132" s="246" t="s">
        <v>92</v>
      </c>
      <c r="D132" s="246" t="s">
        <v>94</v>
      </c>
      <c r="E132" s="246" t="s">
        <v>86</v>
      </c>
      <c r="F132" s="247"/>
      <c r="G132" s="247"/>
      <c r="H132" s="246" t="s">
        <v>83</v>
      </c>
      <c r="I132" s="246" t="s">
        <v>242</v>
      </c>
      <c r="J132" s="248">
        <v>147.0</v>
      </c>
      <c r="K132" s="249">
        <v>2770000.0</v>
      </c>
      <c r="L132" s="249">
        <v>2770000.0</v>
      </c>
      <c r="M132" s="249">
        <v>1562904.0</v>
      </c>
      <c r="N132" s="249">
        <v>1562904.0</v>
      </c>
      <c r="O132" s="250">
        <f t="shared" ref="O132:P132" si="131">K132+M132</f>
        <v>4332904</v>
      </c>
      <c r="P132" s="250">
        <f t="shared" si="131"/>
        <v>4332904</v>
      </c>
    </row>
    <row r="133">
      <c r="A133" s="246" t="s">
        <v>280</v>
      </c>
      <c r="B133" s="246" t="s">
        <v>206</v>
      </c>
      <c r="C133" s="246" t="s">
        <v>92</v>
      </c>
      <c r="D133" s="246" t="s">
        <v>83</v>
      </c>
      <c r="E133" s="246" t="s">
        <v>95</v>
      </c>
      <c r="F133" s="247"/>
      <c r="G133" s="247"/>
      <c r="H133" s="247"/>
      <c r="I133" s="246" t="s">
        <v>243</v>
      </c>
      <c r="J133" s="248">
        <v>122.0</v>
      </c>
      <c r="K133" s="249">
        <v>2520000.0</v>
      </c>
      <c r="L133" s="249">
        <v>2520000.0</v>
      </c>
      <c r="M133" s="249">
        <v>1297104.0</v>
      </c>
      <c r="N133" s="249">
        <v>1297104.0</v>
      </c>
      <c r="O133" s="250">
        <f t="shared" ref="O133:P133" si="132">K133+M133</f>
        <v>3817104</v>
      </c>
      <c r="P133" s="250">
        <f t="shared" si="132"/>
        <v>3817104</v>
      </c>
    </row>
    <row r="134">
      <c r="A134" s="246" t="s">
        <v>280</v>
      </c>
      <c r="B134" s="246" t="s">
        <v>206</v>
      </c>
      <c r="C134" s="246" t="s">
        <v>92</v>
      </c>
      <c r="D134" s="246" t="s">
        <v>95</v>
      </c>
      <c r="E134" s="246" t="s">
        <v>84</v>
      </c>
      <c r="F134" s="247"/>
      <c r="G134" s="247"/>
      <c r="H134" s="246" t="s">
        <v>83</v>
      </c>
      <c r="I134" s="246" t="s">
        <v>244</v>
      </c>
      <c r="J134" s="248">
        <v>199.0</v>
      </c>
      <c r="K134" s="249">
        <v>2960000.0</v>
      </c>
      <c r="L134" s="249">
        <v>2960000.0</v>
      </c>
      <c r="M134" s="249">
        <v>2115768.0</v>
      </c>
      <c r="N134" s="249">
        <v>2115768.0</v>
      </c>
      <c r="O134" s="250">
        <f t="shared" ref="O134:P134" si="133">K134+M134</f>
        <v>5075768</v>
      </c>
      <c r="P134" s="250">
        <f t="shared" si="133"/>
        <v>5075768</v>
      </c>
    </row>
    <row r="135">
      <c r="A135" s="246" t="s">
        <v>280</v>
      </c>
      <c r="B135" s="246" t="s">
        <v>206</v>
      </c>
      <c r="C135" s="246" t="s">
        <v>92</v>
      </c>
      <c r="D135" s="246" t="s">
        <v>83</v>
      </c>
      <c r="E135" s="246" t="s">
        <v>95</v>
      </c>
      <c r="F135" s="247"/>
      <c r="G135" s="247"/>
      <c r="H135" s="247"/>
      <c r="I135" s="246" t="s">
        <v>243</v>
      </c>
      <c r="J135" s="248">
        <v>122.0</v>
      </c>
      <c r="K135" s="249">
        <v>2520000.0</v>
      </c>
      <c r="L135" s="249">
        <v>2520000.0</v>
      </c>
      <c r="M135" s="249">
        <v>1297104.0</v>
      </c>
      <c r="N135" s="249">
        <v>1297104.0</v>
      </c>
      <c r="O135" s="250">
        <f t="shared" ref="O135:P135" si="134">K135+M135</f>
        <v>3817104</v>
      </c>
      <c r="P135" s="250">
        <f t="shared" si="134"/>
        <v>3817104</v>
      </c>
    </row>
    <row r="136">
      <c r="A136" s="246" t="s">
        <v>280</v>
      </c>
      <c r="B136" s="246" t="s">
        <v>206</v>
      </c>
      <c r="C136" s="246" t="s">
        <v>92</v>
      </c>
      <c r="D136" s="246" t="s">
        <v>95</v>
      </c>
      <c r="E136" s="246" t="s">
        <v>85</v>
      </c>
      <c r="F136" s="247"/>
      <c r="G136" s="247"/>
      <c r="H136" s="246" t="s">
        <v>83</v>
      </c>
      <c r="I136" s="246" t="s">
        <v>245</v>
      </c>
      <c r="J136" s="248">
        <v>153.0</v>
      </c>
      <c r="K136" s="249">
        <v>2790000.0</v>
      </c>
      <c r="L136" s="249">
        <v>2790000.0</v>
      </c>
      <c r="M136" s="249">
        <v>1626696.0</v>
      </c>
      <c r="N136" s="249">
        <v>1626696.0</v>
      </c>
      <c r="O136" s="250">
        <f t="shared" ref="O136:P136" si="135">K136+M136</f>
        <v>4416696</v>
      </c>
      <c r="P136" s="250">
        <f t="shared" si="135"/>
        <v>4416696</v>
      </c>
    </row>
    <row r="137">
      <c r="A137" s="246" t="s">
        <v>280</v>
      </c>
      <c r="B137" s="246" t="s">
        <v>206</v>
      </c>
      <c r="C137" s="246" t="s">
        <v>92</v>
      </c>
      <c r="D137" s="246" t="s">
        <v>83</v>
      </c>
      <c r="E137" s="246" t="s">
        <v>95</v>
      </c>
      <c r="F137" s="247"/>
      <c r="G137" s="247"/>
      <c r="H137" s="247"/>
      <c r="I137" s="246" t="s">
        <v>243</v>
      </c>
      <c r="J137" s="248">
        <v>122.0</v>
      </c>
      <c r="K137" s="249">
        <v>2520000.0</v>
      </c>
      <c r="L137" s="249">
        <v>2520000.0</v>
      </c>
      <c r="M137" s="249">
        <v>1297104.0</v>
      </c>
      <c r="N137" s="249">
        <v>1297104.0</v>
      </c>
      <c r="O137" s="250">
        <f t="shared" ref="O137:P137" si="136">K137+M137</f>
        <v>3817104</v>
      </c>
      <c r="P137" s="250">
        <f t="shared" si="136"/>
        <v>3817104</v>
      </c>
    </row>
    <row r="138">
      <c r="A138" s="246" t="s">
        <v>280</v>
      </c>
      <c r="B138" s="246" t="s">
        <v>206</v>
      </c>
      <c r="C138" s="246" t="s">
        <v>92</v>
      </c>
      <c r="D138" s="246" t="s">
        <v>95</v>
      </c>
      <c r="E138" s="246" t="s">
        <v>86</v>
      </c>
      <c r="F138" s="247"/>
      <c r="G138" s="247"/>
      <c r="H138" s="246" t="s">
        <v>83</v>
      </c>
      <c r="I138" s="246" t="s">
        <v>246</v>
      </c>
      <c r="J138" s="248">
        <v>122.0</v>
      </c>
      <c r="K138" s="249">
        <v>2520000.0</v>
      </c>
      <c r="L138" s="249">
        <v>2520000.0</v>
      </c>
      <c r="M138" s="249">
        <v>1297104.0</v>
      </c>
      <c r="N138" s="249">
        <v>1297104.0</v>
      </c>
      <c r="O138" s="250">
        <f t="shared" ref="O138:P138" si="137">K138+M138</f>
        <v>3817104</v>
      </c>
      <c r="P138" s="250">
        <f t="shared" si="137"/>
        <v>3817104</v>
      </c>
    </row>
    <row r="139">
      <c r="A139" s="246" t="s">
        <v>280</v>
      </c>
      <c r="B139" s="246" t="s">
        <v>206</v>
      </c>
      <c r="C139" s="246" t="s">
        <v>92</v>
      </c>
      <c r="D139" s="246" t="s">
        <v>90</v>
      </c>
      <c r="E139" s="246" t="s">
        <v>96</v>
      </c>
      <c r="F139" s="247"/>
      <c r="G139" s="247"/>
      <c r="H139" s="247"/>
      <c r="I139" s="246" t="s">
        <v>247</v>
      </c>
      <c r="J139" s="248">
        <v>85.0</v>
      </c>
      <c r="K139" s="249">
        <v>1950000.0</v>
      </c>
      <c r="L139" s="249">
        <v>1950000.0</v>
      </c>
      <c r="M139" s="249">
        <v>903720.0</v>
      </c>
      <c r="N139" s="249">
        <v>903720.0</v>
      </c>
      <c r="O139" s="250">
        <f t="shared" ref="O139:P139" si="138">K139+M139</f>
        <v>2853720</v>
      </c>
      <c r="P139" s="250">
        <f t="shared" si="138"/>
        <v>2853720</v>
      </c>
    </row>
    <row r="140">
      <c r="A140" s="246" t="s">
        <v>280</v>
      </c>
      <c r="B140" s="246" t="s">
        <v>206</v>
      </c>
      <c r="C140" s="246" t="s">
        <v>92</v>
      </c>
      <c r="D140" s="246" t="s">
        <v>96</v>
      </c>
      <c r="E140" s="246" t="s">
        <v>84</v>
      </c>
      <c r="F140" s="247"/>
      <c r="G140" s="247"/>
      <c r="H140" s="246" t="s">
        <v>83</v>
      </c>
      <c r="I140" s="246" t="s">
        <v>248</v>
      </c>
      <c r="J140" s="248">
        <v>202.0</v>
      </c>
      <c r="K140" s="249">
        <v>3350000.0</v>
      </c>
      <c r="L140" s="249">
        <v>3350000.0</v>
      </c>
      <c r="M140" s="249">
        <v>2147664.0</v>
      </c>
      <c r="N140" s="249">
        <v>2147664.0</v>
      </c>
      <c r="O140" s="250">
        <f t="shared" ref="O140:P140" si="139">K140+M140</f>
        <v>5497664</v>
      </c>
      <c r="P140" s="250">
        <f t="shared" si="139"/>
        <v>5497664</v>
      </c>
    </row>
    <row r="141">
      <c r="A141" s="246" t="s">
        <v>280</v>
      </c>
      <c r="B141" s="246" t="s">
        <v>206</v>
      </c>
      <c r="C141" s="246" t="s">
        <v>92</v>
      </c>
      <c r="D141" s="246" t="s">
        <v>90</v>
      </c>
      <c r="E141" s="246" t="s">
        <v>96</v>
      </c>
      <c r="F141" s="247"/>
      <c r="G141" s="247"/>
      <c r="H141" s="247"/>
      <c r="I141" s="246" t="s">
        <v>247</v>
      </c>
      <c r="J141" s="248">
        <v>85.0</v>
      </c>
      <c r="K141" s="249">
        <v>1950000.0</v>
      </c>
      <c r="L141" s="249">
        <v>1950000.0</v>
      </c>
      <c r="M141" s="249">
        <v>903720.0</v>
      </c>
      <c r="N141" s="249">
        <v>903720.0</v>
      </c>
      <c r="O141" s="250">
        <f t="shared" ref="O141:P141" si="140">K141+M141</f>
        <v>2853720</v>
      </c>
      <c r="P141" s="250">
        <f t="shared" si="140"/>
        <v>2853720</v>
      </c>
    </row>
    <row r="142">
      <c r="A142" s="246" t="s">
        <v>280</v>
      </c>
      <c r="B142" s="246" t="s">
        <v>206</v>
      </c>
      <c r="C142" s="246" t="s">
        <v>92</v>
      </c>
      <c r="D142" s="246" t="s">
        <v>96</v>
      </c>
      <c r="E142" s="246" t="s">
        <v>85</v>
      </c>
      <c r="F142" s="247"/>
      <c r="G142" s="247"/>
      <c r="H142" s="246" t="s">
        <v>83</v>
      </c>
      <c r="I142" s="246" t="s">
        <v>249</v>
      </c>
      <c r="J142" s="248">
        <v>227.0</v>
      </c>
      <c r="K142" s="249">
        <v>3590000.0</v>
      </c>
      <c r="L142" s="249">
        <v>3590000.0</v>
      </c>
      <c r="M142" s="249">
        <v>2413464.0</v>
      </c>
      <c r="N142" s="249">
        <v>2413464.0</v>
      </c>
      <c r="O142" s="250">
        <f t="shared" ref="O142:P142" si="141">K142+M142</f>
        <v>6003464</v>
      </c>
      <c r="P142" s="250">
        <f t="shared" si="141"/>
        <v>6003464</v>
      </c>
    </row>
    <row r="143">
      <c r="A143" s="246" t="s">
        <v>280</v>
      </c>
      <c r="B143" s="246" t="s">
        <v>206</v>
      </c>
      <c r="C143" s="246" t="s">
        <v>92</v>
      </c>
      <c r="D143" s="246" t="s">
        <v>90</v>
      </c>
      <c r="E143" s="246" t="s">
        <v>96</v>
      </c>
      <c r="F143" s="247"/>
      <c r="G143" s="247"/>
      <c r="H143" s="247"/>
      <c r="I143" s="246" t="s">
        <v>247</v>
      </c>
      <c r="J143" s="248">
        <v>85.0</v>
      </c>
      <c r="K143" s="249">
        <v>1950000.0</v>
      </c>
      <c r="L143" s="249">
        <v>1950000.0</v>
      </c>
      <c r="M143" s="249">
        <v>903720.0</v>
      </c>
      <c r="N143" s="249">
        <v>903720.0</v>
      </c>
      <c r="O143" s="250">
        <f t="shared" ref="O143:P143" si="142">K143+M143</f>
        <v>2853720</v>
      </c>
      <c r="P143" s="250">
        <f t="shared" si="142"/>
        <v>2853720</v>
      </c>
    </row>
    <row r="144">
      <c r="A144" s="246" t="s">
        <v>280</v>
      </c>
      <c r="B144" s="246" t="s">
        <v>206</v>
      </c>
      <c r="C144" s="246" t="s">
        <v>92</v>
      </c>
      <c r="D144" s="246" t="s">
        <v>96</v>
      </c>
      <c r="E144" s="246" t="s">
        <v>86</v>
      </c>
      <c r="F144" s="247"/>
      <c r="G144" s="247"/>
      <c r="H144" s="246" t="s">
        <v>83</v>
      </c>
      <c r="I144" s="246" t="s">
        <v>250</v>
      </c>
      <c r="J144" s="248">
        <v>236.0</v>
      </c>
      <c r="K144" s="249">
        <v>3620000.0</v>
      </c>
      <c r="L144" s="249">
        <v>3620000.0</v>
      </c>
      <c r="M144" s="249">
        <v>2509152.0</v>
      </c>
      <c r="N144" s="249">
        <v>2509152.0</v>
      </c>
      <c r="O144" s="250">
        <f t="shared" ref="O144:P144" si="143">K144+M144</f>
        <v>6129152</v>
      </c>
      <c r="P144" s="250">
        <f t="shared" si="143"/>
        <v>6129152</v>
      </c>
    </row>
    <row r="145">
      <c r="A145" s="246" t="s">
        <v>280</v>
      </c>
      <c r="B145" s="246" t="s">
        <v>206</v>
      </c>
      <c r="C145" s="246" t="s">
        <v>92</v>
      </c>
      <c r="D145" s="246" t="s">
        <v>90</v>
      </c>
      <c r="E145" s="246" t="s">
        <v>97</v>
      </c>
      <c r="F145" s="247"/>
      <c r="G145" s="247"/>
      <c r="H145" s="247"/>
      <c r="I145" s="246" t="s">
        <v>251</v>
      </c>
      <c r="J145" s="248">
        <v>35.0</v>
      </c>
      <c r="K145" s="249">
        <v>1450000.0</v>
      </c>
      <c r="L145" s="249">
        <v>1450000.0</v>
      </c>
      <c r="M145" s="249">
        <v>372120.0</v>
      </c>
      <c r="N145" s="249">
        <v>372120.0</v>
      </c>
      <c r="O145" s="250">
        <f t="shared" ref="O145:P145" si="144">K145+M145</f>
        <v>1822120</v>
      </c>
      <c r="P145" s="250">
        <f t="shared" si="144"/>
        <v>1822120</v>
      </c>
    </row>
    <row r="146">
      <c r="A146" s="246" t="s">
        <v>280</v>
      </c>
      <c r="B146" s="246" t="s">
        <v>206</v>
      </c>
      <c r="C146" s="246" t="s">
        <v>92</v>
      </c>
      <c r="D146" s="246" t="s">
        <v>97</v>
      </c>
      <c r="E146" s="246" t="s">
        <v>84</v>
      </c>
      <c r="F146" s="247"/>
      <c r="G146" s="247"/>
      <c r="H146" s="246" t="s">
        <v>83</v>
      </c>
      <c r="I146" s="246" t="s">
        <v>252</v>
      </c>
      <c r="J146" s="248">
        <v>277.0</v>
      </c>
      <c r="K146" s="249">
        <v>3950000.0</v>
      </c>
      <c r="L146" s="249">
        <v>3950000.0</v>
      </c>
      <c r="M146" s="249">
        <v>2945064.0</v>
      </c>
      <c r="N146" s="249">
        <v>2945064.0</v>
      </c>
      <c r="O146" s="250">
        <f t="shared" ref="O146:P146" si="145">K146+M146</f>
        <v>6895064</v>
      </c>
      <c r="P146" s="250">
        <f t="shared" si="145"/>
        <v>6895064</v>
      </c>
    </row>
    <row r="147">
      <c r="A147" s="246" t="s">
        <v>280</v>
      </c>
      <c r="B147" s="246" t="s">
        <v>206</v>
      </c>
      <c r="C147" s="246" t="s">
        <v>92</v>
      </c>
      <c r="D147" s="246" t="s">
        <v>90</v>
      </c>
      <c r="E147" s="246" t="s">
        <v>97</v>
      </c>
      <c r="F147" s="247"/>
      <c r="G147" s="247"/>
      <c r="H147" s="247"/>
      <c r="I147" s="246" t="s">
        <v>251</v>
      </c>
      <c r="J147" s="248">
        <v>35.0</v>
      </c>
      <c r="K147" s="249">
        <v>1450000.0</v>
      </c>
      <c r="L147" s="249">
        <v>1450000.0</v>
      </c>
      <c r="M147" s="249">
        <v>372120.0</v>
      </c>
      <c r="N147" s="249">
        <v>372120.0</v>
      </c>
      <c r="O147" s="250">
        <f t="shared" ref="O147:P147" si="146">K147+M147</f>
        <v>1822120</v>
      </c>
      <c r="P147" s="250">
        <f t="shared" si="146"/>
        <v>1822120</v>
      </c>
    </row>
    <row r="148">
      <c r="A148" s="246" t="s">
        <v>280</v>
      </c>
      <c r="B148" s="246" t="s">
        <v>206</v>
      </c>
      <c r="C148" s="246" t="s">
        <v>92</v>
      </c>
      <c r="D148" s="246" t="s">
        <v>97</v>
      </c>
      <c r="E148" s="246" t="s">
        <v>85</v>
      </c>
      <c r="F148" s="247"/>
      <c r="G148" s="247"/>
      <c r="H148" s="246" t="s">
        <v>83</v>
      </c>
      <c r="I148" s="246" t="s">
        <v>253</v>
      </c>
      <c r="J148" s="248">
        <v>231.0</v>
      </c>
      <c r="K148" s="249">
        <v>3650000.0</v>
      </c>
      <c r="L148" s="249">
        <v>3650000.0</v>
      </c>
      <c r="M148" s="249">
        <v>2455992.0</v>
      </c>
      <c r="N148" s="249">
        <v>2455992.0</v>
      </c>
      <c r="O148" s="250">
        <f t="shared" ref="O148:P148" si="147">K148+M148</f>
        <v>6105992</v>
      </c>
      <c r="P148" s="250">
        <f t="shared" si="147"/>
        <v>6105992</v>
      </c>
    </row>
    <row r="149">
      <c r="A149" s="246" t="s">
        <v>280</v>
      </c>
      <c r="B149" s="246" t="s">
        <v>206</v>
      </c>
      <c r="C149" s="246" t="s">
        <v>92</v>
      </c>
      <c r="D149" s="246" t="s">
        <v>90</v>
      </c>
      <c r="E149" s="246" t="s">
        <v>97</v>
      </c>
      <c r="F149" s="247"/>
      <c r="G149" s="247"/>
      <c r="H149" s="247"/>
      <c r="I149" s="246" t="s">
        <v>251</v>
      </c>
      <c r="J149" s="248">
        <v>35.0</v>
      </c>
      <c r="K149" s="249">
        <v>1450000.0</v>
      </c>
      <c r="L149" s="249">
        <v>1450000.0</v>
      </c>
      <c r="M149" s="249">
        <v>372120.0</v>
      </c>
      <c r="N149" s="249">
        <v>372120.0</v>
      </c>
      <c r="O149" s="250">
        <f t="shared" ref="O149:P149" si="148">K149+M149</f>
        <v>1822120</v>
      </c>
      <c r="P149" s="250">
        <f t="shared" si="148"/>
        <v>1822120</v>
      </c>
    </row>
    <row r="150">
      <c r="A150" s="246" t="s">
        <v>280</v>
      </c>
      <c r="B150" s="246" t="s">
        <v>206</v>
      </c>
      <c r="C150" s="246" t="s">
        <v>92</v>
      </c>
      <c r="D150" s="246" t="s">
        <v>97</v>
      </c>
      <c r="E150" s="246" t="s">
        <v>86</v>
      </c>
      <c r="F150" s="247"/>
      <c r="G150" s="247"/>
      <c r="H150" s="246" t="s">
        <v>83</v>
      </c>
      <c r="I150" s="246" t="s">
        <v>254</v>
      </c>
      <c r="J150" s="248">
        <v>245.0</v>
      </c>
      <c r="K150" s="249">
        <v>3650000.0</v>
      </c>
      <c r="L150" s="249">
        <v>3650000.0</v>
      </c>
      <c r="M150" s="249">
        <v>2604840.0</v>
      </c>
      <c r="N150" s="249">
        <v>2604840.0</v>
      </c>
      <c r="O150" s="250">
        <f t="shared" ref="O150:P150" si="149">K150+M150</f>
        <v>6254840</v>
      </c>
      <c r="P150" s="250">
        <f t="shared" si="149"/>
        <v>6254840</v>
      </c>
    </row>
    <row r="151">
      <c r="A151" s="246" t="s">
        <v>280</v>
      </c>
      <c r="B151" s="246" t="s">
        <v>206</v>
      </c>
      <c r="C151" s="246" t="s">
        <v>92</v>
      </c>
      <c r="D151" s="246" t="s">
        <v>90</v>
      </c>
      <c r="E151" s="246" t="s">
        <v>98</v>
      </c>
      <c r="F151" s="247"/>
      <c r="G151" s="247"/>
      <c r="H151" s="247"/>
      <c r="I151" s="246" t="s">
        <v>255</v>
      </c>
      <c r="J151" s="248">
        <v>25.0</v>
      </c>
      <c r="K151" s="249">
        <v>1350000.0</v>
      </c>
      <c r="L151" s="249">
        <v>1350000.0</v>
      </c>
      <c r="M151" s="249">
        <v>265800.0</v>
      </c>
      <c r="N151" s="249">
        <v>265800.0</v>
      </c>
      <c r="O151" s="250">
        <f t="shared" ref="O151:P151" si="150">K151+M151</f>
        <v>1615800</v>
      </c>
      <c r="P151" s="250">
        <f t="shared" si="150"/>
        <v>1615800</v>
      </c>
    </row>
    <row r="152">
      <c r="A152" s="246" t="s">
        <v>280</v>
      </c>
      <c r="B152" s="246" t="s">
        <v>206</v>
      </c>
      <c r="C152" s="246" t="s">
        <v>92</v>
      </c>
      <c r="D152" s="246" t="s">
        <v>98</v>
      </c>
      <c r="E152" s="246" t="s">
        <v>84</v>
      </c>
      <c r="F152" s="247"/>
      <c r="G152" s="247"/>
      <c r="H152" s="246" t="s">
        <v>83</v>
      </c>
      <c r="I152" s="246" t="s">
        <v>256</v>
      </c>
      <c r="J152" s="248">
        <v>296.0</v>
      </c>
      <c r="K152" s="249">
        <v>3950000.0</v>
      </c>
      <c r="L152" s="249">
        <v>3950000.0</v>
      </c>
      <c r="M152" s="249">
        <v>3147072.0</v>
      </c>
      <c r="N152" s="249">
        <v>3147072.0</v>
      </c>
      <c r="O152" s="250">
        <f t="shared" ref="O152:P152" si="151">K152+M152</f>
        <v>7097072</v>
      </c>
      <c r="P152" s="250">
        <f t="shared" si="151"/>
        <v>7097072</v>
      </c>
    </row>
    <row r="153">
      <c r="A153" s="246" t="s">
        <v>280</v>
      </c>
      <c r="B153" s="246" t="s">
        <v>206</v>
      </c>
      <c r="C153" s="246" t="s">
        <v>92</v>
      </c>
      <c r="D153" s="246" t="s">
        <v>90</v>
      </c>
      <c r="E153" s="246" t="s">
        <v>98</v>
      </c>
      <c r="F153" s="247"/>
      <c r="G153" s="247"/>
      <c r="H153" s="247"/>
      <c r="I153" s="246" t="s">
        <v>255</v>
      </c>
      <c r="J153" s="248">
        <v>25.0</v>
      </c>
      <c r="K153" s="249">
        <v>1350000.0</v>
      </c>
      <c r="L153" s="249">
        <v>1350000.0</v>
      </c>
      <c r="M153" s="249">
        <v>265800.0</v>
      </c>
      <c r="N153" s="249">
        <v>265800.0</v>
      </c>
      <c r="O153" s="250">
        <f t="shared" ref="O153:P153" si="152">K153+M153</f>
        <v>1615800</v>
      </c>
      <c r="P153" s="250">
        <f t="shared" si="152"/>
        <v>1615800</v>
      </c>
    </row>
    <row r="154">
      <c r="A154" s="246" t="s">
        <v>280</v>
      </c>
      <c r="B154" s="246" t="s">
        <v>206</v>
      </c>
      <c r="C154" s="246" t="s">
        <v>92</v>
      </c>
      <c r="D154" s="246" t="s">
        <v>98</v>
      </c>
      <c r="E154" s="246" t="s">
        <v>85</v>
      </c>
      <c r="F154" s="247"/>
      <c r="G154" s="247"/>
      <c r="H154" s="246" t="s">
        <v>83</v>
      </c>
      <c r="I154" s="246" t="s">
        <v>257</v>
      </c>
      <c r="J154" s="248">
        <v>250.0</v>
      </c>
      <c r="K154" s="249">
        <v>3650000.0</v>
      </c>
      <c r="L154" s="249">
        <v>3650000.0</v>
      </c>
      <c r="M154" s="249">
        <v>2658000.0</v>
      </c>
      <c r="N154" s="249">
        <v>2658000.0</v>
      </c>
      <c r="O154" s="250">
        <f t="shared" ref="O154:P154" si="153">K154+M154</f>
        <v>6308000</v>
      </c>
      <c r="P154" s="250">
        <f t="shared" si="153"/>
        <v>6308000</v>
      </c>
    </row>
    <row r="155">
      <c r="A155" s="246" t="s">
        <v>280</v>
      </c>
      <c r="B155" s="246" t="s">
        <v>206</v>
      </c>
      <c r="C155" s="246" t="s">
        <v>92</v>
      </c>
      <c r="D155" s="246" t="s">
        <v>90</v>
      </c>
      <c r="E155" s="246" t="s">
        <v>98</v>
      </c>
      <c r="F155" s="247"/>
      <c r="G155" s="247"/>
      <c r="H155" s="247"/>
      <c r="I155" s="246" t="s">
        <v>255</v>
      </c>
      <c r="J155" s="248">
        <v>25.0</v>
      </c>
      <c r="K155" s="249">
        <v>1350000.0</v>
      </c>
      <c r="L155" s="249">
        <v>1350000.0</v>
      </c>
      <c r="M155" s="249">
        <v>265800.0</v>
      </c>
      <c r="N155" s="249">
        <v>265800.0</v>
      </c>
      <c r="O155" s="250">
        <f t="shared" ref="O155:P155" si="154">K155+M155</f>
        <v>1615800</v>
      </c>
      <c r="P155" s="250">
        <f t="shared" si="154"/>
        <v>1615800</v>
      </c>
    </row>
    <row r="156">
      <c r="A156" s="246" t="s">
        <v>280</v>
      </c>
      <c r="B156" s="246" t="s">
        <v>206</v>
      </c>
      <c r="C156" s="246" t="s">
        <v>92</v>
      </c>
      <c r="D156" s="246" t="s">
        <v>98</v>
      </c>
      <c r="E156" s="246" t="s">
        <v>86</v>
      </c>
      <c r="F156" s="247"/>
      <c r="G156" s="247"/>
      <c r="H156" s="246" t="s">
        <v>83</v>
      </c>
      <c r="I156" s="246" t="s">
        <v>258</v>
      </c>
      <c r="J156" s="248">
        <v>219.0</v>
      </c>
      <c r="K156" s="249">
        <v>3350000.0</v>
      </c>
      <c r="L156" s="249">
        <v>3350000.0</v>
      </c>
      <c r="M156" s="249">
        <v>2328408.0</v>
      </c>
      <c r="N156" s="249">
        <v>2328408.0</v>
      </c>
      <c r="O156" s="250">
        <f t="shared" ref="O156:P156" si="155">K156+M156</f>
        <v>5678408</v>
      </c>
      <c r="P156" s="250">
        <f t="shared" si="155"/>
        <v>5678408</v>
      </c>
    </row>
    <row r="157">
      <c r="A157" s="246" t="s">
        <v>280</v>
      </c>
      <c r="B157" s="246" t="s">
        <v>206</v>
      </c>
      <c r="C157" s="246" t="s">
        <v>92</v>
      </c>
      <c r="D157" s="246" t="s">
        <v>91</v>
      </c>
      <c r="E157" s="246" t="s">
        <v>99</v>
      </c>
      <c r="F157" s="247"/>
      <c r="G157" s="247"/>
      <c r="H157" s="247"/>
      <c r="I157" s="246" t="s">
        <v>259</v>
      </c>
      <c r="J157" s="248">
        <v>65.0</v>
      </c>
      <c r="K157" s="249">
        <v>1930000.0</v>
      </c>
      <c r="L157" s="249">
        <v>1930000.0</v>
      </c>
      <c r="M157" s="249">
        <v>691080.0</v>
      </c>
      <c r="N157" s="249">
        <v>691080.0</v>
      </c>
      <c r="O157" s="250">
        <f t="shared" ref="O157:P157" si="156">K157+M157</f>
        <v>2621080</v>
      </c>
      <c r="P157" s="250">
        <f t="shared" si="156"/>
        <v>2621080</v>
      </c>
    </row>
    <row r="158">
      <c r="A158" s="246" t="s">
        <v>280</v>
      </c>
      <c r="B158" s="246" t="s">
        <v>206</v>
      </c>
      <c r="C158" s="246" t="s">
        <v>92</v>
      </c>
      <c r="D158" s="246" t="s">
        <v>99</v>
      </c>
      <c r="E158" s="246" t="s">
        <v>84</v>
      </c>
      <c r="F158" s="247"/>
      <c r="G158" s="247"/>
      <c r="H158" s="246" t="s">
        <v>83</v>
      </c>
      <c r="I158" s="246" t="s">
        <v>260</v>
      </c>
      <c r="J158" s="248">
        <v>223.0</v>
      </c>
      <c r="K158" s="249">
        <v>3360000.0</v>
      </c>
      <c r="L158" s="249">
        <v>3360000.0</v>
      </c>
      <c r="M158" s="249">
        <v>2370936.0</v>
      </c>
      <c r="N158" s="249">
        <v>2370936.0</v>
      </c>
      <c r="O158" s="250">
        <f t="shared" ref="O158:P158" si="157">K158+M158</f>
        <v>5730936</v>
      </c>
      <c r="P158" s="250">
        <f t="shared" si="157"/>
        <v>5730936</v>
      </c>
    </row>
    <row r="159">
      <c r="A159" s="246" t="s">
        <v>280</v>
      </c>
      <c r="B159" s="246" t="s">
        <v>206</v>
      </c>
      <c r="C159" s="246" t="s">
        <v>92</v>
      </c>
      <c r="D159" s="246" t="s">
        <v>91</v>
      </c>
      <c r="E159" s="246" t="s">
        <v>99</v>
      </c>
      <c r="F159" s="247"/>
      <c r="G159" s="247"/>
      <c r="H159" s="247"/>
      <c r="I159" s="246" t="s">
        <v>259</v>
      </c>
      <c r="J159" s="248">
        <v>65.0</v>
      </c>
      <c r="K159" s="249">
        <v>1930000.0</v>
      </c>
      <c r="L159" s="249">
        <v>1930000.0</v>
      </c>
      <c r="M159" s="249">
        <v>691080.0</v>
      </c>
      <c r="N159" s="249">
        <v>691080.0</v>
      </c>
      <c r="O159" s="250">
        <f t="shared" ref="O159:P159" si="158">K159+M159</f>
        <v>2621080</v>
      </c>
      <c r="P159" s="250">
        <f t="shared" si="158"/>
        <v>2621080</v>
      </c>
    </row>
    <row r="160">
      <c r="A160" s="246" t="s">
        <v>280</v>
      </c>
      <c r="B160" s="246" t="s">
        <v>206</v>
      </c>
      <c r="C160" s="246" t="s">
        <v>92</v>
      </c>
      <c r="D160" s="246" t="s">
        <v>99</v>
      </c>
      <c r="E160" s="246" t="s">
        <v>85</v>
      </c>
      <c r="F160" s="247"/>
      <c r="G160" s="247"/>
      <c r="H160" s="246" t="s">
        <v>83</v>
      </c>
      <c r="I160" s="246" t="s">
        <v>261</v>
      </c>
      <c r="J160" s="248">
        <v>247.0</v>
      </c>
      <c r="K160" s="249">
        <v>3610000.0</v>
      </c>
      <c r="L160" s="249">
        <v>3610000.0</v>
      </c>
      <c r="M160" s="249">
        <v>2626104.0</v>
      </c>
      <c r="N160" s="249">
        <v>2626104.0</v>
      </c>
      <c r="O160" s="250">
        <f t="shared" ref="O160:P160" si="159">K160+M160</f>
        <v>6236104</v>
      </c>
      <c r="P160" s="250">
        <f t="shared" si="159"/>
        <v>6236104</v>
      </c>
    </row>
    <row r="161">
      <c r="A161" s="246" t="s">
        <v>280</v>
      </c>
      <c r="B161" s="246" t="s">
        <v>206</v>
      </c>
      <c r="C161" s="246" t="s">
        <v>92</v>
      </c>
      <c r="D161" s="246" t="s">
        <v>91</v>
      </c>
      <c r="E161" s="246" t="s">
        <v>99</v>
      </c>
      <c r="F161" s="247"/>
      <c r="G161" s="247"/>
      <c r="H161" s="247"/>
      <c r="I161" s="246" t="s">
        <v>259</v>
      </c>
      <c r="J161" s="248">
        <v>65.0</v>
      </c>
      <c r="K161" s="249">
        <v>1930000.0</v>
      </c>
      <c r="L161" s="249">
        <v>1930000.0</v>
      </c>
      <c r="M161" s="249">
        <v>691080.0</v>
      </c>
      <c r="N161" s="249">
        <v>691080.0</v>
      </c>
      <c r="O161" s="250">
        <f t="shared" ref="O161:P161" si="160">K161+M161</f>
        <v>2621080</v>
      </c>
      <c r="P161" s="250">
        <f t="shared" si="160"/>
        <v>2621080</v>
      </c>
    </row>
    <row r="162">
      <c r="A162" s="246" t="s">
        <v>280</v>
      </c>
      <c r="B162" s="246" t="s">
        <v>206</v>
      </c>
      <c r="C162" s="246" t="s">
        <v>92</v>
      </c>
      <c r="D162" s="246" t="s">
        <v>99</v>
      </c>
      <c r="E162" s="246" t="s">
        <v>86</v>
      </c>
      <c r="F162" s="247"/>
      <c r="G162" s="247"/>
      <c r="H162" s="246" t="s">
        <v>83</v>
      </c>
      <c r="I162" s="246" t="s">
        <v>262</v>
      </c>
      <c r="J162" s="248">
        <v>256.0</v>
      </c>
      <c r="K162" s="249">
        <v>3640000.0</v>
      </c>
      <c r="L162" s="249">
        <v>3640000.0</v>
      </c>
      <c r="M162" s="249">
        <v>2721792.0</v>
      </c>
      <c r="N162" s="249">
        <v>2721792.0</v>
      </c>
      <c r="O162" s="250">
        <f t="shared" ref="O162:P162" si="161">K162+M162</f>
        <v>6361792</v>
      </c>
      <c r="P162" s="250">
        <f t="shared" si="161"/>
        <v>6361792</v>
      </c>
    </row>
    <row r="163">
      <c r="A163" s="246" t="s">
        <v>280</v>
      </c>
      <c r="B163" s="246" t="s">
        <v>206</v>
      </c>
      <c r="C163" s="246" t="s">
        <v>92</v>
      </c>
      <c r="D163" s="246" t="s">
        <v>91</v>
      </c>
      <c r="E163" s="246" t="s">
        <v>100</v>
      </c>
      <c r="F163" s="247"/>
      <c r="G163" s="247"/>
      <c r="H163" s="247"/>
      <c r="I163" s="246" t="s">
        <v>263</v>
      </c>
      <c r="J163" s="248">
        <v>25.0</v>
      </c>
      <c r="K163" s="249">
        <v>1670000.0</v>
      </c>
      <c r="L163" s="249">
        <v>1670000.0</v>
      </c>
      <c r="M163" s="249">
        <v>265800.0</v>
      </c>
      <c r="N163" s="249">
        <v>265800.0</v>
      </c>
      <c r="O163" s="250">
        <f t="shared" ref="O163:P163" si="162">K163+M163</f>
        <v>1935800</v>
      </c>
      <c r="P163" s="250">
        <f t="shared" si="162"/>
        <v>1935800</v>
      </c>
    </row>
    <row r="164">
      <c r="A164" s="246" t="s">
        <v>280</v>
      </c>
      <c r="B164" s="246" t="s">
        <v>206</v>
      </c>
      <c r="C164" s="246" t="s">
        <v>92</v>
      </c>
      <c r="D164" s="246" t="s">
        <v>100</v>
      </c>
      <c r="E164" s="246" t="s">
        <v>84</v>
      </c>
      <c r="F164" s="247"/>
      <c r="G164" s="247"/>
      <c r="H164" s="246" t="s">
        <v>83</v>
      </c>
      <c r="I164" s="246" t="s">
        <v>264</v>
      </c>
      <c r="J164" s="248">
        <v>287.0</v>
      </c>
      <c r="K164" s="249">
        <v>3770000.0</v>
      </c>
      <c r="L164" s="249">
        <v>3770000.0</v>
      </c>
      <c r="M164" s="249">
        <v>3051384.0</v>
      </c>
      <c r="N164" s="249">
        <v>3051384.0</v>
      </c>
      <c r="O164" s="250">
        <f t="shared" ref="O164:P164" si="163">K164+M164</f>
        <v>6821384</v>
      </c>
      <c r="P164" s="250">
        <f t="shared" si="163"/>
        <v>6821384</v>
      </c>
    </row>
    <row r="165">
      <c r="A165" s="246" t="s">
        <v>280</v>
      </c>
      <c r="B165" s="246" t="s">
        <v>206</v>
      </c>
      <c r="C165" s="246" t="s">
        <v>92</v>
      </c>
      <c r="D165" s="246" t="s">
        <v>91</v>
      </c>
      <c r="E165" s="246" t="s">
        <v>100</v>
      </c>
      <c r="F165" s="247"/>
      <c r="G165" s="247"/>
      <c r="H165" s="247"/>
      <c r="I165" s="246" t="s">
        <v>263</v>
      </c>
      <c r="J165" s="248">
        <v>25.0</v>
      </c>
      <c r="K165" s="249">
        <v>1670000.0</v>
      </c>
      <c r="L165" s="249">
        <v>1670000.0</v>
      </c>
      <c r="M165" s="249">
        <v>265800.0</v>
      </c>
      <c r="N165" s="249">
        <v>265800.0</v>
      </c>
      <c r="O165" s="250">
        <f t="shared" ref="O165:P165" si="164">K165+M165</f>
        <v>1935800</v>
      </c>
      <c r="P165" s="250">
        <f t="shared" si="164"/>
        <v>1935800</v>
      </c>
    </row>
    <row r="166">
      <c r="A166" s="246" t="s">
        <v>280</v>
      </c>
      <c r="B166" s="246" t="s">
        <v>206</v>
      </c>
      <c r="C166" s="246" t="s">
        <v>92</v>
      </c>
      <c r="D166" s="246" t="s">
        <v>100</v>
      </c>
      <c r="E166" s="246" t="s">
        <v>85</v>
      </c>
      <c r="F166" s="247"/>
      <c r="G166" s="247"/>
      <c r="H166" s="246" t="s">
        <v>83</v>
      </c>
      <c r="I166" s="246" t="s">
        <v>265</v>
      </c>
      <c r="J166" s="248">
        <v>241.0</v>
      </c>
      <c r="K166" s="249">
        <v>3450000.0</v>
      </c>
      <c r="L166" s="249">
        <v>3450000.0</v>
      </c>
      <c r="M166" s="249">
        <v>2562312.0</v>
      </c>
      <c r="N166" s="249">
        <v>2562312.0</v>
      </c>
      <c r="O166" s="250">
        <f t="shared" ref="O166:P166" si="165">K166+M166</f>
        <v>6012312</v>
      </c>
      <c r="P166" s="250">
        <f t="shared" si="165"/>
        <v>6012312</v>
      </c>
    </row>
    <row r="167">
      <c r="A167" s="246" t="s">
        <v>280</v>
      </c>
      <c r="B167" s="246" t="s">
        <v>206</v>
      </c>
      <c r="C167" s="246" t="s">
        <v>92</v>
      </c>
      <c r="D167" s="246" t="s">
        <v>91</v>
      </c>
      <c r="E167" s="246" t="s">
        <v>100</v>
      </c>
      <c r="F167" s="247"/>
      <c r="G167" s="247"/>
      <c r="H167" s="247"/>
      <c r="I167" s="246" t="s">
        <v>263</v>
      </c>
      <c r="J167" s="248">
        <v>25.0</v>
      </c>
      <c r="K167" s="249">
        <v>1670000.0</v>
      </c>
      <c r="L167" s="249">
        <v>1670000.0</v>
      </c>
      <c r="M167" s="249">
        <v>265800.0</v>
      </c>
      <c r="N167" s="249">
        <v>265800.0</v>
      </c>
      <c r="O167" s="250">
        <f t="shared" ref="O167:P167" si="166">K167+M167</f>
        <v>1935800</v>
      </c>
      <c r="P167" s="250">
        <f t="shared" si="166"/>
        <v>1935800</v>
      </c>
    </row>
    <row r="168">
      <c r="A168" s="246" t="s">
        <v>280</v>
      </c>
      <c r="B168" s="246" t="s">
        <v>206</v>
      </c>
      <c r="C168" s="246" t="s">
        <v>92</v>
      </c>
      <c r="D168" s="246" t="s">
        <v>100</v>
      </c>
      <c r="E168" s="246" t="s">
        <v>86</v>
      </c>
      <c r="F168" s="247"/>
      <c r="G168" s="247"/>
      <c r="H168" s="246" t="s">
        <v>83</v>
      </c>
      <c r="I168" s="246" t="s">
        <v>266</v>
      </c>
      <c r="J168" s="248">
        <v>250.0</v>
      </c>
      <c r="K168" s="249">
        <v>3710000.0</v>
      </c>
      <c r="L168" s="249">
        <v>3710000.0</v>
      </c>
      <c r="M168" s="249">
        <v>2658000.0</v>
      </c>
      <c r="N168" s="249">
        <v>2658000.0</v>
      </c>
      <c r="O168" s="250">
        <f t="shared" ref="O168:P168" si="167">K168+M168</f>
        <v>6368000</v>
      </c>
      <c r="P168" s="250">
        <f t="shared" si="167"/>
        <v>6368000</v>
      </c>
    </row>
    <row r="169">
      <c r="A169" s="246" t="s">
        <v>280</v>
      </c>
      <c r="B169" s="246" t="s">
        <v>206</v>
      </c>
      <c r="C169" s="246" t="s">
        <v>92</v>
      </c>
      <c r="D169" s="246" t="s">
        <v>91</v>
      </c>
      <c r="E169" s="246" t="s">
        <v>101</v>
      </c>
      <c r="F169" s="247"/>
      <c r="G169" s="247"/>
      <c r="H169" s="247"/>
      <c r="I169" s="246" t="s">
        <v>267</v>
      </c>
      <c r="J169" s="248">
        <v>30.0</v>
      </c>
      <c r="K169" s="249">
        <v>1810000.0</v>
      </c>
      <c r="L169" s="249">
        <v>1810000.0</v>
      </c>
      <c r="M169" s="249">
        <v>318960.0</v>
      </c>
      <c r="N169" s="249">
        <v>318960.0</v>
      </c>
      <c r="O169" s="250">
        <f t="shared" ref="O169:P169" si="168">K169+M169</f>
        <v>2128960</v>
      </c>
      <c r="P169" s="250">
        <f t="shared" si="168"/>
        <v>2128960</v>
      </c>
    </row>
    <row r="170">
      <c r="A170" s="246" t="s">
        <v>280</v>
      </c>
      <c r="B170" s="246" t="s">
        <v>206</v>
      </c>
      <c r="C170" s="246" t="s">
        <v>92</v>
      </c>
      <c r="D170" s="246" t="s">
        <v>101</v>
      </c>
      <c r="E170" s="246" t="s">
        <v>84</v>
      </c>
      <c r="F170" s="247"/>
      <c r="G170" s="247"/>
      <c r="H170" s="246" t="s">
        <v>83</v>
      </c>
      <c r="I170" s="246" t="s">
        <v>268</v>
      </c>
      <c r="J170" s="248">
        <v>258.0</v>
      </c>
      <c r="K170" s="249">
        <v>4020000.0</v>
      </c>
      <c r="L170" s="249">
        <v>4020000.0</v>
      </c>
      <c r="M170" s="249">
        <v>2743056.0</v>
      </c>
      <c r="N170" s="249">
        <v>2743056.0</v>
      </c>
      <c r="O170" s="250">
        <f t="shared" ref="O170:P170" si="169">K170+M170</f>
        <v>6763056</v>
      </c>
      <c r="P170" s="250">
        <f t="shared" si="169"/>
        <v>6763056</v>
      </c>
    </row>
    <row r="171">
      <c r="A171" s="246" t="s">
        <v>280</v>
      </c>
      <c r="B171" s="246" t="s">
        <v>206</v>
      </c>
      <c r="C171" s="246" t="s">
        <v>92</v>
      </c>
      <c r="D171" s="246" t="s">
        <v>91</v>
      </c>
      <c r="E171" s="246" t="s">
        <v>101</v>
      </c>
      <c r="F171" s="247"/>
      <c r="G171" s="247"/>
      <c r="H171" s="247"/>
      <c r="I171" s="246" t="s">
        <v>267</v>
      </c>
      <c r="J171" s="248">
        <v>30.0</v>
      </c>
      <c r="K171" s="249">
        <v>1810000.0</v>
      </c>
      <c r="L171" s="249">
        <v>1810000.0</v>
      </c>
      <c r="M171" s="249">
        <v>318960.0</v>
      </c>
      <c r="N171" s="249">
        <v>318960.0</v>
      </c>
      <c r="O171" s="250">
        <f t="shared" ref="O171:P171" si="170">K171+M171</f>
        <v>2128960</v>
      </c>
      <c r="P171" s="250">
        <f t="shared" si="170"/>
        <v>2128960</v>
      </c>
    </row>
    <row r="172">
      <c r="A172" s="246" t="s">
        <v>280</v>
      </c>
      <c r="B172" s="246" t="s">
        <v>206</v>
      </c>
      <c r="C172" s="246" t="s">
        <v>92</v>
      </c>
      <c r="D172" s="246" t="s">
        <v>101</v>
      </c>
      <c r="E172" s="246" t="s">
        <v>85</v>
      </c>
      <c r="F172" s="247"/>
      <c r="G172" s="247"/>
      <c r="H172" s="246" t="s">
        <v>83</v>
      </c>
      <c r="I172" s="246" t="s">
        <v>269</v>
      </c>
      <c r="J172" s="248">
        <v>245.0</v>
      </c>
      <c r="K172" s="249">
        <v>3510000.0</v>
      </c>
      <c r="L172" s="249">
        <v>3510000.0</v>
      </c>
      <c r="M172" s="249">
        <v>2604840.0</v>
      </c>
      <c r="N172" s="249">
        <v>2604840.0</v>
      </c>
      <c r="O172" s="250">
        <f t="shared" ref="O172:P172" si="171">K172+M172</f>
        <v>6114840</v>
      </c>
      <c r="P172" s="250">
        <f t="shared" si="171"/>
        <v>6114840</v>
      </c>
    </row>
    <row r="173">
      <c r="A173" s="246" t="s">
        <v>280</v>
      </c>
      <c r="B173" s="246" t="s">
        <v>206</v>
      </c>
      <c r="C173" s="246" t="s">
        <v>92</v>
      </c>
      <c r="D173" s="246" t="s">
        <v>91</v>
      </c>
      <c r="E173" s="246" t="s">
        <v>101</v>
      </c>
      <c r="F173" s="247"/>
      <c r="G173" s="247"/>
      <c r="H173" s="247"/>
      <c r="I173" s="246" t="s">
        <v>267</v>
      </c>
      <c r="J173" s="248">
        <v>30.0</v>
      </c>
      <c r="K173" s="249">
        <v>1810000.0</v>
      </c>
      <c r="L173" s="249">
        <v>1810000.0</v>
      </c>
      <c r="M173" s="249">
        <v>318960.0</v>
      </c>
      <c r="N173" s="249">
        <v>318960.0</v>
      </c>
      <c r="O173" s="250">
        <f t="shared" ref="O173:P173" si="172">K173+M173</f>
        <v>2128960</v>
      </c>
      <c r="P173" s="250">
        <f t="shared" si="172"/>
        <v>2128960</v>
      </c>
    </row>
    <row r="174">
      <c r="A174" s="246" t="s">
        <v>280</v>
      </c>
      <c r="B174" s="246" t="s">
        <v>206</v>
      </c>
      <c r="C174" s="246" t="s">
        <v>92</v>
      </c>
      <c r="D174" s="246" t="s">
        <v>101</v>
      </c>
      <c r="E174" s="246" t="s">
        <v>86</v>
      </c>
      <c r="F174" s="247"/>
      <c r="G174" s="247"/>
      <c r="H174" s="246" t="s">
        <v>83</v>
      </c>
      <c r="I174" s="246" t="s">
        <v>270</v>
      </c>
      <c r="J174" s="248">
        <v>214.0</v>
      </c>
      <c r="K174" s="249">
        <v>3240000.0</v>
      </c>
      <c r="L174" s="249">
        <v>3240000.0</v>
      </c>
      <c r="M174" s="249">
        <v>2275248.0</v>
      </c>
      <c r="N174" s="249">
        <v>2275248.0</v>
      </c>
      <c r="O174" s="250">
        <f t="shared" ref="O174:P174" si="173">K174+M174</f>
        <v>5515248</v>
      </c>
      <c r="P174" s="250">
        <f t="shared" si="173"/>
        <v>5515248</v>
      </c>
    </row>
    <row r="175">
      <c r="A175" s="246" t="s">
        <v>280</v>
      </c>
      <c r="B175" s="246" t="s">
        <v>206</v>
      </c>
      <c r="C175" s="246" t="s">
        <v>102</v>
      </c>
      <c r="D175" s="246" t="s">
        <v>103</v>
      </c>
      <c r="E175" s="246" t="s">
        <v>84</v>
      </c>
      <c r="F175" s="247"/>
      <c r="G175" s="247"/>
      <c r="H175" s="246" t="s">
        <v>83</v>
      </c>
      <c r="I175" s="246" t="s">
        <v>271</v>
      </c>
      <c r="J175" s="248">
        <v>195.0</v>
      </c>
      <c r="K175" s="249">
        <v>3100000.0</v>
      </c>
      <c r="L175" s="249">
        <v>3100000.0</v>
      </c>
      <c r="M175" s="249">
        <v>2073240.0</v>
      </c>
      <c r="N175" s="249">
        <v>2073240.0</v>
      </c>
      <c r="O175" s="250">
        <f t="shared" ref="O175:P175" si="174">K175+M175</f>
        <v>5173240</v>
      </c>
      <c r="P175" s="250">
        <f t="shared" si="174"/>
        <v>5173240</v>
      </c>
    </row>
    <row r="176">
      <c r="A176" s="246" t="s">
        <v>280</v>
      </c>
      <c r="B176" s="246" t="s">
        <v>206</v>
      </c>
      <c r="C176" s="246" t="s">
        <v>102</v>
      </c>
      <c r="D176" s="246" t="s">
        <v>103</v>
      </c>
      <c r="E176" s="246" t="s">
        <v>85</v>
      </c>
      <c r="F176" s="247"/>
      <c r="G176" s="247"/>
      <c r="H176" s="246" t="s">
        <v>83</v>
      </c>
      <c r="I176" s="246" t="s">
        <v>272</v>
      </c>
      <c r="J176" s="248">
        <v>183.0</v>
      </c>
      <c r="K176" s="249">
        <v>3100000.0</v>
      </c>
      <c r="L176" s="249">
        <v>3100000.0</v>
      </c>
      <c r="M176" s="249">
        <v>1945656.0</v>
      </c>
      <c r="N176" s="249">
        <v>1945656.0</v>
      </c>
      <c r="O176" s="250">
        <f t="shared" ref="O176:P176" si="175">K176+M176</f>
        <v>5045656</v>
      </c>
      <c r="P176" s="250">
        <f t="shared" si="175"/>
        <v>5045656</v>
      </c>
    </row>
    <row r="177">
      <c r="A177" s="246" t="s">
        <v>280</v>
      </c>
      <c r="B177" s="246" t="s">
        <v>206</v>
      </c>
      <c r="C177" s="246" t="s">
        <v>102</v>
      </c>
      <c r="D177" s="246" t="s">
        <v>103</v>
      </c>
      <c r="E177" s="246" t="s">
        <v>86</v>
      </c>
      <c r="F177" s="247"/>
      <c r="G177" s="247"/>
      <c r="H177" s="246" t="s">
        <v>83</v>
      </c>
      <c r="I177" s="246" t="s">
        <v>273</v>
      </c>
      <c r="J177" s="248">
        <v>190.0</v>
      </c>
      <c r="K177" s="249">
        <v>3120000.0</v>
      </c>
      <c r="L177" s="249">
        <v>3120000.0</v>
      </c>
      <c r="M177" s="249">
        <v>2020080.0</v>
      </c>
      <c r="N177" s="249">
        <v>2020080.0</v>
      </c>
      <c r="O177" s="250">
        <f t="shared" ref="O177:P177" si="176">K177+M177</f>
        <v>5140080</v>
      </c>
      <c r="P177" s="250">
        <f t="shared" si="176"/>
        <v>5140080</v>
      </c>
    </row>
    <row r="178">
      <c r="A178" s="246" t="s">
        <v>280</v>
      </c>
      <c r="B178" s="246" t="s">
        <v>206</v>
      </c>
      <c r="C178" s="246" t="s">
        <v>102</v>
      </c>
      <c r="D178" s="246" t="s">
        <v>104</v>
      </c>
      <c r="E178" s="246" t="s">
        <v>84</v>
      </c>
      <c r="F178" s="247"/>
      <c r="G178" s="247"/>
      <c r="H178" s="246" t="s">
        <v>83</v>
      </c>
      <c r="I178" s="246" t="s">
        <v>274</v>
      </c>
      <c r="J178" s="248">
        <v>214.0</v>
      </c>
      <c r="K178" s="249">
        <v>3970000.0</v>
      </c>
      <c r="L178" s="249">
        <v>3970000.0</v>
      </c>
      <c r="M178" s="249">
        <v>2275248.0</v>
      </c>
      <c r="N178" s="249">
        <v>2275248.0</v>
      </c>
      <c r="O178" s="250">
        <f t="shared" ref="O178:P178" si="177">K178+M178</f>
        <v>6245248</v>
      </c>
      <c r="P178" s="250">
        <f t="shared" si="177"/>
        <v>6245248</v>
      </c>
    </row>
    <row r="179">
      <c r="A179" s="246" t="s">
        <v>280</v>
      </c>
      <c r="B179" s="246" t="s">
        <v>206</v>
      </c>
      <c r="C179" s="246" t="s">
        <v>102</v>
      </c>
      <c r="D179" s="246" t="s">
        <v>104</v>
      </c>
      <c r="E179" s="246" t="s">
        <v>85</v>
      </c>
      <c r="F179" s="247"/>
      <c r="G179" s="247"/>
      <c r="H179" s="246" t="s">
        <v>83</v>
      </c>
      <c r="I179" s="246" t="s">
        <v>275</v>
      </c>
      <c r="J179" s="248">
        <v>168.0</v>
      </c>
      <c r="K179" s="249">
        <v>3640000.0</v>
      </c>
      <c r="L179" s="249">
        <v>3640000.0</v>
      </c>
      <c r="M179" s="249">
        <v>1786176.0</v>
      </c>
      <c r="N179" s="249">
        <v>1786176.0</v>
      </c>
      <c r="O179" s="250">
        <f t="shared" ref="O179:P179" si="178">K179+M179</f>
        <v>5426176</v>
      </c>
      <c r="P179" s="250">
        <f t="shared" si="178"/>
        <v>5426176</v>
      </c>
    </row>
    <row r="180">
      <c r="A180" s="246" t="s">
        <v>280</v>
      </c>
      <c r="B180" s="246" t="s">
        <v>206</v>
      </c>
      <c r="C180" s="246" t="s">
        <v>102</v>
      </c>
      <c r="D180" s="246" t="s">
        <v>104</v>
      </c>
      <c r="E180" s="246" t="s">
        <v>86</v>
      </c>
      <c r="F180" s="247"/>
      <c r="G180" s="247"/>
      <c r="H180" s="246" t="s">
        <v>83</v>
      </c>
      <c r="I180" s="246" t="s">
        <v>276</v>
      </c>
      <c r="J180" s="248">
        <v>147.0</v>
      </c>
      <c r="K180" s="249">
        <v>3580000.0</v>
      </c>
      <c r="L180" s="249">
        <v>3580000.0</v>
      </c>
      <c r="M180" s="249">
        <v>1562904.0</v>
      </c>
      <c r="N180" s="249">
        <v>1562904.0</v>
      </c>
      <c r="O180" s="250">
        <f t="shared" ref="O180:P180" si="179">K180+M180</f>
        <v>5142904</v>
      </c>
      <c r="P180" s="250">
        <f t="shared" si="179"/>
        <v>5142904</v>
      </c>
    </row>
    <row r="181">
      <c r="A181" s="246" t="s">
        <v>280</v>
      </c>
      <c r="B181" s="246" t="s">
        <v>206</v>
      </c>
      <c r="C181" s="246" t="s">
        <v>102</v>
      </c>
      <c r="D181" s="246" t="s">
        <v>105</v>
      </c>
      <c r="E181" s="246" t="s">
        <v>84</v>
      </c>
      <c r="F181" s="247"/>
      <c r="G181" s="247"/>
      <c r="H181" s="246" t="s">
        <v>83</v>
      </c>
      <c r="I181" s="246" t="s">
        <v>277</v>
      </c>
      <c r="J181" s="248">
        <v>184.0</v>
      </c>
      <c r="K181" s="249">
        <v>3050000.0</v>
      </c>
      <c r="L181" s="249">
        <v>3050000.0</v>
      </c>
      <c r="M181" s="249">
        <v>1956288.0</v>
      </c>
      <c r="N181" s="249">
        <v>1956288.0</v>
      </c>
      <c r="O181" s="250">
        <f t="shared" ref="O181:P181" si="180">K181+M181</f>
        <v>5006288</v>
      </c>
      <c r="P181" s="250">
        <f t="shared" si="180"/>
        <v>5006288</v>
      </c>
    </row>
    <row r="182">
      <c r="A182" s="246" t="s">
        <v>280</v>
      </c>
      <c r="B182" s="246" t="s">
        <v>206</v>
      </c>
      <c r="C182" s="246" t="s">
        <v>102</v>
      </c>
      <c r="D182" s="246" t="s">
        <v>105</v>
      </c>
      <c r="E182" s="246" t="s">
        <v>85</v>
      </c>
      <c r="F182" s="247"/>
      <c r="G182" s="247"/>
      <c r="H182" s="246" t="s">
        <v>83</v>
      </c>
      <c r="I182" s="246" t="s">
        <v>278</v>
      </c>
      <c r="J182" s="248">
        <v>163.0</v>
      </c>
      <c r="K182" s="249">
        <v>3000000.0</v>
      </c>
      <c r="L182" s="249">
        <v>3000000.0</v>
      </c>
      <c r="M182" s="249">
        <v>1733016.0</v>
      </c>
      <c r="N182" s="249">
        <v>1733016.0</v>
      </c>
      <c r="O182" s="250">
        <f t="shared" ref="O182:P182" si="181">K182+M182</f>
        <v>4733016</v>
      </c>
      <c r="P182" s="250">
        <f t="shared" si="181"/>
        <v>4733016</v>
      </c>
    </row>
    <row r="183">
      <c r="A183" s="246" t="s">
        <v>280</v>
      </c>
      <c r="B183" s="246" t="s">
        <v>206</v>
      </c>
      <c r="C183" s="246" t="s">
        <v>102</v>
      </c>
      <c r="D183" s="246" t="s">
        <v>105</v>
      </c>
      <c r="E183" s="246" t="s">
        <v>86</v>
      </c>
      <c r="F183" s="247"/>
      <c r="G183" s="247"/>
      <c r="H183" s="246" t="s">
        <v>83</v>
      </c>
      <c r="I183" s="246" t="s">
        <v>279</v>
      </c>
      <c r="J183" s="248">
        <v>177.0</v>
      </c>
      <c r="K183" s="249">
        <v>3050000.0</v>
      </c>
      <c r="L183" s="249">
        <v>3050000.0</v>
      </c>
      <c r="M183" s="249">
        <v>1881864.0</v>
      </c>
      <c r="N183" s="249">
        <v>1881864.0</v>
      </c>
      <c r="O183" s="250">
        <f t="shared" ref="O183:P183" si="182">K183+M183</f>
        <v>4931864</v>
      </c>
      <c r="P183" s="250">
        <f t="shared" si="182"/>
        <v>4931864</v>
      </c>
    </row>
    <row r="184">
      <c r="A184" s="246" t="s">
        <v>205</v>
      </c>
      <c r="B184" s="246" t="s">
        <v>281</v>
      </c>
      <c r="C184" s="246" t="s">
        <v>89</v>
      </c>
      <c r="D184" s="246" t="s">
        <v>83</v>
      </c>
      <c r="E184" s="246" t="s">
        <v>84</v>
      </c>
      <c r="F184" s="247"/>
      <c r="G184" s="247"/>
      <c r="H184" s="246" t="s">
        <v>112</v>
      </c>
      <c r="I184" s="246" t="s">
        <v>282</v>
      </c>
      <c r="J184" s="248">
        <v>331.0</v>
      </c>
      <c r="K184" s="249">
        <v>3370000.0</v>
      </c>
      <c r="L184" s="249">
        <v>3370000.0</v>
      </c>
      <c r="M184" s="249">
        <v>3049966.0</v>
      </c>
      <c r="N184" s="249">
        <v>3049966.0</v>
      </c>
      <c r="O184" s="250">
        <f t="shared" ref="O184:P184" si="183">K184+M184</f>
        <v>6419966</v>
      </c>
      <c r="P184" s="250">
        <f t="shared" si="183"/>
        <v>6419966</v>
      </c>
    </row>
    <row r="185">
      <c r="A185" s="246" t="s">
        <v>205</v>
      </c>
      <c r="B185" s="246" t="s">
        <v>281</v>
      </c>
      <c r="C185" s="246" t="s">
        <v>89</v>
      </c>
      <c r="D185" s="246" t="s">
        <v>83</v>
      </c>
      <c r="E185" s="246" t="s">
        <v>85</v>
      </c>
      <c r="F185" s="247"/>
      <c r="G185" s="247"/>
      <c r="H185" s="246" t="s">
        <v>112</v>
      </c>
      <c r="I185" s="246" t="s">
        <v>283</v>
      </c>
      <c r="J185" s="248">
        <v>310.0</v>
      </c>
      <c r="K185" s="249">
        <v>3050000.0</v>
      </c>
      <c r="L185" s="249">
        <v>3050000.0</v>
      </c>
      <c r="M185" s="249">
        <v>2856464.0</v>
      </c>
      <c r="N185" s="249">
        <v>2856464.0</v>
      </c>
      <c r="O185" s="250">
        <f t="shared" ref="O185:P185" si="184">K185+M185</f>
        <v>5906464</v>
      </c>
      <c r="P185" s="250">
        <f t="shared" si="184"/>
        <v>5906464</v>
      </c>
    </row>
    <row r="186">
      <c r="A186" s="246" t="s">
        <v>205</v>
      </c>
      <c r="B186" s="246" t="s">
        <v>281</v>
      </c>
      <c r="C186" s="246" t="s">
        <v>89</v>
      </c>
      <c r="D186" s="246" t="s">
        <v>83</v>
      </c>
      <c r="E186" s="246" t="s">
        <v>86</v>
      </c>
      <c r="F186" s="247"/>
      <c r="G186" s="247"/>
      <c r="H186" s="246" t="s">
        <v>112</v>
      </c>
      <c r="I186" s="246" t="s">
        <v>284</v>
      </c>
      <c r="J186" s="248">
        <v>299.0</v>
      </c>
      <c r="K186" s="249">
        <v>3050000.0</v>
      </c>
      <c r="L186" s="249">
        <v>3050000.0</v>
      </c>
      <c r="M186" s="249">
        <v>2755106.0</v>
      </c>
      <c r="N186" s="249">
        <v>2755106.0</v>
      </c>
      <c r="O186" s="250">
        <f t="shared" ref="O186:P186" si="185">K186+M186</f>
        <v>5805106</v>
      </c>
      <c r="P186" s="250">
        <f t="shared" si="185"/>
        <v>5805106</v>
      </c>
    </row>
    <row r="187">
      <c r="A187" s="246" t="s">
        <v>205</v>
      </c>
      <c r="B187" s="246" t="s">
        <v>281</v>
      </c>
      <c r="C187" s="246" t="s">
        <v>89</v>
      </c>
      <c r="D187" s="246" t="s">
        <v>83</v>
      </c>
      <c r="E187" s="246" t="s">
        <v>84</v>
      </c>
      <c r="F187" s="246" t="s">
        <v>85</v>
      </c>
      <c r="G187" s="247"/>
      <c r="H187" s="246" t="s">
        <v>112</v>
      </c>
      <c r="I187" s="246" t="s">
        <v>285</v>
      </c>
      <c r="J187" s="248">
        <v>356.0</v>
      </c>
      <c r="K187" s="249">
        <v>3850000.0</v>
      </c>
      <c r="L187" s="249">
        <v>3850000.0</v>
      </c>
      <c r="M187" s="249">
        <v>3280326.0</v>
      </c>
      <c r="N187" s="249">
        <v>3280326.0</v>
      </c>
      <c r="O187" s="250">
        <f t="shared" ref="O187:P187" si="186">K187+M187</f>
        <v>7130326</v>
      </c>
      <c r="P187" s="250">
        <f t="shared" si="186"/>
        <v>7130326</v>
      </c>
    </row>
    <row r="188">
      <c r="A188" s="246" t="s">
        <v>205</v>
      </c>
      <c r="B188" s="246" t="s">
        <v>281</v>
      </c>
      <c r="C188" s="246" t="s">
        <v>89</v>
      </c>
      <c r="D188" s="246" t="s">
        <v>83</v>
      </c>
      <c r="E188" s="246" t="s">
        <v>84</v>
      </c>
      <c r="F188" s="246" t="s">
        <v>86</v>
      </c>
      <c r="G188" s="247"/>
      <c r="H188" s="246" t="s">
        <v>112</v>
      </c>
      <c r="I188" s="246" t="s">
        <v>286</v>
      </c>
      <c r="J188" s="248">
        <v>364.0</v>
      </c>
      <c r="K188" s="249">
        <v>3870000.0</v>
      </c>
      <c r="L188" s="249">
        <v>3870000.0</v>
      </c>
      <c r="M188" s="249">
        <v>3354042.0</v>
      </c>
      <c r="N188" s="249">
        <v>3354042.0</v>
      </c>
      <c r="O188" s="250">
        <f t="shared" ref="O188:P188" si="187">K188+M188</f>
        <v>7224042</v>
      </c>
      <c r="P188" s="250">
        <f t="shared" si="187"/>
        <v>7224042</v>
      </c>
    </row>
    <row r="189">
      <c r="A189" s="246" t="s">
        <v>205</v>
      </c>
      <c r="B189" s="246" t="s">
        <v>281</v>
      </c>
      <c r="C189" s="246" t="s">
        <v>89</v>
      </c>
      <c r="D189" s="246" t="s">
        <v>83</v>
      </c>
      <c r="E189" s="246" t="s">
        <v>85</v>
      </c>
      <c r="F189" s="246" t="s">
        <v>86</v>
      </c>
      <c r="G189" s="247"/>
      <c r="H189" s="246" t="s">
        <v>112</v>
      </c>
      <c r="I189" s="246" t="s">
        <v>287</v>
      </c>
      <c r="J189" s="248">
        <v>324.0</v>
      </c>
      <c r="K189" s="249">
        <v>3440000.0</v>
      </c>
      <c r="L189" s="249">
        <v>3440000.0</v>
      </c>
      <c r="M189" s="249">
        <v>2985466.0</v>
      </c>
      <c r="N189" s="249">
        <v>2985466.0</v>
      </c>
      <c r="O189" s="250">
        <f t="shared" ref="O189:P189" si="188">K189+M189</f>
        <v>6425466</v>
      </c>
      <c r="P189" s="250">
        <f t="shared" si="188"/>
        <v>6425466</v>
      </c>
    </row>
    <row r="190">
      <c r="A190" s="246" t="s">
        <v>205</v>
      </c>
      <c r="B190" s="246" t="s">
        <v>281</v>
      </c>
      <c r="C190" s="246" t="s">
        <v>89</v>
      </c>
      <c r="D190" s="246" t="s">
        <v>83</v>
      </c>
      <c r="E190" s="246" t="s">
        <v>84</v>
      </c>
      <c r="F190" s="246" t="s">
        <v>85</v>
      </c>
      <c r="G190" s="246" t="s">
        <v>86</v>
      </c>
      <c r="H190" s="246" t="s">
        <v>112</v>
      </c>
      <c r="I190" s="246" t="s">
        <v>288</v>
      </c>
      <c r="J190" s="248">
        <v>410.0</v>
      </c>
      <c r="K190" s="249">
        <v>4170000.0</v>
      </c>
      <c r="L190" s="249">
        <v>4170000.0</v>
      </c>
      <c r="M190" s="249">
        <v>3777904.0</v>
      </c>
      <c r="N190" s="249">
        <v>3777904.0</v>
      </c>
      <c r="O190" s="250">
        <f t="shared" ref="O190:P190" si="189">K190+M190</f>
        <v>7947904</v>
      </c>
      <c r="P190" s="250">
        <f t="shared" si="189"/>
        <v>7947904</v>
      </c>
    </row>
    <row r="191">
      <c r="A191" s="246" t="s">
        <v>205</v>
      </c>
      <c r="B191" s="246" t="s">
        <v>281</v>
      </c>
      <c r="C191" s="246" t="s">
        <v>89</v>
      </c>
      <c r="D191" s="246" t="s">
        <v>83</v>
      </c>
      <c r="E191" s="246" t="s">
        <v>87</v>
      </c>
      <c r="F191" s="247"/>
      <c r="G191" s="247"/>
      <c r="H191" s="246" t="s">
        <v>112</v>
      </c>
      <c r="I191" s="246" t="s">
        <v>289</v>
      </c>
      <c r="J191" s="248">
        <v>239.0</v>
      </c>
      <c r="K191" s="249">
        <v>2770000.0</v>
      </c>
      <c r="L191" s="249">
        <v>2770000.0</v>
      </c>
      <c r="M191" s="249">
        <v>2202242.0</v>
      </c>
      <c r="N191" s="249">
        <v>2202242.0</v>
      </c>
      <c r="O191" s="250">
        <f t="shared" ref="O191:P191" si="190">K191+M191</f>
        <v>4972242</v>
      </c>
      <c r="P191" s="250">
        <f t="shared" si="190"/>
        <v>4972242</v>
      </c>
    </row>
    <row r="192">
      <c r="A192" s="246" t="s">
        <v>205</v>
      </c>
      <c r="B192" s="246" t="s">
        <v>281</v>
      </c>
      <c r="C192" s="246" t="s">
        <v>89</v>
      </c>
      <c r="D192" s="246" t="s">
        <v>83</v>
      </c>
      <c r="E192" s="246" t="s">
        <v>87</v>
      </c>
      <c r="F192" s="246" t="s">
        <v>84</v>
      </c>
      <c r="G192" s="247"/>
      <c r="H192" s="246" t="s">
        <v>112</v>
      </c>
      <c r="I192" s="246" t="s">
        <v>290</v>
      </c>
      <c r="J192" s="248">
        <v>332.0</v>
      </c>
      <c r="K192" s="249">
        <v>3520000.0</v>
      </c>
      <c r="L192" s="249">
        <v>3520000.0</v>
      </c>
      <c r="M192" s="249">
        <v>3059181.0</v>
      </c>
      <c r="N192" s="249">
        <v>3059181.0</v>
      </c>
      <c r="O192" s="250">
        <f t="shared" ref="O192:P192" si="191">K192+M192</f>
        <v>6579181</v>
      </c>
      <c r="P192" s="250">
        <f t="shared" si="191"/>
        <v>6579181</v>
      </c>
    </row>
    <row r="193">
      <c r="A193" s="246" t="s">
        <v>205</v>
      </c>
      <c r="B193" s="246" t="s">
        <v>281</v>
      </c>
      <c r="C193" s="246" t="s">
        <v>89</v>
      </c>
      <c r="D193" s="246" t="s">
        <v>83</v>
      </c>
      <c r="E193" s="246" t="s">
        <v>87</v>
      </c>
      <c r="F193" s="246" t="s">
        <v>85</v>
      </c>
      <c r="G193" s="247"/>
      <c r="H193" s="246" t="s">
        <v>112</v>
      </c>
      <c r="I193" s="246" t="s">
        <v>291</v>
      </c>
      <c r="J193" s="248">
        <v>320.0</v>
      </c>
      <c r="K193" s="249">
        <v>3480000.0</v>
      </c>
      <c r="L193" s="249">
        <v>3480000.0</v>
      </c>
      <c r="M193" s="249">
        <v>2948608.0</v>
      </c>
      <c r="N193" s="249">
        <v>2948608.0</v>
      </c>
      <c r="O193" s="250">
        <f t="shared" ref="O193:P193" si="192">K193+M193</f>
        <v>6428608</v>
      </c>
      <c r="P193" s="250">
        <f t="shared" si="192"/>
        <v>6428608</v>
      </c>
    </row>
    <row r="194">
      <c r="A194" s="246" t="s">
        <v>205</v>
      </c>
      <c r="B194" s="246" t="s">
        <v>281</v>
      </c>
      <c r="C194" s="246" t="s">
        <v>89</v>
      </c>
      <c r="D194" s="246" t="s">
        <v>83</v>
      </c>
      <c r="E194" s="246" t="s">
        <v>88</v>
      </c>
      <c r="F194" s="247"/>
      <c r="G194" s="247"/>
      <c r="H194" s="246" t="s">
        <v>112</v>
      </c>
      <c r="I194" s="246" t="s">
        <v>292</v>
      </c>
      <c r="J194" s="248">
        <v>290.0</v>
      </c>
      <c r="K194" s="249">
        <v>3120000.0</v>
      </c>
      <c r="L194" s="249">
        <v>3120000.0</v>
      </c>
      <c r="M194" s="249">
        <v>2672176.0</v>
      </c>
      <c r="N194" s="249">
        <v>2672176.0</v>
      </c>
      <c r="O194" s="250">
        <f t="shared" ref="O194:P194" si="193">K194+M194</f>
        <v>5792176</v>
      </c>
      <c r="P194" s="250">
        <f t="shared" si="193"/>
        <v>5792176</v>
      </c>
    </row>
    <row r="195">
      <c r="A195" s="246" t="s">
        <v>205</v>
      </c>
      <c r="B195" s="246" t="s">
        <v>281</v>
      </c>
      <c r="C195" s="246" t="s">
        <v>89</v>
      </c>
      <c r="D195" s="246" t="s">
        <v>83</v>
      </c>
      <c r="E195" s="246" t="s">
        <v>88</v>
      </c>
      <c r="F195" s="246" t="s">
        <v>85</v>
      </c>
      <c r="G195" s="247"/>
      <c r="H195" s="246" t="s">
        <v>112</v>
      </c>
      <c r="I195" s="246" t="s">
        <v>293</v>
      </c>
      <c r="J195" s="248">
        <v>310.0</v>
      </c>
      <c r="K195" s="249">
        <v>3450000.0</v>
      </c>
      <c r="L195" s="249">
        <v>3450000.0</v>
      </c>
      <c r="M195" s="249">
        <v>2856464.0</v>
      </c>
      <c r="N195" s="249">
        <v>2856464.0</v>
      </c>
      <c r="O195" s="250">
        <f t="shared" ref="O195:P195" si="194">K195+M195</f>
        <v>6306464</v>
      </c>
      <c r="P195" s="250">
        <f t="shared" si="194"/>
        <v>6306464</v>
      </c>
    </row>
    <row r="196">
      <c r="A196" s="246" t="s">
        <v>205</v>
      </c>
      <c r="B196" s="246" t="s">
        <v>281</v>
      </c>
      <c r="C196" s="246" t="s">
        <v>89</v>
      </c>
      <c r="D196" s="246" t="s">
        <v>83</v>
      </c>
      <c r="E196" s="246" t="s">
        <v>88</v>
      </c>
      <c r="F196" s="246" t="s">
        <v>86</v>
      </c>
      <c r="G196" s="247"/>
      <c r="H196" s="246" t="s">
        <v>112</v>
      </c>
      <c r="I196" s="246" t="s">
        <v>294</v>
      </c>
      <c r="J196" s="248">
        <v>312.0</v>
      </c>
      <c r="K196" s="249">
        <v>3460000.0</v>
      </c>
      <c r="L196" s="249">
        <v>3460000.0</v>
      </c>
      <c r="M196" s="249">
        <v>2874893.0</v>
      </c>
      <c r="N196" s="249">
        <v>2874893.0</v>
      </c>
      <c r="O196" s="250">
        <f t="shared" ref="O196:P196" si="195">K196+M196</f>
        <v>6334893</v>
      </c>
      <c r="P196" s="250">
        <f t="shared" si="195"/>
        <v>6334893</v>
      </c>
    </row>
    <row r="197">
      <c r="A197" s="246" t="s">
        <v>205</v>
      </c>
      <c r="B197" s="246" t="s">
        <v>281</v>
      </c>
      <c r="C197" s="246" t="s">
        <v>89</v>
      </c>
      <c r="D197" s="246" t="s">
        <v>83</v>
      </c>
      <c r="E197" s="246" t="s">
        <v>88</v>
      </c>
      <c r="F197" s="246" t="s">
        <v>85</v>
      </c>
      <c r="G197" s="246" t="s">
        <v>86</v>
      </c>
      <c r="H197" s="246" t="s">
        <v>112</v>
      </c>
      <c r="I197" s="246" t="s">
        <v>295</v>
      </c>
      <c r="J197" s="248">
        <v>332.0</v>
      </c>
      <c r="K197" s="249">
        <v>3670000.0</v>
      </c>
      <c r="L197" s="249">
        <v>3670000.0</v>
      </c>
      <c r="M197" s="249">
        <v>3059181.0</v>
      </c>
      <c r="N197" s="249">
        <v>3059181.0</v>
      </c>
      <c r="O197" s="250">
        <f t="shared" ref="O197:P197" si="196">K197+M197</f>
        <v>6729181</v>
      </c>
      <c r="P197" s="250">
        <f t="shared" si="196"/>
        <v>6729181</v>
      </c>
    </row>
    <row r="198">
      <c r="A198" s="246" t="s">
        <v>205</v>
      </c>
      <c r="B198" s="246" t="s">
        <v>281</v>
      </c>
      <c r="C198" s="246" t="s">
        <v>89</v>
      </c>
      <c r="D198" s="246" t="s">
        <v>90</v>
      </c>
      <c r="E198" s="246" t="s">
        <v>84</v>
      </c>
      <c r="F198" s="247"/>
      <c r="G198" s="247"/>
      <c r="H198" s="246" t="s">
        <v>112</v>
      </c>
      <c r="I198" s="246" t="s">
        <v>296</v>
      </c>
      <c r="J198" s="248">
        <v>331.0</v>
      </c>
      <c r="K198" s="249">
        <v>3370000.0</v>
      </c>
      <c r="L198" s="249">
        <v>3370000.0</v>
      </c>
      <c r="M198" s="249">
        <v>3049966.0</v>
      </c>
      <c r="N198" s="249">
        <v>3049966.0</v>
      </c>
      <c r="O198" s="250">
        <f t="shared" ref="O198:P198" si="197">K198+M198</f>
        <v>6419966</v>
      </c>
      <c r="P198" s="250">
        <f t="shared" si="197"/>
        <v>6419966</v>
      </c>
    </row>
    <row r="199">
      <c r="A199" s="246" t="s">
        <v>205</v>
      </c>
      <c r="B199" s="246" t="s">
        <v>281</v>
      </c>
      <c r="C199" s="246" t="s">
        <v>89</v>
      </c>
      <c r="D199" s="246" t="s">
        <v>90</v>
      </c>
      <c r="E199" s="246" t="s">
        <v>85</v>
      </c>
      <c r="F199" s="247"/>
      <c r="G199" s="247"/>
      <c r="H199" s="246" t="s">
        <v>112</v>
      </c>
      <c r="I199" s="246" t="s">
        <v>297</v>
      </c>
      <c r="J199" s="248">
        <v>310.0</v>
      </c>
      <c r="K199" s="249">
        <v>3100000.0</v>
      </c>
      <c r="L199" s="249">
        <v>3100000.0</v>
      </c>
      <c r="M199" s="249">
        <v>2856464.0</v>
      </c>
      <c r="N199" s="249">
        <v>2856464.0</v>
      </c>
      <c r="O199" s="250">
        <f t="shared" ref="O199:P199" si="198">K199+M199</f>
        <v>5956464</v>
      </c>
      <c r="P199" s="250">
        <f t="shared" si="198"/>
        <v>5956464</v>
      </c>
    </row>
    <row r="200">
      <c r="A200" s="246" t="s">
        <v>205</v>
      </c>
      <c r="B200" s="246" t="s">
        <v>281</v>
      </c>
      <c r="C200" s="246" t="s">
        <v>89</v>
      </c>
      <c r="D200" s="246" t="s">
        <v>90</v>
      </c>
      <c r="E200" s="246" t="s">
        <v>86</v>
      </c>
      <c r="F200" s="247"/>
      <c r="G200" s="247"/>
      <c r="H200" s="246" t="s">
        <v>112</v>
      </c>
      <c r="I200" s="246" t="s">
        <v>298</v>
      </c>
      <c r="J200" s="248">
        <v>299.0</v>
      </c>
      <c r="K200" s="249">
        <v>3060000.0</v>
      </c>
      <c r="L200" s="249">
        <v>3060000.0</v>
      </c>
      <c r="M200" s="249">
        <v>2755106.0</v>
      </c>
      <c r="N200" s="249">
        <v>2755106.0</v>
      </c>
      <c r="O200" s="250">
        <f t="shared" ref="O200:P200" si="199">K200+M200</f>
        <v>5815106</v>
      </c>
      <c r="P200" s="250">
        <f t="shared" si="199"/>
        <v>5815106</v>
      </c>
    </row>
    <row r="201">
      <c r="A201" s="246" t="s">
        <v>205</v>
      </c>
      <c r="B201" s="246" t="s">
        <v>281</v>
      </c>
      <c r="C201" s="246" t="s">
        <v>89</v>
      </c>
      <c r="D201" s="246" t="s">
        <v>90</v>
      </c>
      <c r="E201" s="246" t="s">
        <v>84</v>
      </c>
      <c r="F201" s="246" t="s">
        <v>85</v>
      </c>
      <c r="G201" s="247"/>
      <c r="H201" s="246" t="s">
        <v>112</v>
      </c>
      <c r="I201" s="246" t="s">
        <v>299</v>
      </c>
      <c r="J201" s="248">
        <v>356.0</v>
      </c>
      <c r="K201" s="249">
        <v>3850000.0</v>
      </c>
      <c r="L201" s="249">
        <v>3850000.0</v>
      </c>
      <c r="M201" s="249">
        <v>3280326.0</v>
      </c>
      <c r="N201" s="249">
        <v>3280326.0</v>
      </c>
      <c r="O201" s="250">
        <f t="shared" ref="O201:P201" si="200">K201+M201</f>
        <v>7130326</v>
      </c>
      <c r="P201" s="250">
        <f t="shared" si="200"/>
        <v>7130326</v>
      </c>
    </row>
    <row r="202">
      <c r="A202" s="246" t="s">
        <v>205</v>
      </c>
      <c r="B202" s="246" t="s">
        <v>281</v>
      </c>
      <c r="C202" s="246" t="s">
        <v>89</v>
      </c>
      <c r="D202" s="246" t="s">
        <v>90</v>
      </c>
      <c r="E202" s="246" t="s">
        <v>84</v>
      </c>
      <c r="F202" s="246" t="s">
        <v>86</v>
      </c>
      <c r="G202" s="247"/>
      <c r="H202" s="246" t="s">
        <v>112</v>
      </c>
      <c r="I202" s="246" t="s">
        <v>300</v>
      </c>
      <c r="J202" s="248">
        <v>364.0</v>
      </c>
      <c r="K202" s="249">
        <v>3870000.0</v>
      </c>
      <c r="L202" s="249">
        <v>3870000.0</v>
      </c>
      <c r="M202" s="249">
        <v>3354042.0</v>
      </c>
      <c r="N202" s="249">
        <v>3354042.0</v>
      </c>
      <c r="O202" s="250">
        <f t="shared" ref="O202:P202" si="201">K202+M202</f>
        <v>7224042</v>
      </c>
      <c r="P202" s="250">
        <f t="shared" si="201"/>
        <v>7224042</v>
      </c>
    </row>
    <row r="203">
      <c r="A203" s="246" t="s">
        <v>205</v>
      </c>
      <c r="B203" s="246" t="s">
        <v>281</v>
      </c>
      <c r="C203" s="246" t="s">
        <v>89</v>
      </c>
      <c r="D203" s="246" t="s">
        <v>90</v>
      </c>
      <c r="E203" s="246" t="s">
        <v>85</v>
      </c>
      <c r="F203" s="246" t="s">
        <v>86</v>
      </c>
      <c r="G203" s="247"/>
      <c r="H203" s="246" t="s">
        <v>112</v>
      </c>
      <c r="I203" s="246" t="s">
        <v>301</v>
      </c>
      <c r="J203" s="248">
        <v>324.0</v>
      </c>
      <c r="K203" s="249">
        <v>3440000.0</v>
      </c>
      <c r="L203" s="249">
        <v>3440000.0</v>
      </c>
      <c r="M203" s="249">
        <v>2985466.0</v>
      </c>
      <c r="N203" s="249">
        <v>2985466.0</v>
      </c>
      <c r="O203" s="250">
        <f t="shared" ref="O203:P203" si="202">K203+M203</f>
        <v>6425466</v>
      </c>
      <c r="P203" s="250">
        <f t="shared" si="202"/>
        <v>6425466</v>
      </c>
    </row>
    <row r="204">
      <c r="A204" s="246" t="s">
        <v>205</v>
      </c>
      <c r="B204" s="246" t="s">
        <v>281</v>
      </c>
      <c r="C204" s="246" t="s">
        <v>89</v>
      </c>
      <c r="D204" s="246" t="s">
        <v>90</v>
      </c>
      <c r="E204" s="246" t="s">
        <v>84</v>
      </c>
      <c r="F204" s="246" t="s">
        <v>85</v>
      </c>
      <c r="G204" s="246" t="s">
        <v>86</v>
      </c>
      <c r="H204" s="246" t="s">
        <v>112</v>
      </c>
      <c r="I204" s="246" t="s">
        <v>302</v>
      </c>
      <c r="J204" s="248">
        <v>410.0</v>
      </c>
      <c r="K204" s="249">
        <v>4170000.0</v>
      </c>
      <c r="L204" s="249">
        <v>4170000.0</v>
      </c>
      <c r="M204" s="249">
        <v>3777904.0</v>
      </c>
      <c r="N204" s="249">
        <v>3777904.0</v>
      </c>
      <c r="O204" s="250">
        <f t="shared" ref="O204:P204" si="203">K204+M204</f>
        <v>7947904</v>
      </c>
      <c r="P204" s="250">
        <f t="shared" si="203"/>
        <v>7947904</v>
      </c>
    </row>
    <row r="205">
      <c r="A205" s="246" t="s">
        <v>205</v>
      </c>
      <c r="B205" s="246" t="s">
        <v>281</v>
      </c>
      <c r="C205" s="246" t="s">
        <v>89</v>
      </c>
      <c r="D205" s="246" t="s">
        <v>91</v>
      </c>
      <c r="E205" s="246" t="s">
        <v>84</v>
      </c>
      <c r="F205" s="247"/>
      <c r="G205" s="247"/>
      <c r="H205" s="246" t="s">
        <v>112</v>
      </c>
      <c r="I205" s="246" t="s">
        <v>303</v>
      </c>
      <c r="J205" s="248">
        <v>331.0</v>
      </c>
      <c r="K205" s="249">
        <v>3370000.0</v>
      </c>
      <c r="L205" s="249">
        <v>3370000.0</v>
      </c>
      <c r="M205" s="249">
        <v>3049966.0</v>
      </c>
      <c r="N205" s="249">
        <v>3049966.0</v>
      </c>
      <c r="O205" s="250">
        <f t="shared" ref="O205:P205" si="204">K205+M205</f>
        <v>6419966</v>
      </c>
      <c r="P205" s="250">
        <f t="shared" si="204"/>
        <v>6419966</v>
      </c>
    </row>
    <row r="206">
      <c r="A206" s="246" t="s">
        <v>205</v>
      </c>
      <c r="B206" s="246" t="s">
        <v>281</v>
      </c>
      <c r="C206" s="246" t="s">
        <v>89</v>
      </c>
      <c r="D206" s="246" t="s">
        <v>91</v>
      </c>
      <c r="E206" s="246" t="s">
        <v>85</v>
      </c>
      <c r="F206" s="247"/>
      <c r="G206" s="247"/>
      <c r="H206" s="246" t="s">
        <v>112</v>
      </c>
      <c r="I206" s="246" t="s">
        <v>304</v>
      </c>
      <c r="J206" s="248">
        <v>310.0</v>
      </c>
      <c r="K206" s="249">
        <v>3100000.0</v>
      </c>
      <c r="L206" s="249">
        <v>3100000.0</v>
      </c>
      <c r="M206" s="249">
        <v>2856464.0</v>
      </c>
      <c r="N206" s="249">
        <v>2856464.0</v>
      </c>
      <c r="O206" s="250">
        <f t="shared" ref="O206:P206" si="205">K206+M206</f>
        <v>5956464</v>
      </c>
      <c r="P206" s="250">
        <f t="shared" si="205"/>
        <v>5956464</v>
      </c>
    </row>
    <row r="207">
      <c r="A207" s="246" t="s">
        <v>205</v>
      </c>
      <c r="B207" s="246" t="s">
        <v>281</v>
      </c>
      <c r="C207" s="246" t="s">
        <v>89</v>
      </c>
      <c r="D207" s="246" t="s">
        <v>91</v>
      </c>
      <c r="E207" s="246" t="s">
        <v>86</v>
      </c>
      <c r="F207" s="247"/>
      <c r="G207" s="247"/>
      <c r="H207" s="246" t="s">
        <v>112</v>
      </c>
      <c r="I207" s="246" t="s">
        <v>305</v>
      </c>
      <c r="J207" s="248">
        <v>299.0</v>
      </c>
      <c r="K207" s="249">
        <v>3060000.0</v>
      </c>
      <c r="L207" s="249">
        <v>3060000.0</v>
      </c>
      <c r="M207" s="249">
        <v>2755106.0</v>
      </c>
      <c r="N207" s="249">
        <v>2755106.0</v>
      </c>
      <c r="O207" s="250">
        <f t="shared" ref="O207:P207" si="206">K207+M207</f>
        <v>5815106</v>
      </c>
      <c r="P207" s="250">
        <f t="shared" si="206"/>
        <v>5815106</v>
      </c>
    </row>
    <row r="208">
      <c r="A208" s="246" t="s">
        <v>205</v>
      </c>
      <c r="B208" s="246" t="s">
        <v>281</v>
      </c>
      <c r="C208" s="246" t="s">
        <v>89</v>
      </c>
      <c r="D208" s="246" t="s">
        <v>91</v>
      </c>
      <c r="E208" s="246" t="s">
        <v>84</v>
      </c>
      <c r="F208" s="246" t="s">
        <v>85</v>
      </c>
      <c r="G208" s="247"/>
      <c r="H208" s="246" t="s">
        <v>112</v>
      </c>
      <c r="I208" s="246" t="s">
        <v>306</v>
      </c>
      <c r="J208" s="248">
        <v>356.0</v>
      </c>
      <c r="K208" s="249">
        <v>3850000.0</v>
      </c>
      <c r="L208" s="249">
        <v>3850000.0</v>
      </c>
      <c r="M208" s="249">
        <v>3280326.0</v>
      </c>
      <c r="N208" s="249">
        <v>3280326.0</v>
      </c>
      <c r="O208" s="250">
        <f t="shared" ref="O208:P208" si="207">K208+M208</f>
        <v>7130326</v>
      </c>
      <c r="P208" s="250">
        <f t="shared" si="207"/>
        <v>7130326</v>
      </c>
    </row>
    <row r="209">
      <c r="A209" s="246" t="s">
        <v>205</v>
      </c>
      <c r="B209" s="246" t="s">
        <v>281</v>
      </c>
      <c r="C209" s="246" t="s">
        <v>89</v>
      </c>
      <c r="D209" s="246" t="s">
        <v>91</v>
      </c>
      <c r="E209" s="246" t="s">
        <v>84</v>
      </c>
      <c r="F209" s="246" t="s">
        <v>86</v>
      </c>
      <c r="G209" s="247"/>
      <c r="H209" s="246" t="s">
        <v>112</v>
      </c>
      <c r="I209" s="246" t="s">
        <v>307</v>
      </c>
      <c r="J209" s="248">
        <v>364.0</v>
      </c>
      <c r="K209" s="249">
        <v>3870000.0</v>
      </c>
      <c r="L209" s="249">
        <v>3870000.0</v>
      </c>
      <c r="M209" s="249">
        <v>3354042.0</v>
      </c>
      <c r="N209" s="249">
        <v>3354042.0</v>
      </c>
      <c r="O209" s="250">
        <f t="shared" ref="O209:P209" si="208">K209+M209</f>
        <v>7224042</v>
      </c>
      <c r="P209" s="250">
        <f t="shared" si="208"/>
        <v>7224042</v>
      </c>
    </row>
    <row r="210">
      <c r="A210" s="246" t="s">
        <v>205</v>
      </c>
      <c r="B210" s="246" t="s">
        <v>281</v>
      </c>
      <c r="C210" s="246" t="s">
        <v>89</v>
      </c>
      <c r="D210" s="246" t="s">
        <v>91</v>
      </c>
      <c r="E210" s="246" t="s">
        <v>85</v>
      </c>
      <c r="F210" s="246" t="s">
        <v>86</v>
      </c>
      <c r="G210" s="247"/>
      <c r="H210" s="246" t="s">
        <v>112</v>
      </c>
      <c r="I210" s="246" t="s">
        <v>308</v>
      </c>
      <c r="J210" s="248">
        <v>324.0</v>
      </c>
      <c r="K210" s="249">
        <v>3440000.0</v>
      </c>
      <c r="L210" s="249">
        <v>3440000.0</v>
      </c>
      <c r="M210" s="249">
        <v>2985466.0</v>
      </c>
      <c r="N210" s="249">
        <v>2985466.0</v>
      </c>
      <c r="O210" s="250">
        <f t="shared" ref="O210:P210" si="209">K210+M210</f>
        <v>6425466</v>
      </c>
      <c r="P210" s="250">
        <f t="shared" si="209"/>
        <v>6425466</v>
      </c>
    </row>
    <row r="211">
      <c r="A211" s="246" t="s">
        <v>205</v>
      </c>
      <c r="B211" s="246" t="s">
        <v>281</v>
      </c>
      <c r="C211" s="246" t="s">
        <v>89</v>
      </c>
      <c r="D211" s="246" t="s">
        <v>91</v>
      </c>
      <c r="E211" s="246" t="s">
        <v>84</v>
      </c>
      <c r="F211" s="246" t="s">
        <v>85</v>
      </c>
      <c r="G211" s="246" t="s">
        <v>86</v>
      </c>
      <c r="H211" s="246" t="s">
        <v>112</v>
      </c>
      <c r="I211" s="246" t="s">
        <v>309</v>
      </c>
      <c r="J211" s="248">
        <v>410.0</v>
      </c>
      <c r="K211" s="249">
        <v>4170000.0</v>
      </c>
      <c r="L211" s="249">
        <v>4170000.0</v>
      </c>
      <c r="M211" s="249">
        <v>3777904.0</v>
      </c>
      <c r="N211" s="249">
        <v>3777904.0</v>
      </c>
      <c r="O211" s="250">
        <f t="shared" ref="O211:P211" si="210">K211+M211</f>
        <v>7947904</v>
      </c>
      <c r="P211" s="250">
        <f t="shared" si="210"/>
        <v>7947904</v>
      </c>
    </row>
    <row r="212">
      <c r="A212" s="246" t="s">
        <v>205</v>
      </c>
      <c r="B212" s="246" t="s">
        <v>281</v>
      </c>
      <c r="C212" s="246" t="s">
        <v>92</v>
      </c>
      <c r="D212" s="246" t="s">
        <v>83</v>
      </c>
      <c r="E212" s="246" t="s">
        <v>93</v>
      </c>
      <c r="F212" s="247"/>
      <c r="G212" s="247"/>
      <c r="H212" s="247"/>
      <c r="I212" s="246" t="s">
        <v>235</v>
      </c>
      <c r="J212" s="248">
        <v>144.0</v>
      </c>
      <c r="K212" s="249">
        <v>2300000.0</v>
      </c>
      <c r="L212" s="249">
        <v>2300000.0</v>
      </c>
      <c r="M212" s="249">
        <v>1531008.0</v>
      </c>
      <c r="N212" s="249">
        <v>1531008.0</v>
      </c>
      <c r="O212" s="250">
        <f t="shared" ref="O212:P212" si="211">K212+M212</f>
        <v>3831008</v>
      </c>
      <c r="P212" s="250">
        <f t="shared" si="211"/>
        <v>3831008</v>
      </c>
    </row>
    <row r="213">
      <c r="A213" s="246" t="s">
        <v>205</v>
      </c>
      <c r="B213" s="246" t="s">
        <v>281</v>
      </c>
      <c r="C213" s="246" t="s">
        <v>92</v>
      </c>
      <c r="D213" s="246" t="s">
        <v>93</v>
      </c>
      <c r="E213" s="246" t="s">
        <v>84</v>
      </c>
      <c r="F213" s="247"/>
      <c r="G213" s="247"/>
      <c r="H213" s="246" t="s">
        <v>112</v>
      </c>
      <c r="I213" s="246" t="s">
        <v>310</v>
      </c>
      <c r="J213" s="248">
        <v>188.0</v>
      </c>
      <c r="K213" s="249">
        <v>2350000.0</v>
      </c>
      <c r="L213" s="249">
        <v>2350000.0</v>
      </c>
      <c r="M213" s="249">
        <v>1998816.0</v>
      </c>
      <c r="N213" s="249">
        <v>1998816.0</v>
      </c>
      <c r="O213" s="250">
        <f t="shared" ref="O213:P213" si="212">K213+M213</f>
        <v>4348816</v>
      </c>
      <c r="P213" s="250">
        <f t="shared" si="212"/>
        <v>4348816</v>
      </c>
    </row>
    <row r="214">
      <c r="A214" s="246" t="s">
        <v>205</v>
      </c>
      <c r="B214" s="246" t="s">
        <v>281</v>
      </c>
      <c r="C214" s="246" t="s">
        <v>92</v>
      </c>
      <c r="D214" s="246" t="s">
        <v>83</v>
      </c>
      <c r="E214" s="246" t="s">
        <v>93</v>
      </c>
      <c r="F214" s="247"/>
      <c r="G214" s="247"/>
      <c r="H214" s="247"/>
      <c r="I214" s="246" t="s">
        <v>235</v>
      </c>
      <c r="J214" s="248">
        <v>144.0</v>
      </c>
      <c r="K214" s="249">
        <v>2300000.0</v>
      </c>
      <c r="L214" s="249">
        <v>2300000.0</v>
      </c>
      <c r="M214" s="249">
        <v>1531008.0</v>
      </c>
      <c r="N214" s="249">
        <v>1531008.0</v>
      </c>
      <c r="O214" s="250">
        <f t="shared" ref="O214:P214" si="213">K214+M214</f>
        <v>3831008</v>
      </c>
      <c r="P214" s="250">
        <f t="shared" si="213"/>
        <v>3831008</v>
      </c>
    </row>
    <row r="215">
      <c r="A215" s="246" t="s">
        <v>205</v>
      </c>
      <c r="B215" s="246" t="s">
        <v>281</v>
      </c>
      <c r="C215" s="246" t="s">
        <v>92</v>
      </c>
      <c r="D215" s="246" t="s">
        <v>93</v>
      </c>
      <c r="E215" s="246" t="s">
        <v>85</v>
      </c>
      <c r="F215" s="247"/>
      <c r="G215" s="247"/>
      <c r="H215" s="246" t="s">
        <v>112</v>
      </c>
      <c r="I215" s="246" t="s">
        <v>311</v>
      </c>
      <c r="J215" s="248">
        <v>212.0</v>
      </c>
      <c r="K215" s="249">
        <v>2600000.0</v>
      </c>
      <c r="L215" s="249">
        <v>2600000.0</v>
      </c>
      <c r="M215" s="249">
        <v>2253984.0</v>
      </c>
      <c r="N215" s="249">
        <v>2253984.0</v>
      </c>
      <c r="O215" s="250">
        <f t="shared" ref="O215:P215" si="214">K215+M215</f>
        <v>4853984</v>
      </c>
      <c r="P215" s="250">
        <f t="shared" si="214"/>
        <v>4853984</v>
      </c>
    </row>
    <row r="216">
      <c r="A216" s="246" t="s">
        <v>205</v>
      </c>
      <c r="B216" s="246" t="s">
        <v>281</v>
      </c>
      <c r="C216" s="246" t="s">
        <v>92</v>
      </c>
      <c r="D216" s="246" t="s">
        <v>83</v>
      </c>
      <c r="E216" s="246" t="s">
        <v>93</v>
      </c>
      <c r="F216" s="247"/>
      <c r="G216" s="247"/>
      <c r="H216" s="247"/>
      <c r="I216" s="246" t="s">
        <v>235</v>
      </c>
      <c r="J216" s="248">
        <v>144.0</v>
      </c>
      <c r="K216" s="249">
        <v>2300000.0</v>
      </c>
      <c r="L216" s="249">
        <v>2300000.0</v>
      </c>
      <c r="M216" s="249">
        <v>1531008.0</v>
      </c>
      <c r="N216" s="249">
        <v>1531008.0</v>
      </c>
      <c r="O216" s="250">
        <f t="shared" ref="O216:P216" si="215">K216+M216</f>
        <v>3831008</v>
      </c>
      <c r="P216" s="250">
        <f t="shared" si="215"/>
        <v>3831008</v>
      </c>
    </row>
    <row r="217">
      <c r="A217" s="246" t="s">
        <v>205</v>
      </c>
      <c r="B217" s="246" t="s">
        <v>281</v>
      </c>
      <c r="C217" s="246" t="s">
        <v>92</v>
      </c>
      <c r="D217" s="246" t="s">
        <v>93</v>
      </c>
      <c r="E217" s="246" t="s">
        <v>86</v>
      </c>
      <c r="F217" s="247"/>
      <c r="G217" s="247"/>
      <c r="H217" s="246" t="s">
        <v>112</v>
      </c>
      <c r="I217" s="246" t="s">
        <v>312</v>
      </c>
      <c r="J217" s="248">
        <v>221.0</v>
      </c>
      <c r="K217" s="249">
        <v>2630000.0</v>
      </c>
      <c r="L217" s="249">
        <v>2630000.0</v>
      </c>
      <c r="M217" s="249">
        <v>2349672.0</v>
      </c>
      <c r="N217" s="249">
        <v>2349672.0</v>
      </c>
      <c r="O217" s="250">
        <f t="shared" ref="O217:P217" si="216">K217+M217</f>
        <v>4979672</v>
      </c>
      <c r="P217" s="250">
        <f t="shared" si="216"/>
        <v>4979672</v>
      </c>
    </row>
    <row r="218">
      <c r="A218" s="246" t="s">
        <v>205</v>
      </c>
      <c r="B218" s="246" t="s">
        <v>281</v>
      </c>
      <c r="C218" s="246" t="s">
        <v>92</v>
      </c>
      <c r="D218" s="246" t="s">
        <v>83</v>
      </c>
      <c r="E218" s="246" t="s">
        <v>94</v>
      </c>
      <c r="F218" s="247"/>
      <c r="G218" s="247"/>
      <c r="H218" s="247"/>
      <c r="I218" s="246" t="s">
        <v>239</v>
      </c>
      <c r="J218" s="248">
        <v>133.0</v>
      </c>
      <c r="K218" s="249">
        <v>2210000.0</v>
      </c>
      <c r="L218" s="249">
        <v>2210000.0</v>
      </c>
      <c r="M218" s="249">
        <v>1414056.0</v>
      </c>
      <c r="N218" s="249">
        <v>1414056.0</v>
      </c>
      <c r="O218" s="250">
        <f t="shared" ref="O218:P218" si="217">K218+M218</f>
        <v>3624056</v>
      </c>
      <c r="P218" s="250">
        <f t="shared" si="217"/>
        <v>3624056</v>
      </c>
    </row>
    <row r="219">
      <c r="A219" s="246" t="s">
        <v>205</v>
      </c>
      <c r="B219" s="246" t="s">
        <v>281</v>
      </c>
      <c r="C219" s="246" t="s">
        <v>92</v>
      </c>
      <c r="D219" s="246" t="s">
        <v>94</v>
      </c>
      <c r="E219" s="246" t="s">
        <v>84</v>
      </c>
      <c r="F219" s="247"/>
      <c r="G219" s="247"/>
      <c r="H219" s="246" t="s">
        <v>112</v>
      </c>
      <c r="I219" s="246" t="s">
        <v>313</v>
      </c>
      <c r="J219" s="248">
        <v>223.0</v>
      </c>
      <c r="K219" s="249">
        <v>2580000.0</v>
      </c>
      <c r="L219" s="249">
        <v>2580000.0</v>
      </c>
      <c r="M219" s="249">
        <v>2370936.0</v>
      </c>
      <c r="N219" s="249">
        <v>2370936.0</v>
      </c>
      <c r="O219" s="250">
        <f t="shared" ref="O219:P219" si="218">K219+M219</f>
        <v>4950936</v>
      </c>
      <c r="P219" s="250">
        <f t="shared" si="218"/>
        <v>4950936</v>
      </c>
    </row>
    <row r="220">
      <c r="A220" s="246" t="s">
        <v>205</v>
      </c>
      <c r="B220" s="246" t="s">
        <v>281</v>
      </c>
      <c r="C220" s="246" t="s">
        <v>92</v>
      </c>
      <c r="D220" s="246" t="s">
        <v>83</v>
      </c>
      <c r="E220" s="246" t="s">
        <v>94</v>
      </c>
      <c r="F220" s="247"/>
      <c r="G220" s="247"/>
      <c r="H220" s="247"/>
      <c r="I220" s="246" t="s">
        <v>239</v>
      </c>
      <c r="J220" s="248">
        <v>133.0</v>
      </c>
      <c r="K220" s="249">
        <v>2210000.0</v>
      </c>
      <c r="L220" s="249">
        <v>2210000.0</v>
      </c>
      <c r="M220" s="249">
        <v>1414056.0</v>
      </c>
      <c r="N220" s="249">
        <v>1414056.0</v>
      </c>
      <c r="O220" s="250">
        <f t="shared" ref="O220:P220" si="219">K220+M220</f>
        <v>3624056</v>
      </c>
      <c r="P220" s="250">
        <f t="shared" si="219"/>
        <v>3624056</v>
      </c>
    </row>
    <row r="221">
      <c r="A221" s="246" t="s">
        <v>205</v>
      </c>
      <c r="B221" s="246" t="s">
        <v>281</v>
      </c>
      <c r="C221" s="246" t="s">
        <v>92</v>
      </c>
      <c r="D221" s="246" t="s">
        <v>94</v>
      </c>
      <c r="E221" s="246" t="s">
        <v>85</v>
      </c>
      <c r="F221" s="247"/>
      <c r="G221" s="247"/>
      <c r="H221" s="246" t="s">
        <v>112</v>
      </c>
      <c r="I221" s="246" t="s">
        <v>314</v>
      </c>
      <c r="J221" s="248">
        <v>177.0</v>
      </c>
      <c r="K221" s="249">
        <v>2260000.0</v>
      </c>
      <c r="L221" s="249">
        <v>2260000.0</v>
      </c>
      <c r="M221" s="249">
        <v>1881864.0</v>
      </c>
      <c r="N221" s="249">
        <v>1881864.0</v>
      </c>
      <c r="O221" s="250">
        <f t="shared" ref="O221:P221" si="220">K221+M221</f>
        <v>4141864</v>
      </c>
      <c r="P221" s="250">
        <f t="shared" si="220"/>
        <v>4141864</v>
      </c>
    </row>
    <row r="222">
      <c r="A222" s="246" t="s">
        <v>205</v>
      </c>
      <c r="B222" s="246" t="s">
        <v>281</v>
      </c>
      <c r="C222" s="246" t="s">
        <v>92</v>
      </c>
      <c r="D222" s="246" t="s">
        <v>83</v>
      </c>
      <c r="E222" s="246" t="s">
        <v>94</v>
      </c>
      <c r="F222" s="247"/>
      <c r="G222" s="247"/>
      <c r="H222" s="247"/>
      <c r="I222" s="246" t="s">
        <v>239</v>
      </c>
      <c r="J222" s="248">
        <v>133.0</v>
      </c>
      <c r="K222" s="249">
        <v>2210000.0</v>
      </c>
      <c r="L222" s="249">
        <v>2210000.0</v>
      </c>
      <c r="M222" s="249">
        <v>1414056.0</v>
      </c>
      <c r="N222" s="249">
        <v>1414056.0</v>
      </c>
      <c r="O222" s="250">
        <f t="shared" ref="O222:P222" si="221">K222+M222</f>
        <v>3624056</v>
      </c>
      <c r="P222" s="250">
        <f t="shared" si="221"/>
        <v>3624056</v>
      </c>
    </row>
    <row r="223">
      <c r="A223" s="246" t="s">
        <v>205</v>
      </c>
      <c r="B223" s="246" t="s">
        <v>281</v>
      </c>
      <c r="C223" s="246" t="s">
        <v>92</v>
      </c>
      <c r="D223" s="246" t="s">
        <v>94</v>
      </c>
      <c r="E223" s="246" t="s">
        <v>86</v>
      </c>
      <c r="F223" s="247"/>
      <c r="G223" s="247"/>
      <c r="H223" s="246" t="s">
        <v>112</v>
      </c>
      <c r="I223" s="246" t="s">
        <v>315</v>
      </c>
      <c r="J223" s="248">
        <v>191.0</v>
      </c>
      <c r="K223" s="249">
        <v>2470000.0</v>
      </c>
      <c r="L223" s="249">
        <v>2470000.0</v>
      </c>
      <c r="M223" s="249">
        <v>2030712.0</v>
      </c>
      <c r="N223" s="249">
        <v>2030712.0</v>
      </c>
      <c r="O223" s="250">
        <f t="shared" ref="O223:P223" si="222">K223+M223</f>
        <v>4500712</v>
      </c>
      <c r="P223" s="250">
        <f t="shared" si="222"/>
        <v>4500712</v>
      </c>
    </row>
    <row r="224">
      <c r="A224" s="246" t="s">
        <v>205</v>
      </c>
      <c r="B224" s="246" t="s">
        <v>281</v>
      </c>
      <c r="C224" s="246" t="s">
        <v>92</v>
      </c>
      <c r="D224" s="246" t="s">
        <v>83</v>
      </c>
      <c r="E224" s="246" t="s">
        <v>95</v>
      </c>
      <c r="F224" s="247"/>
      <c r="G224" s="247"/>
      <c r="H224" s="247"/>
      <c r="I224" s="246" t="s">
        <v>243</v>
      </c>
      <c r="J224" s="248">
        <v>122.0</v>
      </c>
      <c r="K224" s="249">
        <v>2170000.0</v>
      </c>
      <c r="L224" s="249">
        <v>2170000.0</v>
      </c>
      <c r="M224" s="249">
        <v>1297104.0</v>
      </c>
      <c r="N224" s="249">
        <v>1297104.0</v>
      </c>
      <c r="O224" s="250">
        <f t="shared" ref="O224:P224" si="223">K224+M224</f>
        <v>3467104</v>
      </c>
      <c r="P224" s="250">
        <f t="shared" si="223"/>
        <v>3467104</v>
      </c>
    </row>
    <row r="225">
      <c r="A225" s="246" t="s">
        <v>205</v>
      </c>
      <c r="B225" s="246" t="s">
        <v>281</v>
      </c>
      <c r="C225" s="246" t="s">
        <v>92</v>
      </c>
      <c r="D225" s="246" t="s">
        <v>95</v>
      </c>
      <c r="E225" s="246" t="s">
        <v>84</v>
      </c>
      <c r="F225" s="247"/>
      <c r="G225" s="247"/>
      <c r="H225" s="246" t="s">
        <v>112</v>
      </c>
      <c r="I225" s="246" t="s">
        <v>316</v>
      </c>
      <c r="J225" s="248">
        <v>243.0</v>
      </c>
      <c r="K225" s="249">
        <v>2660000.0</v>
      </c>
      <c r="L225" s="249">
        <v>2660000.0</v>
      </c>
      <c r="M225" s="249">
        <v>2583576.0</v>
      </c>
      <c r="N225" s="249">
        <v>2583576.0</v>
      </c>
      <c r="O225" s="250">
        <f t="shared" ref="O225:P225" si="224">K225+M225</f>
        <v>5243576</v>
      </c>
      <c r="P225" s="250">
        <f t="shared" si="224"/>
        <v>5243576</v>
      </c>
    </row>
    <row r="226">
      <c r="A226" s="246" t="s">
        <v>205</v>
      </c>
      <c r="B226" s="246" t="s">
        <v>281</v>
      </c>
      <c r="C226" s="246" t="s">
        <v>92</v>
      </c>
      <c r="D226" s="246" t="s">
        <v>83</v>
      </c>
      <c r="E226" s="246" t="s">
        <v>95</v>
      </c>
      <c r="F226" s="247"/>
      <c r="G226" s="247"/>
      <c r="H226" s="247"/>
      <c r="I226" s="246" t="s">
        <v>243</v>
      </c>
      <c r="J226" s="248">
        <v>122.0</v>
      </c>
      <c r="K226" s="249">
        <v>2170000.0</v>
      </c>
      <c r="L226" s="249">
        <v>2170000.0</v>
      </c>
      <c r="M226" s="249">
        <v>1297104.0</v>
      </c>
      <c r="N226" s="249">
        <v>1297104.0</v>
      </c>
      <c r="O226" s="250">
        <f t="shared" ref="O226:P226" si="225">K226+M226</f>
        <v>3467104</v>
      </c>
      <c r="P226" s="250">
        <f t="shared" si="225"/>
        <v>3467104</v>
      </c>
    </row>
    <row r="227">
      <c r="A227" s="246" t="s">
        <v>205</v>
      </c>
      <c r="B227" s="246" t="s">
        <v>281</v>
      </c>
      <c r="C227" s="246" t="s">
        <v>92</v>
      </c>
      <c r="D227" s="246" t="s">
        <v>95</v>
      </c>
      <c r="E227" s="246" t="s">
        <v>85</v>
      </c>
      <c r="F227" s="247"/>
      <c r="G227" s="247"/>
      <c r="H227" s="246" t="s">
        <v>112</v>
      </c>
      <c r="I227" s="246" t="s">
        <v>317</v>
      </c>
      <c r="J227" s="248">
        <v>197.0</v>
      </c>
      <c r="K227" s="249">
        <v>2490000.0</v>
      </c>
      <c r="L227" s="249">
        <v>2490000.0</v>
      </c>
      <c r="M227" s="249">
        <v>2094504.0</v>
      </c>
      <c r="N227" s="249">
        <v>2094504.0</v>
      </c>
      <c r="O227" s="250">
        <f t="shared" ref="O227:P227" si="226">K227+M227</f>
        <v>4584504</v>
      </c>
      <c r="P227" s="250">
        <f t="shared" si="226"/>
        <v>4584504</v>
      </c>
    </row>
    <row r="228">
      <c r="A228" s="246" t="s">
        <v>205</v>
      </c>
      <c r="B228" s="246" t="s">
        <v>281</v>
      </c>
      <c r="C228" s="246" t="s">
        <v>92</v>
      </c>
      <c r="D228" s="246" t="s">
        <v>83</v>
      </c>
      <c r="E228" s="246" t="s">
        <v>95</v>
      </c>
      <c r="F228" s="247"/>
      <c r="G228" s="247"/>
      <c r="H228" s="247"/>
      <c r="I228" s="246" t="s">
        <v>243</v>
      </c>
      <c r="J228" s="248">
        <v>122.0</v>
      </c>
      <c r="K228" s="249">
        <v>2170000.0</v>
      </c>
      <c r="L228" s="249">
        <v>2170000.0</v>
      </c>
      <c r="M228" s="249">
        <v>1297104.0</v>
      </c>
      <c r="N228" s="249">
        <v>1297104.0</v>
      </c>
      <c r="O228" s="250">
        <f t="shared" ref="O228:P228" si="227">K228+M228</f>
        <v>3467104</v>
      </c>
      <c r="P228" s="250">
        <f t="shared" si="227"/>
        <v>3467104</v>
      </c>
    </row>
    <row r="229">
      <c r="A229" s="246" t="s">
        <v>205</v>
      </c>
      <c r="B229" s="246" t="s">
        <v>281</v>
      </c>
      <c r="C229" s="246" t="s">
        <v>92</v>
      </c>
      <c r="D229" s="246" t="s">
        <v>95</v>
      </c>
      <c r="E229" s="246" t="s">
        <v>86</v>
      </c>
      <c r="F229" s="247"/>
      <c r="G229" s="247"/>
      <c r="H229" s="246" t="s">
        <v>112</v>
      </c>
      <c r="I229" s="246" t="s">
        <v>318</v>
      </c>
      <c r="J229" s="248">
        <v>166.0</v>
      </c>
      <c r="K229" s="249">
        <v>2220000.0</v>
      </c>
      <c r="L229" s="249">
        <v>2220000.0</v>
      </c>
      <c r="M229" s="249">
        <v>1764912.0</v>
      </c>
      <c r="N229" s="249">
        <v>1764912.0</v>
      </c>
      <c r="O229" s="250">
        <f t="shared" ref="O229:P229" si="228">K229+M229</f>
        <v>3984912</v>
      </c>
      <c r="P229" s="250">
        <f t="shared" si="228"/>
        <v>3984912</v>
      </c>
    </row>
    <row r="230">
      <c r="A230" s="246" t="s">
        <v>205</v>
      </c>
      <c r="B230" s="246" t="s">
        <v>281</v>
      </c>
      <c r="C230" s="246" t="s">
        <v>92</v>
      </c>
      <c r="D230" s="246" t="s">
        <v>90</v>
      </c>
      <c r="E230" s="246" t="s">
        <v>96</v>
      </c>
      <c r="F230" s="247"/>
      <c r="G230" s="247"/>
      <c r="H230" s="247"/>
      <c r="I230" s="246" t="s">
        <v>247</v>
      </c>
      <c r="J230" s="248">
        <v>85.0</v>
      </c>
      <c r="K230" s="249">
        <v>1600000.0</v>
      </c>
      <c r="L230" s="249">
        <v>1600000.0</v>
      </c>
      <c r="M230" s="249">
        <v>903720.0</v>
      </c>
      <c r="N230" s="249">
        <v>903720.0</v>
      </c>
      <c r="O230" s="250">
        <f t="shared" ref="O230:P230" si="229">K230+M230</f>
        <v>2503720</v>
      </c>
      <c r="P230" s="250">
        <f t="shared" si="229"/>
        <v>2503720</v>
      </c>
    </row>
    <row r="231">
      <c r="A231" s="246" t="s">
        <v>205</v>
      </c>
      <c r="B231" s="246" t="s">
        <v>281</v>
      </c>
      <c r="C231" s="246" t="s">
        <v>92</v>
      </c>
      <c r="D231" s="246" t="s">
        <v>96</v>
      </c>
      <c r="E231" s="246" t="s">
        <v>84</v>
      </c>
      <c r="F231" s="247"/>
      <c r="G231" s="247"/>
      <c r="H231" s="246" t="s">
        <v>112</v>
      </c>
      <c r="I231" s="246" t="s">
        <v>319</v>
      </c>
      <c r="J231" s="248">
        <v>246.0</v>
      </c>
      <c r="K231" s="249">
        <v>3050000.0</v>
      </c>
      <c r="L231" s="249">
        <v>3050000.0</v>
      </c>
      <c r="M231" s="249">
        <v>2615472.0</v>
      </c>
      <c r="N231" s="249">
        <v>2615472.0</v>
      </c>
      <c r="O231" s="250">
        <f t="shared" ref="O231:P231" si="230">K231+M231</f>
        <v>5665472</v>
      </c>
      <c r="P231" s="250">
        <f t="shared" si="230"/>
        <v>5665472</v>
      </c>
    </row>
    <row r="232">
      <c r="A232" s="246" t="s">
        <v>205</v>
      </c>
      <c r="B232" s="246" t="s">
        <v>281</v>
      </c>
      <c r="C232" s="246" t="s">
        <v>92</v>
      </c>
      <c r="D232" s="246" t="s">
        <v>90</v>
      </c>
      <c r="E232" s="246" t="s">
        <v>96</v>
      </c>
      <c r="F232" s="247"/>
      <c r="G232" s="247"/>
      <c r="H232" s="247"/>
      <c r="I232" s="246" t="s">
        <v>247</v>
      </c>
      <c r="J232" s="248">
        <v>85.0</v>
      </c>
      <c r="K232" s="249">
        <v>1600000.0</v>
      </c>
      <c r="L232" s="249">
        <v>1600000.0</v>
      </c>
      <c r="M232" s="249">
        <v>903720.0</v>
      </c>
      <c r="N232" s="249">
        <v>903720.0</v>
      </c>
      <c r="O232" s="250">
        <f t="shared" ref="O232:P232" si="231">K232+M232</f>
        <v>2503720</v>
      </c>
      <c r="P232" s="250">
        <f t="shared" si="231"/>
        <v>2503720</v>
      </c>
    </row>
    <row r="233">
      <c r="A233" s="246" t="s">
        <v>205</v>
      </c>
      <c r="B233" s="246" t="s">
        <v>281</v>
      </c>
      <c r="C233" s="246" t="s">
        <v>92</v>
      </c>
      <c r="D233" s="246" t="s">
        <v>96</v>
      </c>
      <c r="E233" s="246" t="s">
        <v>85</v>
      </c>
      <c r="F233" s="247"/>
      <c r="G233" s="247"/>
      <c r="H233" s="246" t="s">
        <v>112</v>
      </c>
      <c r="I233" s="246" t="s">
        <v>320</v>
      </c>
      <c r="J233" s="248">
        <v>271.0</v>
      </c>
      <c r="K233" s="249">
        <v>3290000.0</v>
      </c>
      <c r="L233" s="249">
        <v>3290000.0</v>
      </c>
      <c r="M233" s="249">
        <v>2881272.0</v>
      </c>
      <c r="N233" s="249">
        <v>2881272.0</v>
      </c>
      <c r="O233" s="250">
        <f t="shared" ref="O233:P233" si="232">K233+M233</f>
        <v>6171272</v>
      </c>
      <c r="P233" s="250">
        <f t="shared" si="232"/>
        <v>6171272</v>
      </c>
    </row>
    <row r="234">
      <c r="A234" s="246" t="s">
        <v>205</v>
      </c>
      <c r="B234" s="246" t="s">
        <v>281</v>
      </c>
      <c r="C234" s="246" t="s">
        <v>92</v>
      </c>
      <c r="D234" s="246" t="s">
        <v>90</v>
      </c>
      <c r="E234" s="246" t="s">
        <v>96</v>
      </c>
      <c r="F234" s="247"/>
      <c r="G234" s="247"/>
      <c r="H234" s="247"/>
      <c r="I234" s="246" t="s">
        <v>247</v>
      </c>
      <c r="J234" s="248">
        <v>85.0</v>
      </c>
      <c r="K234" s="249">
        <v>1600000.0</v>
      </c>
      <c r="L234" s="249">
        <v>1600000.0</v>
      </c>
      <c r="M234" s="249">
        <v>903720.0</v>
      </c>
      <c r="N234" s="249">
        <v>903720.0</v>
      </c>
      <c r="O234" s="250">
        <f t="shared" ref="O234:P234" si="233">K234+M234</f>
        <v>2503720</v>
      </c>
      <c r="P234" s="250">
        <f t="shared" si="233"/>
        <v>2503720</v>
      </c>
    </row>
    <row r="235">
      <c r="A235" s="246" t="s">
        <v>205</v>
      </c>
      <c r="B235" s="246" t="s">
        <v>281</v>
      </c>
      <c r="C235" s="246" t="s">
        <v>92</v>
      </c>
      <c r="D235" s="246" t="s">
        <v>96</v>
      </c>
      <c r="E235" s="246" t="s">
        <v>86</v>
      </c>
      <c r="F235" s="247"/>
      <c r="G235" s="247"/>
      <c r="H235" s="246" t="s">
        <v>112</v>
      </c>
      <c r="I235" s="246" t="s">
        <v>321</v>
      </c>
      <c r="J235" s="248">
        <v>280.0</v>
      </c>
      <c r="K235" s="249">
        <v>3320000.0</v>
      </c>
      <c r="L235" s="249">
        <v>3320000.0</v>
      </c>
      <c r="M235" s="249">
        <v>2976960.0</v>
      </c>
      <c r="N235" s="249">
        <v>2976960.0</v>
      </c>
      <c r="O235" s="250">
        <f t="shared" ref="O235:P235" si="234">K235+M235</f>
        <v>6296960</v>
      </c>
      <c r="P235" s="250">
        <f t="shared" si="234"/>
        <v>6296960</v>
      </c>
    </row>
    <row r="236">
      <c r="A236" s="246" t="s">
        <v>205</v>
      </c>
      <c r="B236" s="246" t="s">
        <v>281</v>
      </c>
      <c r="C236" s="246" t="s">
        <v>92</v>
      </c>
      <c r="D236" s="246" t="s">
        <v>90</v>
      </c>
      <c r="E236" s="246" t="s">
        <v>97</v>
      </c>
      <c r="F236" s="247"/>
      <c r="G236" s="247"/>
      <c r="H236" s="247"/>
      <c r="I236" s="246" t="s">
        <v>251</v>
      </c>
      <c r="J236" s="248">
        <v>35.0</v>
      </c>
      <c r="K236" s="249">
        <v>1100000.0</v>
      </c>
      <c r="L236" s="249">
        <v>1100000.0</v>
      </c>
      <c r="M236" s="249">
        <v>372120.0</v>
      </c>
      <c r="N236" s="249">
        <v>372120.0</v>
      </c>
      <c r="O236" s="250">
        <f t="shared" ref="O236:P236" si="235">K236+M236</f>
        <v>1472120</v>
      </c>
      <c r="P236" s="250">
        <f t="shared" si="235"/>
        <v>1472120</v>
      </c>
    </row>
    <row r="237">
      <c r="A237" s="246" t="s">
        <v>205</v>
      </c>
      <c r="B237" s="246" t="s">
        <v>281</v>
      </c>
      <c r="C237" s="246" t="s">
        <v>92</v>
      </c>
      <c r="D237" s="246" t="s">
        <v>97</v>
      </c>
      <c r="E237" s="246" t="s">
        <v>84</v>
      </c>
      <c r="F237" s="247"/>
      <c r="G237" s="247"/>
      <c r="H237" s="246" t="s">
        <v>112</v>
      </c>
      <c r="I237" s="246" t="s">
        <v>322</v>
      </c>
      <c r="J237" s="248">
        <v>321.0</v>
      </c>
      <c r="K237" s="249">
        <v>3650000.0</v>
      </c>
      <c r="L237" s="249">
        <v>3650000.0</v>
      </c>
      <c r="M237" s="249">
        <v>3412872.0</v>
      </c>
      <c r="N237" s="249">
        <v>3412872.0</v>
      </c>
      <c r="O237" s="250">
        <f t="shared" ref="O237:P237" si="236">K237+M237</f>
        <v>7062872</v>
      </c>
      <c r="P237" s="250">
        <f t="shared" si="236"/>
        <v>7062872</v>
      </c>
    </row>
    <row r="238">
      <c r="A238" s="246" t="s">
        <v>205</v>
      </c>
      <c r="B238" s="246" t="s">
        <v>281</v>
      </c>
      <c r="C238" s="246" t="s">
        <v>92</v>
      </c>
      <c r="D238" s="246" t="s">
        <v>90</v>
      </c>
      <c r="E238" s="246" t="s">
        <v>97</v>
      </c>
      <c r="F238" s="247"/>
      <c r="G238" s="247"/>
      <c r="H238" s="247"/>
      <c r="I238" s="246" t="s">
        <v>251</v>
      </c>
      <c r="J238" s="248">
        <v>35.0</v>
      </c>
      <c r="K238" s="249">
        <v>1100000.0</v>
      </c>
      <c r="L238" s="249">
        <v>1100000.0</v>
      </c>
      <c r="M238" s="249">
        <v>372120.0</v>
      </c>
      <c r="N238" s="249">
        <v>372120.0</v>
      </c>
      <c r="O238" s="250">
        <f t="shared" ref="O238:P238" si="237">K238+M238</f>
        <v>1472120</v>
      </c>
      <c r="P238" s="250">
        <f t="shared" si="237"/>
        <v>1472120</v>
      </c>
    </row>
    <row r="239">
      <c r="A239" s="246" t="s">
        <v>205</v>
      </c>
      <c r="B239" s="246" t="s">
        <v>281</v>
      </c>
      <c r="C239" s="246" t="s">
        <v>92</v>
      </c>
      <c r="D239" s="246" t="s">
        <v>97</v>
      </c>
      <c r="E239" s="246" t="s">
        <v>85</v>
      </c>
      <c r="F239" s="247"/>
      <c r="G239" s="247"/>
      <c r="H239" s="246" t="s">
        <v>112</v>
      </c>
      <c r="I239" s="246" t="s">
        <v>323</v>
      </c>
      <c r="J239" s="248">
        <v>275.0</v>
      </c>
      <c r="K239" s="249">
        <v>3350000.0</v>
      </c>
      <c r="L239" s="249">
        <v>3350000.0</v>
      </c>
      <c r="M239" s="249">
        <v>2923800.0</v>
      </c>
      <c r="N239" s="249">
        <v>2923800.0</v>
      </c>
      <c r="O239" s="250">
        <f t="shared" ref="O239:P239" si="238">K239+M239</f>
        <v>6273800</v>
      </c>
      <c r="P239" s="250">
        <f t="shared" si="238"/>
        <v>6273800</v>
      </c>
    </row>
    <row r="240">
      <c r="A240" s="246" t="s">
        <v>205</v>
      </c>
      <c r="B240" s="246" t="s">
        <v>281</v>
      </c>
      <c r="C240" s="246" t="s">
        <v>92</v>
      </c>
      <c r="D240" s="246" t="s">
        <v>90</v>
      </c>
      <c r="E240" s="246" t="s">
        <v>97</v>
      </c>
      <c r="F240" s="247"/>
      <c r="G240" s="247"/>
      <c r="H240" s="247"/>
      <c r="I240" s="246" t="s">
        <v>251</v>
      </c>
      <c r="J240" s="248">
        <v>35.0</v>
      </c>
      <c r="K240" s="249">
        <v>1100000.0</v>
      </c>
      <c r="L240" s="249">
        <v>1100000.0</v>
      </c>
      <c r="M240" s="249">
        <v>372120.0</v>
      </c>
      <c r="N240" s="249">
        <v>372120.0</v>
      </c>
      <c r="O240" s="250">
        <f t="shared" ref="O240:P240" si="239">K240+M240</f>
        <v>1472120</v>
      </c>
      <c r="P240" s="250">
        <f t="shared" si="239"/>
        <v>1472120</v>
      </c>
    </row>
    <row r="241">
      <c r="A241" s="246" t="s">
        <v>205</v>
      </c>
      <c r="B241" s="246" t="s">
        <v>281</v>
      </c>
      <c r="C241" s="246" t="s">
        <v>92</v>
      </c>
      <c r="D241" s="246" t="s">
        <v>97</v>
      </c>
      <c r="E241" s="246" t="s">
        <v>86</v>
      </c>
      <c r="F241" s="247"/>
      <c r="G241" s="247"/>
      <c r="H241" s="246" t="s">
        <v>112</v>
      </c>
      <c r="I241" s="246" t="s">
        <v>324</v>
      </c>
      <c r="J241" s="248">
        <v>289.0</v>
      </c>
      <c r="K241" s="249">
        <v>3350000.0</v>
      </c>
      <c r="L241" s="249">
        <v>3350000.0</v>
      </c>
      <c r="M241" s="249">
        <v>3072648.0</v>
      </c>
      <c r="N241" s="249">
        <v>3072648.0</v>
      </c>
      <c r="O241" s="250">
        <f t="shared" ref="O241:P241" si="240">K241+M241</f>
        <v>6422648</v>
      </c>
      <c r="P241" s="250">
        <f t="shared" si="240"/>
        <v>6422648</v>
      </c>
    </row>
    <row r="242">
      <c r="A242" s="246" t="s">
        <v>205</v>
      </c>
      <c r="B242" s="246" t="s">
        <v>281</v>
      </c>
      <c r="C242" s="246" t="s">
        <v>92</v>
      </c>
      <c r="D242" s="246" t="s">
        <v>90</v>
      </c>
      <c r="E242" s="246" t="s">
        <v>98</v>
      </c>
      <c r="F242" s="247"/>
      <c r="G242" s="247"/>
      <c r="H242" s="247"/>
      <c r="I242" s="246" t="s">
        <v>255</v>
      </c>
      <c r="J242" s="248">
        <v>25.0</v>
      </c>
      <c r="K242" s="249">
        <v>1000000.0</v>
      </c>
      <c r="L242" s="249">
        <v>1000000.0</v>
      </c>
      <c r="M242" s="249">
        <v>265800.0</v>
      </c>
      <c r="N242" s="249">
        <v>265800.0</v>
      </c>
      <c r="O242" s="250">
        <f t="shared" ref="O242:P242" si="241">K242+M242</f>
        <v>1265800</v>
      </c>
      <c r="P242" s="250">
        <f t="shared" si="241"/>
        <v>1265800</v>
      </c>
    </row>
    <row r="243">
      <c r="A243" s="246" t="s">
        <v>205</v>
      </c>
      <c r="B243" s="246" t="s">
        <v>281</v>
      </c>
      <c r="C243" s="246" t="s">
        <v>92</v>
      </c>
      <c r="D243" s="246" t="s">
        <v>98</v>
      </c>
      <c r="E243" s="246" t="s">
        <v>84</v>
      </c>
      <c r="F243" s="247"/>
      <c r="G243" s="247"/>
      <c r="H243" s="246" t="s">
        <v>112</v>
      </c>
      <c r="I243" s="246" t="s">
        <v>325</v>
      </c>
      <c r="J243" s="248">
        <v>340.0</v>
      </c>
      <c r="K243" s="249">
        <v>3650000.0</v>
      </c>
      <c r="L243" s="249">
        <v>3650000.0</v>
      </c>
      <c r="M243" s="249">
        <v>3614880.0</v>
      </c>
      <c r="N243" s="249">
        <v>3614880.0</v>
      </c>
      <c r="O243" s="250">
        <f t="shared" ref="O243:P243" si="242">K243+M243</f>
        <v>7264880</v>
      </c>
      <c r="P243" s="250">
        <f t="shared" si="242"/>
        <v>7264880</v>
      </c>
    </row>
    <row r="244">
      <c r="A244" s="246" t="s">
        <v>205</v>
      </c>
      <c r="B244" s="246" t="s">
        <v>281</v>
      </c>
      <c r="C244" s="246" t="s">
        <v>92</v>
      </c>
      <c r="D244" s="246" t="s">
        <v>90</v>
      </c>
      <c r="E244" s="246" t="s">
        <v>98</v>
      </c>
      <c r="F244" s="247"/>
      <c r="G244" s="247"/>
      <c r="H244" s="247"/>
      <c r="I244" s="246" t="s">
        <v>255</v>
      </c>
      <c r="J244" s="248">
        <v>25.0</v>
      </c>
      <c r="K244" s="249">
        <v>1000000.0</v>
      </c>
      <c r="L244" s="249">
        <v>1000000.0</v>
      </c>
      <c r="M244" s="249">
        <v>265800.0</v>
      </c>
      <c r="N244" s="249">
        <v>265800.0</v>
      </c>
      <c r="O244" s="250">
        <f t="shared" ref="O244:P244" si="243">K244+M244</f>
        <v>1265800</v>
      </c>
      <c r="P244" s="250">
        <f t="shared" si="243"/>
        <v>1265800</v>
      </c>
    </row>
    <row r="245">
      <c r="A245" s="246" t="s">
        <v>205</v>
      </c>
      <c r="B245" s="246" t="s">
        <v>281</v>
      </c>
      <c r="C245" s="246" t="s">
        <v>92</v>
      </c>
      <c r="D245" s="246" t="s">
        <v>98</v>
      </c>
      <c r="E245" s="246" t="s">
        <v>85</v>
      </c>
      <c r="F245" s="247"/>
      <c r="G245" s="247"/>
      <c r="H245" s="246" t="s">
        <v>112</v>
      </c>
      <c r="I245" s="246" t="s">
        <v>326</v>
      </c>
      <c r="J245" s="248">
        <v>294.0</v>
      </c>
      <c r="K245" s="249">
        <v>3350000.0</v>
      </c>
      <c r="L245" s="249">
        <v>3350000.0</v>
      </c>
      <c r="M245" s="249">
        <v>3125808.0</v>
      </c>
      <c r="N245" s="249">
        <v>3125808.0</v>
      </c>
      <c r="O245" s="250">
        <f t="shared" ref="O245:P245" si="244">K245+M245</f>
        <v>6475808</v>
      </c>
      <c r="P245" s="250">
        <f t="shared" si="244"/>
        <v>6475808</v>
      </c>
    </row>
    <row r="246">
      <c r="A246" s="246" t="s">
        <v>205</v>
      </c>
      <c r="B246" s="246" t="s">
        <v>281</v>
      </c>
      <c r="C246" s="246" t="s">
        <v>92</v>
      </c>
      <c r="D246" s="246" t="s">
        <v>90</v>
      </c>
      <c r="E246" s="246" t="s">
        <v>98</v>
      </c>
      <c r="F246" s="247"/>
      <c r="G246" s="247"/>
      <c r="H246" s="247"/>
      <c r="I246" s="246" t="s">
        <v>255</v>
      </c>
      <c r="J246" s="248">
        <v>25.0</v>
      </c>
      <c r="K246" s="249">
        <v>1000000.0</v>
      </c>
      <c r="L246" s="249">
        <v>1000000.0</v>
      </c>
      <c r="M246" s="249">
        <v>265800.0</v>
      </c>
      <c r="N246" s="249">
        <v>265800.0</v>
      </c>
      <c r="O246" s="250">
        <f t="shared" ref="O246:P246" si="245">K246+M246</f>
        <v>1265800</v>
      </c>
      <c r="P246" s="250">
        <f t="shared" si="245"/>
        <v>1265800</v>
      </c>
    </row>
    <row r="247">
      <c r="A247" s="246" t="s">
        <v>205</v>
      </c>
      <c r="B247" s="246" t="s">
        <v>281</v>
      </c>
      <c r="C247" s="246" t="s">
        <v>92</v>
      </c>
      <c r="D247" s="246" t="s">
        <v>98</v>
      </c>
      <c r="E247" s="246" t="s">
        <v>86</v>
      </c>
      <c r="F247" s="247"/>
      <c r="G247" s="247"/>
      <c r="H247" s="246" t="s">
        <v>112</v>
      </c>
      <c r="I247" s="246" t="s">
        <v>327</v>
      </c>
      <c r="J247" s="248">
        <v>263.0</v>
      </c>
      <c r="K247" s="249">
        <v>3050000.0</v>
      </c>
      <c r="L247" s="249">
        <v>3050000.0</v>
      </c>
      <c r="M247" s="249">
        <v>2796216.0</v>
      </c>
      <c r="N247" s="249">
        <v>2796216.0</v>
      </c>
      <c r="O247" s="250">
        <f t="shared" ref="O247:P247" si="246">K247+M247</f>
        <v>5846216</v>
      </c>
      <c r="P247" s="250">
        <f t="shared" si="246"/>
        <v>5846216</v>
      </c>
    </row>
    <row r="248">
      <c r="A248" s="246" t="s">
        <v>205</v>
      </c>
      <c r="B248" s="246" t="s">
        <v>281</v>
      </c>
      <c r="C248" s="246" t="s">
        <v>92</v>
      </c>
      <c r="D248" s="246" t="s">
        <v>91</v>
      </c>
      <c r="E248" s="246" t="s">
        <v>99</v>
      </c>
      <c r="F248" s="247"/>
      <c r="G248" s="247"/>
      <c r="H248" s="247"/>
      <c r="I248" s="246" t="s">
        <v>259</v>
      </c>
      <c r="J248" s="248">
        <v>65.0</v>
      </c>
      <c r="K248" s="249">
        <v>1580000.0</v>
      </c>
      <c r="L248" s="249">
        <v>1580000.0</v>
      </c>
      <c r="M248" s="249">
        <v>691080.0</v>
      </c>
      <c r="N248" s="249">
        <v>691080.0</v>
      </c>
      <c r="O248" s="250">
        <f t="shared" ref="O248:P248" si="247">K248+M248</f>
        <v>2271080</v>
      </c>
      <c r="P248" s="250">
        <f t="shared" si="247"/>
        <v>2271080</v>
      </c>
    </row>
    <row r="249">
      <c r="A249" s="246" t="s">
        <v>205</v>
      </c>
      <c r="B249" s="246" t="s">
        <v>281</v>
      </c>
      <c r="C249" s="246" t="s">
        <v>92</v>
      </c>
      <c r="D249" s="246" t="s">
        <v>99</v>
      </c>
      <c r="E249" s="246" t="s">
        <v>84</v>
      </c>
      <c r="F249" s="247"/>
      <c r="G249" s="247"/>
      <c r="H249" s="246" t="s">
        <v>112</v>
      </c>
      <c r="I249" s="246" t="s">
        <v>328</v>
      </c>
      <c r="J249" s="248">
        <v>267.0</v>
      </c>
      <c r="K249" s="249">
        <v>3060000.0</v>
      </c>
      <c r="L249" s="249">
        <v>3060000.0</v>
      </c>
      <c r="M249" s="249">
        <v>2838744.0</v>
      </c>
      <c r="N249" s="249">
        <v>2838744.0</v>
      </c>
      <c r="O249" s="250">
        <f t="shared" ref="O249:P249" si="248">K249+M249</f>
        <v>5898744</v>
      </c>
      <c r="P249" s="250">
        <f t="shared" si="248"/>
        <v>5898744</v>
      </c>
    </row>
    <row r="250">
      <c r="A250" s="246" t="s">
        <v>205</v>
      </c>
      <c r="B250" s="246" t="s">
        <v>281</v>
      </c>
      <c r="C250" s="246" t="s">
        <v>92</v>
      </c>
      <c r="D250" s="246" t="s">
        <v>91</v>
      </c>
      <c r="E250" s="246" t="s">
        <v>99</v>
      </c>
      <c r="F250" s="247"/>
      <c r="G250" s="247"/>
      <c r="H250" s="247"/>
      <c r="I250" s="246" t="s">
        <v>259</v>
      </c>
      <c r="J250" s="248">
        <v>65.0</v>
      </c>
      <c r="K250" s="249">
        <v>1580000.0</v>
      </c>
      <c r="L250" s="249">
        <v>1580000.0</v>
      </c>
      <c r="M250" s="249">
        <v>691080.0</v>
      </c>
      <c r="N250" s="249">
        <v>691080.0</v>
      </c>
      <c r="O250" s="250">
        <f t="shared" ref="O250:P250" si="249">K250+M250</f>
        <v>2271080</v>
      </c>
      <c r="P250" s="250">
        <f t="shared" si="249"/>
        <v>2271080</v>
      </c>
    </row>
    <row r="251">
      <c r="A251" s="246" t="s">
        <v>205</v>
      </c>
      <c r="B251" s="246" t="s">
        <v>281</v>
      </c>
      <c r="C251" s="246" t="s">
        <v>92</v>
      </c>
      <c r="D251" s="246" t="s">
        <v>99</v>
      </c>
      <c r="E251" s="246" t="s">
        <v>85</v>
      </c>
      <c r="F251" s="247"/>
      <c r="G251" s="247"/>
      <c r="H251" s="246" t="s">
        <v>112</v>
      </c>
      <c r="I251" s="246" t="s">
        <v>329</v>
      </c>
      <c r="J251" s="248">
        <v>291.0</v>
      </c>
      <c r="K251" s="249">
        <v>3310000.0</v>
      </c>
      <c r="L251" s="249">
        <v>3310000.0</v>
      </c>
      <c r="M251" s="249">
        <v>3093912.0</v>
      </c>
      <c r="N251" s="249">
        <v>3093912.0</v>
      </c>
      <c r="O251" s="250">
        <f t="shared" ref="O251:P251" si="250">K251+M251</f>
        <v>6403912</v>
      </c>
      <c r="P251" s="250">
        <f t="shared" si="250"/>
        <v>6403912</v>
      </c>
    </row>
    <row r="252">
      <c r="A252" s="246" t="s">
        <v>205</v>
      </c>
      <c r="B252" s="246" t="s">
        <v>281</v>
      </c>
      <c r="C252" s="246" t="s">
        <v>92</v>
      </c>
      <c r="D252" s="246" t="s">
        <v>91</v>
      </c>
      <c r="E252" s="246" t="s">
        <v>99</v>
      </c>
      <c r="F252" s="247"/>
      <c r="G252" s="247"/>
      <c r="H252" s="247"/>
      <c r="I252" s="246" t="s">
        <v>259</v>
      </c>
      <c r="J252" s="248">
        <v>65.0</v>
      </c>
      <c r="K252" s="249">
        <v>1580000.0</v>
      </c>
      <c r="L252" s="249">
        <v>1580000.0</v>
      </c>
      <c r="M252" s="249">
        <v>691080.0</v>
      </c>
      <c r="N252" s="249">
        <v>691080.0</v>
      </c>
      <c r="O252" s="250">
        <f t="shared" ref="O252:P252" si="251">K252+M252</f>
        <v>2271080</v>
      </c>
      <c r="P252" s="250">
        <f t="shared" si="251"/>
        <v>2271080</v>
      </c>
    </row>
    <row r="253">
      <c r="A253" s="246" t="s">
        <v>205</v>
      </c>
      <c r="B253" s="246" t="s">
        <v>281</v>
      </c>
      <c r="C253" s="246" t="s">
        <v>92</v>
      </c>
      <c r="D253" s="246" t="s">
        <v>99</v>
      </c>
      <c r="E253" s="246" t="s">
        <v>86</v>
      </c>
      <c r="F253" s="247"/>
      <c r="G253" s="247"/>
      <c r="H253" s="246" t="s">
        <v>112</v>
      </c>
      <c r="I253" s="246" t="s">
        <v>330</v>
      </c>
      <c r="J253" s="248">
        <v>300.0</v>
      </c>
      <c r="K253" s="249">
        <v>3340000.0</v>
      </c>
      <c r="L253" s="249">
        <v>3340000.0</v>
      </c>
      <c r="M253" s="249">
        <v>3189600.0</v>
      </c>
      <c r="N253" s="249">
        <v>3189600.0</v>
      </c>
      <c r="O253" s="250">
        <f t="shared" ref="O253:P253" si="252">K253+M253</f>
        <v>6529600</v>
      </c>
      <c r="P253" s="250">
        <f t="shared" si="252"/>
        <v>6529600</v>
      </c>
    </row>
    <row r="254">
      <c r="A254" s="246" t="s">
        <v>205</v>
      </c>
      <c r="B254" s="246" t="s">
        <v>281</v>
      </c>
      <c r="C254" s="246" t="s">
        <v>92</v>
      </c>
      <c r="D254" s="246" t="s">
        <v>91</v>
      </c>
      <c r="E254" s="246" t="s">
        <v>100</v>
      </c>
      <c r="F254" s="247"/>
      <c r="G254" s="247"/>
      <c r="H254" s="247"/>
      <c r="I254" s="246" t="s">
        <v>263</v>
      </c>
      <c r="J254" s="248">
        <v>25.0</v>
      </c>
      <c r="K254" s="249">
        <v>1320000.0</v>
      </c>
      <c r="L254" s="249">
        <v>1320000.0</v>
      </c>
      <c r="M254" s="249">
        <v>265800.0</v>
      </c>
      <c r="N254" s="249">
        <v>265800.0</v>
      </c>
      <c r="O254" s="250">
        <f t="shared" ref="O254:P254" si="253">K254+M254</f>
        <v>1585800</v>
      </c>
      <c r="P254" s="250">
        <f t="shared" si="253"/>
        <v>1585800</v>
      </c>
    </row>
    <row r="255">
      <c r="A255" s="246" t="s">
        <v>205</v>
      </c>
      <c r="B255" s="246" t="s">
        <v>281</v>
      </c>
      <c r="C255" s="246" t="s">
        <v>92</v>
      </c>
      <c r="D255" s="246" t="s">
        <v>100</v>
      </c>
      <c r="E255" s="246" t="s">
        <v>84</v>
      </c>
      <c r="F255" s="247"/>
      <c r="G255" s="247"/>
      <c r="H255" s="246" t="s">
        <v>112</v>
      </c>
      <c r="I255" s="246" t="s">
        <v>331</v>
      </c>
      <c r="J255" s="248">
        <v>331.0</v>
      </c>
      <c r="K255" s="249">
        <v>3470000.0</v>
      </c>
      <c r="L255" s="249">
        <v>3470000.0</v>
      </c>
      <c r="M255" s="249">
        <v>3519192.0</v>
      </c>
      <c r="N255" s="249">
        <v>3519192.0</v>
      </c>
      <c r="O255" s="250">
        <f t="shared" ref="O255:P255" si="254">K255+M255</f>
        <v>6989192</v>
      </c>
      <c r="P255" s="250">
        <f t="shared" si="254"/>
        <v>6989192</v>
      </c>
    </row>
    <row r="256">
      <c r="A256" s="246" t="s">
        <v>205</v>
      </c>
      <c r="B256" s="246" t="s">
        <v>281</v>
      </c>
      <c r="C256" s="246" t="s">
        <v>92</v>
      </c>
      <c r="D256" s="246" t="s">
        <v>91</v>
      </c>
      <c r="E256" s="246" t="s">
        <v>100</v>
      </c>
      <c r="F256" s="247"/>
      <c r="G256" s="247"/>
      <c r="H256" s="247"/>
      <c r="I256" s="246" t="s">
        <v>263</v>
      </c>
      <c r="J256" s="248">
        <v>25.0</v>
      </c>
      <c r="K256" s="249">
        <v>1320000.0</v>
      </c>
      <c r="L256" s="249">
        <v>1320000.0</v>
      </c>
      <c r="M256" s="249">
        <v>265800.0</v>
      </c>
      <c r="N256" s="249">
        <v>265800.0</v>
      </c>
      <c r="O256" s="250">
        <f t="shared" ref="O256:P256" si="255">K256+M256</f>
        <v>1585800</v>
      </c>
      <c r="P256" s="250">
        <f t="shared" si="255"/>
        <v>1585800</v>
      </c>
    </row>
    <row r="257">
      <c r="A257" s="246" t="s">
        <v>205</v>
      </c>
      <c r="B257" s="246" t="s">
        <v>281</v>
      </c>
      <c r="C257" s="246" t="s">
        <v>92</v>
      </c>
      <c r="D257" s="246" t="s">
        <v>100</v>
      </c>
      <c r="E257" s="246" t="s">
        <v>85</v>
      </c>
      <c r="F257" s="247"/>
      <c r="G257" s="247"/>
      <c r="H257" s="246" t="s">
        <v>112</v>
      </c>
      <c r="I257" s="246" t="s">
        <v>332</v>
      </c>
      <c r="J257" s="248">
        <v>285.0</v>
      </c>
      <c r="K257" s="249">
        <v>3150000.0</v>
      </c>
      <c r="L257" s="249">
        <v>3150000.0</v>
      </c>
      <c r="M257" s="249">
        <v>3030120.0</v>
      </c>
      <c r="N257" s="249">
        <v>3030120.0</v>
      </c>
      <c r="O257" s="250">
        <f t="shared" ref="O257:P257" si="256">K257+M257</f>
        <v>6180120</v>
      </c>
      <c r="P257" s="250">
        <f t="shared" si="256"/>
        <v>6180120</v>
      </c>
    </row>
    <row r="258">
      <c r="A258" s="246" t="s">
        <v>205</v>
      </c>
      <c r="B258" s="246" t="s">
        <v>281</v>
      </c>
      <c r="C258" s="246" t="s">
        <v>92</v>
      </c>
      <c r="D258" s="246" t="s">
        <v>91</v>
      </c>
      <c r="E258" s="246" t="s">
        <v>100</v>
      </c>
      <c r="F258" s="247"/>
      <c r="G258" s="247"/>
      <c r="H258" s="247"/>
      <c r="I258" s="246" t="s">
        <v>263</v>
      </c>
      <c r="J258" s="248">
        <v>25.0</v>
      </c>
      <c r="K258" s="249">
        <v>1320000.0</v>
      </c>
      <c r="L258" s="249">
        <v>1320000.0</v>
      </c>
      <c r="M258" s="249">
        <v>265800.0</v>
      </c>
      <c r="N258" s="249">
        <v>265800.0</v>
      </c>
      <c r="O258" s="250">
        <f t="shared" ref="O258:P258" si="257">K258+M258</f>
        <v>1585800</v>
      </c>
      <c r="P258" s="250">
        <f t="shared" si="257"/>
        <v>1585800</v>
      </c>
    </row>
    <row r="259">
      <c r="A259" s="246" t="s">
        <v>205</v>
      </c>
      <c r="B259" s="246" t="s">
        <v>281</v>
      </c>
      <c r="C259" s="246" t="s">
        <v>92</v>
      </c>
      <c r="D259" s="246" t="s">
        <v>100</v>
      </c>
      <c r="E259" s="246" t="s">
        <v>86</v>
      </c>
      <c r="F259" s="247"/>
      <c r="G259" s="247"/>
      <c r="H259" s="246" t="s">
        <v>112</v>
      </c>
      <c r="I259" s="246" t="s">
        <v>333</v>
      </c>
      <c r="J259" s="248">
        <v>294.0</v>
      </c>
      <c r="K259" s="249">
        <v>3410000.0</v>
      </c>
      <c r="L259" s="249">
        <v>3410000.0</v>
      </c>
      <c r="M259" s="249">
        <v>3125808.0</v>
      </c>
      <c r="N259" s="249">
        <v>3125808.0</v>
      </c>
      <c r="O259" s="250">
        <f t="shared" ref="O259:P259" si="258">K259+M259</f>
        <v>6535808</v>
      </c>
      <c r="P259" s="250">
        <f t="shared" si="258"/>
        <v>6535808</v>
      </c>
    </row>
    <row r="260">
      <c r="A260" s="246" t="s">
        <v>205</v>
      </c>
      <c r="B260" s="246" t="s">
        <v>281</v>
      </c>
      <c r="C260" s="246" t="s">
        <v>92</v>
      </c>
      <c r="D260" s="246" t="s">
        <v>91</v>
      </c>
      <c r="E260" s="246" t="s">
        <v>101</v>
      </c>
      <c r="F260" s="247"/>
      <c r="G260" s="247"/>
      <c r="H260" s="247"/>
      <c r="I260" s="246" t="s">
        <v>267</v>
      </c>
      <c r="J260" s="248">
        <v>30.0</v>
      </c>
      <c r="K260" s="249">
        <v>1460000.0</v>
      </c>
      <c r="L260" s="249">
        <v>1460000.0</v>
      </c>
      <c r="M260" s="249">
        <v>318960.0</v>
      </c>
      <c r="N260" s="249">
        <v>318960.0</v>
      </c>
      <c r="O260" s="250">
        <f t="shared" ref="O260:P260" si="259">K260+M260</f>
        <v>1778960</v>
      </c>
      <c r="P260" s="250">
        <f t="shared" si="259"/>
        <v>1778960</v>
      </c>
    </row>
    <row r="261">
      <c r="A261" s="246" t="s">
        <v>205</v>
      </c>
      <c r="B261" s="246" t="s">
        <v>281</v>
      </c>
      <c r="C261" s="246" t="s">
        <v>92</v>
      </c>
      <c r="D261" s="246" t="s">
        <v>101</v>
      </c>
      <c r="E261" s="246" t="s">
        <v>84</v>
      </c>
      <c r="F261" s="247"/>
      <c r="G261" s="247"/>
      <c r="H261" s="246" t="s">
        <v>112</v>
      </c>
      <c r="I261" s="246" t="s">
        <v>334</v>
      </c>
      <c r="J261" s="248">
        <v>302.0</v>
      </c>
      <c r="K261" s="249">
        <v>3720000.0</v>
      </c>
      <c r="L261" s="249">
        <v>3720000.0</v>
      </c>
      <c r="M261" s="249">
        <v>3210864.0</v>
      </c>
      <c r="N261" s="249">
        <v>3210864.0</v>
      </c>
      <c r="O261" s="250">
        <f t="shared" ref="O261:P261" si="260">K261+M261</f>
        <v>6930864</v>
      </c>
      <c r="P261" s="250">
        <f t="shared" si="260"/>
        <v>6930864</v>
      </c>
    </row>
    <row r="262">
      <c r="A262" s="246" t="s">
        <v>205</v>
      </c>
      <c r="B262" s="246" t="s">
        <v>281</v>
      </c>
      <c r="C262" s="246" t="s">
        <v>92</v>
      </c>
      <c r="D262" s="246" t="s">
        <v>91</v>
      </c>
      <c r="E262" s="246" t="s">
        <v>101</v>
      </c>
      <c r="F262" s="247"/>
      <c r="G262" s="247"/>
      <c r="H262" s="247"/>
      <c r="I262" s="246" t="s">
        <v>267</v>
      </c>
      <c r="J262" s="248">
        <v>30.0</v>
      </c>
      <c r="K262" s="249">
        <v>1460000.0</v>
      </c>
      <c r="L262" s="249">
        <v>1460000.0</v>
      </c>
      <c r="M262" s="249">
        <v>318960.0</v>
      </c>
      <c r="N262" s="249">
        <v>318960.0</v>
      </c>
      <c r="O262" s="250">
        <f t="shared" ref="O262:P262" si="261">K262+M262</f>
        <v>1778960</v>
      </c>
      <c r="P262" s="250">
        <f t="shared" si="261"/>
        <v>1778960</v>
      </c>
    </row>
    <row r="263">
      <c r="A263" s="246" t="s">
        <v>205</v>
      </c>
      <c r="B263" s="246" t="s">
        <v>281</v>
      </c>
      <c r="C263" s="246" t="s">
        <v>92</v>
      </c>
      <c r="D263" s="246" t="s">
        <v>101</v>
      </c>
      <c r="E263" s="246" t="s">
        <v>85</v>
      </c>
      <c r="F263" s="247"/>
      <c r="G263" s="247"/>
      <c r="H263" s="246" t="s">
        <v>112</v>
      </c>
      <c r="I263" s="246" t="s">
        <v>335</v>
      </c>
      <c r="J263" s="248">
        <v>289.0</v>
      </c>
      <c r="K263" s="249">
        <v>3210000.0</v>
      </c>
      <c r="L263" s="249">
        <v>3210000.0</v>
      </c>
      <c r="M263" s="249">
        <v>3072648.0</v>
      </c>
      <c r="N263" s="249">
        <v>3072648.0</v>
      </c>
      <c r="O263" s="250">
        <f t="shared" ref="O263:P263" si="262">K263+M263</f>
        <v>6282648</v>
      </c>
      <c r="P263" s="250">
        <f t="shared" si="262"/>
        <v>6282648</v>
      </c>
    </row>
    <row r="264">
      <c r="A264" s="246" t="s">
        <v>205</v>
      </c>
      <c r="B264" s="246" t="s">
        <v>281</v>
      </c>
      <c r="C264" s="246" t="s">
        <v>92</v>
      </c>
      <c r="D264" s="246" t="s">
        <v>91</v>
      </c>
      <c r="E264" s="246" t="s">
        <v>101</v>
      </c>
      <c r="F264" s="247"/>
      <c r="G264" s="247"/>
      <c r="H264" s="247"/>
      <c r="I264" s="246" t="s">
        <v>267</v>
      </c>
      <c r="J264" s="248">
        <v>30.0</v>
      </c>
      <c r="K264" s="249">
        <v>1460000.0</v>
      </c>
      <c r="L264" s="249">
        <v>1460000.0</v>
      </c>
      <c r="M264" s="249">
        <v>318960.0</v>
      </c>
      <c r="N264" s="249">
        <v>318960.0</v>
      </c>
      <c r="O264" s="250">
        <f t="shared" ref="O264:P264" si="263">K264+M264</f>
        <v>1778960</v>
      </c>
      <c r="P264" s="250">
        <f t="shared" si="263"/>
        <v>1778960</v>
      </c>
    </row>
    <row r="265">
      <c r="A265" s="246" t="s">
        <v>205</v>
      </c>
      <c r="B265" s="246" t="s">
        <v>281</v>
      </c>
      <c r="C265" s="246" t="s">
        <v>92</v>
      </c>
      <c r="D265" s="246" t="s">
        <v>101</v>
      </c>
      <c r="E265" s="246" t="s">
        <v>86</v>
      </c>
      <c r="F265" s="247"/>
      <c r="G265" s="247"/>
      <c r="H265" s="246" t="s">
        <v>112</v>
      </c>
      <c r="I265" s="246" t="s">
        <v>336</v>
      </c>
      <c r="J265" s="248">
        <v>258.0</v>
      </c>
      <c r="K265" s="249">
        <v>2940000.0</v>
      </c>
      <c r="L265" s="249">
        <v>2940000.0</v>
      </c>
      <c r="M265" s="249">
        <v>2743056.0</v>
      </c>
      <c r="N265" s="249">
        <v>2743056.0</v>
      </c>
      <c r="O265" s="250">
        <f t="shared" ref="O265:P265" si="264">K265+M265</f>
        <v>5683056</v>
      </c>
      <c r="P265" s="250">
        <f t="shared" si="264"/>
        <v>5683056</v>
      </c>
    </row>
    <row r="266">
      <c r="A266" s="246" t="s">
        <v>205</v>
      </c>
      <c r="B266" s="246" t="s">
        <v>281</v>
      </c>
      <c r="C266" s="246" t="s">
        <v>102</v>
      </c>
      <c r="D266" s="246" t="s">
        <v>103</v>
      </c>
      <c r="E266" s="246" t="s">
        <v>84</v>
      </c>
      <c r="F266" s="247"/>
      <c r="G266" s="247"/>
      <c r="H266" s="246" t="s">
        <v>112</v>
      </c>
      <c r="I266" s="246" t="s">
        <v>337</v>
      </c>
      <c r="J266" s="248">
        <v>239.0</v>
      </c>
      <c r="K266" s="249">
        <v>2800000.0</v>
      </c>
      <c r="L266" s="249">
        <v>2800000.0</v>
      </c>
      <c r="M266" s="249">
        <v>2541048.0</v>
      </c>
      <c r="N266" s="249">
        <v>2541048.0</v>
      </c>
      <c r="O266" s="250">
        <f t="shared" ref="O266:P266" si="265">K266+M266</f>
        <v>5341048</v>
      </c>
      <c r="P266" s="250">
        <f t="shared" si="265"/>
        <v>5341048</v>
      </c>
    </row>
    <row r="267">
      <c r="A267" s="246" t="s">
        <v>205</v>
      </c>
      <c r="B267" s="246" t="s">
        <v>281</v>
      </c>
      <c r="C267" s="246" t="s">
        <v>102</v>
      </c>
      <c r="D267" s="246" t="s">
        <v>103</v>
      </c>
      <c r="E267" s="246" t="s">
        <v>85</v>
      </c>
      <c r="F267" s="247"/>
      <c r="G267" s="247"/>
      <c r="H267" s="246" t="s">
        <v>112</v>
      </c>
      <c r="I267" s="246" t="s">
        <v>338</v>
      </c>
      <c r="J267" s="248">
        <v>227.0</v>
      </c>
      <c r="K267" s="249">
        <v>2800000.0</v>
      </c>
      <c r="L267" s="249">
        <v>2800000.0</v>
      </c>
      <c r="M267" s="249">
        <v>2413464.0</v>
      </c>
      <c r="N267" s="249">
        <v>2413464.0</v>
      </c>
      <c r="O267" s="250">
        <f t="shared" ref="O267:P267" si="266">K267+M267</f>
        <v>5213464</v>
      </c>
      <c r="P267" s="250">
        <f t="shared" si="266"/>
        <v>5213464</v>
      </c>
    </row>
    <row r="268">
      <c r="A268" s="246" t="s">
        <v>205</v>
      </c>
      <c r="B268" s="246" t="s">
        <v>281</v>
      </c>
      <c r="C268" s="246" t="s">
        <v>102</v>
      </c>
      <c r="D268" s="246" t="s">
        <v>103</v>
      </c>
      <c r="E268" s="246" t="s">
        <v>86</v>
      </c>
      <c r="F268" s="247"/>
      <c r="G268" s="247"/>
      <c r="H268" s="246" t="s">
        <v>112</v>
      </c>
      <c r="I268" s="246" t="s">
        <v>339</v>
      </c>
      <c r="J268" s="248">
        <v>234.0</v>
      </c>
      <c r="K268" s="249">
        <v>2820000.0</v>
      </c>
      <c r="L268" s="249">
        <v>2820000.0</v>
      </c>
      <c r="M268" s="249">
        <v>2487888.0</v>
      </c>
      <c r="N268" s="249">
        <v>2487888.0</v>
      </c>
      <c r="O268" s="250">
        <f t="shared" ref="O268:P268" si="267">K268+M268</f>
        <v>5307888</v>
      </c>
      <c r="P268" s="250">
        <f t="shared" si="267"/>
        <v>5307888</v>
      </c>
    </row>
    <row r="269">
      <c r="A269" s="246" t="s">
        <v>205</v>
      </c>
      <c r="B269" s="246" t="s">
        <v>281</v>
      </c>
      <c r="C269" s="246" t="s">
        <v>102</v>
      </c>
      <c r="D269" s="246" t="s">
        <v>104</v>
      </c>
      <c r="E269" s="246" t="s">
        <v>84</v>
      </c>
      <c r="F269" s="247"/>
      <c r="G269" s="247"/>
      <c r="H269" s="246" t="s">
        <v>112</v>
      </c>
      <c r="I269" s="246" t="s">
        <v>340</v>
      </c>
      <c r="J269" s="248">
        <v>258.0</v>
      </c>
      <c r="K269" s="249">
        <v>3670000.0</v>
      </c>
      <c r="L269" s="249">
        <v>3670000.0</v>
      </c>
      <c r="M269" s="249">
        <v>2743056.0</v>
      </c>
      <c r="N269" s="249">
        <v>2743056.0</v>
      </c>
      <c r="O269" s="250">
        <f t="shared" ref="O269:P269" si="268">K269+M269</f>
        <v>6413056</v>
      </c>
      <c r="P269" s="250">
        <f t="shared" si="268"/>
        <v>6413056</v>
      </c>
    </row>
    <row r="270">
      <c r="A270" s="246" t="s">
        <v>205</v>
      </c>
      <c r="B270" s="246" t="s">
        <v>281</v>
      </c>
      <c r="C270" s="246" t="s">
        <v>102</v>
      </c>
      <c r="D270" s="246" t="s">
        <v>104</v>
      </c>
      <c r="E270" s="246" t="s">
        <v>85</v>
      </c>
      <c r="F270" s="247"/>
      <c r="G270" s="247"/>
      <c r="H270" s="246" t="s">
        <v>112</v>
      </c>
      <c r="I270" s="246" t="s">
        <v>341</v>
      </c>
      <c r="J270" s="248">
        <v>212.0</v>
      </c>
      <c r="K270" s="249">
        <v>3340000.0</v>
      </c>
      <c r="L270" s="249">
        <v>3340000.0</v>
      </c>
      <c r="M270" s="249">
        <v>2253984.0</v>
      </c>
      <c r="N270" s="249">
        <v>2253984.0</v>
      </c>
      <c r="O270" s="250">
        <f t="shared" ref="O270:P270" si="269">K270+M270</f>
        <v>5593984</v>
      </c>
      <c r="P270" s="250">
        <f t="shared" si="269"/>
        <v>5593984</v>
      </c>
    </row>
    <row r="271">
      <c r="A271" s="246" t="s">
        <v>205</v>
      </c>
      <c r="B271" s="246" t="s">
        <v>281</v>
      </c>
      <c r="C271" s="246" t="s">
        <v>102</v>
      </c>
      <c r="D271" s="246" t="s">
        <v>104</v>
      </c>
      <c r="E271" s="246" t="s">
        <v>86</v>
      </c>
      <c r="F271" s="247"/>
      <c r="G271" s="247"/>
      <c r="H271" s="246" t="s">
        <v>112</v>
      </c>
      <c r="I271" s="246" t="s">
        <v>342</v>
      </c>
      <c r="J271" s="248">
        <v>191.0</v>
      </c>
      <c r="K271" s="249">
        <v>3280000.0</v>
      </c>
      <c r="L271" s="249">
        <v>3280000.0</v>
      </c>
      <c r="M271" s="249">
        <v>2030712.0</v>
      </c>
      <c r="N271" s="249">
        <v>2030712.0</v>
      </c>
      <c r="O271" s="250">
        <f t="shared" ref="O271:P271" si="270">K271+M271</f>
        <v>5310712</v>
      </c>
      <c r="P271" s="250">
        <f t="shared" si="270"/>
        <v>5310712</v>
      </c>
    </row>
    <row r="272">
      <c r="A272" s="246" t="s">
        <v>205</v>
      </c>
      <c r="B272" s="246" t="s">
        <v>281</v>
      </c>
      <c r="C272" s="246" t="s">
        <v>102</v>
      </c>
      <c r="D272" s="246" t="s">
        <v>105</v>
      </c>
      <c r="E272" s="246" t="s">
        <v>84</v>
      </c>
      <c r="F272" s="247"/>
      <c r="G272" s="247"/>
      <c r="H272" s="246" t="s">
        <v>112</v>
      </c>
      <c r="I272" s="246" t="s">
        <v>343</v>
      </c>
      <c r="J272" s="248">
        <v>228.0</v>
      </c>
      <c r="K272" s="249">
        <v>2750000.0</v>
      </c>
      <c r="L272" s="249">
        <v>2750000.0</v>
      </c>
      <c r="M272" s="249">
        <v>2424096.0</v>
      </c>
      <c r="N272" s="249">
        <v>2424096.0</v>
      </c>
      <c r="O272" s="250">
        <f t="shared" ref="O272:P272" si="271">K272+M272</f>
        <v>5174096</v>
      </c>
      <c r="P272" s="250">
        <f t="shared" si="271"/>
        <v>5174096</v>
      </c>
    </row>
    <row r="273">
      <c r="A273" s="246" t="s">
        <v>205</v>
      </c>
      <c r="B273" s="246" t="s">
        <v>281</v>
      </c>
      <c r="C273" s="246" t="s">
        <v>102</v>
      </c>
      <c r="D273" s="246" t="s">
        <v>105</v>
      </c>
      <c r="E273" s="246" t="s">
        <v>85</v>
      </c>
      <c r="F273" s="247"/>
      <c r="G273" s="247"/>
      <c r="H273" s="246" t="s">
        <v>112</v>
      </c>
      <c r="I273" s="246" t="s">
        <v>344</v>
      </c>
      <c r="J273" s="248">
        <v>207.0</v>
      </c>
      <c r="K273" s="249">
        <v>2700000.0</v>
      </c>
      <c r="L273" s="249">
        <v>2700000.0</v>
      </c>
      <c r="M273" s="249">
        <v>2200824.0</v>
      </c>
      <c r="N273" s="249">
        <v>2200824.0</v>
      </c>
      <c r="O273" s="250">
        <f t="shared" ref="O273:P273" si="272">K273+M273</f>
        <v>4900824</v>
      </c>
      <c r="P273" s="250">
        <f t="shared" si="272"/>
        <v>4900824</v>
      </c>
    </row>
    <row r="274">
      <c r="A274" s="246" t="s">
        <v>205</v>
      </c>
      <c r="B274" s="246" t="s">
        <v>281</v>
      </c>
      <c r="C274" s="246" t="s">
        <v>102</v>
      </c>
      <c r="D274" s="246" t="s">
        <v>105</v>
      </c>
      <c r="E274" s="246" t="s">
        <v>86</v>
      </c>
      <c r="F274" s="247"/>
      <c r="G274" s="247"/>
      <c r="H274" s="246" t="s">
        <v>112</v>
      </c>
      <c r="I274" s="246" t="s">
        <v>345</v>
      </c>
      <c r="J274" s="248">
        <v>221.0</v>
      </c>
      <c r="K274" s="249">
        <v>2750000.0</v>
      </c>
      <c r="L274" s="249">
        <v>2750000.0</v>
      </c>
      <c r="M274" s="249">
        <v>2349672.0</v>
      </c>
      <c r="N274" s="249">
        <v>2349672.0</v>
      </c>
      <c r="O274" s="250">
        <f t="shared" ref="O274:P274" si="273">K274+M274</f>
        <v>5099672</v>
      </c>
      <c r="P274" s="250">
        <f t="shared" si="273"/>
        <v>5099672</v>
      </c>
    </row>
    <row r="275">
      <c r="A275" s="246" t="s">
        <v>280</v>
      </c>
      <c r="B275" s="246" t="s">
        <v>281</v>
      </c>
      <c r="C275" s="246" t="s">
        <v>89</v>
      </c>
      <c r="D275" s="246" t="s">
        <v>83</v>
      </c>
      <c r="E275" s="246" t="s">
        <v>84</v>
      </c>
      <c r="F275" s="247"/>
      <c r="G275" s="247"/>
      <c r="H275" s="246" t="s">
        <v>112</v>
      </c>
      <c r="I275" s="246" t="s">
        <v>282</v>
      </c>
      <c r="J275" s="248">
        <v>331.0</v>
      </c>
      <c r="K275" s="249">
        <v>3720000.0</v>
      </c>
      <c r="L275" s="249">
        <v>3720000.0</v>
      </c>
      <c r="M275" s="249">
        <v>3049966.0</v>
      </c>
      <c r="N275" s="249">
        <v>3049966.0</v>
      </c>
      <c r="O275" s="250">
        <f t="shared" ref="O275:P275" si="274">K275+M275</f>
        <v>6769966</v>
      </c>
      <c r="P275" s="250">
        <f t="shared" si="274"/>
        <v>6769966</v>
      </c>
    </row>
    <row r="276">
      <c r="A276" s="246" t="s">
        <v>280</v>
      </c>
      <c r="B276" s="246" t="s">
        <v>281</v>
      </c>
      <c r="C276" s="246" t="s">
        <v>89</v>
      </c>
      <c r="D276" s="246" t="s">
        <v>83</v>
      </c>
      <c r="E276" s="246" t="s">
        <v>85</v>
      </c>
      <c r="F276" s="247"/>
      <c r="G276" s="247"/>
      <c r="H276" s="246" t="s">
        <v>112</v>
      </c>
      <c r="I276" s="246" t="s">
        <v>283</v>
      </c>
      <c r="J276" s="248">
        <v>310.0</v>
      </c>
      <c r="K276" s="249">
        <v>3400000.0</v>
      </c>
      <c r="L276" s="249">
        <v>3400000.0</v>
      </c>
      <c r="M276" s="249">
        <v>2856464.0</v>
      </c>
      <c r="N276" s="249">
        <v>2856464.0</v>
      </c>
      <c r="O276" s="250">
        <f t="shared" ref="O276:P276" si="275">K276+M276</f>
        <v>6256464</v>
      </c>
      <c r="P276" s="250">
        <f t="shared" si="275"/>
        <v>6256464</v>
      </c>
    </row>
    <row r="277">
      <c r="A277" s="246" t="s">
        <v>280</v>
      </c>
      <c r="B277" s="246" t="s">
        <v>281</v>
      </c>
      <c r="C277" s="246" t="s">
        <v>89</v>
      </c>
      <c r="D277" s="246" t="s">
        <v>83</v>
      </c>
      <c r="E277" s="246" t="s">
        <v>86</v>
      </c>
      <c r="F277" s="247"/>
      <c r="G277" s="247"/>
      <c r="H277" s="246" t="s">
        <v>112</v>
      </c>
      <c r="I277" s="246" t="s">
        <v>284</v>
      </c>
      <c r="J277" s="248">
        <v>299.0</v>
      </c>
      <c r="K277" s="249">
        <v>3400000.0</v>
      </c>
      <c r="L277" s="249">
        <v>3400000.0</v>
      </c>
      <c r="M277" s="249">
        <v>2755106.0</v>
      </c>
      <c r="N277" s="249">
        <v>2755106.0</v>
      </c>
      <c r="O277" s="250">
        <f t="shared" ref="O277:P277" si="276">K277+M277</f>
        <v>6155106</v>
      </c>
      <c r="P277" s="250">
        <f t="shared" si="276"/>
        <v>6155106</v>
      </c>
    </row>
    <row r="278">
      <c r="A278" s="246" t="s">
        <v>280</v>
      </c>
      <c r="B278" s="246" t="s">
        <v>281</v>
      </c>
      <c r="C278" s="246" t="s">
        <v>89</v>
      </c>
      <c r="D278" s="246" t="s">
        <v>83</v>
      </c>
      <c r="E278" s="246" t="s">
        <v>84</v>
      </c>
      <c r="F278" s="246" t="s">
        <v>85</v>
      </c>
      <c r="G278" s="247"/>
      <c r="H278" s="246" t="s">
        <v>112</v>
      </c>
      <c r="I278" s="246" t="s">
        <v>285</v>
      </c>
      <c r="J278" s="248">
        <v>356.0</v>
      </c>
      <c r="K278" s="249">
        <v>4200000.0</v>
      </c>
      <c r="L278" s="249">
        <v>4200000.0</v>
      </c>
      <c r="M278" s="249">
        <v>3280326.0</v>
      </c>
      <c r="N278" s="249">
        <v>3280326.0</v>
      </c>
      <c r="O278" s="250">
        <f t="shared" ref="O278:P278" si="277">K278+M278</f>
        <v>7480326</v>
      </c>
      <c r="P278" s="250">
        <f t="shared" si="277"/>
        <v>7480326</v>
      </c>
    </row>
    <row r="279">
      <c r="A279" s="246" t="s">
        <v>280</v>
      </c>
      <c r="B279" s="246" t="s">
        <v>281</v>
      </c>
      <c r="C279" s="246" t="s">
        <v>89</v>
      </c>
      <c r="D279" s="246" t="s">
        <v>83</v>
      </c>
      <c r="E279" s="246" t="s">
        <v>84</v>
      </c>
      <c r="F279" s="246" t="s">
        <v>86</v>
      </c>
      <c r="G279" s="247"/>
      <c r="H279" s="246" t="s">
        <v>112</v>
      </c>
      <c r="I279" s="246" t="s">
        <v>286</v>
      </c>
      <c r="J279" s="248">
        <v>364.0</v>
      </c>
      <c r="K279" s="249">
        <v>4220000.0</v>
      </c>
      <c r="L279" s="249">
        <v>4220000.0</v>
      </c>
      <c r="M279" s="249">
        <v>3354042.0</v>
      </c>
      <c r="N279" s="249">
        <v>3354042.0</v>
      </c>
      <c r="O279" s="250">
        <f t="shared" ref="O279:P279" si="278">K279+M279</f>
        <v>7574042</v>
      </c>
      <c r="P279" s="250">
        <f t="shared" si="278"/>
        <v>7574042</v>
      </c>
    </row>
    <row r="280">
      <c r="A280" s="246" t="s">
        <v>280</v>
      </c>
      <c r="B280" s="246" t="s">
        <v>281</v>
      </c>
      <c r="C280" s="246" t="s">
        <v>89</v>
      </c>
      <c r="D280" s="246" t="s">
        <v>83</v>
      </c>
      <c r="E280" s="246" t="s">
        <v>85</v>
      </c>
      <c r="F280" s="246" t="s">
        <v>86</v>
      </c>
      <c r="G280" s="247"/>
      <c r="H280" s="246" t="s">
        <v>112</v>
      </c>
      <c r="I280" s="246" t="s">
        <v>287</v>
      </c>
      <c r="J280" s="248">
        <v>324.0</v>
      </c>
      <c r="K280" s="249">
        <v>3790000.0</v>
      </c>
      <c r="L280" s="249">
        <v>3790000.0</v>
      </c>
      <c r="M280" s="249">
        <v>2985466.0</v>
      </c>
      <c r="N280" s="249">
        <v>2985466.0</v>
      </c>
      <c r="O280" s="250">
        <f t="shared" ref="O280:P280" si="279">K280+M280</f>
        <v>6775466</v>
      </c>
      <c r="P280" s="250">
        <f t="shared" si="279"/>
        <v>6775466</v>
      </c>
    </row>
    <row r="281">
      <c r="A281" s="246" t="s">
        <v>280</v>
      </c>
      <c r="B281" s="246" t="s">
        <v>281</v>
      </c>
      <c r="C281" s="246" t="s">
        <v>89</v>
      </c>
      <c r="D281" s="246" t="s">
        <v>83</v>
      </c>
      <c r="E281" s="246" t="s">
        <v>84</v>
      </c>
      <c r="F281" s="246" t="s">
        <v>85</v>
      </c>
      <c r="G281" s="246" t="s">
        <v>86</v>
      </c>
      <c r="H281" s="246" t="s">
        <v>112</v>
      </c>
      <c r="I281" s="246" t="s">
        <v>288</v>
      </c>
      <c r="J281" s="248">
        <v>410.0</v>
      </c>
      <c r="K281" s="249">
        <v>4520000.0</v>
      </c>
      <c r="L281" s="249">
        <v>4520000.0</v>
      </c>
      <c r="M281" s="249">
        <v>3777904.0</v>
      </c>
      <c r="N281" s="249">
        <v>3777904.0</v>
      </c>
      <c r="O281" s="250">
        <f t="shared" ref="O281:P281" si="280">K281+M281</f>
        <v>8297904</v>
      </c>
      <c r="P281" s="250">
        <f t="shared" si="280"/>
        <v>8297904</v>
      </c>
    </row>
    <row r="282">
      <c r="A282" s="246" t="s">
        <v>280</v>
      </c>
      <c r="B282" s="246" t="s">
        <v>281</v>
      </c>
      <c r="C282" s="246" t="s">
        <v>89</v>
      </c>
      <c r="D282" s="246" t="s">
        <v>83</v>
      </c>
      <c r="E282" s="246" t="s">
        <v>87</v>
      </c>
      <c r="F282" s="247"/>
      <c r="G282" s="247"/>
      <c r="H282" s="246" t="s">
        <v>112</v>
      </c>
      <c r="I282" s="246" t="s">
        <v>289</v>
      </c>
      <c r="J282" s="248">
        <v>239.0</v>
      </c>
      <c r="K282" s="249">
        <v>3120000.0</v>
      </c>
      <c r="L282" s="249">
        <v>3120000.0</v>
      </c>
      <c r="M282" s="249">
        <v>2202242.0</v>
      </c>
      <c r="N282" s="249">
        <v>2202242.0</v>
      </c>
      <c r="O282" s="250">
        <f t="shared" ref="O282:P282" si="281">K282+M282</f>
        <v>5322242</v>
      </c>
      <c r="P282" s="250">
        <f t="shared" si="281"/>
        <v>5322242</v>
      </c>
    </row>
    <row r="283">
      <c r="A283" s="246" t="s">
        <v>280</v>
      </c>
      <c r="B283" s="246" t="s">
        <v>281</v>
      </c>
      <c r="C283" s="246" t="s">
        <v>89</v>
      </c>
      <c r="D283" s="246" t="s">
        <v>83</v>
      </c>
      <c r="E283" s="246" t="s">
        <v>87</v>
      </c>
      <c r="F283" s="246" t="s">
        <v>84</v>
      </c>
      <c r="G283" s="247"/>
      <c r="H283" s="246" t="s">
        <v>112</v>
      </c>
      <c r="I283" s="246" t="s">
        <v>290</v>
      </c>
      <c r="J283" s="248">
        <v>332.0</v>
      </c>
      <c r="K283" s="249">
        <v>3870000.0</v>
      </c>
      <c r="L283" s="249">
        <v>3870000.0</v>
      </c>
      <c r="M283" s="249">
        <v>3059181.0</v>
      </c>
      <c r="N283" s="249">
        <v>3059181.0</v>
      </c>
      <c r="O283" s="250">
        <f t="shared" ref="O283:P283" si="282">K283+M283</f>
        <v>6929181</v>
      </c>
      <c r="P283" s="250">
        <f t="shared" si="282"/>
        <v>6929181</v>
      </c>
    </row>
    <row r="284">
      <c r="A284" s="246" t="s">
        <v>280</v>
      </c>
      <c r="B284" s="246" t="s">
        <v>281</v>
      </c>
      <c r="C284" s="246" t="s">
        <v>89</v>
      </c>
      <c r="D284" s="246" t="s">
        <v>83</v>
      </c>
      <c r="E284" s="246" t="s">
        <v>87</v>
      </c>
      <c r="F284" s="246" t="s">
        <v>85</v>
      </c>
      <c r="G284" s="247"/>
      <c r="H284" s="246" t="s">
        <v>112</v>
      </c>
      <c r="I284" s="246" t="s">
        <v>291</v>
      </c>
      <c r="J284" s="248">
        <v>320.0</v>
      </c>
      <c r="K284" s="249">
        <v>3830000.0</v>
      </c>
      <c r="L284" s="249">
        <v>3830000.0</v>
      </c>
      <c r="M284" s="249">
        <v>2948608.0</v>
      </c>
      <c r="N284" s="249">
        <v>2948608.0</v>
      </c>
      <c r="O284" s="250">
        <f t="shared" ref="O284:P284" si="283">K284+M284</f>
        <v>6778608</v>
      </c>
      <c r="P284" s="250">
        <f t="shared" si="283"/>
        <v>6778608</v>
      </c>
    </row>
    <row r="285">
      <c r="A285" s="246" t="s">
        <v>280</v>
      </c>
      <c r="B285" s="246" t="s">
        <v>281</v>
      </c>
      <c r="C285" s="246" t="s">
        <v>89</v>
      </c>
      <c r="D285" s="246" t="s">
        <v>83</v>
      </c>
      <c r="E285" s="246" t="s">
        <v>88</v>
      </c>
      <c r="F285" s="247"/>
      <c r="G285" s="247"/>
      <c r="H285" s="246" t="s">
        <v>112</v>
      </c>
      <c r="I285" s="246" t="s">
        <v>292</v>
      </c>
      <c r="J285" s="248">
        <v>290.0</v>
      </c>
      <c r="K285" s="249">
        <v>3470000.0</v>
      </c>
      <c r="L285" s="249">
        <v>3470000.0</v>
      </c>
      <c r="M285" s="249">
        <v>2672176.0</v>
      </c>
      <c r="N285" s="249">
        <v>2672176.0</v>
      </c>
      <c r="O285" s="250">
        <f t="shared" ref="O285:P285" si="284">K285+M285</f>
        <v>6142176</v>
      </c>
      <c r="P285" s="250">
        <f t="shared" si="284"/>
        <v>6142176</v>
      </c>
    </row>
    <row r="286">
      <c r="A286" s="246" t="s">
        <v>280</v>
      </c>
      <c r="B286" s="246" t="s">
        <v>281</v>
      </c>
      <c r="C286" s="246" t="s">
        <v>89</v>
      </c>
      <c r="D286" s="246" t="s">
        <v>83</v>
      </c>
      <c r="E286" s="246" t="s">
        <v>88</v>
      </c>
      <c r="F286" s="246" t="s">
        <v>85</v>
      </c>
      <c r="G286" s="247"/>
      <c r="H286" s="246" t="s">
        <v>112</v>
      </c>
      <c r="I286" s="246" t="s">
        <v>293</v>
      </c>
      <c r="J286" s="248">
        <v>310.0</v>
      </c>
      <c r="K286" s="249">
        <v>3800000.0</v>
      </c>
      <c r="L286" s="249">
        <v>3800000.0</v>
      </c>
      <c r="M286" s="249">
        <v>2856464.0</v>
      </c>
      <c r="N286" s="249">
        <v>2856464.0</v>
      </c>
      <c r="O286" s="250">
        <f t="shared" ref="O286:P286" si="285">K286+M286</f>
        <v>6656464</v>
      </c>
      <c r="P286" s="250">
        <f t="shared" si="285"/>
        <v>6656464</v>
      </c>
    </row>
    <row r="287">
      <c r="A287" s="246" t="s">
        <v>280</v>
      </c>
      <c r="B287" s="246" t="s">
        <v>281</v>
      </c>
      <c r="C287" s="246" t="s">
        <v>89</v>
      </c>
      <c r="D287" s="246" t="s">
        <v>83</v>
      </c>
      <c r="E287" s="246" t="s">
        <v>88</v>
      </c>
      <c r="F287" s="246" t="s">
        <v>86</v>
      </c>
      <c r="G287" s="247"/>
      <c r="H287" s="246" t="s">
        <v>112</v>
      </c>
      <c r="I287" s="246" t="s">
        <v>294</v>
      </c>
      <c r="J287" s="248">
        <v>312.0</v>
      </c>
      <c r="K287" s="249">
        <v>3810000.0</v>
      </c>
      <c r="L287" s="249">
        <v>3810000.0</v>
      </c>
      <c r="M287" s="249">
        <v>2874893.0</v>
      </c>
      <c r="N287" s="249">
        <v>2874893.0</v>
      </c>
      <c r="O287" s="250">
        <f t="shared" ref="O287:P287" si="286">K287+M287</f>
        <v>6684893</v>
      </c>
      <c r="P287" s="250">
        <f t="shared" si="286"/>
        <v>6684893</v>
      </c>
    </row>
    <row r="288">
      <c r="A288" s="246" t="s">
        <v>280</v>
      </c>
      <c r="B288" s="246" t="s">
        <v>281</v>
      </c>
      <c r="C288" s="246" t="s">
        <v>89</v>
      </c>
      <c r="D288" s="246" t="s">
        <v>83</v>
      </c>
      <c r="E288" s="246" t="s">
        <v>88</v>
      </c>
      <c r="F288" s="246" t="s">
        <v>85</v>
      </c>
      <c r="G288" s="246" t="s">
        <v>86</v>
      </c>
      <c r="H288" s="246" t="s">
        <v>112</v>
      </c>
      <c r="I288" s="246" t="s">
        <v>295</v>
      </c>
      <c r="J288" s="248">
        <v>332.0</v>
      </c>
      <c r="K288" s="249">
        <v>4020000.0</v>
      </c>
      <c r="L288" s="249">
        <v>4020000.0</v>
      </c>
      <c r="M288" s="249">
        <v>3059181.0</v>
      </c>
      <c r="N288" s="249">
        <v>3059181.0</v>
      </c>
      <c r="O288" s="250">
        <f t="shared" ref="O288:P288" si="287">K288+M288</f>
        <v>7079181</v>
      </c>
      <c r="P288" s="250">
        <f t="shared" si="287"/>
        <v>7079181</v>
      </c>
    </row>
    <row r="289">
      <c r="A289" s="246" t="s">
        <v>280</v>
      </c>
      <c r="B289" s="246" t="s">
        <v>281</v>
      </c>
      <c r="C289" s="246" t="s">
        <v>89</v>
      </c>
      <c r="D289" s="246" t="s">
        <v>90</v>
      </c>
      <c r="E289" s="246" t="s">
        <v>84</v>
      </c>
      <c r="F289" s="247"/>
      <c r="G289" s="247"/>
      <c r="H289" s="246" t="s">
        <v>112</v>
      </c>
      <c r="I289" s="246" t="s">
        <v>296</v>
      </c>
      <c r="J289" s="248">
        <v>331.0</v>
      </c>
      <c r="K289" s="249">
        <v>3720000.0</v>
      </c>
      <c r="L289" s="249">
        <v>3720000.0</v>
      </c>
      <c r="M289" s="249">
        <v>3049966.0</v>
      </c>
      <c r="N289" s="249">
        <v>3049966.0</v>
      </c>
      <c r="O289" s="250">
        <f t="shared" ref="O289:P289" si="288">K289+M289</f>
        <v>6769966</v>
      </c>
      <c r="P289" s="250">
        <f t="shared" si="288"/>
        <v>6769966</v>
      </c>
    </row>
    <row r="290">
      <c r="A290" s="246" t="s">
        <v>280</v>
      </c>
      <c r="B290" s="246" t="s">
        <v>281</v>
      </c>
      <c r="C290" s="246" t="s">
        <v>89</v>
      </c>
      <c r="D290" s="246" t="s">
        <v>90</v>
      </c>
      <c r="E290" s="246" t="s">
        <v>85</v>
      </c>
      <c r="F290" s="247"/>
      <c r="G290" s="247"/>
      <c r="H290" s="246" t="s">
        <v>112</v>
      </c>
      <c r="I290" s="246" t="s">
        <v>297</v>
      </c>
      <c r="J290" s="248">
        <v>310.0</v>
      </c>
      <c r="K290" s="249">
        <v>3450000.0</v>
      </c>
      <c r="L290" s="249">
        <v>3450000.0</v>
      </c>
      <c r="M290" s="249">
        <v>2856464.0</v>
      </c>
      <c r="N290" s="249">
        <v>2856464.0</v>
      </c>
      <c r="O290" s="250">
        <f t="shared" ref="O290:P290" si="289">K290+M290</f>
        <v>6306464</v>
      </c>
      <c r="P290" s="250">
        <f t="shared" si="289"/>
        <v>6306464</v>
      </c>
    </row>
    <row r="291">
      <c r="A291" s="246" t="s">
        <v>280</v>
      </c>
      <c r="B291" s="246" t="s">
        <v>281</v>
      </c>
      <c r="C291" s="246" t="s">
        <v>89</v>
      </c>
      <c r="D291" s="246" t="s">
        <v>90</v>
      </c>
      <c r="E291" s="246" t="s">
        <v>86</v>
      </c>
      <c r="F291" s="247"/>
      <c r="G291" s="247"/>
      <c r="H291" s="246" t="s">
        <v>112</v>
      </c>
      <c r="I291" s="246" t="s">
        <v>298</v>
      </c>
      <c r="J291" s="248">
        <v>299.0</v>
      </c>
      <c r="K291" s="249">
        <v>3410000.0</v>
      </c>
      <c r="L291" s="249">
        <v>3410000.0</v>
      </c>
      <c r="M291" s="249">
        <v>2755106.0</v>
      </c>
      <c r="N291" s="249">
        <v>2755106.0</v>
      </c>
      <c r="O291" s="250">
        <f t="shared" ref="O291:P291" si="290">K291+M291</f>
        <v>6165106</v>
      </c>
      <c r="P291" s="250">
        <f t="shared" si="290"/>
        <v>6165106</v>
      </c>
    </row>
    <row r="292">
      <c r="A292" s="246" t="s">
        <v>280</v>
      </c>
      <c r="B292" s="246" t="s">
        <v>281</v>
      </c>
      <c r="C292" s="246" t="s">
        <v>89</v>
      </c>
      <c r="D292" s="246" t="s">
        <v>90</v>
      </c>
      <c r="E292" s="246" t="s">
        <v>84</v>
      </c>
      <c r="F292" s="246" t="s">
        <v>85</v>
      </c>
      <c r="G292" s="247"/>
      <c r="H292" s="246" t="s">
        <v>112</v>
      </c>
      <c r="I292" s="246" t="s">
        <v>299</v>
      </c>
      <c r="J292" s="248">
        <v>356.0</v>
      </c>
      <c r="K292" s="249">
        <v>4200000.0</v>
      </c>
      <c r="L292" s="249">
        <v>4200000.0</v>
      </c>
      <c r="M292" s="249">
        <v>3280326.0</v>
      </c>
      <c r="N292" s="249">
        <v>3280326.0</v>
      </c>
      <c r="O292" s="250">
        <f t="shared" ref="O292:P292" si="291">K292+M292</f>
        <v>7480326</v>
      </c>
      <c r="P292" s="250">
        <f t="shared" si="291"/>
        <v>7480326</v>
      </c>
    </row>
    <row r="293">
      <c r="A293" s="246" t="s">
        <v>280</v>
      </c>
      <c r="B293" s="246" t="s">
        <v>281</v>
      </c>
      <c r="C293" s="246" t="s">
        <v>89</v>
      </c>
      <c r="D293" s="246" t="s">
        <v>90</v>
      </c>
      <c r="E293" s="246" t="s">
        <v>84</v>
      </c>
      <c r="F293" s="246" t="s">
        <v>86</v>
      </c>
      <c r="G293" s="247"/>
      <c r="H293" s="246" t="s">
        <v>112</v>
      </c>
      <c r="I293" s="246" t="s">
        <v>300</v>
      </c>
      <c r="J293" s="248">
        <v>364.0</v>
      </c>
      <c r="K293" s="249">
        <v>4220000.0</v>
      </c>
      <c r="L293" s="249">
        <v>4220000.0</v>
      </c>
      <c r="M293" s="249">
        <v>3354042.0</v>
      </c>
      <c r="N293" s="249">
        <v>3354042.0</v>
      </c>
      <c r="O293" s="250">
        <f t="shared" ref="O293:P293" si="292">K293+M293</f>
        <v>7574042</v>
      </c>
      <c r="P293" s="250">
        <f t="shared" si="292"/>
        <v>7574042</v>
      </c>
    </row>
    <row r="294">
      <c r="A294" s="246" t="s">
        <v>280</v>
      </c>
      <c r="B294" s="246" t="s">
        <v>281</v>
      </c>
      <c r="C294" s="246" t="s">
        <v>89</v>
      </c>
      <c r="D294" s="246" t="s">
        <v>90</v>
      </c>
      <c r="E294" s="246" t="s">
        <v>85</v>
      </c>
      <c r="F294" s="246" t="s">
        <v>86</v>
      </c>
      <c r="G294" s="247"/>
      <c r="H294" s="246" t="s">
        <v>112</v>
      </c>
      <c r="I294" s="246" t="s">
        <v>301</v>
      </c>
      <c r="J294" s="248">
        <v>324.0</v>
      </c>
      <c r="K294" s="249">
        <v>3790000.0</v>
      </c>
      <c r="L294" s="249">
        <v>3790000.0</v>
      </c>
      <c r="M294" s="249">
        <v>2985466.0</v>
      </c>
      <c r="N294" s="249">
        <v>2985466.0</v>
      </c>
      <c r="O294" s="250">
        <f t="shared" ref="O294:P294" si="293">K294+M294</f>
        <v>6775466</v>
      </c>
      <c r="P294" s="250">
        <f t="shared" si="293"/>
        <v>6775466</v>
      </c>
    </row>
    <row r="295">
      <c r="A295" s="246" t="s">
        <v>280</v>
      </c>
      <c r="B295" s="246" t="s">
        <v>281</v>
      </c>
      <c r="C295" s="246" t="s">
        <v>89</v>
      </c>
      <c r="D295" s="246" t="s">
        <v>90</v>
      </c>
      <c r="E295" s="246" t="s">
        <v>84</v>
      </c>
      <c r="F295" s="246" t="s">
        <v>85</v>
      </c>
      <c r="G295" s="246" t="s">
        <v>86</v>
      </c>
      <c r="H295" s="246" t="s">
        <v>112</v>
      </c>
      <c r="I295" s="246" t="s">
        <v>302</v>
      </c>
      <c r="J295" s="248">
        <v>410.0</v>
      </c>
      <c r="K295" s="249">
        <v>4520000.0</v>
      </c>
      <c r="L295" s="249">
        <v>4520000.0</v>
      </c>
      <c r="M295" s="249">
        <v>3777904.0</v>
      </c>
      <c r="N295" s="249">
        <v>3777904.0</v>
      </c>
      <c r="O295" s="250">
        <f t="shared" ref="O295:P295" si="294">K295+M295</f>
        <v>8297904</v>
      </c>
      <c r="P295" s="250">
        <f t="shared" si="294"/>
        <v>8297904</v>
      </c>
    </row>
    <row r="296">
      <c r="A296" s="246" t="s">
        <v>280</v>
      </c>
      <c r="B296" s="246" t="s">
        <v>281</v>
      </c>
      <c r="C296" s="246" t="s">
        <v>89</v>
      </c>
      <c r="D296" s="246" t="s">
        <v>91</v>
      </c>
      <c r="E296" s="246" t="s">
        <v>84</v>
      </c>
      <c r="F296" s="247"/>
      <c r="G296" s="247"/>
      <c r="H296" s="246" t="s">
        <v>112</v>
      </c>
      <c r="I296" s="246" t="s">
        <v>303</v>
      </c>
      <c r="J296" s="248">
        <v>331.0</v>
      </c>
      <c r="K296" s="249">
        <v>3720000.0</v>
      </c>
      <c r="L296" s="249">
        <v>3720000.0</v>
      </c>
      <c r="M296" s="249">
        <v>3049966.0</v>
      </c>
      <c r="N296" s="249">
        <v>3049966.0</v>
      </c>
      <c r="O296" s="250">
        <f t="shared" ref="O296:P296" si="295">K296+M296</f>
        <v>6769966</v>
      </c>
      <c r="P296" s="250">
        <f t="shared" si="295"/>
        <v>6769966</v>
      </c>
    </row>
    <row r="297">
      <c r="A297" s="246" t="s">
        <v>280</v>
      </c>
      <c r="B297" s="246" t="s">
        <v>281</v>
      </c>
      <c r="C297" s="246" t="s">
        <v>89</v>
      </c>
      <c r="D297" s="246" t="s">
        <v>91</v>
      </c>
      <c r="E297" s="246" t="s">
        <v>85</v>
      </c>
      <c r="F297" s="247"/>
      <c r="G297" s="247"/>
      <c r="H297" s="246" t="s">
        <v>112</v>
      </c>
      <c r="I297" s="246" t="s">
        <v>304</v>
      </c>
      <c r="J297" s="248">
        <v>310.0</v>
      </c>
      <c r="K297" s="249">
        <v>3450000.0</v>
      </c>
      <c r="L297" s="249">
        <v>3450000.0</v>
      </c>
      <c r="M297" s="249">
        <v>2856464.0</v>
      </c>
      <c r="N297" s="249">
        <v>2856464.0</v>
      </c>
      <c r="O297" s="250">
        <f t="shared" ref="O297:P297" si="296">K297+M297</f>
        <v>6306464</v>
      </c>
      <c r="P297" s="250">
        <f t="shared" si="296"/>
        <v>6306464</v>
      </c>
    </row>
    <row r="298">
      <c r="A298" s="246" t="s">
        <v>280</v>
      </c>
      <c r="B298" s="246" t="s">
        <v>281</v>
      </c>
      <c r="C298" s="246" t="s">
        <v>89</v>
      </c>
      <c r="D298" s="246" t="s">
        <v>91</v>
      </c>
      <c r="E298" s="246" t="s">
        <v>86</v>
      </c>
      <c r="F298" s="247"/>
      <c r="G298" s="247"/>
      <c r="H298" s="246" t="s">
        <v>112</v>
      </c>
      <c r="I298" s="246" t="s">
        <v>305</v>
      </c>
      <c r="J298" s="248">
        <v>299.0</v>
      </c>
      <c r="K298" s="249">
        <v>3410000.0</v>
      </c>
      <c r="L298" s="249">
        <v>3410000.0</v>
      </c>
      <c r="M298" s="249">
        <v>2755106.0</v>
      </c>
      <c r="N298" s="249">
        <v>2755106.0</v>
      </c>
      <c r="O298" s="250">
        <f t="shared" ref="O298:P298" si="297">K298+M298</f>
        <v>6165106</v>
      </c>
      <c r="P298" s="250">
        <f t="shared" si="297"/>
        <v>6165106</v>
      </c>
    </row>
    <row r="299">
      <c r="A299" s="246" t="s">
        <v>280</v>
      </c>
      <c r="B299" s="246" t="s">
        <v>281</v>
      </c>
      <c r="C299" s="246" t="s">
        <v>89</v>
      </c>
      <c r="D299" s="246" t="s">
        <v>91</v>
      </c>
      <c r="E299" s="246" t="s">
        <v>84</v>
      </c>
      <c r="F299" s="246" t="s">
        <v>85</v>
      </c>
      <c r="G299" s="247"/>
      <c r="H299" s="246" t="s">
        <v>112</v>
      </c>
      <c r="I299" s="246" t="s">
        <v>306</v>
      </c>
      <c r="J299" s="248">
        <v>356.0</v>
      </c>
      <c r="K299" s="249">
        <v>4200000.0</v>
      </c>
      <c r="L299" s="249">
        <v>4200000.0</v>
      </c>
      <c r="M299" s="249">
        <v>3280326.0</v>
      </c>
      <c r="N299" s="249">
        <v>3280326.0</v>
      </c>
      <c r="O299" s="250">
        <f t="shared" ref="O299:P299" si="298">K299+M299</f>
        <v>7480326</v>
      </c>
      <c r="P299" s="250">
        <f t="shared" si="298"/>
        <v>7480326</v>
      </c>
    </row>
    <row r="300">
      <c r="A300" s="246" t="s">
        <v>280</v>
      </c>
      <c r="B300" s="246" t="s">
        <v>281</v>
      </c>
      <c r="C300" s="246" t="s">
        <v>89</v>
      </c>
      <c r="D300" s="246" t="s">
        <v>91</v>
      </c>
      <c r="E300" s="246" t="s">
        <v>84</v>
      </c>
      <c r="F300" s="246" t="s">
        <v>86</v>
      </c>
      <c r="G300" s="247"/>
      <c r="H300" s="246" t="s">
        <v>112</v>
      </c>
      <c r="I300" s="246" t="s">
        <v>307</v>
      </c>
      <c r="J300" s="248">
        <v>364.0</v>
      </c>
      <c r="K300" s="249">
        <v>4220000.0</v>
      </c>
      <c r="L300" s="249">
        <v>4220000.0</v>
      </c>
      <c r="M300" s="249">
        <v>3354042.0</v>
      </c>
      <c r="N300" s="249">
        <v>3354042.0</v>
      </c>
      <c r="O300" s="250">
        <f t="shared" ref="O300:P300" si="299">K300+M300</f>
        <v>7574042</v>
      </c>
      <c r="P300" s="250">
        <f t="shared" si="299"/>
        <v>7574042</v>
      </c>
    </row>
    <row r="301">
      <c r="A301" s="246" t="s">
        <v>280</v>
      </c>
      <c r="B301" s="246" t="s">
        <v>281</v>
      </c>
      <c r="C301" s="246" t="s">
        <v>89</v>
      </c>
      <c r="D301" s="246" t="s">
        <v>91</v>
      </c>
      <c r="E301" s="246" t="s">
        <v>85</v>
      </c>
      <c r="F301" s="246" t="s">
        <v>86</v>
      </c>
      <c r="G301" s="247"/>
      <c r="H301" s="246" t="s">
        <v>112</v>
      </c>
      <c r="I301" s="246" t="s">
        <v>308</v>
      </c>
      <c r="J301" s="248">
        <v>324.0</v>
      </c>
      <c r="K301" s="249">
        <v>3790000.0</v>
      </c>
      <c r="L301" s="249">
        <v>3790000.0</v>
      </c>
      <c r="M301" s="249">
        <v>2985466.0</v>
      </c>
      <c r="N301" s="249">
        <v>2985466.0</v>
      </c>
      <c r="O301" s="250">
        <f t="shared" ref="O301:P301" si="300">K301+M301</f>
        <v>6775466</v>
      </c>
      <c r="P301" s="250">
        <f t="shared" si="300"/>
        <v>6775466</v>
      </c>
    </row>
    <row r="302">
      <c r="A302" s="246" t="s">
        <v>280</v>
      </c>
      <c r="B302" s="246" t="s">
        <v>281</v>
      </c>
      <c r="C302" s="246" t="s">
        <v>89</v>
      </c>
      <c r="D302" s="246" t="s">
        <v>91</v>
      </c>
      <c r="E302" s="246" t="s">
        <v>84</v>
      </c>
      <c r="F302" s="246" t="s">
        <v>85</v>
      </c>
      <c r="G302" s="246" t="s">
        <v>86</v>
      </c>
      <c r="H302" s="246" t="s">
        <v>112</v>
      </c>
      <c r="I302" s="246" t="s">
        <v>309</v>
      </c>
      <c r="J302" s="248">
        <v>410.0</v>
      </c>
      <c r="K302" s="249">
        <v>4520000.0</v>
      </c>
      <c r="L302" s="249">
        <v>4520000.0</v>
      </c>
      <c r="M302" s="249">
        <v>3777904.0</v>
      </c>
      <c r="N302" s="249">
        <v>3777904.0</v>
      </c>
      <c r="O302" s="250">
        <f t="shared" ref="O302:P302" si="301">K302+M302</f>
        <v>8297904</v>
      </c>
      <c r="P302" s="250">
        <f t="shared" si="301"/>
        <v>8297904</v>
      </c>
    </row>
    <row r="303">
      <c r="A303" s="246" t="s">
        <v>280</v>
      </c>
      <c r="B303" s="246" t="s">
        <v>281</v>
      </c>
      <c r="C303" s="246" t="s">
        <v>92</v>
      </c>
      <c r="D303" s="246" t="s">
        <v>83</v>
      </c>
      <c r="E303" s="246" t="s">
        <v>93</v>
      </c>
      <c r="F303" s="247"/>
      <c r="G303" s="247"/>
      <c r="H303" s="247"/>
      <c r="I303" s="246" t="s">
        <v>235</v>
      </c>
      <c r="J303" s="248">
        <v>144.0</v>
      </c>
      <c r="K303" s="249">
        <v>2650000.0</v>
      </c>
      <c r="L303" s="249">
        <v>2650000.0</v>
      </c>
      <c r="M303" s="249">
        <v>1531008.0</v>
      </c>
      <c r="N303" s="249">
        <v>1531008.0</v>
      </c>
      <c r="O303" s="250">
        <f t="shared" ref="O303:P303" si="302">K303+M303</f>
        <v>4181008</v>
      </c>
      <c r="P303" s="250">
        <f t="shared" si="302"/>
        <v>4181008</v>
      </c>
    </row>
    <row r="304">
      <c r="A304" s="246" t="s">
        <v>280</v>
      </c>
      <c r="B304" s="246" t="s">
        <v>281</v>
      </c>
      <c r="C304" s="246" t="s">
        <v>92</v>
      </c>
      <c r="D304" s="246" t="s">
        <v>93</v>
      </c>
      <c r="E304" s="246" t="s">
        <v>84</v>
      </c>
      <c r="F304" s="247"/>
      <c r="G304" s="247"/>
      <c r="H304" s="246" t="s">
        <v>112</v>
      </c>
      <c r="I304" s="246" t="s">
        <v>310</v>
      </c>
      <c r="J304" s="248">
        <v>188.0</v>
      </c>
      <c r="K304" s="249">
        <v>2700000.0</v>
      </c>
      <c r="L304" s="249">
        <v>2700000.0</v>
      </c>
      <c r="M304" s="249">
        <v>1998816.0</v>
      </c>
      <c r="N304" s="249">
        <v>1998816.0</v>
      </c>
      <c r="O304" s="250">
        <f t="shared" ref="O304:P304" si="303">K304+M304</f>
        <v>4698816</v>
      </c>
      <c r="P304" s="250">
        <f t="shared" si="303"/>
        <v>4698816</v>
      </c>
    </row>
    <row r="305">
      <c r="A305" s="246" t="s">
        <v>280</v>
      </c>
      <c r="B305" s="246" t="s">
        <v>281</v>
      </c>
      <c r="C305" s="246" t="s">
        <v>92</v>
      </c>
      <c r="D305" s="246" t="s">
        <v>83</v>
      </c>
      <c r="E305" s="246" t="s">
        <v>93</v>
      </c>
      <c r="F305" s="247"/>
      <c r="G305" s="247"/>
      <c r="H305" s="247"/>
      <c r="I305" s="246" t="s">
        <v>235</v>
      </c>
      <c r="J305" s="248">
        <v>144.0</v>
      </c>
      <c r="K305" s="249">
        <v>2650000.0</v>
      </c>
      <c r="L305" s="249">
        <v>2650000.0</v>
      </c>
      <c r="M305" s="249">
        <v>1531008.0</v>
      </c>
      <c r="N305" s="249">
        <v>1531008.0</v>
      </c>
      <c r="O305" s="250">
        <f t="shared" ref="O305:P305" si="304">K305+M305</f>
        <v>4181008</v>
      </c>
      <c r="P305" s="250">
        <f t="shared" si="304"/>
        <v>4181008</v>
      </c>
    </row>
    <row r="306">
      <c r="A306" s="246" t="s">
        <v>280</v>
      </c>
      <c r="B306" s="246" t="s">
        <v>281</v>
      </c>
      <c r="C306" s="246" t="s">
        <v>92</v>
      </c>
      <c r="D306" s="246" t="s">
        <v>93</v>
      </c>
      <c r="E306" s="246" t="s">
        <v>85</v>
      </c>
      <c r="F306" s="247"/>
      <c r="G306" s="247"/>
      <c r="H306" s="246" t="s">
        <v>112</v>
      </c>
      <c r="I306" s="246" t="s">
        <v>311</v>
      </c>
      <c r="J306" s="248">
        <v>212.0</v>
      </c>
      <c r="K306" s="249">
        <v>2950000.0</v>
      </c>
      <c r="L306" s="249">
        <v>2950000.0</v>
      </c>
      <c r="M306" s="249">
        <v>2253984.0</v>
      </c>
      <c r="N306" s="249">
        <v>2253984.0</v>
      </c>
      <c r="O306" s="250">
        <f t="shared" ref="O306:P306" si="305">K306+M306</f>
        <v>5203984</v>
      </c>
      <c r="P306" s="250">
        <f t="shared" si="305"/>
        <v>5203984</v>
      </c>
    </row>
    <row r="307">
      <c r="A307" s="246" t="s">
        <v>280</v>
      </c>
      <c r="B307" s="246" t="s">
        <v>281</v>
      </c>
      <c r="C307" s="246" t="s">
        <v>92</v>
      </c>
      <c r="D307" s="246" t="s">
        <v>83</v>
      </c>
      <c r="E307" s="246" t="s">
        <v>93</v>
      </c>
      <c r="F307" s="247"/>
      <c r="G307" s="247"/>
      <c r="H307" s="247"/>
      <c r="I307" s="246" t="s">
        <v>235</v>
      </c>
      <c r="J307" s="248">
        <v>144.0</v>
      </c>
      <c r="K307" s="249">
        <v>2650000.0</v>
      </c>
      <c r="L307" s="249">
        <v>2650000.0</v>
      </c>
      <c r="M307" s="249">
        <v>1531008.0</v>
      </c>
      <c r="N307" s="249">
        <v>1531008.0</v>
      </c>
      <c r="O307" s="250">
        <f t="shared" ref="O307:P307" si="306">K307+M307</f>
        <v>4181008</v>
      </c>
      <c r="P307" s="250">
        <f t="shared" si="306"/>
        <v>4181008</v>
      </c>
    </row>
    <row r="308">
      <c r="A308" s="246" t="s">
        <v>280</v>
      </c>
      <c r="B308" s="246" t="s">
        <v>281</v>
      </c>
      <c r="C308" s="246" t="s">
        <v>92</v>
      </c>
      <c r="D308" s="246" t="s">
        <v>93</v>
      </c>
      <c r="E308" s="246" t="s">
        <v>86</v>
      </c>
      <c r="F308" s="247"/>
      <c r="G308" s="247"/>
      <c r="H308" s="246" t="s">
        <v>112</v>
      </c>
      <c r="I308" s="246" t="s">
        <v>312</v>
      </c>
      <c r="J308" s="248">
        <v>221.0</v>
      </c>
      <c r="K308" s="249">
        <v>2980000.0</v>
      </c>
      <c r="L308" s="249">
        <v>2980000.0</v>
      </c>
      <c r="M308" s="249">
        <v>2349672.0</v>
      </c>
      <c r="N308" s="249">
        <v>2349672.0</v>
      </c>
      <c r="O308" s="250">
        <f t="shared" ref="O308:P308" si="307">K308+M308</f>
        <v>5329672</v>
      </c>
      <c r="P308" s="250">
        <f t="shared" si="307"/>
        <v>5329672</v>
      </c>
    </row>
    <row r="309">
      <c r="A309" s="246" t="s">
        <v>280</v>
      </c>
      <c r="B309" s="246" t="s">
        <v>281</v>
      </c>
      <c r="C309" s="246" t="s">
        <v>92</v>
      </c>
      <c r="D309" s="246" t="s">
        <v>83</v>
      </c>
      <c r="E309" s="246" t="s">
        <v>94</v>
      </c>
      <c r="F309" s="247"/>
      <c r="G309" s="247"/>
      <c r="H309" s="247"/>
      <c r="I309" s="246" t="s">
        <v>239</v>
      </c>
      <c r="J309" s="248">
        <v>133.0</v>
      </c>
      <c r="K309" s="249">
        <v>2560000.0</v>
      </c>
      <c r="L309" s="249">
        <v>2560000.0</v>
      </c>
      <c r="M309" s="249">
        <v>1414056.0</v>
      </c>
      <c r="N309" s="249">
        <v>1414056.0</v>
      </c>
      <c r="O309" s="250">
        <f t="shared" ref="O309:P309" si="308">K309+M309</f>
        <v>3974056</v>
      </c>
      <c r="P309" s="250">
        <f t="shared" si="308"/>
        <v>3974056</v>
      </c>
    </row>
    <row r="310">
      <c r="A310" s="246" t="s">
        <v>280</v>
      </c>
      <c r="B310" s="246" t="s">
        <v>281</v>
      </c>
      <c r="C310" s="246" t="s">
        <v>92</v>
      </c>
      <c r="D310" s="246" t="s">
        <v>94</v>
      </c>
      <c r="E310" s="246" t="s">
        <v>84</v>
      </c>
      <c r="F310" s="247"/>
      <c r="G310" s="247"/>
      <c r="H310" s="246" t="s">
        <v>112</v>
      </c>
      <c r="I310" s="246" t="s">
        <v>313</v>
      </c>
      <c r="J310" s="248">
        <v>223.0</v>
      </c>
      <c r="K310" s="249">
        <v>2930000.0</v>
      </c>
      <c r="L310" s="249">
        <v>2930000.0</v>
      </c>
      <c r="M310" s="249">
        <v>2370936.0</v>
      </c>
      <c r="N310" s="249">
        <v>2370936.0</v>
      </c>
      <c r="O310" s="250">
        <f t="shared" ref="O310:P310" si="309">K310+M310</f>
        <v>5300936</v>
      </c>
      <c r="P310" s="250">
        <f t="shared" si="309"/>
        <v>5300936</v>
      </c>
    </row>
    <row r="311">
      <c r="A311" s="246" t="s">
        <v>280</v>
      </c>
      <c r="B311" s="246" t="s">
        <v>281</v>
      </c>
      <c r="C311" s="246" t="s">
        <v>92</v>
      </c>
      <c r="D311" s="246" t="s">
        <v>83</v>
      </c>
      <c r="E311" s="246" t="s">
        <v>94</v>
      </c>
      <c r="F311" s="247"/>
      <c r="G311" s="247"/>
      <c r="H311" s="247"/>
      <c r="I311" s="246" t="s">
        <v>239</v>
      </c>
      <c r="J311" s="248">
        <v>133.0</v>
      </c>
      <c r="K311" s="249">
        <v>2560000.0</v>
      </c>
      <c r="L311" s="249">
        <v>2560000.0</v>
      </c>
      <c r="M311" s="249">
        <v>1414056.0</v>
      </c>
      <c r="N311" s="249">
        <v>1414056.0</v>
      </c>
      <c r="O311" s="250">
        <f t="shared" ref="O311:P311" si="310">K311+M311</f>
        <v>3974056</v>
      </c>
      <c r="P311" s="250">
        <f t="shared" si="310"/>
        <v>3974056</v>
      </c>
    </row>
    <row r="312">
      <c r="A312" s="246" t="s">
        <v>280</v>
      </c>
      <c r="B312" s="246" t="s">
        <v>281</v>
      </c>
      <c r="C312" s="246" t="s">
        <v>92</v>
      </c>
      <c r="D312" s="246" t="s">
        <v>94</v>
      </c>
      <c r="E312" s="246" t="s">
        <v>85</v>
      </c>
      <c r="F312" s="247"/>
      <c r="G312" s="247"/>
      <c r="H312" s="246" t="s">
        <v>112</v>
      </c>
      <c r="I312" s="246" t="s">
        <v>314</v>
      </c>
      <c r="J312" s="248">
        <v>177.0</v>
      </c>
      <c r="K312" s="249">
        <v>2610000.0</v>
      </c>
      <c r="L312" s="249">
        <v>2610000.0</v>
      </c>
      <c r="M312" s="249">
        <v>1881864.0</v>
      </c>
      <c r="N312" s="249">
        <v>1881864.0</v>
      </c>
      <c r="O312" s="250">
        <f t="shared" ref="O312:P312" si="311">K312+M312</f>
        <v>4491864</v>
      </c>
      <c r="P312" s="250">
        <f t="shared" si="311"/>
        <v>4491864</v>
      </c>
    </row>
    <row r="313">
      <c r="A313" s="246" t="s">
        <v>280</v>
      </c>
      <c r="B313" s="246" t="s">
        <v>281</v>
      </c>
      <c r="C313" s="246" t="s">
        <v>92</v>
      </c>
      <c r="D313" s="246" t="s">
        <v>83</v>
      </c>
      <c r="E313" s="246" t="s">
        <v>94</v>
      </c>
      <c r="F313" s="247"/>
      <c r="G313" s="247"/>
      <c r="H313" s="247"/>
      <c r="I313" s="246" t="s">
        <v>239</v>
      </c>
      <c r="J313" s="248">
        <v>133.0</v>
      </c>
      <c r="K313" s="249">
        <v>2560000.0</v>
      </c>
      <c r="L313" s="249">
        <v>2560000.0</v>
      </c>
      <c r="M313" s="249">
        <v>1414056.0</v>
      </c>
      <c r="N313" s="249">
        <v>1414056.0</v>
      </c>
      <c r="O313" s="250">
        <f t="shared" ref="O313:P313" si="312">K313+M313</f>
        <v>3974056</v>
      </c>
      <c r="P313" s="250">
        <f t="shared" si="312"/>
        <v>3974056</v>
      </c>
    </row>
    <row r="314">
      <c r="A314" s="246" t="s">
        <v>280</v>
      </c>
      <c r="B314" s="246" t="s">
        <v>281</v>
      </c>
      <c r="C314" s="246" t="s">
        <v>92</v>
      </c>
      <c r="D314" s="246" t="s">
        <v>94</v>
      </c>
      <c r="E314" s="246" t="s">
        <v>86</v>
      </c>
      <c r="F314" s="247"/>
      <c r="G314" s="247"/>
      <c r="H314" s="246" t="s">
        <v>112</v>
      </c>
      <c r="I314" s="246" t="s">
        <v>315</v>
      </c>
      <c r="J314" s="248">
        <v>191.0</v>
      </c>
      <c r="K314" s="249">
        <v>2820000.0</v>
      </c>
      <c r="L314" s="249">
        <v>2820000.0</v>
      </c>
      <c r="M314" s="249">
        <v>2030712.0</v>
      </c>
      <c r="N314" s="249">
        <v>2030712.0</v>
      </c>
      <c r="O314" s="250">
        <f t="shared" ref="O314:P314" si="313">K314+M314</f>
        <v>4850712</v>
      </c>
      <c r="P314" s="250">
        <f t="shared" si="313"/>
        <v>4850712</v>
      </c>
    </row>
    <row r="315">
      <c r="A315" s="246" t="s">
        <v>280</v>
      </c>
      <c r="B315" s="246" t="s">
        <v>281</v>
      </c>
      <c r="C315" s="246" t="s">
        <v>92</v>
      </c>
      <c r="D315" s="246" t="s">
        <v>83</v>
      </c>
      <c r="E315" s="246" t="s">
        <v>95</v>
      </c>
      <c r="F315" s="247"/>
      <c r="G315" s="247"/>
      <c r="H315" s="247"/>
      <c r="I315" s="246" t="s">
        <v>243</v>
      </c>
      <c r="J315" s="248">
        <v>122.0</v>
      </c>
      <c r="K315" s="249">
        <v>2520000.0</v>
      </c>
      <c r="L315" s="249">
        <v>2520000.0</v>
      </c>
      <c r="M315" s="249">
        <v>1297104.0</v>
      </c>
      <c r="N315" s="249">
        <v>1297104.0</v>
      </c>
      <c r="O315" s="250">
        <f t="shared" ref="O315:P315" si="314">K315+M315</f>
        <v>3817104</v>
      </c>
      <c r="P315" s="250">
        <f t="shared" si="314"/>
        <v>3817104</v>
      </c>
    </row>
    <row r="316">
      <c r="A316" s="246" t="s">
        <v>280</v>
      </c>
      <c r="B316" s="246" t="s">
        <v>281</v>
      </c>
      <c r="C316" s="246" t="s">
        <v>92</v>
      </c>
      <c r="D316" s="246" t="s">
        <v>95</v>
      </c>
      <c r="E316" s="246" t="s">
        <v>84</v>
      </c>
      <c r="F316" s="247"/>
      <c r="G316" s="247"/>
      <c r="H316" s="246" t="s">
        <v>112</v>
      </c>
      <c r="I316" s="246" t="s">
        <v>316</v>
      </c>
      <c r="J316" s="248">
        <v>243.0</v>
      </c>
      <c r="K316" s="249">
        <v>3010000.0</v>
      </c>
      <c r="L316" s="249">
        <v>3010000.0</v>
      </c>
      <c r="M316" s="249">
        <v>2583576.0</v>
      </c>
      <c r="N316" s="249">
        <v>2583576.0</v>
      </c>
      <c r="O316" s="250">
        <f t="shared" ref="O316:P316" si="315">K316+M316</f>
        <v>5593576</v>
      </c>
      <c r="P316" s="250">
        <f t="shared" si="315"/>
        <v>5593576</v>
      </c>
    </row>
    <row r="317">
      <c r="A317" s="246" t="s">
        <v>280</v>
      </c>
      <c r="B317" s="246" t="s">
        <v>281</v>
      </c>
      <c r="C317" s="246" t="s">
        <v>92</v>
      </c>
      <c r="D317" s="246" t="s">
        <v>83</v>
      </c>
      <c r="E317" s="246" t="s">
        <v>95</v>
      </c>
      <c r="F317" s="247"/>
      <c r="G317" s="247"/>
      <c r="H317" s="247"/>
      <c r="I317" s="246" t="s">
        <v>243</v>
      </c>
      <c r="J317" s="248">
        <v>122.0</v>
      </c>
      <c r="K317" s="249">
        <v>2520000.0</v>
      </c>
      <c r="L317" s="249">
        <v>2520000.0</v>
      </c>
      <c r="M317" s="249">
        <v>1297104.0</v>
      </c>
      <c r="N317" s="249">
        <v>1297104.0</v>
      </c>
      <c r="O317" s="250">
        <f t="shared" ref="O317:P317" si="316">K317+M317</f>
        <v>3817104</v>
      </c>
      <c r="P317" s="250">
        <f t="shared" si="316"/>
        <v>3817104</v>
      </c>
    </row>
    <row r="318">
      <c r="A318" s="246" t="s">
        <v>280</v>
      </c>
      <c r="B318" s="246" t="s">
        <v>281</v>
      </c>
      <c r="C318" s="246" t="s">
        <v>92</v>
      </c>
      <c r="D318" s="246" t="s">
        <v>95</v>
      </c>
      <c r="E318" s="246" t="s">
        <v>85</v>
      </c>
      <c r="F318" s="247"/>
      <c r="G318" s="247"/>
      <c r="H318" s="246" t="s">
        <v>112</v>
      </c>
      <c r="I318" s="246" t="s">
        <v>317</v>
      </c>
      <c r="J318" s="248">
        <v>197.0</v>
      </c>
      <c r="K318" s="249">
        <v>2840000.0</v>
      </c>
      <c r="L318" s="249">
        <v>2840000.0</v>
      </c>
      <c r="M318" s="249">
        <v>2094504.0</v>
      </c>
      <c r="N318" s="249">
        <v>2094504.0</v>
      </c>
      <c r="O318" s="250">
        <f t="shared" ref="O318:P318" si="317">K318+M318</f>
        <v>4934504</v>
      </c>
      <c r="P318" s="250">
        <f t="shared" si="317"/>
        <v>4934504</v>
      </c>
    </row>
    <row r="319">
      <c r="A319" s="246" t="s">
        <v>280</v>
      </c>
      <c r="B319" s="246" t="s">
        <v>281</v>
      </c>
      <c r="C319" s="246" t="s">
        <v>92</v>
      </c>
      <c r="D319" s="246" t="s">
        <v>83</v>
      </c>
      <c r="E319" s="246" t="s">
        <v>95</v>
      </c>
      <c r="F319" s="247"/>
      <c r="G319" s="247"/>
      <c r="H319" s="247"/>
      <c r="I319" s="246" t="s">
        <v>243</v>
      </c>
      <c r="J319" s="248">
        <v>122.0</v>
      </c>
      <c r="K319" s="249">
        <v>2520000.0</v>
      </c>
      <c r="L319" s="249">
        <v>2520000.0</v>
      </c>
      <c r="M319" s="249">
        <v>1297104.0</v>
      </c>
      <c r="N319" s="249">
        <v>1297104.0</v>
      </c>
      <c r="O319" s="250">
        <f t="shared" ref="O319:P319" si="318">K319+M319</f>
        <v>3817104</v>
      </c>
      <c r="P319" s="250">
        <f t="shared" si="318"/>
        <v>3817104</v>
      </c>
    </row>
    <row r="320">
      <c r="A320" s="246" t="s">
        <v>280</v>
      </c>
      <c r="B320" s="246" t="s">
        <v>281</v>
      </c>
      <c r="C320" s="246" t="s">
        <v>92</v>
      </c>
      <c r="D320" s="246" t="s">
        <v>95</v>
      </c>
      <c r="E320" s="246" t="s">
        <v>86</v>
      </c>
      <c r="F320" s="247"/>
      <c r="G320" s="247"/>
      <c r="H320" s="246" t="s">
        <v>112</v>
      </c>
      <c r="I320" s="246" t="s">
        <v>318</v>
      </c>
      <c r="J320" s="248">
        <v>166.0</v>
      </c>
      <c r="K320" s="249">
        <v>2570000.0</v>
      </c>
      <c r="L320" s="249">
        <v>2570000.0</v>
      </c>
      <c r="M320" s="249">
        <v>1764912.0</v>
      </c>
      <c r="N320" s="249">
        <v>1764912.0</v>
      </c>
      <c r="O320" s="250">
        <f t="shared" ref="O320:P320" si="319">K320+M320</f>
        <v>4334912</v>
      </c>
      <c r="P320" s="250">
        <f t="shared" si="319"/>
        <v>4334912</v>
      </c>
    </row>
    <row r="321">
      <c r="A321" s="246" t="s">
        <v>280</v>
      </c>
      <c r="B321" s="246" t="s">
        <v>281</v>
      </c>
      <c r="C321" s="246" t="s">
        <v>92</v>
      </c>
      <c r="D321" s="246" t="s">
        <v>90</v>
      </c>
      <c r="E321" s="246" t="s">
        <v>96</v>
      </c>
      <c r="F321" s="247"/>
      <c r="G321" s="247"/>
      <c r="H321" s="247"/>
      <c r="I321" s="246" t="s">
        <v>247</v>
      </c>
      <c r="J321" s="248">
        <v>85.0</v>
      </c>
      <c r="K321" s="249">
        <v>1950000.0</v>
      </c>
      <c r="L321" s="249">
        <v>1950000.0</v>
      </c>
      <c r="M321" s="249">
        <v>903720.0</v>
      </c>
      <c r="N321" s="249">
        <v>903720.0</v>
      </c>
      <c r="O321" s="250">
        <f t="shared" ref="O321:P321" si="320">K321+M321</f>
        <v>2853720</v>
      </c>
      <c r="P321" s="250">
        <f t="shared" si="320"/>
        <v>2853720</v>
      </c>
    </row>
    <row r="322">
      <c r="A322" s="246" t="s">
        <v>280</v>
      </c>
      <c r="B322" s="246" t="s">
        <v>281</v>
      </c>
      <c r="C322" s="246" t="s">
        <v>92</v>
      </c>
      <c r="D322" s="246" t="s">
        <v>96</v>
      </c>
      <c r="E322" s="246" t="s">
        <v>84</v>
      </c>
      <c r="F322" s="247"/>
      <c r="G322" s="247"/>
      <c r="H322" s="246" t="s">
        <v>112</v>
      </c>
      <c r="I322" s="246" t="s">
        <v>319</v>
      </c>
      <c r="J322" s="248">
        <v>246.0</v>
      </c>
      <c r="K322" s="249">
        <v>3400000.0</v>
      </c>
      <c r="L322" s="249">
        <v>3400000.0</v>
      </c>
      <c r="M322" s="249">
        <v>2615472.0</v>
      </c>
      <c r="N322" s="249">
        <v>2615472.0</v>
      </c>
      <c r="O322" s="250">
        <f t="shared" ref="O322:P322" si="321">K322+M322</f>
        <v>6015472</v>
      </c>
      <c r="P322" s="250">
        <f t="shared" si="321"/>
        <v>6015472</v>
      </c>
    </row>
    <row r="323">
      <c r="A323" s="246" t="s">
        <v>280</v>
      </c>
      <c r="B323" s="246" t="s">
        <v>281</v>
      </c>
      <c r="C323" s="246" t="s">
        <v>92</v>
      </c>
      <c r="D323" s="246" t="s">
        <v>90</v>
      </c>
      <c r="E323" s="246" t="s">
        <v>96</v>
      </c>
      <c r="F323" s="247"/>
      <c r="G323" s="247"/>
      <c r="H323" s="247"/>
      <c r="I323" s="246" t="s">
        <v>247</v>
      </c>
      <c r="J323" s="248">
        <v>85.0</v>
      </c>
      <c r="K323" s="249">
        <v>1950000.0</v>
      </c>
      <c r="L323" s="249">
        <v>1950000.0</v>
      </c>
      <c r="M323" s="249">
        <v>903720.0</v>
      </c>
      <c r="N323" s="249">
        <v>903720.0</v>
      </c>
      <c r="O323" s="250">
        <f t="shared" ref="O323:P323" si="322">K323+M323</f>
        <v>2853720</v>
      </c>
      <c r="P323" s="250">
        <f t="shared" si="322"/>
        <v>2853720</v>
      </c>
    </row>
    <row r="324">
      <c r="A324" s="246" t="s">
        <v>280</v>
      </c>
      <c r="B324" s="246" t="s">
        <v>281</v>
      </c>
      <c r="C324" s="246" t="s">
        <v>92</v>
      </c>
      <c r="D324" s="246" t="s">
        <v>96</v>
      </c>
      <c r="E324" s="246" t="s">
        <v>85</v>
      </c>
      <c r="F324" s="247"/>
      <c r="G324" s="247"/>
      <c r="H324" s="246" t="s">
        <v>112</v>
      </c>
      <c r="I324" s="246" t="s">
        <v>320</v>
      </c>
      <c r="J324" s="248">
        <v>271.0</v>
      </c>
      <c r="K324" s="249">
        <v>3640000.0</v>
      </c>
      <c r="L324" s="249">
        <v>3640000.0</v>
      </c>
      <c r="M324" s="249">
        <v>2881272.0</v>
      </c>
      <c r="N324" s="249">
        <v>2881272.0</v>
      </c>
      <c r="O324" s="250">
        <f t="shared" ref="O324:P324" si="323">K324+M324</f>
        <v>6521272</v>
      </c>
      <c r="P324" s="250">
        <f t="shared" si="323"/>
        <v>6521272</v>
      </c>
    </row>
    <row r="325">
      <c r="A325" s="246" t="s">
        <v>280</v>
      </c>
      <c r="B325" s="246" t="s">
        <v>281</v>
      </c>
      <c r="C325" s="246" t="s">
        <v>92</v>
      </c>
      <c r="D325" s="246" t="s">
        <v>90</v>
      </c>
      <c r="E325" s="246" t="s">
        <v>96</v>
      </c>
      <c r="F325" s="247"/>
      <c r="G325" s="247"/>
      <c r="H325" s="247"/>
      <c r="I325" s="246" t="s">
        <v>247</v>
      </c>
      <c r="J325" s="248">
        <v>85.0</v>
      </c>
      <c r="K325" s="249">
        <v>1950000.0</v>
      </c>
      <c r="L325" s="249">
        <v>1950000.0</v>
      </c>
      <c r="M325" s="249">
        <v>903720.0</v>
      </c>
      <c r="N325" s="249">
        <v>903720.0</v>
      </c>
      <c r="O325" s="250">
        <f t="shared" ref="O325:P325" si="324">K325+M325</f>
        <v>2853720</v>
      </c>
      <c r="P325" s="250">
        <f t="shared" si="324"/>
        <v>2853720</v>
      </c>
    </row>
    <row r="326">
      <c r="A326" s="246" t="s">
        <v>280</v>
      </c>
      <c r="B326" s="246" t="s">
        <v>281</v>
      </c>
      <c r="C326" s="246" t="s">
        <v>92</v>
      </c>
      <c r="D326" s="246" t="s">
        <v>96</v>
      </c>
      <c r="E326" s="246" t="s">
        <v>86</v>
      </c>
      <c r="F326" s="247"/>
      <c r="G326" s="247"/>
      <c r="H326" s="246" t="s">
        <v>112</v>
      </c>
      <c r="I326" s="246" t="s">
        <v>321</v>
      </c>
      <c r="J326" s="248">
        <v>280.0</v>
      </c>
      <c r="K326" s="249">
        <v>3670000.0</v>
      </c>
      <c r="L326" s="249">
        <v>3670000.0</v>
      </c>
      <c r="M326" s="249">
        <v>2976960.0</v>
      </c>
      <c r="N326" s="249">
        <v>2976960.0</v>
      </c>
      <c r="O326" s="250">
        <f t="shared" ref="O326:P326" si="325">K326+M326</f>
        <v>6646960</v>
      </c>
      <c r="P326" s="250">
        <f t="shared" si="325"/>
        <v>6646960</v>
      </c>
    </row>
    <row r="327">
      <c r="A327" s="246" t="s">
        <v>280</v>
      </c>
      <c r="B327" s="246" t="s">
        <v>281</v>
      </c>
      <c r="C327" s="246" t="s">
        <v>92</v>
      </c>
      <c r="D327" s="246" t="s">
        <v>90</v>
      </c>
      <c r="E327" s="246" t="s">
        <v>97</v>
      </c>
      <c r="F327" s="247"/>
      <c r="G327" s="247"/>
      <c r="H327" s="247"/>
      <c r="I327" s="246" t="s">
        <v>251</v>
      </c>
      <c r="J327" s="248">
        <v>35.0</v>
      </c>
      <c r="K327" s="249">
        <v>1450000.0</v>
      </c>
      <c r="L327" s="249">
        <v>1450000.0</v>
      </c>
      <c r="M327" s="249">
        <v>372120.0</v>
      </c>
      <c r="N327" s="249">
        <v>372120.0</v>
      </c>
      <c r="O327" s="250">
        <f t="shared" ref="O327:P327" si="326">K327+M327</f>
        <v>1822120</v>
      </c>
      <c r="P327" s="250">
        <f t="shared" si="326"/>
        <v>1822120</v>
      </c>
    </row>
    <row r="328">
      <c r="A328" s="246" t="s">
        <v>280</v>
      </c>
      <c r="B328" s="246" t="s">
        <v>281</v>
      </c>
      <c r="C328" s="246" t="s">
        <v>92</v>
      </c>
      <c r="D328" s="246" t="s">
        <v>97</v>
      </c>
      <c r="E328" s="246" t="s">
        <v>84</v>
      </c>
      <c r="F328" s="247"/>
      <c r="G328" s="247"/>
      <c r="H328" s="246" t="s">
        <v>112</v>
      </c>
      <c r="I328" s="246" t="s">
        <v>322</v>
      </c>
      <c r="J328" s="248">
        <v>321.0</v>
      </c>
      <c r="K328" s="249">
        <v>4000000.0</v>
      </c>
      <c r="L328" s="249">
        <v>4000000.0</v>
      </c>
      <c r="M328" s="249">
        <v>3412872.0</v>
      </c>
      <c r="N328" s="249">
        <v>3412872.0</v>
      </c>
      <c r="O328" s="250">
        <f t="shared" ref="O328:P328" si="327">K328+M328</f>
        <v>7412872</v>
      </c>
      <c r="P328" s="250">
        <f t="shared" si="327"/>
        <v>7412872</v>
      </c>
    </row>
    <row r="329">
      <c r="A329" s="246" t="s">
        <v>280</v>
      </c>
      <c r="B329" s="246" t="s">
        <v>281</v>
      </c>
      <c r="C329" s="246" t="s">
        <v>92</v>
      </c>
      <c r="D329" s="246" t="s">
        <v>90</v>
      </c>
      <c r="E329" s="246" t="s">
        <v>97</v>
      </c>
      <c r="F329" s="247"/>
      <c r="G329" s="247"/>
      <c r="H329" s="247"/>
      <c r="I329" s="246" t="s">
        <v>251</v>
      </c>
      <c r="J329" s="248">
        <v>35.0</v>
      </c>
      <c r="K329" s="249">
        <v>1450000.0</v>
      </c>
      <c r="L329" s="249">
        <v>1450000.0</v>
      </c>
      <c r="M329" s="249">
        <v>372120.0</v>
      </c>
      <c r="N329" s="249">
        <v>372120.0</v>
      </c>
      <c r="O329" s="250">
        <f t="shared" ref="O329:P329" si="328">K329+M329</f>
        <v>1822120</v>
      </c>
      <c r="P329" s="250">
        <f t="shared" si="328"/>
        <v>1822120</v>
      </c>
    </row>
    <row r="330">
      <c r="A330" s="246" t="s">
        <v>280</v>
      </c>
      <c r="B330" s="246" t="s">
        <v>281</v>
      </c>
      <c r="C330" s="246" t="s">
        <v>92</v>
      </c>
      <c r="D330" s="246" t="s">
        <v>97</v>
      </c>
      <c r="E330" s="246" t="s">
        <v>85</v>
      </c>
      <c r="F330" s="247"/>
      <c r="G330" s="247"/>
      <c r="H330" s="246" t="s">
        <v>112</v>
      </c>
      <c r="I330" s="246" t="s">
        <v>323</v>
      </c>
      <c r="J330" s="248">
        <v>275.0</v>
      </c>
      <c r="K330" s="249">
        <v>3700000.0</v>
      </c>
      <c r="L330" s="249">
        <v>3700000.0</v>
      </c>
      <c r="M330" s="249">
        <v>2923800.0</v>
      </c>
      <c r="N330" s="249">
        <v>2923800.0</v>
      </c>
      <c r="O330" s="250">
        <f t="shared" ref="O330:P330" si="329">K330+M330</f>
        <v>6623800</v>
      </c>
      <c r="P330" s="250">
        <f t="shared" si="329"/>
        <v>6623800</v>
      </c>
    </row>
    <row r="331">
      <c r="A331" s="246" t="s">
        <v>280</v>
      </c>
      <c r="B331" s="246" t="s">
        <v>281</v>
      </c>
      <c r="C331" s="246" t="s">
        <v>92</v>
      </c>
      <c r="D331" s="246" t="s">
        <v>90</v>
      </c>
      <c r="E331" s="246" t="s">
        <v>97</v>
      </c>
      <c r="F331" s="247"/>
      <c r="G331" s="247"/>
      <c r="H331" s="247"/>
      <c r="I331" s="246" t="s">
        <v>251</v>
      </c>
      <c r="J331" s="248">
        <v>35.0</v>
      </c>
      <c r="K331" s="249">
        <v>1450000.0</v>
      </c>
      <c r="L331" s="249">
        <v>1450000.0</v>
      </c>
      <c r="M331" s="249">
        <v>372120.0</v>
      </c>
      <c r="N331" s="249">
        <v>372120.0</v>
      </c>
      <c r="O331" s="250">
        <f t="shared" ref="O331:P331" si="330">K331+M331</f>
        <v>1822120</v>
      </c>
      <c r="P331" s="250">
        <f t="shared" si="330"/>
        <v>1822120</v>
      </c>
    </row>
    <row r="332">
      <c r="A332" s="246" t="s">
        <v>280</v>
      </c>
      <c r="B332" s="246" t="s">
        <v>281</v>
      </c>
      <c r="C332" s="246" t="s">
        <v>92</v>
      </c>
      <c r="D332" s="246" t="s">
        <v>97</v>
      </c>
      <c r="E332" s="246" t="s">
        <v>86</v>
      </c>
      <c r="F332" s="247"/>
      <c r="G332" s="247"/>
      <c r="H332" s="246" t="s">
        <v>112</v>
      </c>
      <c r="I332" s="246" t="s">
        <v>324</v>
      </c>
      <c r="J332" s="248">
        <v>289.0</v>
      </c>
      <c r="K332" s="249">
        <v>3700000.0</v>
      </c>
      <c r="L332" s="249">
        <v>3700000.0</v>
      </c>
      <c r="M332" s="249">
        <v>3072648.0</v>
      </c>
      <c r="N332" s="249">
        <v>3072648.0</v>
      </c>
      <c r="O332" s="250">
        <f t="shared" ref="O332:P332" si="331">K332+M332</f>
        <v>6772648</v>
      </c>
      <c r="P332" s="250">
        <f t="shared" si="331"/>
        <v>6772648</v>
      </c>
    </row>
    <row r="333">
      <c r="A333" s="246" t="s">
        <v>280</v>
      </c>
      <c r="B333" s="246" t="s">
        <v>281</v>
      </c>
      <c r="C333" s="246" t="s">
        <v>92</v>
      </c>
      <c r="D333" s="246" t="s">
        <v>90</v>
      </c>
      <c r="E333" s="246" t="s">
        <v>98</v>
      </c>
      <c r="F333" s="247"/>
      <c r="G333" s="247"/>
      <c r="H333" s="247"/>
      <c r="I333" s="246" t="s">
        <v>255</v>
      </c>
      <c r="J333" s="248">
        <v>25.0</v>
      </c>
      <c r="K333" s="249">
        <v>1350000.0</v>
      </c>
      <c r="L333" s="249">
        <v>1350000.0</v>
      </c>
      <c r="M333" s="249">
        <v>265800.0</v>
      </c>
      <c r="N333" s="249">
        <v>265800.0</v>
      </c>
      <c r="O333" s="250">
        <f t="shared" ref="O333:P333" si="332">K333+M333</f>
        <v>1615800</v>
      </c>
      <c r="P333" s="250">
        <f t="shared" si="332"/>
        <v>1615800</v>
      </c>
    </row>
    <row r="334">
      <c r="A334" s="246" t="s">
        <v>280</v>
      </c>
      <c r="B334" s="246" t="s">
        <v>281</v>
      </c>
      <c r="C334" s="246" t="s">
        <v>92</v>
      </c>
      <c r="D334" s="246" t="s">
        <v>98</v>
      </c>
      <c r="E334" s="246" t="s">
        <v>84</v>
      </c>
      <c r="F334" s="247"/>
      <c r="G334" s="247"/>
      <c r="H334" s="246" t="s">
        <v>112</v>
      </c>
      <c r="I334" s="246" t="s">
        <v>325</v>
      </c>
      <c r="J334" s="248">
        <v>340.0</v>
      </c>
      <c r="K334" s="249">
        <v>4000000.0</v>
      </c>
      <c r="L334" s="249">
        <v>4000000.0</v>
      </c>
      <c r="M334" s="249">
        <v>3614880.0</v>
      </c>
      <c r="N334" s="249">
        <v>3614880.0</v>
      </c>
      <c r="O334" s="250">
        <f t="shared" ref="O334:P334" si="333">K334+M334</f>
        <v>7614880</v>
      </c>
      <c r="P334" s="250">
        <f t="shared" si="333"/>
        <v>7614880</v>
      </c>
    </row>
    <row r="335">
      <c r="A335" s="246" t="s">
        <v>280</v>
      </c>
      <c r="B335" s="246" t="s">
        <v>281</v>
      </c>
      <c r="C335" s="246" t="s">
        <v>92</v>
      </c>
      <c r="D335" s="246" t="s">
        <v>90</v>
      </c>
      <c r="E335" s="246" t="s">
        <v>98</v>
      </c>
      <c r="F335" s="247"/>
      <c r="G335" s="247"/>
      <c r="H335" s="247"/>
      <c r="I335" s="246" t="s">
        <v>255</v>
      </c>
      <c r="J335" s="248">
        <v>25.0</v>
      </c>
      <c r="K335" s="249">
        <v>1350000.0</v>
      </c>
      <c r="L335" s="249">
        <v>1350000.0</v>
      </c>
      <c r="M335" s="249">
        <v>265800.0</v>
      </c>
      <c r="N335" s="249">
        <v>265800.0</v>
      </c>
      <c r="O335" s="250">
        <f t="shared" ref="O335:P335" si="334">K335+M335</f>
        <v>1615800</v>
      </c>
      <c r="P335" s="250">
        <f t="shared" si="334"/>
        <v>1615800</v>
      </c>
    </row>
    <row r="336">
      <c r="A336" s="246" t="s">
        <v>280</v>
      </c>
      <c r="B336" s="246" t="s">
        <v>281</v>
      </c>
      <c r="C336" s="246" t="s">
        <v>92</v>
      </c>
      <c r="D336" s="246" t="s">
        <v>98</v>
      </c>
      <c r="E336" s="246" t="s">
        <v>85</v>
      </c>
      <c r="F336" s="247"/>
      <c r="G336" s="247"/>
      <c r="H336" s="246" t="s">
        <v>112</v>
      </c>
      <c r="I336" s="246" t="s">
        <v>326</v>
      </c>
      <c r="J336" s="248">
        <v>294.0</v>
      </c>
      <c r="K336" s="249">
        <v>3700000.0</v>
      </c>
      <c r="L336" s="249">
        <v>3700000.0</v>
      </c>
      <c r="M336" s="249">
        <v>3125808.0</v>
      </c>
      <c r="N336" s="249">
        <v>3125808.0</v>
      </c>
      <c r="O336" s="250">
        <f t="shared" ref="O336:P336" si="335">K336+M336</f>
        <v>6825808</v>
      </c>
      <c r="P336" s="250">
        <f t="shared" si="335"/>
        <v>6825808</v>
      </c>
    </row>
    <row r="337">
      <c r="A337" s="246" t="s">
        <v>280</v>
      </c>
      <c r="B337" s="246" t="s">
        <v>281</v>
      </c>
      <c r="C337" s="246" t="s">
        <v>92</v>
      </c>
      <c r="D337" s="246" t="s">
        <v>90</v>
      </c>
      <c r="E337" s="246" t="s">
        <v>98</v>
      </c>
      <c r="F337" s="247"/>
      <c r="G337" s="247"/>
      <c r="H337" s="247"/>
      <c r="I337" s="246" t="s">
        <v>255</v>
      </c>
      <c r="J337" s="248">
        <v>25.0</v>
      </c>
      <c r="K337" s="249">
        <v>1350000.0</v>
      </c>
      <c r="L337" s="249">
        <v>1350000.0</v>
      </c>
      <c r="M337" s="249">
        <v>265800.0</v>
      </c>
      <c r="N337" s="249">
        <v>265800.0</v>
      </c>
      <c r="O337" s="250">
        <f t="shared" ref="O337:P337" si="336">K337+M337</f>
        <v>1615800</v>
      </c>
      <c r="P337" s="250">
        <f t="shared" si="336"/>
        <v>1615800</v>
      </c>
    </row>
    <row r="338">
      <c r="A338" s="246" t="s">
        <v>280</v>
      </c>
      <c r="B338" s="246" t="s">
        <v>281</v>
      </c>
      <c r="C338" s="246" t="s">
        <v>92</v>
      </c>
      <c r="D338" s="246" t="s">
        <v>98</v>
      </c>
      <c r="E338" s="246" t="s">
        <v>86</v>
      </c>
      <c r="F338" s="247"/>
      <c r="G338" s="247"/>
      <c r="H338" s="246" t="s">
        <v>112</v>
      </c>
      <c r="I338" s="246" t="s">
        <v>327</v>
      </c>
      <c r="J338" s="248">
        <v>263.0</v>
      </c>
      <c r="K338" s="249">
        <v>3400000.0</v>
      </c>
      <c r="L338" s="249">
        <v>3400000.0</v>
      </c>
      <c r="M338" s="249">
        <v>2796216.0</v>
      </c>
      <c r="N338" s="249">
        <v>2796216.0</v>
      </c>
      <c r="O338" s="250">
        <f t="shared" ref="O338:P338" si="337">K338+M338</f>
        <v>6196216</v>
      </c>
      <c r="P338" s="250">
        <f t="shared" si="337"/>
        <v>6196216</v>
      </c>
    </row>
    <row r="339">
      <c r="A339" s="246" t="s">
        <v>280</v>
      </c>
      <c r="B339" s="246" t="s">
        <v>281</v>
      </c>
      <c r="C339" s="246" t="s">
        <v>92</v>
      </c>
      <c r="D339" s="246" t="s">
        <v>91</v>
      </c>
      <c r="E339" s="246" t="s">
        <v>99</v>
      </c>
      <c r="F339" s="247"/>
      <c r="G339" s="247"/>
      <c r="H339" s="247"/>
      <c r="I339" s="246" t="s">
        <v>259</v>
      </c>
      <c r="J339" s="248">
        <v>65.0</v>
      </c>
      <c r="K339" s="249">
        <v>1930000.0</v>
      </c>
      <c r="L339" s="249">
        <v>1930000.0</v>
      </c>
      <c r="M339" s="249">
        <v>691080.0</v>
      </c>
      <c r="N339" s="249">
        <v>691080.0</v>
      </c>
      <c r="O339" s="250">
        <f t="shared" ref="O339:P339" si="338">K339+M339</f>
        <v>2621080</v>
      </c>
      <c r="P339" s="250">
        <f t="shared" si="338"/>
        <v>2621080</v>
      </c>
    </row>
    <row r="340">
      <c r="A340" s="246" t="s">
        <v>280</v>
      </c>
      <c r="B340" s="246" t="s">
        <v>281</v>
      </c>
      <c r="C340" s="246" t="s">
        <v>92</v>
      </c>
      <c r="D340" s="246" t="s">
        <v>99</v>
      </c>
      <c r="E340" s="246" t="s">
        <v>84</v>
      </c>
      <c r="F340" s="247"/>
      <c r="G340" s="247"/>
      <c r="H340" s="246" t="s">
        <v>112</v>
      </c>
      <c r="I340" s="246" t="s">
        <v>328</v>
      </c>
      <c r="J340" s="248">
        <v>267.0</v>
      </c>
      <c r="K340" s="249">
        <v>3410000.0</v>
      </c>
      <c r="L340" s="249">
        <v>3410000.0</v>
      </c>
      <c r="M340" s="249">
        <v>2838744.0</v>
      </c>
      <c r="N340" s="249">
        <v>2838744.0</v>
      </c>
      <c r="O340" s="250">
        <f t="shared" ref="O340:P340" si="339">K340+M340</f>
        <v>6248744</v>
      </c>
      <c r="P340" s="250">
        <f t="shared" si="339"/>
        <v>6248744</v>
      </c>
    </row>
    <row r="341">
      <c r="A341" s="246" t="s">
        <v>280</v>
      </c>
      <c r="B341" s="246" t="s">
        <v>281</v>
      </c>
      <c r="C341" s="246" t="s">
        <v>92</v>
      </c>
      <c r="D341" s="246" t="s">
        <v>91</v>
      </c>
      <c r="E341" s="246" t="s">
        <v>99</v>
      </c>
      <c r="F341" s="247"/>
      <c r="G341" s="247"/>
      <c r="H341" s="247"/>
      <c r="I341" s="246" t="s">
        <v>259</v>
      </c>
      <c r="J341" s="248">
        <v>65.0</v>
      </c>
      <c r="K341" s="249">
        <v>1930000.0</v>
      </c>
      <c r="L341" s="249">
        <v>1930000.0</v>
      </c>
      <c r="M341" s="249">
        <v>691080.0</v>
      </c>
      <c r="N341" s="249">
        <v>691080.0</v>
      </c>
      <c r="O341" s="250">
        <f t="shared" ref="O341:P341" si="340">K341+M341</f>
        <v>2621080</v>
      </c>
      <c r="P341" s="250">
        <f t="shared" si="340"/>
        <v>2621080</v>
      </c>
    </row>
    <row r="342">
      <c r="A342" s="246" t="s">
        <v>280</v>
      </c>
      <c r="B342" s="246" t="s">
        <v>281</v>
      </c>
      <c r="C342" s="246" t="s">
        <v>92</v>
      </c>
      <c r="D342" s="246" t="s">
        <v>99</v>
      </c>
      <c r="E342" s="246" t="s">
        <v>85</v>
      </c>
      <c r="F342" s="247"/>
      <c r="G342" s="247"/>
      <c r="H342" s="246" t="s">
        <v>112</v>
      </c>
      <c r="I342" s="246" t="s">
        <v>329</v>
      </c>
      <c r="J342" s="248">
        <v>291.0</v>
      </c>
      <c r="K342" s="249">
        <v>3660000.0</v>
      </c>
      <c r="L342" s="249">
        <v>3660000.0</v>
      </c>
      <c r="M342" s="249">
        <v>3093912.0</v>
      </c>
      <c r="N342" s="249">
        <v>3093912.0</v>
      </c>
      <c r="O342" s="250">
        <f t="shared" ref="O342:P342" si="341">K342+M342</f>
        <v>6753912</v>
      </c>
      <c r="P342" s="250">
        <f t="shared" si="341"/>
        <v>6753912</v>
      </c>
    </row>
    <row r="343">
      <c r="A343" s="246" t="s">
        <v>280</v>
      </c>
      <c r="B343" s="246" t="s">
        <v>281</v>
      </c>
      <c r="C343" s="246" t="s">
        <v>92</v>
      </c>
      <c r="D343" s="246" t="s">
        <v>91</v>
      </c>
      <c r="E343" s="246" t="s">
        <v>99</v>
      </c>
      <c r="F343" s="247"/>
      <c r="G343" s="247"/>
      <c r="H343" s="247"/>
      <c r="I343" s="246" t="s">
        <v>259</v>
      </c>
      <c r="J343" s="248">
        <v>65.0</v>
      </c>
      <c r="K343" s="249">
        <v>1930000.0</v>
      </c>
      <c r="L343" s="249">
        <v>1930000.0</v>
      </c>
      <c r="M343" s="249">
        <v>691080.0</v>
      </c>
      <c r="N343" s="249">
        <v>691080.0</v>
      </c>
      <c r="O343" s="250">
        <f t="shared" ref="O343:P343" si="342">K343+M343</f>
        <v>2621080</v>
      </c>
      <c r="P343" s="250">
        <f t="shared" si="342"/>
        <v>2621080</v>
      </c>
    </row>
    <row r="344">
      <c r="A344" s="246" t="s">
        <v>280</v>
      </c>
      <c r="B344" s="246" t="s">
        <v>281</v>
      </c>
      <c r="C344" s="246" t="s">
        <v>92</v>
      </c>
      <c r="D344" s="246" t="s">
        <v>99</v>
      </c>
      <c r="E344" s="246" t="s">
        <v>86</v>
      </c>
      <c r="F344" s="247"/>
      <c r="G344" s="247"/>
      <c r="H344" s="246" t="s">
        <v>112</v>
      </c>
      <c r="I344" s="246" t="s">
        <v>330</v>
      </c>
      <c r="J344" s="248">
        <v>300.0</v>
      </c>
      <c r="K344" s="249">
        <v>3690000.0</v>
      </c>
      <c r="L344" s="249">
        <v>3690000.0</v>
      </c>
      <c r="M344" s="249">
        <v>3189600.0</v>
      </c>
      <c r="N344" s="249">
        <v>3189600.0</v>
      </c>
      <c r="O344" s="250">
        <f t="shared" ref="O344:P344" si="343">K344+M344</f>
        <v>6879600</v>
      </c>
      <c r="P344" s="250">
        <f t="shared" si="343"/>
        <v>6879600</v>
      </c>
    </row>
    <row r="345">
      <c r="A345" s="246" t="s">
        <v>280</v>
      </c>
      <c r="B345" s="246" t="s">
        <v>281</v>
      </c>
      <c r="C345" s="246" t="s">
        <v>92</v>
      </c>
      <c r="D345" s="246" t="s">
        <v>91</v>
      </c>
      <c r="E345" s="246" t="s">
        <v>100</v>
      </c>
      <c r="F345" s="247"/>
      <c r="G345" s="247"/>
      <c r="H345" s="247"/>
      <c r="I345" s="246" t="s">
        <v>263</v>
      </c>
      <c r="J345" s="248">
        <v>25.0</v>
      </c>
      <c r="K345" s="249">
        <v>1670000.0</v>
      </c>
      <c r="L345" s="249">
        <v>1670000.0</v>
      </c>
      <c r="M345" s="249">
        <v>265800.0</v>
      </c>
      <c r="N345" s="249">
        <v>265800.0</v>
      </c>
      <c r="O345" s="250">
        <f t="shared" ref="O345:P345" si="344">K345+M345</f>
        <v>1935800</v>
      </c>
      <c r="P345" s="250">
        <f t="shared" si="344"/>
        <v>1935800</v>
      </c>
    </row>
    <row r="346">
      <c r="A346" s="246" t="s">
        <v>280</v>
      </c>
      <c r="B346" s="246" t="s">
        <v>281</v>
      </c>
      <c r="C346" s="246" t="s">
        <v>92</v>
      </c>
      <c r="D346" s="246" t="s">
        <v>100</v>
      </c>
      <c r="E346" s="246" t="s">
        <v>84</v>
      </c>
      <c r="F346" s="247"/>
      <c r="G346" s="247"/>
      <c r="H346" s="246" t="s">
        <v>112</v>
      </c>
      <c r="I346" s="246" t="s">
        <v>331</v>
      </c>
      <c r="J346" s="248">
        <v>331.0</v>
      </c>
      <c r="K346" s="249">
        <v>3820000.0</v>
      </c>
      <c r="L346" s="249">
        <v>3820000.0</v>
      </c>
      <c r="M346" s="249">
        <v>3519192.0</v>
      </c>
      <c r="N346" s="249">
        <v>3519192.0</v>
      </c>
      <c r="O346" s="250">
        <f t="shared" ref="O346:P346" si="345">K346+M346</f>
        <v>7339192</v>
      </c>
      <c r="P346" s="250">
        <f t="shared" si="345"/>
        <v>7339192</v>
      </c>
    </row>
    <row r="347">
      <c r="A347" s="246" t="s">
        <v>280</v>
      </c>
      <c r="B347" s="246" t="s">
        <v>281</v>
      </c>
      <c r="C347" s="246" t="s">
        <v>92</v>
      </c>
      <c r="D347" s="246" t="s">
        <v>91</v>
      </c>
      <c r="E347" s="246" t="s">
        <v>100</v>
      </c>
      <c r="F347" s="247"/>
      <c r="G347" s="247"/>
      <c r="H347" s="247"/>
      <c r="I347" s="246" t="s">
        <v>263</v>
      </c>
      <c r="J347" s="248">
        <v>25.0</v>
      </c>
      <c r="K347" s="249">
        <v>1670000.0</v>
      </c>
      <c r="L347" s="249">
        <v>1670000.0</v>
      </c>
      <c r="M347" s="249">
        <v>265800.0</v>
      </c>
      <c r="N347" s="249">
        <v>265800.0</v>
      </c>
      <c r="O347" s="250">
        <f t="shared" ref="O347:P347" si="346">K347+M347</f>
        <v>1935800</v>
      </c>
      <c r="P347" s="250">
        <f t="shared" si="346"/>
        <v>1935800</v>
      </c>
    </row>
    <row r="348">
      <c r="A348" s="246" t="s">
        <v>280</v>
      </c>
      <c r="B348" s="246" t="s">
        <v>281</v>
      </c>
      <c r="C348" s="246" t="s">
        <v>92</v>
      </c>
      <c r="D348" s="246" t="s">
        <v>100</v>
      </c>
      <c r="E348" s="246" t="s">
        <v>85</v>
      </c>
      <c r="F348" s="247"/>
      <c r="G348" s="247"/>
      <c r="H348" s="246" t="s">
        <v>112</v>
      </c>
      <c r="I348" s="246" t="s">
        <v>332</v>
      </c>
      <c r="J348" s="248">
        <v>285.0</v>
      </c>
      <c r="K348" s="249">
        <v>3500000.0</v>
      </c>
      <c r="L348" s="249">
        <v>3500000.0</v>
      </c>
      <c r="M348" s="249">
        <v>3030120.0</v>
      </c>
      <c r="N348" s="249">
        <v>3030120.0</v>
      </c>
      <c r="O348" s="250">
        <f t="shared" ref="O348:P348" si="347">K348+M348</f>
        <v>6530120</v>
      </c>
      <c r="P348" s="250">
        <f t="shared" si="347"/>
        <v>6530120</v>
      </c>
    </row>
    <row r="349">
      <c r="A349" s="246" t="s">
        <v>280</v>
      </c>
      <c r="B349" s="246" t="s">
        <v>281</v>
      </c>
      <c r="C349" s="246" t="s">
        <v>92</v>
      </c>
      <c r="D349" s="246" t="s">
        <v>91</v>
      </c>
      <c r="E349" s="246" t="s">
        <v>100</v>
      </c>
      <c r="F349" s="247"/>
      <c r="G349" s="247"/>
      <c r="H349" s="247"/>
      <c r="I349" s="246" t="s">
        <v>263</v>
      </c>
      <c r="J349" s="248">
        <v>25.0</v>
      </c>
      <c r="K349" s="249">
        <v>1670000.0</v>
      </c>
      <c r="L349" s="249">
        <v>1670000.0</v>
      </c>
      <c r="M349" s="249">
        <v>265800.0</v>
      </c>
      <c r="N349" s="249">
        <v>265800.0</v>
      </c>
      <c r="O349" s="250">
        <f t="shared" ref="O349:P349" si="348">K349+M349</f>
        <v>1935800</v>
      </c>
      <c r="P349" s="250">
        <f t="shared" si="348"/>
        <v>1935800</v>
      </c>
    </row>
    <row r="350">
      <c r="A350" s="246" t="s">
        <v>280</v>
      </c>
      <c r="B350" s="246" t="s">
        <v>281</v>
      </c>
      <c r="C350" s="246" t="s">
        <v>92</v>
      </c>
      <c r="D350" s="246" t="s">
        <v>100</v>
      </c>
      <c r="E350" s="246" t="s">
        <v>86</v>
      </c>
      <c r="F350" s="247"/>
      <c r="G350" s="247"/>
      <c r="H350" s="246" t="s">
        <v>112</v>
      </c>
      <c r="I350" s="246" t="s">
        <v>333</v>
      </c>
      <c r="J350" s="248">
        <v>294.0</v>
      </c>
      <c r="K350" s="249">
        <v>3760000.0</v>
      </c>
      <c r="L350" s="249">
        <v>3760000.0</v>
      </c>
      <c r="M350" s="249">
        <v>3125808.0</v>
      </c>
      <c r="N350" s="249">
        <v>3125808.0</v>
      </c>
      <c r="O350" s="250">
        <f t="shared" ref="O350:P350" si="349">K350+M350</f>
        <v>6885808</v>
      </c>
      <c r="P350" s="250">
        <f t="shared" si="349"/>
        <v>6885808</v>
      </c>
    </row>
    <row r="351">
      <c r="A351" s="246" t="s">
        <v>280</v>
      </c>
      <c r="B351" s="246" t="s">
        <v>281</v>
      </c>
      <c r="C351" s="246" t="s">
        <v>92</v>
      </c>
      <c r="D351" s="246" t="s">
        <v>91</v>
      </c>
      <c r="E351" s="246" t="s">
        <v>101</v>
      </c>
      <c r="F351" s="247"/>
      <c r="G351" s="247"/>
      <c r="H351" s="247"/>
      <c r="I351" s="246" t="s">
        <v>267</v>
      </c>
      <c r="J351" s="248">
        <v>30.0</v>
      </c>
      <c r="K351" s="249">
        <v>1810000.0</v>
      </c>
      <c r="L351" s="249">
        <v>1810000.0</v>
      </c>
      <c r="M351" s="249">
        <v>318960.0</v>
      </c>
      <c r="N351" s="249">
        <v>318960.0</v>
      </c>
      <c r="O351" s="250">
        <f t="shared" ref="O351:P351" si="350">K351+M351</f>
        <v>2128960</v>
      </c>
      <c r="P351" s="250">
        <f t="shared" si="350"/>
        <v>2128960</v>
      </c>
    </row>
    <row r="352">
      <c r="A352" s="246" t="s">
        <v>280</v>
      </c>
      <c r="B352" s="246" t="s">
        <v>281</v>
      </c>
      <c r="C352" s="246" t="s">
        <v>92</v>
      </c>
      <c r="D352" s="246" t="s">
        <v>101</v>
      </c>
      <c r="E352" s="246" t="s">
        <v>84</v>
      </c>
      <c r="F352" s="247"/>
      <c r="G352" s="247"/>
      <c r="H352" s="246" t="s">
        <v>112</v>
      </c>
      <c r="I352" s="246" t="s">
        <v>334</v>
      </c>
      <c r="J352" s="248">
        <v>302.0</v>
      </c>
      <c r="K352" s="249">
        <v>4070000.0</v>
      </c>
      <c r="L352" s="249">
        <v>4070000.0</v>
      </c>
      <c r="M352" s="249">
        <v>3210864.0</v>
      </c>
      <c r="N352" s="249">
        <v>3210864.0</v>
      </c>
      <c r="O352" s="250">
        <f t="shared" ref="O352:P352" si="351">K352+M352</f>
        <v>7280864</v>
      </c>
      <c r="P352" s="250">
        <f t="shared" si="351"/>
        <v>7280864</v>
      </c>
    </row>
    <row r="353">
      <c r="A353" s="246" t="s">
        <v>280</v>
      </c>
      <c r="B353" s="246" t="s">
        <v>281</v>
      </c>
      <c r="C353" s="246" t="s">
        <v>92</v>
      </c>
      <c r="D353" s="246" t="s">
        <v>91</v>
      </c>
      <c r="E353" s="246" t="s">
        <v>101</v>
      </c>
      <c r="F353" s="247"/>
      <c r="G353" s="247"/>
      <c r="H353" s="247"/>
      <c r="I353" s="246" t="s">
        <v>267</v>
      </c>
      <c r="J353" s="248">
        <v>30.0</v>
      </c>
      <c r="K353" s="249">
        <v>1810000.0</v>
      </c>
      <c r="L353" s="249">
        <v>1810000.0</v>
      </c>
      <c r="M353" s="249">
        <v>318960.0</v>
      </c>
      <c r="N353" s="249">
        <v>318960.0</v>
      </c>
      <c r="O353" s="250">
        <f t="shared" ref="O353:P353" si="352">K353+M353</f>
        <v>2128960</v>
      </c>
      <c r="P353" s="250">
        <f t="shared" si="352"/>
        <v>2128960</v>
      </c>
    </row>
    <row r="354">
      <c r="A354" s="246" t="s">
        <v>280</v>
      </c>
      <c r="B354" s="246" t="s">
        <v>281</v>
      </c>
      <c r="C354" s="246" t="s">
        <v>92</v>
      </c>
      <c r="D354" s="246" t="s">
        <v>101</v>
      </c>
      <c r="E354" s="246" t="s">
        <v>85</v>
      </c>
      <c r="F354" s="247"/>
      <c r="G354" s="247"/>
      <c r="H354" s="246" t="s">
        <v>112</v>
      </c>
      <c r="I354" s="246" t="s">
        <v>335</v>
      </c>
      <c r="J354" s="248">
        <v>289.0</v>
      </c>
      <c r="K354" s="249">
        <v>3560000.0</v>
      </c>
      <c r="L354" s="249">
        <v>3560000.0</v>
      </c>
      <c r="M354" s="249">
        <v>3072648.0</v>
      </c>
      <c r="N354" s="249">
        <v>3072648.0</v>
      </c>
      <c r="O354" s="250">
        <f t="shared" ref="O354:P354" si="353">K354+M354</f>
        <v>6632648</v>
      </c>
      <c r="P354" s="250">
        <f t="shared" si="353"/>
        <v>6632648</v>
      </c>
    </row>
    <row r="355">
      <c r="A355" s="246" t="s">
        <v>280</v>
      </c>
      <c r="B355" s="246" t="s">
        <v>281</v>
      </c>
      <c r="C355" s="246" t="s">
        <v>92</v>
      </c>
      <c r="D355" s="246" t="s">
        <v>91</v>
      </c>
      <c r="E355" s="246" t="s">
        <v>101</v>
      </c>
      <c r="F355" s="247"/>
      <c r="G355" s="247"/>
      <c r="H355" s="247"/>
      <c r="I355" s="246" t="s">
        <v>267</v>
      </c>
      <c r="J355" s="248">
        <v>30.0</v>
      </c>
      <c r="K355" s="249">
        <v>1810000.0</v>
      </c>
      <c r="L355" s="249">
        <v>1810000.0</v>
      </c>
      <c r="M355" s="249">
        <v>318960.0</v>
      </c>
      <c r="N355" s="249">
        <v>318960.0</v>
      </c>
      <c r="O355" s="250">
        <f t="shared" ref="O355:P355" si="354">K355+M355</f>
        <v>2128960</v>
      </c>
      <c r="P355" s="250">
        <f t="shared" si="354"/>
        <v>2128960</v>
      </c>
    </row>
    <row r="356">
      <c r="A356" s="246" t="s">
        <v>280</v>
      </c>
      <c r="B356" s="246" t="s">
        <v>281</v>
      </c>
      <c r="C356" s="246" t="s">
        <v>92</v>
      </c>
      <c r="D356" s="246" t="s">
        <v>101</v>
      </c>
      <c r="E356" s="246" t="s">
        <v>86</v>
      </c>
      <c r="F356" s="247"/>
      <c r="G356" s="247"/>
      <c r="H356" s="246" t="s">
        <v>112</v>
      </c>
      <c r="I356" s="246" t="s">
        <v>336</v>
      </c>
      <c r="J356" s="248">
        <v>258.0</v>
      </c>
      <c r="K356" s="249">
        <v>3290000.0</v>
      </c>
      <c r="L356" s="249">
        <v>3290000.0</v>
      </c>
      <c r="M356" s="249">
        <v>2743056.0</v>
      </c>
      <c r="N356" s="249">
        <v>2743056.0</v>
      </c>
      <c r="O356" s="250">
        <f t="shared" ref="O356:P356" si="355">K356+M356</f>
        <v>6033056</v>
      </c>
      <c r="P356" s="250">
        <f t="shared" si="355"/>
        <v>6033056</v>
      </c>
    </row>
    <row r="357">
      <c r="A357" s="246" t="s">
        <v>280</v>
      </c>
      <c r="B357" s="246" t="s">
        <v>281</v>
      </c>
      <c r="C357" s="246" t="s">
        <v>102</v>
      </c>
      <c r="D357" s="246" t="s">
        <v>103</v>
      </c>
      <c r="E357" s="246" t="s">
        <v>84</v>
      </c>
      <c r="F357" s="247"/>
      <c r="G357" s="247"/>
      <c r="H357" s="246" t="s">
        <v>112</v>
      </c>
      <c r="I357" s="246" t="s">
        <v>337</v>
      </c>
      <c r="J357" s="248">
        <v>239.0</v>
      </c>
      <c r="K357" s="249">
        <v>3150000.0</v>
      </c>
      <c r="L357" s="249">
        <v>3150000.0</v>
      </c>
      <c r="M357" s="249">
        <v>2541048.0</v>
      </c>
      <c r="N357" s="249">
        <v>2541048.0</v>
      </c>
      <c r="O357" s="250">
        <f t="shared" ref="O357:P357" si="356">K357+M357</f>
        <v>5691048</v>
      </c>
      <c r="P357" s="250">
        <f t="shared" si="356"/>
        <v>5691048</v>
      </c>
    </row>
    <row r="358">
      <c r="A358" s="246" t="s">
        <v>280</v>
      </c>
      <c r="B358" s="246" t="s">
        <v>281</v>
      </c>
      <c r="C358" s="246" t="s">
        <v>102</v>
      </c>
      <c r="D358" s="246" t="s">
        <v>103</v>
      </c>
      <c r="E358" s="246" t="s">
        <v>85</v>
      </c>
      <c r="F358" s="247"/>
      <c r="G358" s="247"/>
      <c r="H358" s="246" t="s">
        <v>112</v>
      </c>
      <c r="I358" s="246" t="s">
        <v>338</v>
      </c>
      <c r="J358" s="248">
        <v>227.0</v>
      </c>
      <c r="K358" s="249">
        <v>3150000.0</v>
      </c>
      <c r="L358" s="249">
        <v>3150000.0</v>
      </c>
      <c r="M358" s="249">
        <v>2413464.0</v>
      </c>
      <c r="N358" s="249">
        <v>2413464.0</v>
      </c>
      <c r="O358" s="250">
        <f t="shared" ref="O358:P358" si="357">K358+M358</f>
        <v>5563464</v>
      </c>
      <c r="P358" s="250">
        <f t="shared" si="357"/>
        <v>5563464</v>
      </c>
    </row>
    <row r="359">
      <c r="A359" s="246" t="s">
        <v>280</v>
      </c>
      <c r="B359" s="246" t="s">
        <v>281</v>
      </c>
      <c r="C359" s="246" t="s">
        <v>102</v>
      </c>
      <c r="D359" s="246" t="s">
        <v>103</v>
      </c>
      <c r="E359" s="246" t="s">
        <v>86</v>
      </c>
      <c r="F359" s="247"/>
      <c r="G359" s="247"/>
      <c r="H359" s="246" t="s">
        <v>112</v>
      </c>
      <c r="I359" s="246" t="s">
        <v>339</v>
      </c>
      <c r="J359" s="248">
        <v>234.0</v>
      </c>
      <c r="K359" s="249">
        <v>3170000.0</v>
      </c>
      <c r="L359" s="249">
        <v>3170000.0</v>
      </c>
      <c r="M359" s="249">
        <v>2487888.0</v>
      </c>
      <c r="N359" s="249">
        <v>2487888.0</v>
      </c>
      <c r="O359" s="250">
        <f t="shared" ref="O359:P359" si="358">K359+M359</f>
        <v>5657888</v>
      </c>
      <c r="P359" s="250">
        <f t="shared" si="358"/>
        <v>5657888</v>
      </c>
    </row>
    <row r="360">
      <c r="A360" s="246" t="s">
        <v>280</v>
      </c>
      <c r="B360" s="246" t="s">
        <v>281</v>
      </c>
      <c r="C360" s="246" t="s">
        <v>102</v>
      </c>
      <c r="D360" s="246" t="s">
        <v>104</v>
      </c>
      <c r="E360" s="246" t="s">
        <v>84</v>
      </c>
      <c r="F360" s="247"/>
      <c r="G360" s="247"/>
      <c r="H360" s="246" t="s">
        <v>112</v>
      </c>
      <c r="I360" s="246" t="s">
        <v>340</v>
      </c>
      <c r="J360" s="248">
        <v>258.0</v>
      </c>
      <c r="K360" s="249">
        <v>4020000.0</v>
      </c>
      <c r="L360" s="249">
        <v>4020000.0</v>
      </c>
      <c r="M360" s="249">
        <v>2743056.0</v>
      </c>
      <c r="N360" s="249">
        <v>2743056.0</v>
      </c>
      <c r="O360" s="250">
        <f t="shared" ref="O360:P360" si="359">K360+M360</f>
        <v>6763056</v>
      </c>
      <c r="P360" s="250">
        <f t="shared" si="359"/>
        <v>6763056</v>
      </c>
    </row>
    <row r="361">
      <c r="A361" s="246" t="s">
        <v>280</v>
      </c>
      <c r="B361" s="246" t="s">
        <v>281</v>
      </c>
      <c r="C361" s="246" t="s">
        <v>102</v>
      </c>
      <c r="D361" s="246" t="s">
        <v>104</v>
      </c>
      <c r="E361" s="246" t="s">
        <v>85</v>
      </c>
      <c r="F361" s="247"/>
      <c r="G361" s="247"/>
      <c r="H361" s="246" t="s">
        <v>112</v>
      </c>
      <c r="I361" s="246" t="s">
        <v>341</v>
      </c>
      <c r="J361" s="248">
        <v>212.0</v>
      </c>
      <c r="K361" s="249">
        <v>3690000.0</v>
      </c>
      <c r="L361" s="249">
        <v>3690000.0</v>
      </c>
      <c r="M361" s="249">
        <v>2253984.0</v>
      </c>
      <c r="N361" s="249">
        <v>2253984.0</v>
      </c>
      <c r="O361" s="250">
        <f t="shared" ref="O361:P361" si="360">K361+M361</f>
        <v>5943984</v>
      </c>
      <c r="P361" s="250">
        <f t="shared" si="360"/>
        <v>5943984</v>
      </c>
    </row>
    <row r="362">
      <c r="A362" s="246" t="s">
        <v>280</v>
      </c>
      <c r="B362" s="246" t="s">
        <v>281</v>
      </c>
      <c r="C362" s="246" t="s">
        <v>102</v>
      </c>
      <c r="D362" s="246" t="s">
        <v>104</v>
      </c>
      <c r="E362" s="246" t="s">
        <v>86</v>
      </c>
      <c r="F362" s="247"/>
      <c r="G362" s="247"/>
      <c r="H362" s="246" t="s">
        <v>112</v>
      </c>
      <c r="I362" s="246" t="s">
        <v>342</v>
      </c>
      <c r="J362" s="248">
        <v>191.0</v>
      </c>
      <c r="K362" s="249">
        <v>3630000.0</v>
      </c>
      <c r="L362" s="249">
        <v>3630000.0</v>
      </c>
      <c r="M362" s="249">
        <v>2030712.0</v>
      </c>
      <c r="N362" s="249">
        <v>2030712.0</v>
      </c>
      <c r="O362" s="250">
        <f t="shared" ref="O362:P362" si="361">K362+M362</f>
        <v>5660712</v>
      </c>
      <c r="P362" s="250">
        <f t="shared" si="361"/>
        <v>5660712</v>
      </c>
    </row>
    <row r="363">
      <c r="A363" s="246" t="s">
        <v>280</v>
      </c>
      <c r="B363" s="246" t="s">
        <v>281</v>
      </c>
      <c r="C363" s="246" t="s">
        <v>102</v>
      </c>
      <c r="D363" s="246" t="s">
        <v>105</v>
      </c>
      <c r="E363" s="246" t="s">
        <v>84</v>
      </c>
      <c r="F363" s="247"/>
      <c r="G363" s="247"/>
      <c r="H363" s="246" t="s">
        <v>112</v>
      </c>
      <c r="I363" s="246" t="s">
        <v>343</v>
      </c>
      <c r="J363" s="248">
        <v>228.0</v>
      </c>
      <c r="K363" s="249">
        <v>3100000.0</v>
      </c>
      <c r="L363" s="249">
        <v>3100000.0</v>
      </c>
      <c r="M363" s="249">
        <v>2424096.0</v>
      </c>
      <c r="N363" s="249">
        <v>2424096.0</v>
      </c>
      <c r="O363" s="250">
        <f t="shared" ref="O363:P363" si="362">K363+M363</f>
        <v>5524096</v>
      </c>
      <c r="P363" s="250">
        <f t="shared" si="362"/>
        <v>5524096</v>
      </c>
    </row>
    <row r="364">
      <c r="A364" s="246" t="s">
        <v>280</v>
      </c>
      <c r="B364" s="246" t="s">
        <v>281</v>
      </c>
      <c r="C364" s="246" t="s">
        <v>102</v>
      </c>
      <c r="D364" s="246" t="s">
        <v>105</v>
      </c>
      <c r="E364" s="246" t="s">
        <v>85</v>
      </c>
      <c r="F364" s="247"/>
      <c r="G364" s="247"/>
      <c r="H364" s="246" t="s">
        <v>112</v>
      </c>
      <c r="I364" s="246" t="s">
        <v>344</v>
      </c>
      <c r="J364" s="248">
        <v>207.0</v>
      </c>
      <c r="K364" s="249">
        <v>3050000.0</v>
      </c>
      <c r="L364" s="249">
        <v>3050000.0</v>
      </c>
      <c r="M364" s="249">
        <v>2200824.0</v>
      </c>
      <c r="N364" s="249">
        <v>2200824.0</v>
      </c>
      <c r="O364" s="250">
        <f t="shared" ref="O364:P364" si="363">K364+M364</f>
        <v>5250824</v>
      </c>
      <c r="P364" s="250">
        <f t="shared" si="363"/>
        <v>5250824</v>
      </c>
    </row>
    <row r="365">
      <c r="A365" s="246" t="s">
        <v>280</v>
      </c>
      <c r="B365" s="246" t="s">
        <v>281</v>
      </c>
      <c r="C365" s="246" t="s">
        <v>102</v>
      </c>
      <c r="D365" s="246" t="s">
        <v>105</v>
      </c>
      <c r="E365" s="246" t="s">
        <v>86</v>
      </c>
      <c r="F365" s="247"/>
      <c r="G365" s="247"/>
      <c r="H365" s="246" t="s">
        <v>112</v>
      </c>
      <c r="I365" s="246" t="s">
        <v>345</v>
      </c>
      <c r="J365" s="248">
        <v>221.0</v>
      </c>
      <c r="K365" s="249">
        <v>3100000.0</v>
      </c>
      <c r="L365" s="249">
        <v>3100000.0</v>
      </c>
      <c r="M365" s="249">
        <v>2349672.0</v>
      </c>
      <c r="N365" s="249">
        <v>2349672.0</v>
      </c>
      <c r="O365" s="250">
        <f t="shared" ref="O365:P365" si="364">K365+M365</f>
        <v>5449672</v>
      </c>
      <c r="P365" s="250">
        <f t="shared" si="364"/>
        <v>5449672</v>
      </c>
    </row>
    <row r="366">
      <c r="A366" s="246" t="s">
        <v>205</v>
      </c>
      <c r="B366" s="246" t="s">
        <v>116</v>
      </c>
      <c r="C366" s="246" t="s">
        <v>89</v>
      </c>
      <c r="D366" s="246" t="s">
        <v>90</v>
      </c>
      <c r="E366" s="246" t="s">
        <v>84</v>
      </c>
      <c r="F366" s="247"/>
      <c r="G366" s="247"/>
      <c r="H366" s="246" t="s">
        <v>90</v>
      </c>
      <c r="I366" s="246" t="s">
        <v>346</v>
      </c>
      <c r="J366" s="248">
        <v>170.0</v>
      </c>
      <c r="K366" s="249">
        <v>2410000.0</v>
      </c>
      <c r="L366" s="249">
        <v>2410000.0</v>
      </c>
      <c r="M366" s="249">
        <v>1566448.0</v>
      </c>
      <c r="N366" s="249">
        <v>1566448.0</v>
      </c>
      <c r="O366" s="250">
        <f t="shared" ref="O366:P366" si="365">K366+M366</f>
        <v>3976448</v>
      </c>
      <c r="P366" s="250">
        <f t="shared" si="365"/>
        <v>3976448</v>
      </c>
    </row>
    <row r="367">
      <c r="A367" s="246" t="s">
        <v>205</v>
      </c>
      <c r="B367" s="246" t="s">
        <v>116</v>
      </c>
      <c r="C367" s="246" t="s">
        <v>89</v>
      </c>
      <c r="D367" s="246" t="s">
        <v>90</v>
      </c>
      <c r="E367" s="246" t="s">
        <v>85</v>
      </c>
      <c r="F367" s="247"/>
      <c r="G367" s="247"/>
      <c r="H367" s="246" t="s">
        <v>90</v>
      </c>
      <c r="I367" s="246" t="s">
        <v>347</v>
      </c>
      <c r="J367" s="248">
        <v>70.0</v>
      </c>
      <c r="K367" s="249">
        <v>1420000.0</v>
      </c>
      <c r="L367" s="249">
        <v>1420000.0</v>
      </c>
      <c r="M367" s="249">
        <v>645008.0</v>
      </c>
      <c r="N367" s="249">
        <v>645008.0</v>
      </c>
      <c r="O367" s="250">
        <f t="shared" ref="O367:P367" si="366">K367+M367</f>
        <v>2065008</v>
      </c>
      <c r="P367" s="250">
        <f t="shared" si="366"/>
        <v>2065008</v>
      </c>
    </row>
    <row r="368">
      <c r="A368" s="246" t="s">
        <v>205</v>
      </c>
      <c r="B368" s="246" t="s">
        <v>116</v>
      </c>
      <c r="C368" s="246" t="s">
        <v>89</v>
      </c>
      <c r="D368" s="246" t="s">
        <v>90</v>
      </c>
      <c r="E368" s="246" t="s">
        <v>86</v>
      </c>
      <c r="F368" s="247"/>
      <c r="G368" s="247"/>
      <c r="H368" s="246" t="s">
        <v>90</v>
      </c>
      <c r="I368" s="246" t="s">
        <v>348</v>
      </c>
      <c r="J368" s="248">
        <v>55.0</v>
      </c>
      <c r="K368" s="249">
        <v>1420000.0</v>
      </c>
      <c r="L368" s="249">
        <v>1420000.0</v>
      </c>
      <c r="M368" s="249">
        <v>506792.0</v>
      </c>
      <c r="N368" s="249">
        <v>506792.0</v>
      </c>
      <c r="O368" s="250">
        <f t="shared" ref="O368:P368" si="367">K368+M368</f>
        <v>1926792</v>
      </c>
      <c r="P368" s="250">
        <f t="shared" si="367"/>
        <v>1926792</v>
      </c>
    </row>
    <row r="369">
      <c r="A369" s="246" t="s">
        <v>205</v>
      </c>
      <c r="B369" s="246" t="s">
        <v>116</v>
      </c>
      <c r="C369" s="246" t="s">
        <v>89</v>
      </c>
      <c r="D369" s="246" t="s">
        <v>90</v>
      </c>
      <c r="E369" s="246" t="s">
        <v>84</v>
      </c>
      <c r="F369" s="246" t="s">
        <v>85</v>
      </c>
      <c r="G369" s="247"/>
      <c r="H369" s="246" t="s">
        <v>90</v>
      </c>
      <c r="I369" s="246" t="s">
        <v>349</v>
      </c>
      <c r="J369" s="248">
        <v>175.0</v>
      </c>
      <c r="K369" s="249">
        <v>2550000.0</v>
      </c>
      <c r="L369" s="249">
        <v>2550000.0</v>
      </c>
      <c r="M369" s="249">
        <v>1612520.0</v>
      </c>
      <c r="N369" s="249">
        <v>1612520.0</v>
      </c>
      <c r="O369" s="250">
        <f t="shared" ref="O369:P369" si="368">K369+M369</f>
        <v>4162520</v>
      </c>
      <c r="P369" s="250">
        <f t="shared" si="368"/>
        <v>4162520</v>
      </c>
    </row>
    <row r="370">
      <c r="A370" s="246" t="s">
        <v>205</v>
      </c>
      <c r="B370" s="246" t="s">
        <v>116</v>
      </c>
      <c r="C370" s="246" t="s">
        <v>89</v>
      </c>
      <c r="D370" s="246" t="s">
        <v>90</v>
      </c>
      <c r="E370" s="246" t="s">
        <v>84</v>
      </c>
      <c r="F370" s="246" t="s">
        <v>86</v>
      </c>
      <c r="G370" s="247"/>
      <c r="H370" s="246" t="s">
        <v>90</v>
      </c>
      <c r="I370" s="246" t="s">
        <v>350</v>
      </c>
      <c r="J370" s="248">
        <v>165.0</v>
      </c>
      <c r="K370" s="249">
        <v>2530000.0</v>
      </c>
      <c r="L370" s="249">
        <v>2530000.0</v>
      </c>
      <c r="M370" s="249">
        <v>1520376.0</v>
      </c>
      <c r="N370" s="249">
        <v>1520376.0</v>
      </c>
      <c r="O370" s="250">
        <f t="shared" ref="O370:P370" si="369">K370+M370</f>
        <v>4050376</v>
      </c>
      <c r="P370" s="250">
        <f t="shared" si="369"/>
        <v>4050376</v>
      </c>
    </row>
    <row r="371">
      <c r="A371" s="246" t="s">
        <v>205</v>
      </c>
      <c r="B371" s="246" t="s">
        <v>116</v>
      </c>
      <c r="C371" s="246" t="s">
        <v>89</v>
      </c>
      <c r="D371" s="246" t="s">
        <v>90</v>
      </c>
      <c r="E371" s="246" t="s">
        <v>85</v>
      </c>
      <c r="F371" s="246" t="s">
        <v>86</v>
      </c>
      <c r="G371" s="247"/>
      <c r="H371" s="246" t="s">
        <v>90</v>
      </c>
      <c r="I371" s="246" t="s">
        <v>351</v>
      </c>
      <c r="J371" s="248">
        <v>80.0</v>
      </c>
      <c r="K371" s="249">
        <v>1810000.0</v>
      </c>
      <c r="L371" s="249">
        <v>1810000.0</v>
      </c>
      <c r="M371" s="249">
        <v>737152.0</v>
      </c>
      <c r="N371" s="249">
        <v>737152.0</v>
      </c>
      <c r="O371" s="250">
        <f t="shared" ref="O371:P371" si="370">K371+M371</f>
        <v>2547152</v>
      </c>
      <c r="P371" s="250">
        <f t="shared" si="370"/>
        <v>2547152</v>
      </c>
    </row>
    <row r="372">
      <c r="A372" s="246" t="s">
        <v>205</v>
      </c>
      <c r="B372" s="246" t="s">
        <v>116</v>
      </c>
      <c r="C372" s="246" t="s">
        <v>89</v>
      </c>
      <c r="D372" s="246" t="s">
        <v>90</v>
      </c>
      <c r="E372" s="246" t="s">
        <v>84</v>
      </c>
      <c r="F372" s="246" t="s">
        <v>85</v>
      </c>
      <c r="G372" s="246" t="s">
        <v>86</v>
      </c>
      <c r="H372" s="246" t="s">
        <v>90</v>
      </c>
      <c r="I372" s="246" t="s">
        <v>352</v>
      </c>
      <c r="J372" s="248">
        <v>180.0</v>
      </c>
      <c r="K372" s="249">
        <v>2860000.0</v>
      </c>
      <c r="L372" s="249">
        <v>2860000.0</v>
      </c>
      <c r="M372" s="249">
        <v>1658592.0</v>
      </c>
      <c r="N372" s="249">
        <v>1658592.0</v>
      </c>
      <c r="O372" s="250">
        <f t="shared" ref="O372:P372" si="371">K372+M372</f>
        <v>4518592</v>
      </c>
      <c r="P372" s="250">
        <f t="shared" si="371"/>
        <v>4518592</v>
      </c>
    </row>
    <row r="373">
      <c r="A373" s="246" t="s">
        <v>205</v>
      </c>
      <c r="B373" s="246" t="s">
        <v>116</v>
      </c>
      <c r="C373" s="246" t="s">
        <v>89</v>
      </c>
      <c r="D373" s="246" t="s">
        <v>90</v>
      </c>
      <c r="E373" s="246" t="s">
        <v>87</v>
      </c>
      <c r="F373" s="247"/>
      <c r="G373" s="247"/>
      <c r="H373" s="246" t="s">
        <v>90</v>
      </c>
      <c r="I373" s="246" t="s">
        <v>353</v>
      </c>
      <c r="J373" s="248">
        <v>100.0</v>
      </c>
      <c r="K373" s="249">
        <v>2440000.0</v>
      </c>
      <c r="L373" s="249">
        <v>2440000.0</v>
      </c>
      <c r="M373" s="249">
        <v>921440.0</v>
      </c>
      <c r="N373" s="249">
        <v>921440.0</v>
      </c>
      <c r="O373" s="250">
        <f t="shared" ref="O373:P373" si="372">K373+M373</f>
        <v>3361440</v>
      </c>
      <c r="P373" s="250">
        <f t="shared" si="372"/>
        <v>3361440</v>
      </c>
    </row>
    <row r="374">
      <c r="A374" s="246" t="s">
        <v>205</v>
      </c>
      <c r="B374" s="246" t="s">
        <v>116</v>
      </c>
      <c r="C374" s="246" t="s">
        <v>89</v>
      </c>
      <c r="D374" s="246" t="s">
        <v>90</v>
      </c>
      <c r="E374" s="246" t="s">
        <v>87</v>
      </c>
      <c r="F374" s="246" t="s">
        <v>84</v>
      </c>
      <c r="G374" s="247"/>
      <c r="H374" s="246" t="s">
        <v>90</v>
      </c>
      <c r="I374" s="246" t="s">
        <v>354</v>
      </c>
      <c r="J374" s="248">
        <v>160.0</v>
      </c>
      <c r="K374" s="249">
        <v>3230000.0</v>
      </c>
      <c r="L374" s="249">
        <v>3230000.0</v>
      </c>
      <c r="M374" s="249">
        <v>1474304.0</v>
      </c>
      <c r="N374" s="249">
        <v>1474304.0</v>
      </c>
      <c r="O374" s="250">
        <f t="shared" ref="O374:P374" si="373">K374+M374</f>
        <v>4704304</v>
      </c>
      <c r="P374" s="250">
        <f t="shared" si="373"/>
        <v>4704304</v>
      </c>
    </row>
    <row r="375">
      <c r="A375" s="246" t="s">
        <v>205</v>
      </c>
      <c r="B375" s="246" t="s">
        <v>116</v>
      </c>
      <c r="C375" s="246" t="s">
        <v>89</v>
      </c>
      <c r="D375" s="246" t="s">
        <v>90</v>
      </c>
      <c r="E375" s="246" t="s">
        <v>87</v>
      </c>
      <c r="F375" s="246" t="s">
        <v>85</v>
      </c>
      <c r="G375" s="247"/>
      <c r="H375" s="246" t="s">
        <v>90</v>
      </c>
      <c r="I375" s="246" t="s">
        <v>355</v>
      </c>
      <c r="J375" s="248">
        <v>130.0</v>
      </c>
      <c r="K375" s="249">
        <v>3180000.0</v>
      </c>
      <c r="L375" s="249">
        <v>3180000.0</v>
      </c>
      <c r="M375" s="249">
        <v>1197872.0</v>
      </c>
      <c r="N375" s="249">
        <v>1197872.0</v>
      </c>
      <c r="O375" s="250">
        <f t="shared" ref="O375:P375" si="374">K375+M375</f>
        <v>4377872</v>
      </c>
      <c r="P375" s="250">
        <f t="shared" si="374"/>
        <v>4377872</v>
      </c>
    </row>
    <row r="376">
      <c r="A376" s="246" t="s">
        <v>205</v>
      </c>
      <c r="B376" s="246" t="s">
        <v>116</v>
      </c>
      <c r="C376" s="246" t="s">
        <v>89</v>
      </c>
      <c r="D376" s="246" t="s">
        <v>90</v>
      </c>
      <c r="E376" s="246" t="s">
        <v>88</v>
      </c>
      <c r="F376" s="247"/>
      <c r="G376" s="247"/>
      <c r="H376" s="246" t="s">
        <v>90</v>
      </c>
      <c r="I376" s="246" t="s">
        <v>356</v>
      </c>
      <c r="J376" s="248">
        <v>80.0</v>
      </c>
      <c r="K376" s="249">
        <v>1760000.0</v>
      </c>
      <c r="L376" s="249">
        <v>1760000.0</v>
      </c>
      <c r="M376" s="249">
        <v>737152.0</v>
      </c>
      <c r="N376" s="249">
        <v>737152.0</v>
      </c>
      <c r="O376" s="250">
        <f t="shared" ref="O376:P376" si="375">K376+M376</f>
        <v>2497152</v>
      </c>
      <c r="P376" s="250">
        <f t="shared" si="375"/>
        <v>2497152</v>
      </c>
    </row>
    <row r="377">
      <c r="A377" s="246" t="s">
        <v>205</v>
      </c>
      <c r="B377" s="246" t="s">
        <v>116</v>
      </c>
      <c r="C377" s="246" t="s">
        <v>89</v>
      </c>
      <c r="D377" s="246" t="s">
        <v>90</v>
      </c>
      <c r="E377" s="246" t="s">
        <v>88</v>
      </c>
      <c r="F377" s="246" t="s">
        <v>85</v>
      </c>
      <c r="G377" s="247"/>
      <c r="H377" s="246" t="s">
        <v>90</v>
      </c>
      <c r="I377" s="246" t="s">
        <v>357</v>
      </c>
      <c r="J377" s="248">
        <v>90.0</v>
      </c>
      <c r="K377" s="249">
        <v>1780000.0</v>
      </c>
      <c r="L377" s="249">
        <v>1780000.0</v>
      </c>
      <c r="M377" s="249">
        <v>829296.0</v>
      </c>
      <c r="N377" s="249">
        <v>829296.0</v>
      </c>
      <c r="O377" s="250">
        <f t="shared" ref="O377:P377" si="376">K377+M377</f>
        <v>2609296</v>
      </c>
      <c r="P377" s="250">
        <f t="shared" si="376"/>
        <v>2609296</v>
      </c>
    </row>
    <row r="378">
      <c r="A378" s="246" t="s">
        <v>205</v>
      </c>
      <c r="B378" s="246" t="s">
        <v>116</v>
      </c>
      <c r="C378" s="246" t="s">
        <v>89</v>
      </c>
      <c r="D378" s="246" t="s">
        <v>90</v>
      </c>
      <c r="E378" s="246" t="s">
        <v>88</v>
      </c>
      <c r="F378" s="246" t="s">
        <v>86</v>
      </c>
      <c r="G378" s="247"/>
      <c r="H378" s="246" t="s">
        <v>90</v>
      </c>
      <c r="I378" s="246" t="s">
        <v>358</v>
      </c>
      <c r="J378" s="248">
        <v>100.0</v>
      </c>
      <c r="K378" s="249">
        <v>1840000.0</v>
      </c>
      <c r="L378" s="249">
        <v>1840000.0</v>
      </c>
      <c r="M378" s="249">
        <v>921440.0</v>
      </c>
      <c r="N378" s="249">
        <v>921440.0</v>
      </c>
      <c r="O378" s="250">
        <f t="shared" ref="O378:P378" si="377">K378+M378</f>
        <v>2761440</v>
      </c>
      <c r="P378" s="250">
        <f t="shared" si="377"/>
        <v>2761440</v>
      </c>
    </row>
    <row r="379">
      <c r="A379" s="246" t="s">
        <v>205</v>
      </c>
      <c r="B379" s="246" t="s">
        <v>116</v>
      </c>
      <c r="C379" s="246" t="s">
        <v>89</v>
      </c>
      <c r="D379" s="246" t="s">
        <v>90</v>
      </c>
      <c r="E379" s="246" t="s">
        <v>88</v>
      </c>
      <c r="F379" s="246" t="s">
        <v>85</v>
      </c>
      <c r="G379" s="246" t="s">
        <v>86</v>
      </c>
      <c r="H379" s="246" t="s">
        <v>90</v>
      </c>
      <c r="I379" s="246" t="s">
        <v>359</v>
      </c>
      <c r="J379" s="248">
        <v>110.0</v>
      </c>
      <c r="K379" s="249">
        <v>2200000.0</v>
      </c>
      <c r="L379" s="249">
        <v>2200000.0</v>
      </c>
      <c r="M379" s="249">
        <v>1013584.0</v>
      </c>
      <c r="N379" s="249">
        <v>1013584.0</v>
      </c>
      <c r="O379" s="250">
        <f t="shared" ref="O379:P379" si="378">K379+M379</f>
        <v>3213584</v>
      </c>
      <c r="P379" s="250">
        <f t="shared" si="378"/>
        <v>3213584</v>
      </c>
    </row>
    <row r="380">
      <c r="A380" s="246" t="s">
        <v>205</v>
      </c>
      <c r="B380" s="246" t="s">
        <v>116</v>
      </c>
      <c r="C380" s="246" t="s">
        <v>92</v>
      </c>
      <c r="D380" s="246" t="s">
        <v>90</v>
      </c>
      <c r="E380" s="246" t="s">
        <v>96</v>
      </c>
      <c r="F380" s="247"/>
      <c r="G380" s="247"/>
      <c r="H380" s="247"/>
      <c r="I380" s="246" t="s">
        <v>247</v>
      </c>
      <c r="J380" s="248">
        <v>85.0</v>
      </c>
      <c r="K380" s="249">
        <v>1600000.0</v>
      </c>
      <c r="L380" s="249">
        <v>1600000.0</v>
      </c>
      <c r="M380" s="249">
        <v>903720.0</v>
      </c>
      <c r="N380" s="249">
        <v>903720.0</v>
      </c>
      <c r="O380" s="250">
        <f t="shared" ref="O380:P380" si="379">K380+M380</f>
        <v>2503720</v>
      </c>
      <c r="P380" s="250">
        <f t="shared" si="379"/>
        <v>2503720</v>
      </c>
    </row>
    <row r="381">
      <c r="A381" s="246" t="s">
        <v>205</v>
      </c>
      <c r="B381" s="246" t="s">
        <v>116</v>
      </c>
      <c r="C381" s="246" t="s">
        <v>92</v>
      </c>
      <c r="D381" s="246" t="s">
        <v>96</v>
      </c>
      <c r="E381" s="246" t="s">
        <v>84</v>
      </c>
      <c r="F381" s="247"/>
      <c r="G381" s="247"/>
      <c r="H381" s="246" t="s">
        <v>90</v>
      </c>
      <c r="I381" s="246" t="s">
        <v>360</v>
      </c>
      <c r="J381" s="248">
        <v>85.0</v>
      </c>
      <c r="K381" s="249">
        <v>1600000.0</v>
      </c>
      <c r="L381" s="249">
        <v>1600000.0</v>
      </c>
      <c r="M381" s="249">
        <v>903720.0</v>
      </c>
      <c r="N381" s="249">
        <v>903720.0</v>
      </c>
      <c r="O381" s="250">
        <f t="shared" ref="O381:P381" si="380">K381+M381</f>
        <v>2503720</v>
      </c>
      <c r="P381" s="250">
        <f t="shared" si="380"/>
        <v>2503720</v>
      </c>
    </row>
    <row r="382">
      <c r="A382" s="246" t="s">
        <v>205</v>
      </c>
      <c r="B382" s="246" t="s">
        <v>116</v>
      </c>
      <c r="C382" s="246" t="s">
        <v>92</v>
      </c>
      <c r="D382" s="246" t="s">
        <v>90</v>
      </c>
      <c r="E382" s="246" t="s">
        <v>96</v>
      </c>
      <c r="F382" s="247"/>
      <c r="G382" s="247"/>
      <c r="H382" s="247"/>
      <c r="I382" s="246" t="s">
        <v>247</v>
      </c>
      <c r="J382" s="248">
        <v>85.0</v>
      </c>
      <c r="K382" s="249">
        <v>1600000.0</v>
      </c>
      <c r="L382" s="249">
        <v>1600000.0</v>
      </c>
      <c r="M382" s="249">
        <v>903720.0</v>
      </c>
      <c r="N382" s="249">
        <v>903720.0</v>
      </c>
      <c r="O382" s="250">
        <f t="shared" ref="O382:P382" si="381">K382+M382</f>
        <v>2503720</v>
      </c>
      <c r="P382" s="250">
        <f t="shared" si="381"/>
        <v>2503720</v>
      </c>
    </row>
    <row r="383">
      <c r="A383" s="246" t="s">
        <v>205</v>
      </c>
      <c r="B383" s="246" t="s">
        <v>116</v>
      </c>
      <c r="C383" s="246" t="s">
        <v>92</v>
      </c>
      <c r="D383" s="246" t="s">
        <v>96</v>
      </c>
      <c r="E383" s="246" t="s">
        <v>85</v>
      </c>
      <c r="F383" s="247"/>
      <c r="G383" s="247"/>
      <c r="H383" s="246" t="s">
        <v>90</v>
      </c>
      <c r="I383" s="246" t="s">
        <v>361</v>
      </c>
      <c r="J383" s="248">
        <v>70.0</v>
      </c>
      <c r="K383" s="249">
        <v>1700000.0</v>
      </c>
      <c r="L383" s="249">
        <v>1700000.0</v>
      </c>
      <c r="M383" s="249">
        <v>744240.0</v>
      </c>
      <c r="N383" s="249">
        <v>744240.0</v>
      </c>
      <c r="O383" s="250">
        <f t="shared" ref="O383:P383" si="382">K383+M383</f>
        <v>2444240</v>
      </c>
      <c r="P383" s="250">
        <f t="shared" si="382"/>
        <v>2444240</v>
      </c>
    </row>
    <row r="384">
      <c r="A384" s="246" t="s">
        <v>205</v>
      </c>
      <c r="B384" s="246" t="s">
        <v>116</v>
      </c>
      <c r="C384" s="246" t="s">
        <v>92</v>
      </c>
      <c r="D384" s="246" t="s">
        <v>90</v>
      </c>
      <c r="E384" s="246" t="s">
        <v>96</v>
      </c>
      <c r="F384" s="247"/>
      <c r="G384" s="247"/>
      <c r="H384" s="247"/>
      <c r="I384" s="246" t="s">
        <v>247</v>
      </c>
      <c r="J384" s="248">
        <v>85.0</v>
      </c>
      <c r="K384" s="249">
        <v>1600000.0</v>
      </c>
      <c r="L384" s="249">
        <v>1600000.0</v>
      </c>
      <c r="M384" s="249">
        <v>903720.0</v>
      </c>
      <c r="N384" s="249">
        <v>903720.0</v>
      </c>
      <c r="O384" s="250">
        <f t="shared" ref="O384:P384" si="383">K384+M384</f>
        <v>2503720</v>
      </c>
      <c r="P384" s="250">
        <f t="shared" si="383"/>
        <v>2503720</v>
      </c>
    </row>
    <row r="385">
      <c r="A385" s="246" t="s">
        <v>205</v>
      </c>
      <c r="B385" s="246" t="s">
        <v>116</v>
      </c>
      <c r="C385" s="246" t="s">
        <v>92</v>
      </c>
      <c r="D385" s="246" t="s">
        <v>96</v>
      </c>
      <c r="E385" s="246" t="s">
        <v>86</v>
      </c>
      <c r="F385" s="247"/>
      <c r="G385" s="247"/>
      <c r="H385" s="246" t="s">
        <v>90</v>
      </c>
      <c r="I385" s="246" t="s">
        <v>362</v>
      </c>
      <c r="J385" s="248">
        <v>80.0</v>
      </c>
      <c r="K385" s="249">
        <v>1700000.0</v>
      </c>
      <c r="L385" s="249">
        <v>1700000.0</v>
      </c>
      <c r="M385" s="249">
        <v>850560.0</v>
      </c>
      <c r="N385" s="249">
        <v>850560.0</v>
      </c>
      <c r="O385" s="250">
        <f t="shared" ref="O385:P385" si="384">K385+M385</f>
        <v>2550560</v>
      </c>
      <c r="P385" s="250">
        <f t="shared" si="384"/>
        <v>2550560</v>
      </c>
    </row>
    <row r="386">
      <c r="A386" s="246" t="s">
        <v>205</v>
      </c>
      <c r="B386" s="246" t="s">
        <v>116</v>
      </c>
      <c r="C386" s="246" t="s">
        <v>92</v>
      </c>
      <c r="D386" s="246" t="s">
        <v>90</v>
      </c>
      <c r="E386" s="246" t="s">
        <v>97</v>
      </c>
      <c r="F386" s="247"/>
      <c r="G386" s="247"/>
      <c r="H386" s="247"/>
      <c r="I386" s="246" t="s">
        <v>251</v>
      </c>
      <c r="J386" s="248">
        <v>35.0</v>
      </c>
      <c r="K386" s="249">
        <v>1100000.0</v>
      </c>
      <c r="L386" s="249">
        <v>1100000.0</v>
      </c>
      <c r="M386" s="249">
        <v>372120.0</v>
      </c>
      <c r="N386" s="249">
        <v>372120.0</v>
      </c>
      <c r="O386" s="250">
        <f t="shared" ref="O386:P386" si="385">K386+M386</f>
        <v>1472120</v>
      </c>
      <c r="P386" s="250">
        <f t="shared" si="385"/>
        <v>1472120</v>
      </c>
    </row>
    <row r="387">
      <c r="A387" s="246" t="s">
        <v>205</v>
      </c>
      <c r="B387" s="246" t="s">
        <v>116</v>
      </c>
      <c r="C387" s="246" t="s">
        <v>92</v>
      </c>
      <c r="D387" s="246" t="s">
        <v>97</v>
      </c>
      <c r="E387" s="246" t="s">
        <v>84</v>
      </c>
      <c r="F387" s="247"/>
      <c r="G387" s="247"/>
      <c r="H387" s="246" t="s">
        <v>90</v>
      </c>
      <c r="I387" s="246" t="s">
        <v>363</v>
      </c>
      <c r="J387" s="248">
        <v>130.0</v>
      </c>
      <c r="K387" s="249">
        <v>2000000.0</v>
      </c>
      <c r="L387" s="249">
        <v>2000000.0</v>
      </c>
      <c r="M387" s="249">
        <v>1382160.0</v>
      </c>
      <c r="N387" s="249">
        <v>1382160.0</v>
      </c>
      <c r="O387" s="250">
        <f t="shared" ref="O387:P387" si="386">K387+M387</f>
        <v>3382160</v>
      </c>
      <c r="P387" s="250">
        <f t="shared" si="386"/>
        <v>3382160</v>
      </c>
    </row>
    <row r="388">
      <c r="A388" s="246" t="s">
        <v>205</v>
      </c>
      <c r="B388" s="246" t="s">
        <v>116</v>
      </c>
      <c r="C388" s="246" t="s">
        <v>92</v>
      </c>
      <c r="D388" s="246" t="s">
        <v>90</v>
      </c>
      <c r="E388" s="246" t="s">
        <v>97</v>
      </c>
      <c r="F388" s="247"/>
      <c r="G388" s="247"/>
      <c r="H388" s="247"/>
      <c r="I388" s="246" t="s">
        <v>251</v>
      </c>
      <c r="J388" s="248">
        <v>35.0</v>
      </c>
      <c r="K388" s="249">
        <v>1100000.0</v>
      </c>
      <c r="L388" s="249">
        <v>1100000.0</v>
      </c>
      <c r="M388" s="249">
        <v>372120.0</v>
      </c>
      <c r="N388" s="249">
        <v>372120.0</v>
      </c>
      <c r="O388" s="250">
        <f t="shared" ref="O388:P388" si="387">K388+M388</f>
        <v>1472120</v>
      </c>
      <c r="P388" s="250">
        <f t="shared" si="387"/>
        <v>1472120</v>
      </c>
    </row>
    <row r="389">
      <c r="A389" s="246" t="s">
        <v>205</v>
      </c>
      <c r="B389" s="246" t="s">
        <v>116</v>
      </c>
      <c r="C389" s="246" t="s">
        <v>92</v>
      </c>
      <c r="D389" s="246" t="s">
        <v>97</v>
      </c>
      <c r="E389" s="246" t="s">
        <v>85</v>
      </c>
      <c r="F389" s="247"/>
      <c r="G389" s="247"/>
      <c r="H389" s="246" t="s">
        <v>90</v>
      </c>
      <c r="I389" s="246" t="s">
        <v>364</v>
      </c>
      <c r="J389" s="248">
        <v>35.0</v>
      </c>
      <c r="K389" s="249">
        <v>1100000.0</v>
      </c>
      <c r="L389" s="249">
        <v>1100000.0</v>
      </c>
      <c r="M389" s="249">
        <v>372120.0</v>
      </c>
      <c r="N389" s="249">
        <v>372120.0</v>
      </c>
      <c r="O389" s="250">
        <f t="shared" ref="O389:P389" si="388">K389+M389</f>
        <v>1472120</v>
      </c>
      <c r="P389" s="250">
        <f t="shared" si="388"/>
        <v>1472120</v>
      </c>
    </row>
    <row r="390">
      <c r="A390" s="246" t="s">
        <v>205</v>
      </c>
      <c r="B390" s="246" t="s">
        <v>116</v>
      </c>
      <c r="C390" s="246" t="s">
        <v>92</v>
      </c>
      <c r="D390" s="246" t="s">
        <v>90</v>
      </c>
      <c r="E390" s="246" t="s">
        <v>97</v>
      </c>
      <c r="F390" s="247"/>
      <c r="G390" s="247"/>
      <c r="H390" s="247"/>
      <c r="I390" s="246" t="s">
        <v>251</v>
      </c>
      <c r="J390" s="248">
        <v>35.0</v>
      </c>
      <c r="K390" s="249">
        <v>1100000.0</v>
      </c>
      <c r="L390" s="249">
        <v>1100000.0</v>
      </c>
      <c r="M390" s="249">
        <v>372120.0</v>
      </c>
      <c r="N390" s="249">
        <v>372120.0</v>
      </c>
      <c r="O390" s="250">
        <f t="shared" ref="O390:P390" si="389">K390+M390</f>
        <v>1472120</v>
      </c>
      <c r="P390" s="250">
        <f t="shared" si="389"/>
        <v>1472120</v>
      </c>
    </row>
    <row r="391">
      <c r="A391" s="246" t="s">
        <v>205</v>
      </c>
      <c r="B391" s="246" t="s">
        <v>116</v>
      </c>
      <c r="C391" s="246" t="s">
        <v>92</v>
      </c>
      <c r="D391" s="246" t="s">
        <v>97</v>
      </c>
      <c r="E391" s="246" t="s">
        <v>86</v>
      </c>
      <c r="F391" s="247"/>
      <c r="G391" s="247"/>
      <c r="H391" s="246" t="s">
        <v>90</v>
      </c>
      <c r="I391" s="246" t="s">
        <v>365</v>
      </c>
      <c r="J391" s="248">
        <v>45.0</v>
      </c>
      <c r="K391" s="249">
        <v>1200000.0</v>
      </c>
      <c r="L391" s="249">
        <v>1200000.0</v>
      </c>
      <c r="M391" s="249">
        <v>478440.0</v>
      </c>
      <c r="N391" s="249">
        <v>478440.0</v>
      </c>
      <c r="O391" s="250">
        <f t="shared" ref="O391:P391" si="390">K391+M391</f>
        <v>1678440</v>
      </c>
      <c r="P391" s="250">
        <f t="shared" si="390"/>
        <v>1678440</v>
      </c>
    </row>
    <row r="392">
      <c r="A392" s="246" t="s">
        <v>205</v>
      </c>
      <c r="B392" s="246" t="s">
        <v>116</v>
      </c>
      <c r="C392" s="246" t="s">
        <v>92</v>
      </c>
      <c r="D392" s="246" t="s">
        <v>90</v>
      </c>
      <c r="E392" s="246" t="s">
        <v>98</v>
      </c>
      <c r="F392" s="247"/>
      <c r="G392" s="247"/>
      <c r="H392" s="247"/>
      <c r="I392" s="246" t="s">
        <v>255</v>
      </c>
      <c r="J392" s="248">
        <v>25.0</v>
      </c>
      <c r="K392" s="249">
        <v>1000000.0</v>
      </c>
      <c r="L392" s="249">
        <v>1000000.0</v>
      </c>
      <c r="M392" s="249">
        <v>265800.0</v>
      </c>
      <c r="N392" s="249">
        <v>265800.0</v>
      </c>
      <c r="O392" s="250">
        <f t="shared" ref="O392:P392" si="391">K392+M392</f>
        <v>1265800</v>
      </c>
      <c r="P392" s="250">
        <f t="shared" si="391"/>
        <v>1265800</v>
      </c>
    </row>
    <row r="393">
      <c r="A393" s="246" t="s">
        <v>205</v>
      </c>
      <c r="B393" s="246" t="s">
        <v>116</v>
      </c>
      <c r="C393" s="246" t="s">
        <v>92</v>
      </c>
      <c r="D393" s="246" t="s">
        <v>98</v>
      </c>
      <c r="E393" s="246" t="s">
        <v>84</v>
      </c>
      <c r="F393" s="247"/>
      <c r="G393" s="247"/>
      <c r="H393" s="246" t="s">
        <v>90</v>
      </c>
      <c r="I393" s="246" t="s">
        <v>366</v>
      </c>
      <c r="J393" s="248">
        <v>140.0</v>
      </c>
      <c r="K393" s="249">
        <v>2000000.0</v>
      </c>
      <c r="L393" s="249">
        <v>2000000.0</v>
      </c>
      <c r="M393" s="249">
        <v>1488480.0</v>
      </c>
      <c r="N393" s="249">
        <v>1488480.0</v>
      </c>
      <c r="O393" s="250">
        <f t="shared" ref="O393:P393" si="392">K393+M393</f>
        <v>3488480</v>
      </c>
      <c r="P393" s="250">
        <f t="shared" si="392"/>
        <v>3488480</v>
      </c>
    </row>
    <row r="394">
      <c r="A394" s="246" t="s">
        <v>205</v>
      </c>
      <c r="B394" s="246" t="s">
        <v>116</v>
      </c>
      <c r="C394" s="246" t="s">
        <v>92</v>
      </c>
      <c r="D394" s="246" t="s">
        <v>90</v>
      </c>
      <c r="E394" s="246" t="s">
        <v>98</v>
      </c>
      <c r="F394" s="247"/>
      <c r="G394" s="247"/>
      <c r="H394" s="247"/>
      <c r="I394" s="246" t="s">
        <v>255</v>
      </c>
      <c r="J394" s="248">
        <v>25.0</v>
      </c>
      <c r="K394" s="249">
        <v>1000000.0</v>
      </c>
      <c r="L394" s="249">
        <v>1000000.0</v>
      </c>
      <c r="M394" s="249">
        <v>265800.0</v>
      </c>
      <c r="N394" s="249">
        <v>265800.0</v>
      </c>
      <c r="O394" s="250">
        <f t="shared" ref="O394:P394" si="393">K394+M394</f>
        <v>1265800</v>
      </c>
      <c r="P394" s="250">
        <f t="shared" si="393"/>
        <v>1265800</v>
      </c>
    </row>
    <row r="395">
      <c r="A395" s="246" t="s">
        <v>205</v>
      </c>
      <c r="B395" s="246" t="s">
        <v>116</v>
      </c>
      <c r="C395" s="246" t="s">
        <v>92</v>
      </c>
      <c r="D395" s="246" t="s">
        <v>98</v>
      </c>
      <c r="E395" s="246" t="s">
        <v>85</v>
      </c>
      <c r="F395" s="247"/>
      <c r="G395" s="247"/>
      <c r="H395" s="246" t="s">
        <v>90</v>
      </c>
      <c r="I395" s="246" t="s">
        <v>367</v>
      </c>
      <c r="J395" s="248">
        <v>55.0</v>
      </c>
      <c r="K395" s="249">
        <v>1200000.0</v>
      </c>
      <c r="L395" s="249">
        <v>1200000.0</v>
      </c>
      <c r="M395" s="249">
        <v>584760.0</v>
      </c>
      <c r="N395" s="249">
        <v>584760.0</v>
      </c>
      <c r="O395" s="250">
        <f t="shared" ref="O395:P395" si="394">K395+M395</f>
        <v>1784760</v>
      </c>
      <c r="P395" s="250">
        <f t="shared" si="394"/>
        <v>1784760</v>
      </c>
    </row>
    <row r="396">
      <c r="A396" s="246" t="s">
        <v>205</v>
      </c>
      <c r="B396" s="246" t="s">
        <v>116</v>
      </c>
      <c r="C396" s="246" t="s">
        <v>92</v>
      </c>
      <c r="D396" s="246" t="s">
        <v>90</v>
      </c>
      <c r="E396" s="246" t="s">
        <v>98</v>
      </c>
      <c r="F396" s="247"/>
      <c r="G396" s="247"/>
      <c r="H396" s="247"/>
      <c r="I396" s="246" t="s">
        <v>255</v>
      </c>
      <c r="J396" s="248">
        <v>25.0</v>
      </c>
      <c r="K396" s="249">
        <v>1000000.0</v>
      </c>
      <c r="L396" s="249">
        <v>1000000.0</v>
      </c>
      <c r="M396" s="249">
        <v>265800.0</v>
      </c>
      <c r="N396" s="249">
        <v>265800.0</v>
      </c>
      <c r="O396" s="250">
        <f t="shared" ref="O396:P396" si="395">K396+M396</f>
        <v>1265800</v>
      </c>
      <c r="P396" s="250">
        <f t="shared" si="395"/>
        <v>1265800</v>
      </c>
    </row>
    <row r="397">
      <c r="A397" s="246" t="s">
        <v>205</v>
      </c>
      <c r="B397" s="246" t="s">
        <v>116</v>
      </c>
      <c r="C397" s="246" t="s">
        <v>92</v>
      </c>
      <c r="D397" s="246" t="s">
        <v>98</v>
      </c>
      <c r="E397" s="246" t="s">
        <v>86</v>
      </c>
      <c r="F397" s="247"/>
      <c r="G397" s="247"/>
      <c r="H397" s="246" t="s">
        <v>90</v>
      </c>
      <c r="I397" s="246" t="s">
        <v>368</v>
      </c>
      <c r="J397" s="248">
        <v>25.0</v>
      </c>
      <c r="K397" s="249">
        <v>1000000.0</v>
      </c>
      <c r="L397" s="249">
        <v>1000000.0</v>
      </c>
      <c r="M397" s="249">
        <v>265800.0</v>
      </c>
      <c r="N397" s="249">
        <v>265800.0</v>
      </c>
      <c r="O397" s="250">
        <f t="shared" ref="O397:P397" si="396">K397+M397</f>
        <v>1265800</v>
      </c>
      <c r="P397" s="250">
        <f t="shared" si="396"/>
        <v>1265800</v>
      </c>
    </row>
    <row r="398">
      <c r="A398" s="246" t="s">
        <v>205</v>
      </c>
      <c r="B398" s="246" t="s">
        <v>116</v>
      </c>
      <c r="C398" s="246" t="s">
        <v>102</v>
      </c>
      <c r="D398" s="246" t="s">
        <v>104</v>
      </c>
      <c r="E398" s="246" t="s">
        <v>84</v>
      </c>
      <c r="F398" s="247"/>
      <c r="G398" s="247"/>
      <c r="H398" s="246" t="s">
        <v>90</v>
      </c>
      <c r="I398" s="246" t="s">
        <v>369</v>
      </c>
      <c r="J398" s="248">
        <v>155.0</v>
      </c>
      <c r="K398" s="249">
        <v>2880000.0</v>
      </c>
      <c r="L398" s="249">
        <v>2880000.0</v>
      </c>
      <c r="M398" s="249">
        <v>1647960.0</v>
      </c>
      <c r="N398" s="249">
        <v>1647960.0</v>
      </c>
      <c r="O398" s="250">
        <f t="shared" ref="O398:P398" si="397">K398+M398</f>
        <v>4527960</v>
      </c>
      <c r="P398" s="250">
        <f t="shared" si="397"/>
        <v>4527960</v>
      </c>
    </row>
    <row r="399">
      <c r="A399" s="246" t="s">
        <v>205</v>
      </c>
      <c r="B399" s="246" t="s">
        <v>116</v>
      </c>
      <c r="C399" s="246" t="s">
        <v>102</v>
      </c>
      <c r="D399" s="246" t="s">
        <v>104</v>
      </c>
      <c r="E399" s="246" t="s">
        <v>85</v>
      </c>
      <c r="F399" s="247"/>
      <c r="G399" s="247"/>
      <c r="H399" s="246" t="s">
        <v>90</v>
      </c>
      <c r="I399" s="246" t="s">
        <v>370</v>
      </c>
      <c r="J399" s="248">
        <v>70.0</v>
      </c>
      <c r="K399" s="249">
        <v>2370000.0</v>
      </c>
      <c r="L399" s="249">
        <v>2370000.0</v>
      </c>
      <c r="M399" s="249">
        <v>744240.0</v>
      </c>
      <c r="N399" s="249">
        <v>744240.0</v>
      </c>
      <c r="O399" s="250">
        <f t="shared" ref="O399:P399" si="398">K399+M399</f>
        <v>3114240</v>
      </c>
      <c r="P399" s="250">
        <f t="shared" si="398"/>
        <v>3114240</v>
      </c>
    </row>
    <row r="400">
      <c r="A400" s="246" t="s">
        <v>205</v>
      </c>
      <c r="B400" s="246" t="s">
        <v>116</v>
      </c>
      <c r="C400" s="246" t="s">
        <v>102</v>
      </c>
      <c r="D400" s="246" t="s">
        <v>104</v>
      </c>
      <c r="E400" s="246" t="s">
        <v>86</v>
      </c>
      <c r="F400" s="247"/>
      <c r="G400" s="247"/>
      <c r="H400" s="246" t="s">
        <v>90</v>
      </c>
      <c r="I400" s="246" t="s">
        <v>371</v>
      </c>
      <c r="J400" s="248">
        <v>45.0</v>
      </c>
      <c r="K400" s="249">
        <v>2180000.0</v>
      </c>
      <c r="L400" s="249">
        <v>2180000.0</v>
      </c>
      <c r="M400" s="249">
        <v>478440.0</v>
      </c>
      <c r="N400" s="249">
        <v>478440.0</v>
      </c>
      <c r="O400" s="250">
        <f t="shared" ref="O400:P400" si="399">K400+M400</f>
        <v>2658440</v>
      </c>
      <c r="P400" s="250">
        <f t="shared" si="399"/>
        <v>2658440</v>
      </c>
    </row>
    <row r="401">
      <c r="A401" s="246" t="s">
        <v>205</v>
      </c>
      <c r="B401" s="246" t="s">
        <v>116</v>
      </c>
      <c r="C401" s="246" t="s">
        <v>102</v>
      </c>
      <c r="D401" s="246" t="s">
        <v>103</v>
      </c>
      <c r="E401" s="246" t="s">
        <v>84</v>
      </c>
      <c r="F401" s="247"/>
      <c r="G401" s="247"/>
      <c r="H401" s="246" t="s">
        <v>90</v>
      </c>
      <c r="I401" s="246" t="s">
        <v>372</v>
      </c>
      <c r="J401" s="248">
        <v>136.0</v>
      </c>
      <c r="K401" s="249">
        <v>2740000.0</v>
      </c>
      <c r="L401" s="249">
        <v>2740000.0</v>
      </c>
      <c r="M401" s="249">
        <v>1445952.0</v>
      </c>
      <c r="N401" s="249">
        <v>1445952.0</v>
      </c>
      <c r="O401" s="250">
        <f t="shared" ref="O401:P401" si="400">K401+M401</f>
        <v>4185952</v>
      </c>
      <c r="P401" s="250">
        <f t="shared" si="400"/>
        <v>4185952</v>
      </c>
    </row>
    <row r="402">
      <c r="A402" s="246" t="s">
        <v>205</v>
      </c>
      <c r="B402" s="246" t="s">
        <v>116</v>
      </c>
      <c r="C402" s="246" t="s">
        <v>102</v>
      </c>
      <c r="D402" s="246" t="s">
        <v>103</v>
      </c>
      <c r="E402" s="246" t="s">
        <v>85</v>
      </c>
      <c r="F402" s="247"/>
      <c r="G402" s="247"/>
      <c r="H402" s="246" t="s">
        <v>90</v>
      </c>
      <c r="I402" s="246" t="s">
        <v>373</v>
      </c>
      <c r="J402" s="248">
        <v>90.0</v>
      </c>
      <c r="K402" s="249">
        <v>2160000.0</v>
      </c>
      <c r="L402" s="249">
        <v>2160000.0</v>
      </c>
      <c r="M402" s="249">
        <v>956880.0</v>
      </c>
      <c r="N402" s="249">
        <v>956880.0</v>
      </c>
      <c r="O402" s="250">
        <f t="shared" ref="O402:P402" si="401">K402+M402</f>
        <v>3116880</v>
      </c>
      <c r="P402" s="250">
        <f t="shared" si="401"/>
        <v>3116880</v>
      </c>
    </row>
    <row r="403">
      <c r="A403" s="246" t="s">
        <v>205</v>
      </c>
      <c r="B403" s="246" t="s">
        <v>116</v>
      </c>
      <c r="C403" s="246" t="s">
        <v>102</v>
      </c>
      <c r="D403" s="246" t="s">
        <v>103</v>
      </c>
      <c r="E403" s="246" t="s">
        <v>86</v>
      </c>
      <c r="F403" s="247"/>
      <c r="G403" s="247"/>
      <c r="H403" s="246" t="s">
        <v>90</v>
      </c>
      <c r="I403" s="246" t="s">
        <v>374</v>
      </c>
      <c r="J403" s="248">
        <v>70.0</v>
      </c>
      <c r="K403" s="249">
        <v>2020000.0</v>
      </c>
      <c r="L403" s="249">
        <v>2020000.0</v>
      </c>
      <c r="M403" s="249">
        <v>744240.0</v>
      </c>
      <c r="N403" s="249">
        <v>744240.0</v>
      </c>
      <c r="O403" s="250">
        <f t="shared" ref="O403:P403" si="402">K403+M403</f>
        <v>2764240</v>
      </c>
      <c r="P403" s="250">
        <f t="shared" si="402"/>
        <v>2764240</v>
      </c>
    </row>
    <row r="404">
      <c r="A404" s="246" t="s">
        <v>205</v>
      </c>
      <c r="B404" s="246" t="s">
        <v>116</v>
      </c>
      <c r="C404" s="246" t="s">
        <v>102</v>
      </c>
      <c r="D404" s="246" t="s">
        <v>105</v>
      </c>
      <c r="E404" s="246" t="s">
        <v>84</v>
      </c>
      <c r="F404" s="247"/>
      <c r="G404" s="247"/>
      <c r="H404" s="246" t="s">
        <v>90</v>
      </c>
      <c r="I404" s="246" t="s">
        <v>375</v>
      </c>
      <c r="J404" s="248">
        <v>125.0</v>
      </c>
      <c r="K404" s="249">
        <v>2720000.0</v>
      </c>
      <c r="L404" s="249">
        <v>2720000.0</v>
      </c>
      <c r="M404" s="249">
        <v>1329000.0</v>
      </c>
      <c r="N404" s="249">
        <v>1329000.0</v>
      </c>
      <c r="O404" s="250">
        <f t="shared" ref="O404:P404" si="403">K404+M404</f>
        <v>4049000</v>
      </c>
      <c r="P404" s="250">
        <f t="shared" si="403"/>
        <v>4049000</v>
      </c>
    </row>
    <row r="405">
      <c r="A405" s="246" t="s">
        <v>205</v>
      </c>
      <c r="B405" s="246" t="s">
        <v>116</v>
      </c>
      <c r="C405" s="246" t="s">
        <v>102</v>
      </c>
      <c r="D405" s="246" t="s">
        <v>105</v>
      </c>
      <c r="E405" s="246" t="s">
        <v>85</v>
      </c>
      <c r="F405" s="247"/>
      <c r="G405" s="247"/>
      <c r="H405" s="246" t="s">
        <v>90</v>
      </c>
      <c r="I405" s="246" t="s">
        <v>376</v>
      </c>
      <c r="J405" s="248">
        <v>65.0</v>
      </c>
      <c r="K405" s="249">
        <v>2370000.0</v>
      </c>
      <c r="L405" s="249">
        <v>2370000.0</v>
      </c>
      <c r="M405" s="249">
        <v>691080.0</v>
      </c>
      <c r="N405" s="249">
        <v>691080.0</v>
      </c>
      <c r="O405" s="250">
        <f t="shared" ref="O405:P405" si="404">K405+M405</f>
        <v>3061080</v>
      </c>
      <c r="P405" s="250">
        <f t="shared" si="404"/>
        <v>3061080</v>
      </c>
    </row>
    <row r="406">
      <c r="A406" s="246" t="s">
        <v>205</v>
      </c>
      <c r="B406" s="246" t="s">
        <v>116</v>
      </c>
      <c r="C406" s="246" t="s">
        <v>102</v>
      </c>
      <c r="D406" s="246" t="s">
        <v>105</v>
      </c>
      <c r="E406" s="246" t="s">
        <v>86</v>
      </c>
      <c r="F406" s="247"/>
      <c r="G406" s="247"/>
      <c r="H406" s="246" t="s">
        <v>90</v>
      </c>
      <c r="I406" s="246" t="s">
        <v>377</v>
      </c>
      <c r="J406" s="248">
        <v>75.0</v>
      </c>
      <c r="K406" s="249">
        <v>2380000.0</v>
      </c>
      <c r="L406" s="249">
        <v>2380000.0</v>
      </c>
      <c r="M406" s="249">
        <v>797400.0</v>
      </c>
      <c r="N406" s="249">
        <v>797400.0</v>
      </c>
      <c r="O406" s="250">
        <f t="shared" ref="O406:P406" si="405">K406+M406</f>
        <v>3177400</v>
      </c>
      <c r="P406" s="250">
        <f t="shared" si="405"/>
        <v>3177400</v>
      </c>
    </row>
    <row r="407">
      <c r="A407" s="246" t="s">
        <v>280</v>
      </c>
      <c r="B407" s="246" t="s">
        <v>116</v>
      </c>
      <c r="C407" s="246" t="s">
        <v>89</v>
      </c>
      <c r="D407" s="246" t="s">
        <v>90</v>
      </c>
      <c r="E407" s="246" t="s">
        <v>84</v>
      </c>
      <c r="F407" s="247"/>
      <c r="G407" s="247"/>
      <c r="H407" s="246" t="s">
        <v>90</v>
      </c>
      <c r="I407" s="246" t="s">
        <v>346</v>
      </c>
      <c r="J407" s="248">
        <v>170.0</v>
      </c>
      <c r="K407" s="249">
        <v>2760000.0</v>
      </c>
      <c r="L407" s="249">
        <v>2760000.0</v>
      </c>
      <c r="M407" s="249">
        <v>1566448.0</v>
      </c>
      <c r="N407" s="249">
        <v>1566448.0</v>
      </c>
      <c r="O407" s="250">
        <f t="shared" ref="O407:P407" si="406">K407+M407</f>
        <v>4326448</v>
      </c>
      <c r="P407" s="250">
        <f t="shared" si="406"/>
        <v>4326448</v>
      </c>
    </row>
    <row r="408">
      <c r="A408" s="246" t="s">
        <v>280</v>
      </c>
      <c r="B408" s="246" t="s">
        <v>116</v>
      </c>
      <c r="C408" s="246" t="s">
        <v>89</v>
      </c>
      <c r="D408" s="246" t="s">
        <v>90</v>
      </c>
      <c r="E408" s="246" t="s">
        <v>85</v>
      </c>
      <c r="F408" s="247"/>
      <c r="G408" s="247"/>
      <c r="H408" s="246" t="s">
        <v>90</v>
      </c>
      <c r="I408" s="246" t="s">
        <v>347</v>
      </c>
      <c r="J408" s="248">
        <v>70.0</v>
      </c>
      <c r="K408" s="249">
        <v>1770000.0</v>
      </c>
      <c r="L408" s="249">
        <v>1770000.0</v>
      </c>
      <c r="M408" s="249">
        <v>645008.0</v>
      </c>
      <c r="N408" s="249">
        <v>645008.0</v>
      </c>
      <c r="O408" s="250">
        <f t="shared" ref="O408:P408" si="407">K408+M408</f>
        <v>2415008</v>
      </c>
      <c r="P408" s="250">
        <f t="shared" si="407"/>
        <v>2415008</v>
      </c>
    </row>
    <row r="409">
      <c r="A409" s="246" t="s">
        <v>280</v>
      </c>
      <c r="B409" s="246" t="s">
        <v>116</v>
      </c>
      <c r="C409" s="246" t="s">
        <v>89</v>
      </c>
      <c r="D409" s="246" t="s">
        <v>90</v>
      </c>
      <c r="E409" s="246" t="s">
        <v>86</v>
      </c>
      <c r="F409" s="247"/>
      <c r="G409" s="247"/>
      <c r="H409" s="246" t="s">
        <v>90</v>
      </c>
      <c r="I409" s="246" t="s">
        <v>348</v>
      </c>
      <c r="J409" s="248">
        <v>55.0</v>
      </c>
      <c r="K409" s="249">
        <v>1770000.0</v>
      </c>
      <c r="L409" s="249">
        <v>1770000.0</v>
      </c>
      <c r="M409" s="249">
        <v>506792.0</v>
      </c>
      <c r="N409" s="249">
        <v>506792.0</v>
      </c>
      <c r="O409" s="250">
        <f t="shared" ref="O409:P409" si="408">K409+M409</f>
        <v>2276792</v>
      </c>
      <c r="P409" s="250">
        <f t="shared" si="408"/>
        <v>2276792</v>
      </c>
    </row>
    <row r="410">
      <c r="A410" s="246" t="s">
        <v>280</v>
      </c>
      <c r="B410" s="246" t="s">
        <v>116</v>
      </c>
      <c r="C410" s="246" t="s">
        <v>89</v>
      </c>
      <c r="D410" s="246" t="s">
        <v>90</v>
      </c>
      <c r="E410" s="246" t="s">
        <v>84</v>
      </c>
      <c r="F410" s="246" t="s">
        <v>85</v>
      </c>
      <c r="G410" s="247"/>
      <c r="H410" s="246" t="s">
        <v>90</v>
      </c>
      <c r="I410" s="246" t="s">
        <v>349</v>
      </c>
      <c r="J410" s="248">
        <v>175.0</v>
      </c>
      <c r="K410" s="249">
        <v>2900000.0</v>
      </c>
      <c r="L410" s="249">
        <v>2900000.0</v>
      </c>
      <c r="M410" s="249">
        <v>1612520.0</v>
      </c>
      <c r="N410" s="249">
        <v>1612520.0</v>
      </c>
      <c r="O410" s="250">
        <f t="shared" ref="O410:P410" si="409">K410+M410</f>
        <v>4512520</v>
      </c>
      <c r="P410" s="250">
        <f t="shared" si="409"/>
        <v>4512520</v>
      </c>
    </row>
    <row r="411">
      <c r="A411" s="246" t="s">
        <v>280</v>
      </c>
      <c r="B411" s="246" t="s">
        <v>116</v>
      </c>
      <c r="C411" s="246" t="s">
        <v>89</v>
      </c>
      <c r="D411" s="246" t="s">
        <v>90</v>
      </c>
      <c r="E411" s="246" t="s">
        <v>84</v>
      </c>
      <c r="F411" s="246" t="s">
        <v>86</v>
      </c>
      <c r="G411" s="247"/>
      <c r="H411" s="246" t="s">
        <v>90</v>
      </c>
      <c r="I411" s="246" t="s">
        <v>350</v>
      </c>
      <c r="J411" s="248">
        <v>165.0</v>
      </c>
      <c r="K411" s="249">
        <v>2880000.0</v>
      </c>
      <c r="L411" s="249">
        <v>2880000.0</v>
      </c>
      <c r="M411" s="249">
        <v>1520376.0</v>
      </c>
      <c r="N411" s="249">
        <v>1520376.0</v>
      </c>
      <c r="O411" s="250">
        <f t="shared" ref="O411:P411" si="410">K411+M411</f>
        <v>4400376</v>
      </c>
      <c r="P411" s="250">
        <f t="shared" si="410"/>
        <v>4400376</v>
      </c>
    </row>
    <row r="412">
      <c r="A412" s="246" t="s">
        <v>280</v>
      </c>
      <c r="B412" s="246" t="s">
        <v>116</v>
      </c>
      <c r="C412" s="246" t="s">
        <v>89</v>
      </c>
      <c r="D412" s="246" t="s">
        <v>90</v>
      </c>
      <c r="E412" s="246" t="s">
        <v>85</v>
      </c>
      <c r="F412" s="246" t="s">
        <v>86</v>
      </c>
      <c r="G412" s="247"/>
      <c r="H412" s="246" t="s">
        <v>90</v>
      </c>
      <c r="I412" s="246" t="s">
        <v>351</v>
      </c>
      <c r="J412" s="248">
        <v>80.0</v>
      </c>
      <c r="K412" s="249">
        <v>2160000.0</v>
      </c>
      <c r="L412" s="249">
        <v>2160000.0</v>
      </c>
      <c r="M412" s="249">
        <v>737152.0</v>
      </c>
      <c r="N412" s="249">
        <v>737152.0</v>
      </c>
      <c r="O412" s="250">
        <f t="shared" ref="O412:P412" si="411">K412+M412</f>
        <v>2897152</v>
      </c>
      <c r="P412" s="250">
        <f t="shared" si="411"/>
        <v>2897152</v>
      </c>
    </row>
    <row r="413">
      <c r="A413" s="246" t="s">
        <v>280</v>
      </c>
      <c r="B413" s="246" t="s">
        <v>116</v>
      </c>
      <c r="C413" s="246" t="s">
        <v>89</v>
      </c>
      <c r="D413" s="246" t="s">
        <v>90</v>
      </c>
      <c r="E413" s="246" t="s">
        <v>84</v>
      </c>
      <c r="F413" s="246" t="s">
        <v>85</v>
      </c>
      <c r="G413" s="246" t="s">
        <v>86</v>
      </c>
      <c r="H413" s="246" t="s">
        <v>90</v>
      </c>
      <c r="I413" s="246" t="s">
        <v>352</v>
      </c>
      <c r="J413" s="248">
        <v>180.0</v>
      </c>
      <c r="K413" s="249">
        <v>3210000.0</v>
      </c>
      <c r="L413" s="249">
        <v>3210000.0</v>
      </c>
      <c r="M413" s="249">
        <v>1658592.0</v>
      </c>
      <c r="N413" s="249">
        <v>1658592.0</v>
      </c>
      <c r="O413" s="250">
        <f t="shared" ref="O413:P413" si="412">K413+M413</f>
        <v>4868592</v>
      </c>
      <c r="P413" s="250">
        <f t="shared" si="412"/>
        <v>4868592</v>
      </c>
    </row>
    <row r="414">
      <c r="A414" s="246" t="s">
        <v>280</v>
      </c>
      <c r="B414" s="246" t="s">
        <v>116</v>
      </c>
      <c r="C414" s="246" t="s">
        <v>89</v>
      </c>
      <c r="D414" s="246" t="s">
        <v>90</v>
      </c>
      <c r="E414" s="246" t="s">
        <v>87</v>
      </c>
      <c r="F414" s="247"/>
      <c r="G414" s="247"/>
      <c r="H414" s="246" t="s">
        <v>90</v>
      </c>
      <c r="I414" s="246" t="s">
        <v>353</v>
      </c>
      <c r="J414" s="248">
        <v>100.0</v>
      </c>
      <c r="K414" s="249">
        <v>2790000.0</v>
      </c>
      <c r="L414" s="249">
        <v>2790000.0</v>
      </c>
      <c r="M414" s="249">
        <v>921440.0</v>
      </c>
      <c r="N414" s="249">
        <v>921440.0</v>
      </c>
      <c r="O414" s="250">
        <f t="shared" ref="O414:P414" si="413">K414+M414</f>
        <v>3711440</v>
      </c>
      <c r="P414" s="250">
        <f t="shared" si="413"/>
        <v>3711440</v>
      </c>
    </row>
    <row r="415">
      <c r="A415" s="246" t="s">
        <v>280</v>
      </c>
      <c r="B415" s="246" t="s">
        <v>116</v>
      </c>
      <c r="C415" s="246" t="s">
        <v>89</v>
      </c>
      <c r="D415" s="246" t="s">
        <v>90</v>
      </c>
      <c r="E415" s="246" t="s">
        <v>87</v>
      </c>
      <c r="F415" s="246" t="s">
        <v>84</v>
      </c>
      <c r="G415" s="247"/>
      <c r="H415" s="246" t="s">
        <v>90</v>
      </c>
      <c r="I415" s="246" t="s">
        <v>354</v>
      </c>
      <c r="J415" s="248">
        <v>160.0</v>
      </c>
      <c r="K415" s="249">
        <v>3580000.0</v>
      </c>
      <c r="L415" s="249">
        <v>3580000.0</v>
      </c>
      <c r="M415" s="249">
        <v>1474304.0</v>
      </c>
      <c r="N415" s="249">
        <v>1474304.0</v>
      </c>
      <c r="O415" s="250">
        <f t="shared" ref="O415:P415" si="414">K415+M415</f>
        <v>5054304</v>
      </c>
      <c r="P415" s="250">
        <f t="shared" si="414"/>
        <v>5054304</v>
      </c>
    </row>
    <row r="416">
      <c r="A416" s="246" t="s">
        <v>280</v>
      </c>
      <c r="B416" s="246" t="s">
        <v>116</v>
      </c>
      <c r="C416" s="246" t="s">
        <v>89</v>
      </c>
      <c r="D416" s="246" t="s">
        <v>90</v>
      </c>
      <c r="E416" s="246" t="s">
        <v>87</v>
      </c>
      <c r="F416" s="246" t="s">
        <v>85</v>
      </c>
      <c r="G416" s="247"/>
      <c r="H416" s="246" t="s">
        <v>90</v>
      </c>
      <c r="I416" s="246" t="s">
        <v>355</v>
      </c>
      <c r="J416" s="248">
        <v>130.0</v>
      </c>
      <c r="K416" s="249">
        <v>3530000.0</v>
      </c>
      <c r="L416" s="249">
        <v>3530000.0</v>
      </c>
      <c r="M416" s="249">
        <v>1197872.0</v>
      </c>
      <c r="N416" s="249">
        <v>1197872.0</v>
      </c>
      <c r="O416" s="250">
        <f t="shared" ref="O416:P416" si="415">K416+M416</f>
        <v>4727872</v>
      </c>
      <c r="P416" s="250">
        <f t="shared" si="415"/>
        <v>4727872</v>
      </c>
    </row>
    <row r="417">
      <c r="A417" s="246" t="s">
        <v>280</v>
      </c>
      <c r="B417" s="246" t="s">
        <v>116</v>
      </c>
      <c r="C417" s="246" t="s">
        <v>89</v>
      </c>
      <c r="D417" s="246" t="s">
        <v>90</v>
      </c>
      <c r="E417" s="246" t="s">
        <v>88</v>
      </c>
      <c r="F417" s="247"/>
      <c r="G417" s="247"/>
      <c r="H417" s="246" t="s">
        <v>90</v>
      </c>
      <c r="I417" s="246" t="s">
        <v>356</v>
      </c>
      <c r="J417" s="248">
        <v>80.0</v>
      </c>
      <c r="K417" s="249">
        <v>2110000.0</v>
      </c>
      <c r="L417" s="249">
        <v>2110000.0</v>
      </c>
      <c r="M417" s="249">
        <v>737152.0</v>
      </c>
      <c r="N417" s="249">
        <v>737152.0</v>
      </c>
      <c r="O417" s="250">
        <f t="shared" ref="O417:P417" si="416">K417+M417</f>
        <v>2847152</v>
      </c>
      <c r="P417" s="250">
        <f t="shared" si="416"/>
        <v>2847152</v>
      </c>
    </row>
    <row r="418">
      <c r="A418" s="246" t="s">
        <v>280</v>
      </c>
      <c r="B418" s="246" t="s">
        <v>116</v>
      </c>
      <c r="C418" s="246" t="s">
        <v>89</v>
      </c>
      <c r="D418" s="246" t="s">
        <v>90</v>
      </c>
      <c r="E418" s="246" t="s">
        <v>88</v>
      </c>
      <c r="F418" s="246" t="s">
        <v>85</v>
      </c>
      <c r="G418" s="247"/>
      <c r="H418" s="246" t="s">
        <v>90</v>
      </c>
      <c r="I418" s="246" t="s">
        <v>357</v>
      </c>
      <c r="J418" s="248">
        <v>90.0</v>
      </c>
      <c r="K418" s="249">
        <v>2130000.0</v>
      </c>
      <c r="L418" s="249">
        <v>2130000.0</v>
      </c>
      <c r="M418" s="249">
        <v>829296.0</v>
      </c>
      <c r="N418" s="249">
        <v>829296.0</v>
      </c>
      <c r="O418" s="250">
        <f t="shared" ref="O418:P418" si="417">K418+M418</f>
        <v>2959296</v>
      </c>
      <c r="P418" s="250">
        <f t="shared" si="417"/>
        <v>2959296</v>
      </c>
    </row>
    <row r="419">
      <c r="A419" s="246" t="s">
        <v>280</v>
      </c>
      <c r="B419" s="246" t="s">
        <v>116</v>
      </c>
      <c r="C419" s="246" t="s">
        <v>89</v>
      </c>
      <c r="D419" s="246" t="s">
        <v>90</v>
      </c>
      <c r="E419" s="246" t="s">
        <v>88</v>
      </c>
      <c r="F419" s="246" t="s">
        <v>86</v>
      </c>
      <c r="G419" s="247"/>
      <c r="H419" s="246" t="s">
        <v>90</v>
      </c>
      <c r="I419" s="246" t="s">
        <v>358</v>
      </c>
      <c r="J419" s="248">
        <v>100.0</v>
      </c>
      <c r="K419" s="249">
        <v>2190000.0</v>
      </c>
      <c r="L419" s="249">
        <v>2190000.0</v>
      </c>
      <c r="M419" s="249">
        <v>921440.0</v>
      </c>
      <c r="N419" s="249">
        <v>921440.0</v>
      </c>
      <c r="O419" s="250">
        <f t="shared" ref="O419:P419" si="418">K419+M419</f>
        <v>3111440</v>
      </c>
      <c r="P419" s="250">
        <f t="shared" si="418"/>
        <v>3111440</v>
      </c>
    </row>
    <row r="420">
      <c r="A420" s="246" t="s">
        <v>280</v>
      </c>
      <c r="B420" s="246" t="s">
        <v>116</v>
      </c>
      <c r="C420" s="246" t="s">
        <v>89</v>
      </c>
      <c r="D420" s="246" t="s">
        <v>90</v>
      </c>
      <c r="E420" s="246" t="s">
        <v>88</v>
      </c>
      <c r="F420" s="246" t="s">
        <v>85</v>
      </c>
      <c r="G420" s="246" t="s">
        <v>86</v>
      </c>
      <c r="H420" s="246" t="s">
        <v>90</v>
      </c>
      <c r="I420" s="246" t="s">
        <v>359</v>
      </c>
      <c r="J420" s="248">
        <v>110.0</v>
      </c>
      <c r="K420" s="249">
        <v>2550000.0</v>
      </c>
      <c r="L420" s="249">
        <v>2550000.0</v>
      </c>
      <c r="M420" s="249">
        <v>1013584.0</v>
      </c>
      <c r="N420" s="249">
        <v>1013584.0</v>
      </c>
      <c r="O420" s="250">
        <f t="shared" ref="O420:P420" si="419">K420+M420</f>
        <v>3563584</v>
      </c>
      <c r="P420" s="250">
        <f t="shared" si="419"/>
        <v>3563584</v>
      </c>
    </row>
    <row r="421">
      <c r="A421" s="246" t="s">
        <v>280</v>
      </c>
      <c r="B421" s="246" t="s">
        <v>116</v>
      </c>
      <c r="C421" s="246" t="s">
        <v>92</v>
      </c>
      <c r="D421" s="246" t="s">
        <v>90</v>
      </c>
      <c r="E421" s="246" t="s">
        <v>96</v>
      </c>
      <c r="F421" s="247"/>
      <c r="G421" s="247"/>
      <c r="H421" s="247"/>
      <c r="I421" s="246" t="s">
        <v>247</v>
      </c>
      <c r="J421" s="248">
        <v>85.0</v>
      </c>
      <c r="K421" s="249">
        <v>1950000.0</v>
      </c>
      <c r="L421" s="249">
        <v>1950000.0</v>
      </c>
      <c r="M421" s="249">
        <v>903720.0</v>
      </c>
      <c r="N421" s="249">
        <v>903720.0</v>
      </c>
      <c r="O421" s="250">
        <f t="shared" ref="O421:P421" si="420">K421+M421</f>
        <v>2853720</v>
      </c>
      <c r="P421" s="250">
        <f t="shared" si="420"/>
        <v>2853720</v>
      </c>
    </row>
    <row r="422">
      <c r="A422" s="246" t="s">
        <v>280</v>
      </c>
      <c r="B422" s="246" t="s">
        <v>116</v>
      </c>
      <c r="C422" s="246" t="s">
        <v>92</v>
      </c>
      <c r="D422" s="246" t="s">
        <v>96</v>
      </c>
      <c r="E422" s="246" t="s">
        <v>84</v>
      </c>
      <c r="F422" s="247"/>
      <c r="G422" s="247"/>
      <c r="H422" s="246" t="s">
        <v>90</v>
      </c>
      <c r="I422" s="246" t="s">
        <v>360</v>
      </c>
      <c r="J422" s="248">
        <v>85.0</v>
      </c>
      <c r="K422" s="249">
        <v>1950000.0</v>
      </c>
      <c r="L422" s="249">
        <v>1950000.0</v>
      </c>
      <c r="M422" s="249">
        <v>903720.0</v>
      </c>
      <c r="N422" s="249">
        <v>903720.0</v>
      </c>
      <c r="O422" s="250">
        <f t="shared" ref="O422:P422" si="421">K422+M422</f>
        <v>2853720</v>
      </c>
      <c r="P422" s="250">
        <f t="shared" si="421"/>
        <v>2853720</v>
      </c>
    </row>
    <row r="423">
      <c r="A423" s="246" t="s">
        <v>280</v>
      </c>
      <c r="B423" s="246" t="s">
        <v>116</v>
      </c>
      <c r="C423" s="246" t="s">
        <v>92</v>
      </c>
      <c r="D423" s="246" t="s">
        <v>90</v>
      </c>
      <c r="E423" s="246" t="s">
        <v>96</v>
      </c>
      <c r="F423" s="247"/>
      <c r="G423" s="247"/>
      <c r="H423" s="247"/>
      <c r="I423" s="246" t="s">
        <v>247</v>
      </c>
      <c r="J423" s="248">
        <v>85.0</v>
      </c>
      <c r="K423" s="249">
        <v>1950000.0</v>
      </c>
      <c r="L423" s="249">
        <v>1950000.0</v>
      </c>
      <c r="M423" s="249">
        <v>903720.0</v>
      </c>
      <c r="N423" s="249">
        <v>903720.0</v>
      </c>
      <c r="O423" s="250">
        <f t="shared" ref="O423:P423" si="422">K423+M423</f>
        <v>2853720</v>
      </c>
      <c r="P423" s="250">
        <f t="shared" si="422"/>
        <v>2853720</v>
      </c>
    </row>
    <row r="424">
      <c r="A424" s="246" t="s">
        <v>280</v>
      </c>
      <c r="B424" s="246" t="s">
        <v>116</v>
      </c>
      <c r="C424" s="246" t="s">
        <v>92</v>
      </c>
      <c r="D424" s="246" t="s">
        <v>96</v>
      </c>
      <c r="E424" s="246" t="s">
        <v>85</v>
      </c>
      <c r="F424" s="247"/>
      <c r="G424" s="247"/>
      <c r="H424" s="246" t="s">
        <v>90</v>
      </c>
      <c r="I424" s="246" t="s">
        <v>361</v>
      </c>
      <c r="J424" s="248">
        <v>70.0</v>
      </c>
      <c r="K424" s="249">
        <v>2050000.0</v>
      </c>
      <c r="L424" s="249">
        <v>2050000.0</v>
      </c>
      <c r="M424" s="249">
        <v>744240.0</v>
      </c>
      <c r="N424" s="249">
        <v>744240.0</v>
      </c>
      <c r="O424" s="250">
        <f t="shared" ref="O424:P424" si="423">K424+M424</f>
        <v>2794240</v>
      </c>
      <c r="P424" s="250">
        <f t="shared" si="423"/>
        <v>2794240</v>
      </c>
    </row>
    <row r="425">
      <c r="A425" s="246" t="s">
        <v>280</v>
      </c>
      <c r="B425" s="246" t="s">
        <v>116</v>
      </c>
      <c r="C425" s="246" t="s">
        <v>92</v>
      </c>
      <c r="D425" s="246" t="s">
        <v>90</v>
      </c>
      <c r="E425" s="246" t="s">
        <v>96</v>
      </c>
      <c r="F425" s="247"/>
      <c r="G425" s="247"/>
      <c r="H425" s="247"/>
      <c r="I425" s="246" t="s">
        <v>247</v>
      </c>
      <c r="J425" s="248">
        <v>85.0</v>
      </c>
      <c r="K425" s="249">
        <v>1950000.0</v>
      </c>
      <c r="L425" s="249">
        <v>1950000.0</v>
      </c>
      <c r="M425" s="249">
        <v>903720.0</v>
      </c>
      <c r="N425" s="249">
        <v>903720.0</v>
      </c>
      <c r="O425" s="250">
        <f t="shared" ref="O425:P425" si="424">K425+M425</f>
        <v>2853720</v>
      </c>
      <c r="P425" s="250">
        <f t="shared" si="424"/>
        <v>2853720</v>
      </c>
    </row>
    <row r="426">
      <c r="A426" s="246" t="s">
        <v>280</v>
      </c>
      <c r="B426" s="246" t="s">
        <v>116</v>
      </c>
      <c r="C426" s="246" t="s">
        <v>92</v>
      </c>
      <c r="D426" s="246" t="s">
        <v>96</v>
      </c>
      <c r="E426" s="246" t="s">
        <v>86</v>
      </c>
      <c r="F426" s="247"/>
      <c r="G426" s="247"/>
      <c r="H426" s="246" t="s">
        <v>90</v>
      </c>
      <c r="I426" s="246" t="s">
        <v>362</v>
      </c>
      <c r="J426" s="248">
        <v>80.0</v>
      </c>
      <c r="K426" s="249">
        <v>2050000.0</v>
      </c>
      <c r="L426" s="249">
        <v>2050000.0</v>
      </c>
      <c r="M426" s="249">
        <v>850560.0</v>
      </c>
      <c r="N426" s="249">
        <v>850560.0</v>
      </c>
      <c r="O426" s="250">
        <f t="shared" ref="O426:P426" si="425">K426+M426</f>
        <v>2900560</v>
      </c>
      <c r="P426" s="250">
        <f t="shared" si="425"/>
        <v>2900560</v>
      </c>
    </row>
    <row r="427">
      <c r="A427" s="246" t="s">
        <v>280</v>
      </c>
      <c r="B427" s="246" t="s">
        <v>116</v>
      </c>
      <c r="C427" s="246" t="s">
        <v>92</v>
      </c>
      <c r="D427" s="246" t="s">
        <v>90</v>
      </c>
      <c r="E427" s="246" t="s">
        <v>97</v>
      </c>
      <c r="F427" s="247"/>
      <c r="G427" s="247"/>
      <c r="H427" s="247"/>
      <c r="I427" s="246" t="s">
        <v>251</v>
      </c>
      <c r="J427" s="248">
        <v>35.0</v>
      </c>
      <c r="K427" s="249">
        <v>1450000.0</v>
      </c>
      <c r="L427" s="249">
        <v>1450000.0</v>
      </c>
      <c r="M427" s="249">
        <v>372120.0</v>
      </c>
      <c r="N427" s="249">
        <v>372120.0</v>
      </c>
      <c r="O427" s="250">
        <f t="shared" ref="O427:P427" si="426">K427+M427</f>
        <v>1822120</v>
      </c>
      <c r="P427" s="250">
        <f t="shared" si="426"/>
        <v>1822120</v>
      </c>
    </row>
    <row r="428">
      <c r="A428" s="246" t="s">
        <v>280</v>
      </c>
      <c r="B428" s="246" t="s">
        <v>116</v>
      </c>
      <c r="C428" s="246" t="s">
        <v>92</v>
      </c>
      <c r="D428" s="246" t="s">
        <v>97</v>
      </c>
      <c r="E428" s="246" t="s">
        <v>84</v>
      </c>
      <c r="F428" s="247"/>
      <c r="G428" s="247"/>
      <c r="H428" s="246" t="s">
        <v>90</v>
      </c>
      <c r="I428" s="246" t="s">
        <v>363</v>
      </c>
      <c r="J428" s="248">
        <v>130.0</v>
      </c>
      <c r="K428" s="249">
        <v>2350000.0</v>
      </c>
      <c r="L428" s="249">
        <v>2350000.0</v>
      </c>
      <c r="M428" s="249">
        <v>1382160.0</v>
      </c>
      <c r="N428" s="249">
        <v>1382160.0</v>
      </c>
      <c r="O428" s="250">
        <f t="shared" ref="O428:P428" si="427">K428+M428</f>
        <v>3732160</v>
      </c>
      <c r="P428" s="250">
        <f t="shared" si="427"/>
        <v>3732160</v>
      </c>
    </row>
    <row r="429">
      <c r="A429" s="246" t="s">
        <v>280</v>
      </c>
      <c r="B429" s="246" t="s">
        <v>116</v>
      </c>
      <c r="C429" s="246" t="s">
        <v>92</v>
      </c>
      <c r="D429" s="246" t="s">
        <v>90</v>
      </c>
      <c r="E429" s="246" t="s">
        <v>97</v>
      </c>
      <c r="F429" s="247"/>
      <c r="G429" s="247"/>
      <c r="H429" s="247"/>
      <c r="I429" s="246" t="s">
        <v>251</v>
      </c>
      <c r="J429" s="248">
        <v>35.0</v>
      </c>
      <c r="K429" s="249">
        <v>1450000.0</v>
      </c>
      <c r="L429" s="249">
        <v>1450000.0</v>
      </c>
      <c r="M429" s="249">
        <v>372120.0</v>
      </c>
      <c r="N429" s="249">
        <v>372120.0</v>
      </c>
      <c r="O429" s="250">
        <f t="shared" ref="O429:P429" si="428">K429+M429</f>
        <v>1822120</v>
      </c>
      <c r="P429" s="250">
        <f t="shared" si="428"/>
        <v>1822120</v>
      </c>
    </row>
    <row r="430">
      <c r="A430" s="246" t="s">
        <v>280</v>
      </c>
      <c r="B430" s="246" t="s">
        <v>116</v>
      </c>
      <c r="C430" s="246" t="s">
        <v>92</v>
      </c>
      <c r="D430" s="246" t="s">
        <v>97</v>
      </c>
      <c r="E430" s="246" t="s">
        <v>85</v>
      </c>
      <c r="F430" s="247"/>
      <c r="G430" s="247"/>
      <c r="H430" s="246" t="s">
        <v>90</v>
      </c>
      <c r="I430" s="246" t="s">
        <v>364</v>
      </c>
      <c r="J430" s="248">
        <v>35.0</v>
      </c>
      <c r="K430" s="249">
        <v>1450000.0</v>
      </c>
      <c r="L430" s="249">
        <v>1450000.0</v>
      </c>
      <c r="M430" s="249">
        <v>372120.0</v>
      </c>
      <c r="N430" s="249">
        <v>372120.0</v>
      </c>
      <c r="O430" s="250">
        <f t="shared" ref="O430:P430" si="429">K430+M430</f>
        <v>1822120</v>
      </c>
      <c r="P430" s="250">
        <f t="shared" si="429"/>
        <v>1822120</v>
      </c>
    </row>
    <row r="431">
      <c r="A431" s="246" t="s">
        <v>280</v>
      </c>
      <c r="B431" s="246" t="s">
        <v>116</v>
      </c>
      <c r="C431" s="246" t="s">
        <v>92</v>
      </c>
      <c r="D431" s="246" t="s">
        <v>90</v>
      </c>
      <c r="E431" s="246" t="s">
        <v>97</v>
      </c>
      <c r="F431" s="247"/>
      <c r="G431" s="247"/>
      <c r="H431" s="247"/>
      <c r="I431" s="246" t="s">
        <v>251</v>
      </c>
      <c r="J431" s="248">
        <v>35.0</v>
      </c>
      <c r="K431" s="249">
        <v>1450000.0</v>
      </c>
      <c r="L431" s="249">
        <v>1450000.0</v>
      </c>
      <c r="M431" s="249">
        <v>372120.0</v>
      </c>
      <c r="N431" s="249">
        <v>372120.0</v>
      </c>
      <c r="O431" s="250">
        <f t="shared" ref="O431:P431" si="430">K431+M431</f>
        <v>1822120</v>
      </c>
      <c r="P431" s="250">
        <f t="shared" si="430"/>
        <v>1822120</v>
      </c>
    </row>
    <row r="432">
      <c r="A432" s="246" t="s">
        <v>280</v>
      </c>
      <c r="B432" s="246" t="s">
        <v>116</v>
      </c>
      <c r="C432" s="246" t="s">
        <v>92</v>
      </c>
      <c r="D432" s="246" t="s">
        <v>97</v>
      </c>
      <c r="E432" s="246" t="s">
        <v>86</v>
      </c>
      <c r="F432" s="247"/>
      <c r="G432" s="247"/>
      <c r="H432" s="246" t="s">
        <v>90</v>
      </c>
      <c r="I432" s="246" t="s">
        <v>365</v>
      </c>
      <c r="J432" s="248">
        <v>45.0</v>
      </c>
      <c r="K432" s="249">
        <v>1550000.0</v>
      </c>
      <c r="L432" s="249">
        <v>1550000.0</v>
      </c>
      <c r="M432" s="249">
        <v>478440.0</v>
      </c>
      <c r="N432" s="249">
        <v>478440.0</v>
      </c>
      <c r="O432" s="250">
        <f t="shared" ref="O432:P432" si="431">K432+M432</f>
        <v>2028440</v>
      </c>
      <c r="P432" s="250">
        <f t="shared" si="431"/>
        <v>2028440</v>
      </c>
    </row>
    <row r="433">
      <c r="A433" s="246" t="s">
        <v>280</v>
      </c>
      <c r="B433" s="246" t="s">
        <v>116</v>
      </c>
      <c r="C433" s="246" t="s">
        <v>92</v>
      </c>
      <c r="D433" s="246" t="s">
        <v>90</v>
      </c>
      <c r="E433" s="246" t="s">
        <v>98</v>
      </c>
      <c r="F433" s="247"/>
      <c r="G433" s="247"/>
      <c r="H433" s="247"/>
      <c r="I433" s="246" t="s">
        <v>255</v>
      </c>
      <c r="J433" s="248">
        <v>25.0</v>
      </c>
      <c r="K433" s="249">
        <v>1350000.0</v>
      </c>
      <c r="L433" s="249">
        <v>1350000.0</v>
      </c>
      <c r="M433" s="249">
        <v>265800.0</v>
      </c>
      <c r="N433" s="249">
        <v>265800.0</v>
      </c>
      <c r="O433" s="250">
        <f t="shared" ref="O433:P433" si="432">K433+M433</f>
        <v>1615800</v>
      </c>
      <c r="P433" s="250">
        <f t="shared" si="432"/>
        <v>1615800</v>
      </c>
    </row>
    <row r="434">
      <c r="A434" s="246" t="s">
        <v>280</v>
      </c>
      <c r="B434" s="246" t="s">
        <v>116</v>
      </c>
      <c r="C434" s="246" t="s">
        <v>92</v>
      </c>
      <c r="D434" s="246" t="s">
        <v>98</v>
      </c>
      <c r="E434" s="246" t="s">
        <v>84</v>
      </c>
      <c r="F434" s="247"/>
      <c r="G434" s="247"/>
      <c r="H434" s="246" t="s">
        <v>90</v>
      </c>
      <c r="I434" s="246" t="s">
        <v>366</v>
      </c>
      <c r="J434" s="248">
        <v>140.0</v>
      </c>
      <c r="K434" s="249">
        <v>2350000.0</v>
      </c>
      <c r="L434" s="249">
        <v>2350000.0</v>
      </c>
      <c r="M434" s="249">
        <v>1488480.0</v>
      </c>
      <c r="N434" s="249">
        <v>1488480.0</v>
      </c>
      <c r="O434" s="250">
        <f t="shared" ref="O434:P434" si="433">K434+M434</f>
        <v>3838480</v>
      </c>
      <c r="P434" s="250">
        <f t="shared" si="433"/>
        <v>3838480</v>
      </c>
    </row>
    <row r="435">
      <c r="A435" s="246" t="s">
        <v>280</v>
      </c>
      <c r="B435" s="246" t="s">
        <v>116</v>
      </c>
      <c r="C435" s="246" t="s">
        <v>92</v>
      </c>
      <c r="D435" s="246" t="s">
        <v>90</v>
      </c>
      <c r="E435" s="246" t="s">
        <v>98</v>
      </c>
      <c r="F435" s="247"/>
      <c r="G435" s="247"/>
      <c r="H435" s="247"/>
      <c r="I435" s="246" t="s">
        <v>255</v>
      </c>
      <c r="J435" s="248">
        <v>25.0</v>
      </c>
      <c r="K435" s="249">
        <v>1350000.0</v>
      </c>
      <c r="L435" s="249">
        <v>1350000.0</v>
      </c>
      <c r="M435" s="249">
        <v>265800.0</v>
      </c>
      <c r="N435" s="249">
        <v>265800.0</v>
      </c>
      <c r="O435" s="250">
        <f t="shared" ref="O435:P435" si="434">K435+M435</f>
        <v>1615800</v>
      </c>
      <c r="P435" s="250">
        <f t="shared" si="434"/>
        <v>1615800</v>
      </c>
    </row>
    <row r="436">
      <c r="A436" s="246" t="s">
        <v>280</v>
      </c>
      <c r="B436" s="246" t="s">
        <v>116</v>
      </c>
      <c r="C436" s="246" t="s">
        <v>92</v>
      </c>
      <c r="D436" s="246" t="s">
        <v>98</v>
      </c>
      <c r="E436" s="246" t="s">
        <v>85</v>
      </c>
      <c r="F436" s="247"/>
      <c r="G436" s="247"/>
      <c r="H436" s="246" t="s">
        <v>90</v>
      </c>
      <c r="I436" s="246" t="s">
        <v>367</v>
      </c>
      <c r="J436" s="248">
        <v>55.0</v>
      </c>
      <c r="K436" s="249">
        <v>1550000.0</v>
      </c>
      <c r="L436" s="249">
        <v>1550000.0</v>
      </c>
      <c r="M436" s="249">
        <v>584760.0</v>
      </c>
      <c r="N436" s="249">
        <v>584760.0</v>
      </c>
      <c r="O436" s="250">
        <f t="shared" ref="O436:P436" si="435">K436+M436</f>
        <v>2134760</v>
      </c>
      <c r="P436" s="250">
        <f t="shared" si="435"/>
        <v>2134760</v>
      </c>
    </row>
    <row r="437">
      <c r="A437" s="246" t="s">
        <v>280</v>
      </c>
      <c r="B437" s="246" t="s">
        <v>116</v>
      </c>
      <c r="C437" s="246" t="s">
        <v>92</v>
      </c>
      <c r="D437" s="246" t="s">
        <v>90</v>
      </c>
      <c r="E437" s="246" t="s">
        <v>98</v>
      </c>
      <c r="F437" s="247"/>
      <c r="G437" s="247"/>
      <c r="H437" s="247"/>
      <c r="I437" s="246" t="s">
        <v>255</v>
      </c>
      <c r="J437" s="248">
        <v>25.0</v>
      </c>
      <c r="K437" s="249">
        <v>1350000.0</v>
      </c>
      <c r="L437" s="249">
        <v>1350000.0</v>
      </c>
      <c r="M437" s="249">
        <v>265800.0</v>
      </c>
      <c r="N437" s="249">
        <v>265800.0</v>
      </c>
      <c r="O437" s="250">
        <f t="shared" ref="O437:P437" si="436">K437+M437</f>
        <v>1615800</v>
      </c>
      <c r="P437" s="250">
        <f t="shared" si="436"/>
        <v>1615800</v>
      </c>
    </row>
    <row r="438">
      <c r="A438" s="246" t="s">
        <v>280</v>
      </c>
      <c r="B438" s="246" t="s">
        <v>116</v>
      </c>
      <c r="C438" s="246" t="s">
        <v>92</v>
      </c>
      <c r="D438" s="246" t="s">
        <v>98</v>
      </c>
      <c r="E438" s="246" t="s">
        <v>86</v>
      </c>
      <c r="F438" s="247"/>
      <c r="G438" s="247"/>
      <c r="H438" s="246" t="s">
        <v>90</v>
      </c>
      <c r="I438" s="246" t="s">
        <v>368</v>
      </c>
      <c r="J438" s="248">
        <v>25.0</v>
      </c>
      <c r="K438" s="249">
        <v>1350000.0</v>
      </c>
      <c r="L438" s="249">
        <v>1350000.0</v>
      </c>
      <c r="M438" s="249">
        <v>265800.0</v>
      </c>
      <c r="N438" s="249">
        <v>265800.0</v>
      </c>
      <c r="O438" s="250">
        <f t="shared" ref="O438:P438" si="437">K438+M438</f>
        <v>1615800</v>
      </c>
      <c r="P438" s="250">
        <f t="shared" si="437"/>
        <v>1615800</v>
      </c>
    </row>
    <row r="439">
      <c r="A439" s="246" t="s">
        <v>280</v>
      </c>
      <c r="B439" s="246" t="s">
        <v>116</v>
      </c>
      <c r="C439" s="246" t="s">
        <v>102</v>
      </c>
      <c r="D439" s="246" t="s">
        <v>103</v>
      </c>
      <c r="E439" s="246" t="s">
        <v>84</v>
      </c>
      <c r="F439" s="247"/>
      <c r="G439" s="247"/>
      <c r="H439" s="246" t="s">
        <v>90</v>
      </c>
      <c r="I439" s="246" t="s">
        <v>372</v>
      </c>
      <c r="J439" s="248">
        <v>136.0</v>
      </c>
      <c r="K439" s="249">
        <v>3090000.0</v>
      </c>
      <c r="L439" s="249">
        <v>3090000.0</v>
      </c>
      <c r="M439" s="249">
        <v>1445952.0</v>
      </c>
      <c r="N439" s="249">
        <v>1445952.0</v>
      </c>
      <c r="O439" s="250">
        <f t="shared" ref="O439:P439" si="438">K439+M439</f>
        <v>4535952</v>
      </c>
      <c r="P439" s="250">
        <f t="shared" si="438"/>
        <v>4535952</v>
      </c>
    </row>
    <row r="440">
      <c r="A440" s="246" t="s">
        <v>280</v>
      </c>
      <c r="B440" s="246" t="s">
        <v>116</v>
      </c>
      <c r="C440" s="246" t="s">
        <v>102</v>
      </c>
      <c r="D440" s="246" t="s">
        <v>103</v>
      </c>
      <c r="E440" s="246" t="s">
        <v>85</v>
      </c>
      <c r="F440" s="247"/>
      <c r="G440" s="247"/>
      <c r="H440" s="246" t="s">
        <v>90</v>
      </c>
      <c r="I440" s="246" t="s">
        <v>373</v>
      </c>
      <c r="J440" s="248">
        <v>90.0</v>
      </c>
      <c r="K440" s="249">
        <v>2510000.0</v>
      </c>
      <c r="L440" s="249">
        <v>2510000.0</v>
      </c>
      <c r="M440" s="249">
        <v>956880.0</v>
      </c>
      <c r="N440" s="249">
        <v>956880.0</v>
      </c>
      <c r="O440" s="250">
        <f t="shared" ref="O440:P440" si="439">K440+M440</f>
        <v>3466880</v>
      </c>
      <c r="P440" s="250">
        <f t="shared" si="439"/>
        <v>3466880</v>
      </c>
    </row>
    <row r="441">
      <c r="A441" s="246" t="s">
        <v>280</v>
      </c>
      <c r="B441" s="246" t="s">
        <v>116</v>
      </c>
      <c r="C441" s="246" t="s">
        <v>102</v>
      </c>
      <c r="D441" s="246" t="s">
        <v>103</v>
      </c>
      <c r="E441" s="246" t="s">
        <v>86</v>
      </c>
      <c r="F441" s="247"/>
      <c r="G441" s="247"/>
      <c r="H441" s="246" t="s">
        <v>90</v>
      </c>
      <c r="I441" s="246" t="s">
        <v>374</v>
      </c>
      <c r="J441" s="248">
        <v>70.0</v>
      </c>
      <c r="K441" s="249">
        <v>2370000.0</v>
      </c>
      <c r="L441" s="249">
        <v>2370000.0</v>
      </c>
      <c r="M441" s="249">
        <v>744240.0</v>
      </c>
      <c r="N441" s="249">
        <v>744240.0</v>
      </c>
      <c r="O441" s="250">
        <f t="shared" ref="O441:P441" si="440">K441+M441</f>
        <v>3114240</v>
      </c>
      <c r="P441" s="250">
        <f t="shared" si="440"/>
        <v>3114240</v>
      </c>
    </row>
    <row r="442">
      <c r="A442" s="246" t="s">
        <v>280</v>
      </c>
      <c r="B442" s="246" t="s">
        <v>116</v>
      </c>
      <c r="C442" s="246" t="s">
        <v>102</v>
      </c>
      <c r="D442" s="246" t="s">
        <v>104</v>
      </c>
      <c r="E442" s="246" t="s">
        <v>84</v>
      </c>
      <c r="F442" s="247"/>
      <c r="G442" s="247"/>
      <c r="H442" s="246" t="s">
        <v>90</v>
      </c>
      <c r="I442" s="246" t="s">
        <v>369</v>
      </c>
      <c r="J442" s="248">
        <v>155.0</v>
      </c>
      <c r="K442" s="249">
        <v>3230000.0</v>
      </c>
      <c r="L442" s="249">
        <v>3230000.0</v>
      </c>
      <c r="M442" s="249">
        <v>1647960.0</v>
      </c>
      <c r="N442" s="249">
        <v>1647960.0</v>
      </c>
      <c r="O442" s="250">
        <f t="shared" ref="O442:P442" si="441">K442+M442</f>
        <v>4877960</v>
      </c>
      <c r="P442" s="250">
        <f t="shared" si="441"/>
        <v>4877960</v>
      </c>
    </row>
    <row r="443">
      <c r="A443" s="246" t="s">
        <v>280</v>
      </c>
      <c r="B443" s="246" t="s">
        <v>116</v>
      </c>
      <c r="C443" s="246" t="s">
        <v>102</v>
      </c>
      <c r="D443" s="246" t="s">
        <v>104</v>
      </c>
      <c r="E443" s="246" t="s">
        <v>85</v>
      </c>
      <c r="F443" s="247"/>
      <c r="G443" s="247"/>
      <c r="H443" s="246" t="s">
        <v>90</v>
      </c>
      <c r="I443" s="246" t="s">
        <v>370</v>
      </c>
      <c r="J443" s="248">
        <v>70.0</v>
      </c>
      <c r="K443" s="249">
        <v>2720000.0</v>
      </c>
      <c r="L443" s="249">
        <v>2720000.0</v>
      </c>
      <c r="M443" s="249">
        <v>744240.0</v>
      </c>
      <c r="N443" s="249">
        <v>744240.0</v>
      </c>
      <c r="O443" s="250">
        <f t="shared" ref="O443:P443" si="442">K443+M443</f>
        <v>3464240</v>
      </c>
      <c r="P443" s="250">
        <f t="shared" si="442"/>
        <v>3464240</v>
      </c>
    </row>
    <row r="444">
      <c r="A444" s="246" t="s">
        <v>280</v>
      </c>
      <c r="B444" s="246" t="s">
        <v>116</v>
      </c>
      <c r="C444" s="246" t="s">
        <v>102</v>
      </c>
      <c r="D444" s="246" t="s">
        <v>104</v>
      </c>
      <c r="E444" s="246" t="s">
        <v>86</v>
      </c>
      <c r="F444" s="247"/>
      <c r="G444" s="247"/>
      <c r="H444" s="246" t="s">
        <v>90</v>
      </c>
      <c r="I444" s="246" t="s">
        <v>371</v>
      </c>
      <c r="J444" s="248">
        <v>45.0</v>
      </c>
      <c r="K444" s="249">
        <v>2530000.0</v>
      </c>
      <c r="L444" s="249">
        <v>2530000.0</v>
      </c>
      <c r="M444" s="249">
        <v>478440.0</v>
      </c>
      <c r="N444" s="249">
        <v>478440.0</v>
      </c>
      <c r="O444" s="250">
        <f t="shared" ref="O444:P444" si="443">K444+M444</f>
        <v>3008440</v>
      </c>
      <c r="P444" s="250">
        <f t="shared" si="443"/>
        <v>3008440</v>
      </c>
    </row>
    <row r="445">
      <c r="A445" s="246" t="s">
        <v>280</v>
      </c>
      <c r="B445" s="246" t="s">
        <v>116</v>
      </c>
      <c r="C445" s="246" t="s">
        <v>102</v>
      </c>
      <c r="D445" s="246" t="s">
        <v>105</v>
      </c>
      <c r="E445" s="246" t="s">
        <v>84</v>
      </c>
      <c r="F445" s="247"/>
      <c r="G445" s="247"/>
      <c r="H445" s="246" t="s">
        <v>90</v>
      </c>
      <c r="I445" s="246" t="s">
        <v>375</v>
      </c>
      <c r="J445" s="248">
        <v>125.0</v>
      </c>
      <c r="K445" s="249">
        <v>3070000.0</v>
      </c>
      <c r="L445" s="249">
        <v>3070000.0</v>
      </c>
      <c r="M445" s="249">
        <v>1329000.0</v>
      </c>
      <c r="N445" s="249">
        <v>1329000.0</v>
      </c>
      <c r="O445" s="250">
        <f t="shared" ref="O445:P445" si="444">K445+M445</f>
        <v>4399000</v>
      </c>
      <c r="P445" s="250">
        <f t="shared" si="444"/>
        <v>4399000</v>
      </c>
    </row>
    <row r="446">
      <c r="A446" s="246" t="s">
        <v>280</v>
      </c>
      <c r="B446" s="246" t="s">
        <v>116</v>
      </c>
      <c r="C446" s="246" t="s">
        <v>102</v>
      </c>
      <c r="D446" s="246" t="s">
        <v>105</v>
      </c>
      <c r="E446" s="246" t="s">
        <v>85</v>
      </c>
      <c r="F446" s="247"/>
      <c r="G446" s="247"/>
      <c r="H446" s="246" t="s">
        <v>90</v>
      </c>
      <c r="I446" s="246" t="s">
        <v>376</v>
      </c>
      <c r="J446" s="248">
        <v>65.0</v>
      </c>
      <c r="K446" s="249">
        <v>2720000.0</v>
      </c>
      <c r="L446" s="249">
        <v>2720000.0</v>
      </c>
      <c r="M446" s="249">
        <v>691080.0</v>
      </c>
      <c r="N446" s="249">
        <v>691080.0</v>
      </c>
      <c r="O446" s="250">
        <f t="shared" ref="O446:P446" si="445">K446+M446</f>
        <v>3411080</v>
      </c>
      <c r="P446" s="250">
        <f t="shared" si="445"/>
        <v>3411080</v>
      </c>
    </row>
    <row r="447">
      <c r="A447" s="246" t="s">
        <v>280</v>
      </c>
      <c r="B447" s="246" t="s">
        <v>116</v>
      </c>
      <c r="C447" s="246" t="s">
        <v>102</v>
      </c>
      <c r="D447" s="246" t="s">
        <v>105</v>
      </c>
      <c r="E447" s="246" t="s">
        <v>86</v>
      </c>
      <c r="F447" s="247"/>
      <c r="G447" s="247"/>
      <c r="H447" s="246" t="s">
        <v>90</v>
      </c>
      <c r="I447" s="246" t="s">
        <v>377</v>
      </c>
      <c r="J447" s="248">
        <v>75.0</v>
      </c>
      <c r="K447" s="249">
        <v>2730000.0</v>
      </c>
      <c r="L447" s="249">
        <v>2730000.0</v>
      </c>
      <c r="M447" s="249">
        <v>797400.0</v>
      </c>
      <c r="N447" s="249">
        <v>797400.0</v>
      </c>
      <c r="O447" s="250">
        <f t="shared" ref="O447:P447" si="446">K447+M447</f>
        <v>3527400</v>
      </c>
      <c r="P447" s="250">
        <f t="shared" si="446"/>
        <v>3527400</v>
      </c>
    </row>
    <row r="448">
      <c r="A448" s="246" t="s">
        <v>205</v>
      </c>
      <c r="B448" s="246" t="s">
        <v>122</v>
      </c>
      <c r="C448" s="246" t="s">
        <v>89</v>
      </c>
      <c r="D448" s="246" t="s">
        <v>91</v>
      </c>
      <c r="E448" s="246" t="s">
        <v>84</v>
      </c>
      <c r="F448" s="247"/>
      <c r="G448" s="247"/>
      <c r="H448" s="246" t="s">
        <v>91</v>
      </c>
      <c r="I448" s="246" t="s">
        <v>378</v>
      </c>
      <c r="J448" s="248">
        <v>130.0</v>
      </c>
      <c r="K448" s="249">
        <v>2140000.0</v>
      </c>
      <c r="L448" s="249">
        <v>2135000.0</v>
      </c>
      <c r="M448" s="249">
        <v>1197872.0</v>
      </c>
      <c r="N448" s="249">
        <v>1197872.0</v>
      </c>
      <c r="O448" s="250">
        <f t="shared" ref="O448:P448" si="447">K448+M448</f>
        <v>3337872</v>
      </c>
      <c r="P448" s="250">
        <f t="shared" si="447"/>
        <v>3332872</v>
      </c>
    </row>
    <row r="449">
      <c r="A449" s="246" t="s">
        <v>205</v>
      </c>
      <c r="B449" s="246" t="s">
        <v>122</v>
      </c>
      <c r="C449" s="246" t="s">
        <v>89</v>
      </c>
      <c r="D449" s="246" t="s">
        <v>91</v>
      </c>
      <c r="E449" s="246" t="s">
        <v>85</v>
      </c>
      <c r="F449" s="247"/>
      <c r="G449" s="247"/>
      <c r="H449" s="246" t="s">
        <v>91</v>
      </c>
      <c r="I449" s="246" t="s">
        <v>379</v>
      </c>
      <c r="J449" s="248">
        <v>50.0</v>
      </c>
      <c r="K449" s="249">
        <v>1420000.0</v>
      </c>
      <c r="L449" s="249">
        <v>1420000.0</v>
      </c>
      <c r="M449" s="249">
        <v>460720.0</v>
      </c>
      <c r="N449" s="249">
        <v>460720.0</v>
      </c>
      <c r="O449" s="250">
        <f t="shared" ref="O449:P449" si="448">K449+M449</f>
        <v>1880720</v>
      </c>
      <c r="P449" s="250">
        <f t="shared" si="448"/>
        <v>1880720</v>
      </c>
    </row>
    <row r="450">
      <c r="A450" s="246" t="s">
        <v>205</v>
      </c>
      <c r="B450" s="246" t="s">
        <v>122</v>
      </c>
      <c r="C450" s="246" t="s">
        <v>89</v>
      </c>
      <c r="D450" s="246" t="s">
        <v>91</v>
      </c>
      <c r="E450" s="246" t="s">
        <v>86</v>
      </c>
      <c r="F450" s="247"/>
      <c r="G450" s="247"/>
      <c r="H450" s="246" t="s">
        <v>91</v>
      </c>
      <c r="I450" s="246" t="s">
        <v>380</v>
      </c>
      <c r="J450" s="248">
        <v>60.0</v>
      </c>
      <c r="K450" s="249">
        <v>1500000.0</v>
      </c>
      <c r="L450" s="249">
        <v>1500000.0</v>
      </c>
      <c r="M450" s="249">
        <v>552864.0</v>
      </c>
      <c r="N450" s="249">
        <v>552864.0</v>
      </c>
      <c r="O450" s="250">
        <f t="shared" ref="O450:P450" si="449">K450+M450</f>
        <v>2052864</v>
      </c>
      <c r="P450" s="250">
        <f t="shared" si="449"/>
        <v>2052864</v>
      </c>
    </row>
    <row r="451">
      <c r="A451" s="246" t="s">
        <v>205</v>
      </c>
      <c r="B451" s="246" t="s">
        <v>122</v>
      </c>
      <c r="C451" s="246" t="s">
        <v>89</v>
      </c>
      <c r="D451" s="246" t="s">
        <v>91</v>
      </c>
      <c r="E451" s="246" t="s">
        <v>84</v>
      </c>
      <c r="F451" s="246" t="s">
        <v>85</v>
      </c>
      <c r="G451" s="247"/>
      <c r="H451" s="246" t="s">
        <v>91</v>
      </c>
      <c r="I451" s="246" t="s">
        <v>381</v>
      </c>
      <c r="J451" s="248">
        <v>140.0</v>
      </c>
      <c r="K451" s="249">
        <v>2400000.0</v>
      </c>
      <c r="L451" s="249">
        <v>2397000.0</v>
      </c>
      <c r="M451" s="249">
        <v>1290016.0</v>
      </c>
      <c r="N451" s="249">
        <v>1290016.0</v>
      </c>
      <c r="O451" s="250">
        <f t="shared" ref="O451:P451" si="450">K451+M451</f>
        <v>3690016</v>
      </c>
      <c r="P451" s="250">
        <f t="shared" si="450"/>
        <v>3687016</v>
      </c>
    </row>
    <row r="452">
      <c r="A452" s="246" t="s">
        <v>205</v>
      </c>
      <c r="B452" s="246" t="s">
        <v>122</v>
      </c>
      <c r="C452" s="246" t="s">
        <v>89</v>
      </c>
      <c r="D452" s="246" t="s">
        <v>91</v>
      </c>
      <c r="E452" s="246" t="s">
        <v>84</v>
      </c>
      <c r="F452" s="246" t="s">
        <v>86</v>
      </c>
      <c r="G452" s="247"/>
      <c r="H452" s="246" t="s">
        <v>91</v>
      </c>
      <c r="I452" s="246" t="s">
        <v>382</v>
      </c>
      <c r="J452" s="248">
        <v>150.0</v>
      </c>
      <c r="K452" s="249">
        <v>2530000.0</v>
      </c>
      <c r="L452" s="249">
        <v>2528000.0</v>
      </c>
      <c r="M452" s="249">
        <v>1382160.0</v>
      </c>
      <c r="N452" s="249">
        <v>1382160.0</v>
      </c>
      <c r="O452" s="250">
        <f t="shared" ref="O452:P452" si="451">K452+M452</f>
        <v>3912160</v>
      </c>
      <c r="P452" s="250">
        <f t="shared" si="451"/>
        <v>3910160</v>
      </c>
    </row>
    <row r="453">
      <c r="A453" s="246" t="s">
        <v>205</v>
      </c>
      <c r="B453" s="246" t="s">
        <v>122</v>
      </c>
      <c r="C453" s="246" t="s">
        <v>89</v>
      </c>
      <c r="D453" s="246" t="s">
        <v>91</v>
      </c>
      <c r="E453" s="246" t="s">
        <v>85</v>
      </c>
      <c r="F453" s="246" t="s">
        <v>86</v>
      </c>
      <c r="G453" s="247"/>
      <c r="H453" s="246" t="s">
        <v>91</v>
      </c>
      <c r="I453" s="246" t="s">
        <v>383</v>
      </c>
      <c r="J453" s="248">
        <v>70.0</v>
      </c>
      <c r="K453" s="249">
        <v>1970000.0</v>
      </c>
      <c r="L453" s="249">
        <v>1973000.0</v>
      </c>
      <c r="M453" s="249">
        <v>645008.0</v>
      </c>
      <c r="N453" s="249">
        <v>645008.0</v>
      </c>
      <c r="O453" s="250">
        <f t="shared" ref="O453:P453" si="452">K453+M453</f>
        <v>2615008</v>
      </c>
      <c r="P453" s="250">
        <f t="shared" si="452"/>
        <v>2618008</v>
      </c>
    </row>
    <row r="454">
      <c r="A454" s="246" t="s">
        <v>205</v>
      </c>
      <c r="B454" s="246" t="s">
        <v>122</v>
      </c>
      <c r="C454" s="246" t="s">
        <v>89</v>
      </c>
      <c r="D454" s="246" t="s">
        <v>91</v>
      </c>
      <c r="E454" s="246" t="s">
        <v>84</v>
      </c>
      <c r="F454" s="246" t="s">
        <v>85</v>
      </c>
      <c r="G454" s="246" t="s">
        <v>86</v>
      </c>
      <c r="H454" s="246" t="s">
        <v>91</v>
      </c>
      <c r="I454" s="246" t="s">
        <v>384</v>
      </c>
      <c r="J454" s="248">
        <v>170.0</v>
      </c>
      <c r="K454" s="249">
        <v>2550000.0</v>
      </c>
      <c r="L454" s="249">
        <v>2552000.0</v>
      </c>
      <c r="M454" s="249">
        <v>1566448.0</v>
      </c>
      <c r="N454" s="249">
        <v>1566448.0</v>
      </c>
      <c r="O454" s="250">
        <f t="shared" ref="O454:P454" si="453">K454+M454</f>
        <v>4116448</v>
      </c>
      <c r="P454" s="250">
        <f t="shared" si="453"/>
        <v>4118448</v>
      </c>
    </row>
    <row r="455">
      <c r="A455" s="246" t="s">
        <v>205</v>
      </c>
      <c r="B455" s="246" t="s">
        <v>122</v>
      </c>
      <c r="C455" s="246" t="s">
        <v>89</v>
      </c>
      <c r="D455" s="246" t="s">
        <v>91</v>
      </c>
      <c r="E455" s="246" t="s">
        <v>87</v>
      </c>
      <c r="F455" s="247"/>
      <c r="G455" s="247"/>
      <c r="H455" s="246" t="s">
        <v>91</v>
      </c>
      <c r="I455" s="246" t="s">
        <v>385</v>
      </c>
      <c r="J455" s="248">
        <v>70.0</v>
      </c>
      <c r="K455" s="249">
        <v>2000000.0</v>
      </c>
      <c r="L455" s="249">
        <v>2000000.0</v>
      </c>
      <c r="M455" s="249">
        <v>645008.0</v>
      </c>
      <c r="N455" s="249">
        <v>645008.0</v>
      </c>
      <c r="O455" s="250">
        <f t="shared" ref="O455:P455" si="454">K455+M455</f>
        <v>2645008</v>
      </c>
      <c r="P455" s="250">
        <f t="shared" si="454"/>
        <v>2645008</v>
      </c>
    </row>
    <row r="456">
      <c r="A456" s="246" t="s">
        <v>205</v>
      </c>
      <c r="B456" s="246" t="s">
        <v>122</v>
      </c>
      <c r="C456" s="246" t="s">
        <v>89</v>
      </c>
      <c r="D456" s="246" t="s">
        <v>91</v>
      </c>
      <c r="E456" s="246" t="s">
        <v>87</v>
      </c>
      <c r="F456" s="246" t="s">
        <v>84</v>
      </c>
      <c r="G456" s="247"/>
      <c r="H456" s="246" t="s">
        <v>91</v>
      </c>
      <c r="I456" s="246" t="s">
        <v>386</v>
      </c>
      <c r="J456" s="248">
        <v>140.0</v>
      </c>
      <c r="K456" s="249">
        <v>3400000.0</v>
      </c>
      <c r="L456" s="249">
        <v>3400000.0</v>
      </c>
      <c r="M456" s="249">
        <v>1290016.0</v>
      </c>
      <c r="N456" s="249">
        <v>1290016.0</v>
      </c>
      <c r="O456" s="250">
        <f t="shared" ref="O456:P456" si="455">K456+M456</f>
        <v>4690016</v>
      </c>
      <c r="P456" s="250">
        <f t="shared" si="455"/>
        <v>4690016</v>
      </c>
    </row>
    <row r="457">
      <c r="A457" s="246" t="s">
        <v>205</v>
      </c>
      <c r="B457" s="246" t="s">
        <v>122</v>
      </c>
      <c r="C457" s="246" t="s">
        <v>89</v>
      </c>
      <c r="D457" s="246" t="s">
        <v>91</v>
      </c>
      <c r="E457" s="246" t="s">
        <v>87</v>
      </c>
      <c r="F457" s="246" t="s">
        <v>85</v>
      </c>
      <c r="G457" s="247"/>
      <c r="H457" s="246" t="s">
        <v>91</v>
      </c>
      <c r="I457" s="246" t="s">
        <v>387</v>
      </c>
      <c r="J457" s="248">
        <v>100.0</v>
      </c>
      <c r="K457" s="249">
        <v>2600000.0</v>
      </c>
      <c r="L457" s="249">
        <v>2600000.0</v>
      </c>
      <c r="M457" s="249">
        <v>921440.0</v>
      </c>
      <c r="N457" s="249">
        <v>921440.0</v>
      </c>
      <c r="O457" s="250">
        <f t="shared" ref="O457:P457" si="456">K457+M457</f>
        <v>3521440</v>
      </c>
      <c r="P457" s="250">
        <f t="shared" si="456"/>
        <v>3521440</v>
      </c>
    </row>
    <row r="458">
      <c r="A458" s="246" t="s">
        <v>205</v>
      </c>
      <c r="B458" s="246" t="s">
        <v>122</v>
      </c>
      <c r="C458" s="246" t="s">
        <v>89</v>
      </c>
      <c r="D458" s="246" t="s">
        <v>91</v>
      </c>
      <c r="E458" s="246" t="s">
        <v>88</v>
      </c>
      <c r="F458" s="247"/>
      <c r="G458" s="247"/>
      <c r="H458" s="246" t="s">
        <v>91</v>
      </c>
      <c r="I458" s="246" t="s">
        <v>388</v>
      </c>
      <c r="J458" s="248">
        <v>40.0</v>
      </c>
      <c r="K458" s="249">
        <v>1080000.0</v>
      </c>
      <c r="L458" s="249">
        <v>1078000.0</v>
      </c>
      <c r="M458" s="249">
        <v>368576.0</v>
      </c>
      <c r="N458" s="249">
        <v>368576.0</v>
      </c>
      <c r="O458" s="250">
        <f t="shared" ref="O458:P458" si="457">K458+M458</f>
        <v>1448576</v>
      </c>
      <c r="P458" s="250">
        <f t="shared" si="457"/>
        <v>1446576</v>
      </c>
    </row>
    <row r="459">
      <c r="A459" s="246" t="s">
        <v>205</v>
      </c>
      <c r="B459" s="246" t="s">
        <v>122</v>
      </c>
      <c r="C459" s="246" t="s">
        <v>89</v>
      </c>
      <c r="D459" s="246" t="s">
        <v>91</v>
      </c>
      <c r="E459" s="246" t="s">
        <v>88</v>
      </c>
      <c r="F459" s="246" t="s">
        <v>85</v>
      </c>
      <c r="G459" s="247"/>
      <c r="H459" s="246" t="s">
        <v>91</v>
      </c>
      <c r="I459" s="246" t="s">
        <v>389</v>
      </c>
      <c r="J459" s="248">
        <v>60.0</v>
      </c>
      <c r="K459" s="249">
        <v>1950000.0</v>
      </c>
      <c r="L459" s="249">
        <v>1951000.0</v>
      </c>
      <c r="M459" s="249">
        <v>552864.0</v>
      </c>
      <c r="N459" s="249">
        <v>552864.0</v>
      </c>
      <c r="O459" s="250">
        <f t="shared" ref="O459:P459" si="458">K459+M459</f>
        <v>2502864</v>
      </c>
      <c r="P459" s="250">
        <f t="shared" si="458"/>
        <v>2503864</v>
      </c>
    </row>
    <row r="460">
      <c r="A460" s="246" t="s">
        <v>205</v>
      </c>
      <c r="B460" s="246" t="s">
        <v>122</v>
      </c>
      <c r="C460" s="246" t="s">
        <v>89</v>
      </c>
      <c r="D460" s="246" t="s">
        <v>91</v>
      </c>
      <c r="E460" s="246" t="s">
        <v>88</v>
      </c>
      <c r="F460" s="246" t="s">
        <v>86</v>
      </c>
      <c r="G460" s="247"/>
      <c r="H460" s="246" t="s">
        <v>91</v>
      </c>
      <c r="I460" s="246" t="s">
        <v>390</v>
      </c>
      <c r="J460" s="248">
        <v>80.0</v>
      </c>
      <c r="K460" s="249">
        <v>1990000.0</v>
      </c>
      <c r="L460" s="249">
        <v>1985000.0</v>
      </c>
      <c r="M460" s="249">
        <v>737152.0</v>
      </c>
      <c r="N460" s="249">
        <v>737152.0</v>
      </c>
      <c r="O460" s="250">
        <f t="shared" ref="O460:P460" si="459">K460+M460</f>
        <v>2727152</v>
      </c>
      <c r="P460" s="250">
        <f t="shared" si="459"/>
        <v>2722152</v>
      </c>
    </row>
    <row r="461">
      <c r="A461" s="246" t="s">
        <v>205</v>
      </c>
      <c r="B461" s="246" t="s">
        <v>122</v>
      </c>
      <c r="C461" s="246" t="s">
        <v>89</v>
      </c>
      <c r="D461" s="246" t="s">
        <v>91</v>
      </c>
      <c r="E461" s="246" t="s">
        <v>88</v>
      </c>
      <c r="F461" s="246" t="s">
        <v>85</v>
      </c>
      <c r="G461" s="246" t="s">
        <v>86</v>
      </c>
      <c r="H461" s="246" t="s">
        <v>91</v>
      </c>
      <c r="I461" s="246" t="s">
        <v>391</v>
      </c>
      <c r="J461" s="248">
        <v>85.0</v>
      </c>
      <c r="K461" s="249">
        <v>2270000.0</v>
      </c>
      <c r="L461" s="249">
        <v>2271000.0</v>
      </c>
      <c r="M461" s="249">
        <v>783224.0</v>
      </c>
      <c r="N461" s="249">
        <v>783224.0</v>
      </c>
      <c r="O461" s="250">
        <f t="shared" ref="O461:P461" si="460">K461+M461</f>
        <v>3053224</v>
      </c>
      <c r="P461" s="250">
        <f t="shared" si="460"/>
        <v>3054224</v>
      </c>
    </row>
    <row r="462">
      <c r="A462" s="246" t="s">
        <v>205</v>
      </c>
      <c r="B462" s="246" t="s">
        <v>122</v>
      </c>
      <c r="C462" s="246" t="s">
        <v>92</v>
      </c>
      <c r="D462" s="246" t="s">
        <v>91</v>
      </c>
      <c r="E462" s="246" t="s">
        <v>99</v>
      </c>
      <c r="F462" s="247"/>
      <c r="G462" s="247"/>
      <c r="H462" s="247"/>
      <c r="I462" s="246" t="s">
        <v>259</v>
      </c>
      <c r="J462" s="248">
        <v>65.0</v>
      </c>
      <c r="K462" s="249">
        <v>1580000.0</v>
      </c>
      <c r="L462" s="249">
        <v>1580000.0</v>
      </c>
      <c r="M462" s="249">
        <v>691080.0</v>
      </c>
      <c r="N462" s="249">
        <v>691080.0</v>
      </c>
      <c r="O462" s="250">
        <f t="shared" ref="O462:P462" si="461">K462+M462</f>
        <v>2271080</v>
      </c>
      <c r="P462" s="250">
        <f t="shared" si="461"/>
        <v>2271080</v>
      </c>
    </row>
    <row r="463">
      <c r="A463" s="246" t="s">
        <v>205</v>
      </c>
      <c r="B463" s="246" t="s">
        <v>122</v>
      </c>
      <c r="C463" s="246" t="s">
        <v>92</v>
      </c>
      <c r="D463" s="246" t="s">
        <v>99</v>
      </c>
      <c r="E463" s="246" t="s">
        <v>84</v>
      </c>
      <c r="F463" s="247"/>
      <c r="G463" s="247"/>
      <c r="H463" s="246" t="s">
        <v>91</v>
      </c>
      <c r="I463" s="246" t="s">
        <v>392</v>
      </c>
      <c r="J463" s="248">
        <v>65.0</v>
      </c>
      <c r="K463" s="249">
        <v>1580000.0</v>
      </c>
      <c r="L463" s="249">
        <v>1580000.0</v>
      </c>
      <c r="M463" s="249">
        <v>691080.0</v>
      </c>
      <c r="N463" s="249">
        <v>691080.0</v>
      </c>
      <c r="O463" s="250">
        <f t="shared" ref="O463:P463" si="462">K463+M463</f>
        <v>2271080</v>
      </c>
      <c r="P463" s="250">
        <f t="shared" si="462"/>
        <v>2271080</v>
      </c>
    </row>
    <row r="464">
      <c r="A464" s="246" t="s">
        <v>205</v>
      </c>
      <c r="B464" s="246" t="s">
        <v>122</v>
      </c>
      <c r="C464" s="246" t="s">
        <v>92</v>
      </c>
      <c r="D464" s="246" t="s">
        <v>91</v>
      </c>
      <c r="E464" s="246" t="s">
        <v>99</v>
      </c>
      <c r="F464" s="247"/>
      <c r="G464" s="247"/>
      <c r="H464" s="247"/>
      <c r="I464" s="246" t="s">
        <v>259</v>
      </c>
      <c r="J464" s="248">
        <v>65.0</v>
      </c>
      <c r="K464" s="249">
        <v>1580000.0</v>
      </c>
      <c r="L464" s="249">
        <v>1580000.0</v>
      </c>
      <c r="M464" s="249">
        <v>691080.0</v>
      </c>
      <c r="N464" s="249">
        <v>691080.0</v>
      </c>
      <c r="O464" s="250">
        <f t="shared" ref="O464:P464" si="463">K464+M464</f>
        <v>2271080</v>
      </c>
      <c r="P464" s="250">
        <f t="shared" si="463"/>
        <v>2271080</v>
      </c>
    </row>
    <row r="465">
      <c r="A465" s="246" t="s">
        <v>205</v>
      </c>
      <c r="B465" s="246" t="s">
        <v>122</v>
      </c>
      <c r="C465" s="246" t="s">
        <v>92</v>
      </c>
      <c r="D465" s="246" t="s">
        <v>99</v>
      </c>
      <c r="E465" s="246" t="s">
        <v>85</v>
      </c>
      <c r="F465" s="247"/>
      <c r="G465" s="247"/>
      <c r="H465" s="246" t="s">
        <v>91</v>
      </c>
      <c r="I465" s="246" t="s">
        <v>393</v>
      </c>
      <c r="J465" s="248">
        <v>75.0</v>
      </c>
      <c r="K465" s="249">
        <v>1770000.0</v>
      </c>
      <c r="L465" s="249">
        <v>1766000.0</v>
      </c>
      <c r="M465" s="249">
        <v>797400.0</v>
      </c>
      <c r="N465" s="249">
        <v>797400.0</v>
      </c>
      <c r="O465" s="250">
        <f t="shared" ref="O465:P465" si="464">K465+M465</f>
        <v>2567400</v>
      </c>
      <c r="P465" s="250">
        <f t="shared" si="464"/>
        <v>2563400</v>
      </c>
    </row>
    <row r="466">
      <c r="A466" s="246" t="s">
        <v>205</v>
      </c>
      <c r="B466" s="246" t="s">
        <v>122</v>
      </c>
      <c r="C466" s="246" t="s">
        <v>92</v>
      </c>
      <c r="D466" s="246" t="s">
        <v>91</v>
      </c>
      <c r="E466" s="246" t="s">
        <v>99</v>
      </c>
      <c r="F466" s="247"/>
      <c r="G466" s="247"/>
      <c r="H466" s="247"/>
      <c r="I466" s="246" t="s">
        <v>259</v>
      </c>
      <c r="J466" s="248">
        <v>65.0</v>
      </c>
      <c r="K466" s="249">
        <v>1680000.0</v>
      </c>
      <c r="L466" s="249">
        <v>1680000.0</v>
      </c>
      <c r="M466" s="249">
        <v>691080.0</v>
      </c>
      <c r="N466" s="249">
        <v>691080.0</v>
      </c>
      <c r="O466" s="250">
        <f t="shared" ref="O466:P466" si="465">K466+M466</f>
        <v>2371080</v>
      </c>
      <c r="P466" s="250">
        <f t="shared" si="465"/>
        <v>2371080</v>
      </c>
    </row>
    <row r="467">
      <c r="A467" s="246" t="s">
        <v>205</v>
      </c>
      <c r="B467" s="246" t="s">
        <v>122</v>
      </c>
      <c r="C467" s="246" t="s">
        <v>92</v>
      </c>
      <c r="D467" s="246" t="s">
        <v>99</v>
      </c>
      <c r="E467" s="246" t="s">
        <v>86</v>
      </c>
      <c r="F467" s="247"/>
      <c r="G467" s="247"/>
      <c r="H467" s="246" t="s">
        <v>91</v>
      </c>
      <c r="I467" s="246" t="s">
        <v>394</v>
      </c>
      <c r="J467" s="248">
        <v>85.0</v>
      </c>
      <c r="K467" s="249">
        <v>1900000.0</v>
      </c>
      <c r="L467" s="249">
        <v>1901000.0</v>
      </c>
      <c r="M467" s="249">
        <v>903720.0</v>
      </c>
      <c r="N467" s="249">
        <v>903720.0</v>
      </c>
      <c r="O467" s="250">
        <f t="shared" ref="O467:P467" si="466">K467+M467</f>
        <v>2803720</v>
      </c>
      <c r="P467" s="250">
        <f t="shared" si="466"/>
        <v>2804720</v>
      </c>
    </row>
    <row r="468">
      <c r="A468" s="246" t="s">
        <v>205</v>
      </c>
      <c r="B468" s="246" t="s">
        <v>122</v>
      </c>
      <c r="C468" s="246" t="s">
        <v>92</v>
      </c>
      <c r="D468" s="246" t="s">
        <v>91</v>
      </c>
      <c r="E468" s="246" t="s">
        <v>100</v>
      </c>
      <c r="F468" s="247"/>
      <c r="G468" s="247"/>
      <c r="H468" s="247"/>
      <c r="I468" s="246" t="s">
        <v>263</v>
      </c>
      <c r="J468" s="248">
        <v>25.0</v>
      </c>
      <c r="K468" s="249">
        <v>1320000.0</v>
      </c>
      <c r="L468" s="249">
        <v>1321000.0</v>
      </c>
      <c r="M468" s="249">
        <v>265800.0</v>
      </c>
      <c r="N468" s="249">
        <v>265800.0</v>
      </c>
      <c r="O468" s="250">
        <f t="shared" ref="O468:P468" si="467">K468+M468</f>
        <v>1585800</v>
      </c>
      <c r="P468" s="250">
        <f t="shared" si="467"/>
        <v>1586800</v>
      </c>
    </row>
    <row r="469">
      <c r="A469" s="246" t="s">
        <v>205</v>
      </c>
      <c r="B469" s="246" t="s">
        <v>122</v>
      </c>
      <c r="C469" s="246" t="s">
        <v>92</v>
      </c>
      <c r="D469" s="246" t="s">
        <v>100</v>
      </c>
      <c r="E469" s="246" t="s">
        <v>84</v>
      </c>
      <c r="F469" s="247"/>
      <c r="G469" s="247"/>
      <c r="H469" s="246" t="s">
        <v>91</v>
      </c>
      <c r="I469" s="246" t="s">
        <v>395</v>
      </c>
      <c r="J469" s="248">
        <v>120.0</v>
      </c>
      <c r="K469" s="249">
        <v>2230000.0</v>
      </c>
      <c r="L469" s="249">
        <v>2225000.0</v>
      </c>
      <c r="M469" s="249">
        <v>1275840.0</v>
      </c>
      <c r="N469" s="249">
        <v>1275840.0</v>
      </c>
      <c r="O469" s="250">
        <f t="shared" ref="O469:P469" si="468">K469+M469</f>
        <v>3505840</v>
      </c>
      <c r="P469" s="250">
        <f t="shared" si="468"/>
        <v>3500840</v>
      </c>
    </row>
    <row r="470">
      <c r="A470" s="246" t="s">
        <v>205</v>
      </c>
      <c r="B470" s="246" t="s">
        <v>122</v>
      </c>
      <c r="C470" s="246" t="s">
        <v>92</v>
      </c>
      <c r="D470" s="246" t="s">
        <v>91</v>
      </c>
      <c r="E470" s="246" t="s">
        <v>100</v>
      </c>
      <c r="F470" s="247"/>
      <c r="G470" s="247"/>
      <c r="H470" s="247"/>
      <c r="I470" s="246" t="s">
        <v>263</v>
      </c>
      <c r="J470" s="248">
        <v>25.0</v>
      </c>
      <c r="K470" s="249">
        <v>1320000.0</v>
      </c>
      <c r="L470" s="249">
        <v>1321000.0</v>
      </c>
      <c r="M470" s="249">
        <v>265800.0</v>
      </c>
      <c r="N470" s="249">
        <v>265800.0</v>
      </c>
      <c r="O470" s="250">
        <f t="shared" ref="O470:P470" si="469">K470+M470</f>
        <v>1585800</v>
      </c>
      <c r="P470" s="250">
        <f t="shared" si="469"/>
        <v>1586800</v>
      </c>
    </row>
    <row r="471">
      <c r="A471" s="246" t="s">
        <v>205</v>
      </c>
      <c r="B471" s="246" t="s">
        <v>122</v>
      </c>
      <c r="C471" s="246" t="s">
        <v>92</v>
      </c>
      <c r="D471" s="246" t="s">
        <v>100</v>
      </c>
      <c r="E471" s="246" t="s">
        <v>85</v>
      </c>
      <c r="F471" s="247"/>
      <c r="G471" s="247"/>
      <c r="H471" s="246" t="s">
        <v>91</v>
      </c>
      <c r="I471" s="246" t="s">
        <v>396</v>
      </c>
      <c r="J471" s="248">
        <v>25.0</v>
      </c>
      <c r="K471" s="249">
        <v>1320000.0</v>
      </c>
      <c r="L471" s="249">
        <v>1321000.0</v>
      </c>
      <c r="M471" s="249">
        <v>265800.0</v>
      </c>
      <c r="N471" s="249">
        <v>265800.0</v>
      </c>
      <c r="O471" s="250">
        <f t="shared" ref="O471:P471" si="470">K471+M471</f>
        <v>1585800</v>
      </c>
      <c r="P471" s="250">
        <f t="shared" si="470"/>
        <v>1586800</v>
      </c>
    </row>
    <row r="472">
      <c r="A472" s="246" t="s">
        <v>205</v>
      </c>
      <c r="B472" s="246" t="s">
        <v>122</v>
      </c>
      <c r="C472" s="246" t="s">
        <v>92</v>
      </c>
      <c r="D472" s="246" t="s">
        <v>91</v>
      </c>
      <c r="E472" s="246" t="s">
        <v>100</v>
      </c>
      <c r="F472" s="247"/>
      <c r="G472" s="247"/>
      <c r="H472" s="247"/>
      <c r="I472" s="246" t="s">
        <v>263</v>
      </c>
      <c r="J472" s="248">
        <v>25.0</v>
      </c>
      <c r="K472" s="249">
        <v>1320000.0</v>
      </c>
      <c r="L472" s="249">
        <v>1321000.0</v>
      </c>
      <c r="M472" s="249">
        <v>265800.0</v>
      </c>
      <c r="N472" s="249">
        <v>265800.0</v>
      </c>
      <c r="O472" s="250">
        <f t="shared" ref="O472:P472" si="471">K472+M472</f>
        <v>1585800</v>
      </c>
      <c r="P472" s="250">
        <f t="shared" si="471"/>
        <v>1586800</v>
      </c>
    </row>
    <row r="473">
      <c r="A473" s="246" t="s">
        <v>205</v>
      </c>
      <c r="B473" s="246" t="s">
        <v>122</v>
      </c>
      <c r="C473" s="246" t="s">
        <v>92</v>
      </c>
      <c r="D473" s="246" t="s">
        <v>100</v>
      </c>
      <c r="E473" s="246" t="s">
        <v>86</v>
      </c>
      <c r="F473" s="247"/>
      <c r="G473" s="247"/>
      <c r="H473" s="246" t="s">
        <v>91</v>
      </c>
      <c r="I473" s="246" t="s">
        <v>397</v>
      </c>
      <c r="J473" s="248">
        <v>50.0</v>
      </c>
      <c r="K473" s="249">
        <v>1680000.0</v>
      </c>
      <c r="L473" s="249">
        <v>1677000.0</v>
      </c>
      <c r="M473" s="249">
        <v>531600.0</v>
      </c>
      <c r="N473" s="249">
        <v>531600.0</v>
      </c>
      <c r="O473" s="250">
        <f t="shared" ref="O473:P473" si="472">K473+M473</f>
        <v>2211600</v>
      </c>
      <c r="P473" s="250">
        <f t="shared" si="472"/>
        <v>2208600</v>
      </c>
    </row>
    <row r="474">
      <c r="A474" s="246" t="s">
        <v>205</v>
      </c>
      <c r="B474" s="246" t="s">
        <v>122</v>
      </c>
      <c r="C474" s="246" t="s">
        <v>92</v>
      </c>
      <c r="D474" s="246" t="s">
        <v>91</v>
      </c>
      <c r="E474" s="246" t="s">
        <v>101</v>
      </c>
      <c r="F474" s="247"/>
      <c r="G474" s="247"/>
      <c r="H474" s="247"/>
      <c r="I474" s="246" t="s">
        <v>267</v>
      </c>
      <c r="J474" s="248">
        <v>30.0</v>
      </c>
      <c r="K474" s="249">
        <v>1460000.0</v>
      </c>
      <c r="L474" s="249">
        <v>1456000.0</v>
      </c>
      <c r="M474" s="249">
        <v>318960.0</v>
      </c>
      <c r="N474" s="249">
        <v>318960.0</v>
      </c>
      <c r="O474" s="250">
        <f t="shared" ref="O474:P474" si="473">K474+M474</f>
        <v>1778960</v>
      </c>
      <c r="P474" s="250">
        <f t="shared" si="473"/>
        <v>1774960</v>
      </c>
    </row>
    <row r="475">
      <c r="A475" s="246" t="s">
        <v>205</v>
      </c>
      <c r="B475" s="246" t="s">
        <v>122</v>
      </c>
      <c r="C475" s="246" t="s">
        <v>92</v>
      </c>
      <c r="D475" s="246" t="s">
        <v>101</v>
      </c>
      <c r="E475" s="246" t="s">
        <v>84</v>
      </c>
      <c r="F475" s="247"/>
      <c r="G475" s="247"/>
      <c r="H475" s="246" t="s">
        <v>91</v>
      </c>
      <c r="I475" s="246" t="s">
        <v>398</v>
      </c>
      <c r="J475" s="248">
        <v>120.0</v>
      </c>
      <c r="K475" s="249">
        <v>2330000.0</v>
      </c>
      <c r="L475" s="249">
        <v>2325000.0</v>
      </c>
      <c r="M475" s="249">
        <v>1275840.0</v>
      </c>
      <c r="N475" s="249">
        <v>1275840.0</v>
      </c>
      <c r="O475" s="250">
        <f t="shared" ref="O475:P475" si="474">K475+M475</f>
        <v>3605840</v>
      </c>
      <c r="P475" s="250">
        <f t="shared" si="474"/>
        <v>3600840</v>
      </c>
    </row>
    <row r="476">
      <c r="A476" s="246" t="s">
        <v>205</v>
      </c>
      <c r="B476" s="246" t="s">
        <v>122</v>
      </c>
      <c r="C476" s="246" t="s">
        <v>92</v>
      </c>
      <c r="D476" s="246" t="s">
        <v>91</v>
      </c>
      <c r="E476" s="246" t="s">
        <v>101</v>
      </c>
      <c r="F476" s="247"/>
      <c r="G476" s="247"/>
      <c r="H476" s="247"/>
      <c r="I476" s="246" t="s">
        <v>267</v>
      </c>
      <c r="J476" s="248">
        <v>30.0</v>
      </c>
      <c r="K476" s="249">
        <v>1360000.0</v>
      </c>
      <c r="L476" s="249">
        <v>1356000.0</v>
      </c>
      <c r="M476" s="249">
        <v>318960.0</v>
      </c>
      <c r="N476" s="249">
        <v>318960.0</v>
      </c>
      <c r="O476" s="250">
        <f t="shared" ref="O476:P476" si="475">K476+M476</f>
        <v>1678960</v>
      </c>
      <c r="P476" s="250">
        <f t="shared" si="475"/>
        <v>1674960</v>
      </c>
    </row>
    <row r="477">
      <c r="A477" s="246" t="s">
        <v>205</v>
      </c>
      <c r="B477" s="246" t="s">
        <v>122</v>
      </c>
      <c r="C477" s="246" t="s">
        <v>92</v>
      </c>
      <c r="D477" s="246" t="s">
        <v>101</v>
      </c>
      <c r="E477" s="246" t="s">
        <v>85</v>
      </c>
      <c r="F477" s="247"/>
      <c r="G477" s="247"/>
      <c r="H477" s="246" t="s">
        <v>91</v>
      </c>
      <c r="I477" s="246" t="s">
        <v>399</v>
      </c>
      <c r="J477" s="248">
        <v>50.0</v>
      </c>
      <c r="K477" s="249">
        <v>1580000.0</v>
      </c>
      <c r="L477" s="249">
        <v>1577000.0</v>
      </c>
      <c r="M477" s="249">
        <v>531600.0</v>
      </c>
      <c r="N477" s="249">
        <v>531600.0</v>
      </c>
      <c r="O477" s="250">
        <f t="shared" ref="O477:P477" si="476">K477+M477</f>
        <v>2111600</v>
      </c>
      <c r="P477" s="250">
        <f t="shared" si="476"/>
        <v>2108600</v>
      </c>
    </row>
    <row r="478">
      <c r="A478" s="246" t="s">
        <v>205</v>
      </c>
      <c r="B478" s="246" t="s">
        <v>122</v>
      </c>
      <c r="C478" s="246" t="s">
        <v>92</v>
      </c>
      <c r="D478" s="246" t="s">
        <v>91</v>
      </c>
      <c r="E478" s="246" t="s">
        <v>101</v>
      </c>
      <c r="F478" s="247"/>
      <c r="G478" s="247"/>
      <c r="H478" s="247"/>
      <c r="I478" s="246" t="s">
        <v>267</v>
      </c>
      <c r="J478" s="248">
        <v>30.0</v>
      </c>
      <c r="K478" s="249">
        <v>1360000.0</v>
      </c>
      <c r="L478" s="249">
        <v>1356000.0</v>
      </c>
      <c r="M478" s="249">
        <v>318960.0</v>
      </c>
      <c r="N478" s="249">
        <v>318960.0</v>
      </c>
      <c r="O478" s="250">
        <f t="shared" ref="O478:P478" si="477">K478+M478</f>
        <v>1678960</v>
      </c>
      <c r="P478" s="250">
        <f t="shared" si="477"/>
        <v>1674960</v>
      </c>
    </row>
    <row r="479">
      <c r="A479" s="246" t="s">
        <v>205</v>
      </c>
      <c r="B479" s="246" t="s">
        <v>122</v>
      </c>
      <c r="C479" s="246" t="s">
        <v>92</v>
      </c>
      <c r="D479" s="246" t="s">
        <v>101</v>
      </c>
      <c r="E479" s="246" t="s">
        <v>86</v>
      </c>
      <c r="F479" s="247"/>
      <c r="G479" s="247"/>
      <c r="H479" s="246" t="s">
        <v>91</v>
      </c>
      <c r="I479" s="246" t="s">
        <v>400</v>
      </c>
      <c r="J479" s="248">
        <v>30.0</v>
      </c>
      <c r="K479" s="249">
        <v>1360000.0</v>
      </c>
      <c r="L479" s="249">
        <v>1356000.0</v>
      </c>
      <c r="M479" s="249">
        <v>318960.0</v>
      </c>
      <c r="N479" s="249">
        <v>318960.0</v>
      </c>
      <c r="O479" s="250">
        <f t="shared" ref="O479:P479" si="478">K479+M479</f>
        <v>1678960</v>
      </c>
      <c r="P479" s="250">
        <f t="shared" si="478"/>
        <v>1674960</v>
      </c>
    </row>
    <row r="480">
      <c r="A480" s="246" t="s">
        <v>205</v>
      </c>
      <c r="B480" s="246" t="s">
        <v>122</v>
      </c>
      <c r="C480" s="246" t="s">
        <v>102</v>
      </c>
      <c r="D480" s="246" t="s">
        <v>103</v>
      </c>
      <c r="E480" s="246" t="s">
        <v>84</v>
      </c>
      <c r="F480" s="247"/>
      <c r="G480" s="247"/>
      <c r="H480" s="246" t="s">
        <v>91</v>
      </c>
      <c r="I480" s="246" t="s">
        <v>401</v>
      </c>
      <c r="J480" s="248">
        <v>80.0</v>
      </c>
      <c r="K480" s="249">
        <v>2380000.0</v>
      </c>
      <c r="L480" s="249">
        <v>2384000.0</v>
      </c>
      <c r="M480" s="249">
        <v>850560.0</v>
      </c>
      <c r="N480" s="249">
        <v>850560.0</v>
      </c>
      <c r="O480" s="250">
        <f t="shared" ref="O480:P480" si="479">K480+M480</f>
        <v>3230560</v>
      </c>
      <c r="P480" s="250">
        <f t="shared" si="479"/>
        <v>3234560</v>
      </c>
    </row>
    <row r="481">
      <c r="A481" s="246" t="s">
        <v>205</v>
      </c>
      <c r="B481" s="246" t="s">
        <v>122</v>
      </c>
      <c r="C481" s="246" t="s">
        <v>102</v>
      </c>
      <c r="D481" s="246" t="s">
        <v>103</v>
      </c>
      <c r="E481" s="246" t="s">
        <v>85</v>
      </c>
      <c r="F481" s="247"/>
      <c r="G481" s="247"/>
      <c r="H481" s="246" t="s">
        <v>91</v>
      </c>
      <c r="I481" s="246" t="s">
        <v>402</v>
      </c>
      <c r="J481" s="248">
        <v>70.0</v>
      </c>
      <c r="K481" s="249">
        <v>2150000.0</v>
      </c>
      <c r="L481" s="249">
        <v>2148000.0</v>
      </c>
      <c r="M481" s="249">
        <v>744240.0</v>
      </c>
      <c r="N481" s="249">
        <v>744240.0</v>
      </c>
      <c r="O481" s="250">
        <f t="shared" ref="O481:P481" si="480">K481+M481</f>
        <v>2894240</v>
      </c>
      <c r="P481" s="250">
        <f t="shared" si="480"/>
        <v>2892240</v>
      </c>
    </row>
    <row r="482">
      <c r="A482" s="246" t="s">
        <v>205</v>
      </c>
      <c r="B482" s="246" t="s">
        <v>122</v>
      </c>
      <c r="C482" s="246" t="s">
        <v>102</v>
      </c>
      <c r="D482" s="246" t="s">
        <v>103</v>
      </c>
      <c r="E482" s="246" t="s">
        <v>86</v>
      </c>
      <c r="F482" s="247"/>
      <c r="G482" s="247"/>
      <c r="H482" s="246" t="s">
        <v>91</v>
      </c>
      <c r="I482" s="246" t="s">
        <v>403</v>
      </c>
      <c r="J482" s="248">
        <v>80.0</v>
      </c>
      <c r="K482" s="249">
        <v>2180000.0</v>
      </c>
      <c r="L482" s="249">
        <v>2184000.0</v>
      </c>
      <c r="M482" s="249">
        <v>850560.0</v>
      </c>
      <c r="N482" s="249">
        <v>850560.0</v>
      </c>
      <c r="O482" s="250">
        <f t="shared" ref="O482:P482" si="481">K482+M482</f>
        <v>3030560</v>
      </c>
      <c r="P482" s="250">
        <f t="shared" si="481"/>
        <v>3034560</v>
      </c>
    </row>
    <row r="483">
      <c r="A483" s="246" t="s">
        <v>205</v>
      </c>
      <c r="B483" s="246" t="s">
        <v>122</v>
      </c>
      <c r="C483" s="246" t="s">
        <v>102</v>
      </c>
      <c r="D483" s="246" t="s">
        <v>104</v>
      </c>
      <c r="E483" s="246" t="s">
        <v>84</v>
      </c>
      <c r="F483" s="247"/>
      <c r="G483" s="247"/>
      <c r="H483" s="246" t="s">
        <v>91</v>
      </c>
      <c r="I483" s="246" t="s">
        <v>404</v>
      </c>
      <c r="J483" s="248">
        <v>150.0</v>
      </c>
      <c r="K483" s="249">
        <v>3110000.0</v>
      </c>
      <c r="L483" s="249">
        <v>3112000.0</v>
      </c>
      <c r="M483" s="249">
        <v>1594800.0</v>
      </c>
      <c r="N483" s="249">
        <v>1594800.0</v>
      </c>
      <c r="O483" s="250">
        <f t="shared" ref="O483:P483" si="482">K483+M483</f>
        <v>4704800</v>
      </c>
      <c r="P483" s="250">
        <f t="shared" si="482"/>
        <v>4706800</v>
      </c>
    </row>
    <row r="484">
      <c r="A484" s="246" t="s">
        <v>205</v>
      </c>
      <c r="B484" s="246" t="s">
        <v>122</v>
      </c>
      <c r="C484" s="246" t="s">
        <v>102</v>
      </c>
      <c r="D484" s="246" t="s">
        <v>104</v>
      </c>
      <c r="E484" s="246" t="s">
        <v>85</v>
      </c>
      <c r="F484" s="247"/>
      <c r="G484" s="247"/>
      <c r="H484" s="246" t="s">
        <v>91</v>
      </c>
      <c r="I484" s="246" t="s">
        <v>405</v>
      </c>
      <c r="J484" s="248">
        <v>60.0</v>
      </c>
      <c r="K484" s="249">
        <v>2110000.0</v>
      </c>
      <c r="L484" s="249">
        <v>2113000.0</v>
      </c>
      <c r="M484" s="249">
        <v>637920.0</v>
      </c>
      <c r="N484" s="249">
        <v>637920.0</v>
      </c>
      <c r="O484" s="250">
        <f t="shared" ref="O484:P484" si="483">K484+M484</f>
        <v>2747920</v>
      </c>
      <c r="P484" s="250">
        <f t="shared" si="483"/>
        <v>2750920</v>
      </c>
    </row>
    <row r="485">
      <c r="A485" s="246" t="s">
        <v>205</v>
      </c>
      <c r="B485" s="246" t="s">
        <v>122</v>
      </c>
      <c r="C485" s="246" t="s">
        <v>102</v>
      </c>
      <c r="D485" s="246" t="s">
        <v>104</v>
      </c>
      <c r="E485" s="246" t="s">
        <v>86</v>
      </c>
      <c r="F485" s="247"/>
      <c r="G485" s="247"/>
      <c r="H485" s="246" t="s">
        <v>91</v>
      </c>
      <c r="I485" s="246" t="s">
        <v>406</v>
      </c>
      <c r="J485" s="248">
        <v>70.0</v>
      </c>
      <c r="K485" s="249">
        <v>2150000.0</v>
      </c>
      <c r="L485" s="249">
        <v>2148000.0</v>
      </c>
      <c r="M485" s="249">
        <v>744240.0</v>
      </c>
      <c r="N485" s="249">
        <v>744240.0</v>
      </c>
      <c r="O485" s="250">
        <f t="shared" ref="O485:P485" si="484">K485+M485</f>
        <v>2894240</v>
      </c>
      <c r="P485" s="250">
        <f t="shared" si="484"/>
        <v>2892240</v>
      </c>
    </row>
    <row r="486">
      <c r="A486" s="246" t="s">
        <v>205</v>
      </c>
      <c r="B486" s="246" t="s">
        <v>122</v>
      </c>
      <c r="C486" s="246" t="s">
        <v>102</v>
      </c>
      <c r="D486" s="246" t="s">
        <v>105</v>
      </c>
      <c r="E486" s="246" t="s">
        <v>84</v>
      </c>
      <c r="F486" s="247"/>
      <c r="G486" s="247"/>
      <c r="H486" s="246" t="s">
        <v>91</v>
      </c>
      <c r="I486" s="246" t="s">
        <v>407</v>
      </c>
      <c r="J486" s="248">
        <v>110.0</v>
      </c>
      <c r="K486" s="249">
        <v>2970000.0</v>
      </c>
      <c r="L486" s="249">
        <v>2970000.0</v>
      </c>
      <c r="M486" s="249">
        <v>1169520.0</v>
      </c>
      <c r="N486" s="249">
        <v>1169520.0</v>
      </c>
      <c r="O486" s="250">
        <f t="shared" ref="O486:P486" si="485">K486+M486</f>
        <v>4139520</v>
      </c>
      <c r="P486" s="250">
        <f t="shared" si="485"/>
        <v>4139520</v>
      </c>
    </row>
    <row r="487">
      <c r="A487" s="246" t="s">
        <v>205</v>
      </c>
      <c r="B487" s="246" t="s">
        <v>122</v>
      </c>
      <c r="C487" s="246" t="s">
        <v>102</v>
      </c>
      <c r="D487" s="246" t="s">
        <v>105</v>
      </c>
      <c r="E487" s="246" t="s">
        <v>85</v>
      </c>
      <c r="F487" s="247"/>
      <c r="G487" s="247"/>
      <c r="H487" s="246" t="s">
        <v>91</v>
      </c>
      <c r="I487" s="246" t="s">
        <v>408</v>
      </c>
      <c r="J487" s="248">
        <v>60.0</v>
      </c>
      <c r="K487" s="249">
        <v>2110000.0</v>
      </c>
      <c r="L487" s="249">
        <v>2113000.0</v>
      </c>
      <c r="M487" s="249">
        <v>637920.0</v>
      </c>
      <c r="N487" s="249">
        <v>637920.0</v>
      </c>
      <c r="O487" s="250">
        <f t="shared" ref="O487:P487" si="486">K487+M487</f>
        <v>2747920</v>
      </c>
      <c r="P487" s="250">
        <f t="shared" si="486"/>
        <v>2750920</v>
      </c>
    </row>
    <row r="488">
      <c r="A488" s="246" t="s">
        <v>205</v>
      </c>
      <c r="B488" s="246" t="s">
        <v>122</v>
      </c>
      <c r="C488" s="246" t="s">
        <v>102</v>
      </c>
      <c r="D488" s="246" t="s">
        <v>105</v>
      </c>
      <c r="E488" s="246" t="s">
        <v>86</v>
      </c>
      <c r="F488" s="247"/>
      <c r="G488" s="247"/>
      <c r="H488" s="246" t="s">
        <v>91</v>
      </c>
      <c r="I488" s="246" t="s">
        <v>409</v>
      </c>
      <c r="J488" s="248">
        <v>80.0</v>
      </c>
      <c r="K488" s="249">
        <v>2180000.0</v>
      </c>
      <c r="L488" s="249">
        <v>2184000.0</v>
      </c>
      <c r="M488" s="249">
        <v>850560.0</v>
      </c>
      <c r="N488" s="249">
        <v>850560.0</v>
      </c>
      <c r="O488" s="250">
        <f t="shared" ref="O488:P488" si="487">K488+M488</f>
        <v>3030560</v>
      </c>
      <c r="P488" s="250">
        <f t="shared" si="487"/>
        <v>3034560</v>
      </c>
    </row>
    <row r="489">
      <c r="A489" s="246" t="s">
        <v>280</v>
      </c>
      <c r="B489" s="246" t="s">
        <v>122</v>
      </c>
      <c r="C489" s="246" t="s">
        <v>89</v>
      </c>
      <c r="D489" s="246" t="s">
        <v>91</v>
      </c>
      <c r="E489" s="246" t="s">
        <v>84</v>
      </c>
      <c r="F489" s="247"/>
      <c r="G489" s="247"/>
      <c r="H489" s="246" t="s">
        <v>91</v>
      </c>
      <c r="I489" s="246" t="s">
        <v>378</v>
      </c>
      <c r="J489" s="248">
        <v>130.0</v>
      </c>
      <c r="K489" s="249">
        <v>2490000.0</v>
      </c>
      <c r="L489" s="249">
        <v>2490000.0</v>
      </c>
      <c r="M489" s="249">
        <v>1197872.0</v>
      </c>
      <c r="N489" s="249">
        <v>1197872.0</v>
      </c>
      <c r="O489" s="250">
        <f t="shared" ref="O489:P489" si="488">K489+M489</f>
        <v>3687872</v>
      </c>
      <c r="P489" s="250">
        <f t="shared" si="488"/>
        <v>3687872</v>
      </c>
    </row>
    <row r="490">
      <c r="A490" s="246" t="s">
        <v>280</v>
      </c>
      <c r="B490" s="246" t="s">
        <v>122</v>
      </c>
      <c r="C490" s="246" t="s">
        <v>89</v>
      </c>
      <c r="D490" s="246" t="s">
        <v>91</v>
      </c>
      <c r="E490" s="246" t="s">
        <v>85</v>
      </c>
      <c r="F490" s="247"/>
      <c r="G490" s="247"/>
      <c r="H490" s="246" t="s">
        <v>91</v>
      </c>
      <c r="I490" s="246" t="s">
        <v>379</v>
      </c>
      <c r="J490" s="248">
        <v>50.0</v>
      </c>
      <c r="K490" s="249">
        <v>1770000.0</v>
      </c>
      <c r="L490" s="249">
        <v>1770000.0</v>
      </c>
      <c r="M490" s="249">
        <v>460720.0</v>
      </c>
      <c r="N490" s="249">
        <v>460720.0</v>
      </c>
      <c r="O490" s="250">
        <f t="shared" ref="O490:P490" si="489">K490+M490</f>
        <v>2230720</v>
      </c>
      <c r="P490" s="250">
        <f t="shared" si="489"/>
        <v>2230720</v>
      </c>
    </row>
    <row r="491">
      <c r="A491" s="246" t="s">
        <v>280</v>
      </c>
      <c r="B491" s="246" t="s">
        <v>122</v>
      </c>
      <c r="C491" s="246" t="s">
        <v>89</v>
      </c>
      <c r="D491" s="246" t="s">
        <v>91</v>
      </c>
      <c r="E491" s="246" t="s">
        <v>86</v>
      </c>
      <c r="F491" s="247"/>
      <c r="G491" s="247"/>
      <c r="H491" s="246" t="s">
        <v>91</v>
      </c>
      <c r="I491" s="246" t="s">
        <v>380</v>
      </c>
      <c r="J491" s="248">
        <v>60.0</v>
      </c>
      <c r="K491" s="249">
        <v>1850000.0</v>
      </c>
      <c r="L491" s="249">
        <v>1850000.0</v>
      </c>
      <c r="M491" s="249">
        <v>552864.0</v>
      </c>
      <c r="N491" s="249">
        <v>552864.0</v>
      </c>
      <c r="O491" s="250">
        <f t="shared" ref="O491:P491" si="490">K491+M491</f>
        <v>2402864</v>
      </c>
      <c r="P491" s="250">
        <f t="shared" si="490"/>
        <v>2402864</v>
      </c>
    </row>
    <row r="492">
      <c r="A492" s="246" t="s">
        <v>280</v>
      </c>
      <c r="B492" s="246" t="s">
        <v>122</v>
      </c>
      <c r="C492" s="246" t="s">
        <v>89</v>
      </c>
      <c r="D492" s="246" t="s">
        <v>91</v>
      </c>
      <c r="E492" s="246" t="s">
        <v>84</v>
      </c>
      <c r="F492" s="246" t="s">
        <v>85</v>
      </c>
      <c r="G492" s="247"/>
      <c r="H492" s="246" t="s">
        <v>91</v>
      </c>
      <c r="I492" s="246" t="s">
        <v>381</v>
      </c>
      <c r="J492" s="248">
        <v>140.0</v>
      </c>
      <c r="K492" s="249">
        <v>2750000.0</v>
      </c>
      <c r="L492" s="249">
        <v>2750000.0</v>
      </c>
      <c r="M492" s="249">
        <v>1290016.0</v>
      </c>
      <c r="N492" s="249">
        <v>1290016.0</v>
      </c>
      <c r="O492" s="250">
        <f t="shared" ref="O492:P492" si="491">K492+M492</f>
        <v>4040016</v>
      </c>
      <c r="P492" s="250">
        <f t="shared" si="491"/>
        <v>4040016</v>
      </c>
    </row>
    <row r="493">
      <c r="A493" s="246" t="s">
        <v>280</v>
      </c>
      <c r="B493" s="246" t="s">
        <v>122</v>
      </c>
      <c r="C493" s="246" t="s">
        <v>89</v>
      </c>
      <c r="D493" s="246" t="s">
        <v>91</v>
      </c>
      <c r="E493" s="246" t="s">
        <v>84</v>
      </c>
      <c r="F493" s="246" t="s">
        <v>86</v>
      </c>
      <c r="G493" s="247"/>
      <c r="H493" s="246" t="s">
        <v>91</v>
      </c>
      <c r="I493" s="246" t="s">
        <v>382</v>
      </c>
      <c r="J493" s="248">
        <v>150.0</v>
      </c>
      <c r="K493" s="249">
        <v>2880000.0</v>
      </c>
      <c r="L493" s="249">
        <v>2880000.0</v>
      </c>
      <c r="M493" s="249">
        <v>1382160.0</v>
      </c>
      <c r="N493" s="249">
        <v>1382160.0</v>
      </c>
      <c r="O493" s="250">
        <f t="shared" ref="O493:P493" si="492">K493+M493</f>
        <v>4262160</v>
      </c>
      <c r="P493" s="250">
        <f t="shared" si="492"/>
        <v>4262160</v>
      </c>
    </row>
    <row r="494">
      <c r="A494" s="246" t="s">
        <v>280</v>
      </c>
      <c r="B494" s="246" t="s">
        <v>122</v>
      </c>
      <c r="C494" s="246" t="s">
        <v>89</v>
      </c>
      <c r="D494" s="246" t="s">
        <v>91</v>
      </c>
      <c r="E494" s="246" t="s">
        <v>85</v>
      </c>
      <c r="F494" s="246" t="s">
        <v>86</v>
      </c>
      <c r="G494" s="247"/>
      <c r="H494" s="246" t="s">
        <v>91</v>
      </c>
      <c r="I494" s="246" t="s">
        <v>383</v>
      </c>
      <c r="J494" s="248">
        <v>70.0</v>
      </c>
      <c r="K494" s="249">
        <v>2320000.0</v>
      </c>
      <c r="L494" s="249">
        <v>2320000.0</v>
      </c>
      <c r="M494" s="249">
        <v>645008.0</v>
      </c>
      <c r="N494" s="249">
        <v>645008.0</v>
      </c>
      <c r="O494" s="250">
        <f t="shared" ref="O494:P494" si="493">K494+M494</f>
        <v>2965008</v>
      </c>
      <c r="P494" s="250">
        <f t="shared" si="493"/>
        <v>2965008</v>
      </c>
    </row>
    <row r="495">
      <c r="A495" s="246" t="s">
        <v>280</v>
      </c>
      <c r="B495" s="246" t="s">
        <v>122</v>
      </c>
      <c r="C495" s="246" t="s">
        <v>89</v>
      </c>
      <c r="D495" s="246" t="s">
        <v>91</v>
      </c>
      <c r="E495" s="246" t="s">
        <v>84</v>
      </c>
      <c r="F495" s="246" t="s">
        <v>85</v>
      </c>
      <c r="G495" s="246" t="s">
        <v>86</v>
      </c>
      <c r="H495" s="246" t="s">
        <v>91</v>
      </c>
      <c r="I495" s="246" t="s">
        <v>384</v>
      </c>
      <c r="J495" s="248">
        <v>170.0</v>
      </c>
      <c r="K495" s="249">
        <v>2900000.0</v>
      </c>
      <c r="L495" s="249">
        <v>2900000.0</v>
      </c>
      <c r="M495" s="249">
        <v>1566448.0</v>
      </c>
      <c r="N495" s="249">
        <v>1566448.0</v>
      </c>
      <c r="O495" s="250">
        <f t="shared" ref="O495:P495" si="494">K495+M495</f>
        <v>4466448</v>
      </c>
      <c r="P495" s="250">
        <f t="shared" si="494"/>
        <v>4466448</v>
      </c>
    </row>
    <row r="496">
      <c r="A496" s="246" t="s">
        <v>280</v>
      </c>
      <c r="B496" s="246" t="s">
        <v>122</v>
      </c>
      <c r="C496" s="246" t="s">
        <v>89</v>
      </c>
      <c r="D496" s="246" t="s">
        <v>91</v>
      </c>
      <c r="E496" s="246" t="s">
        <v>87</v>
      </c>
      <c r="F496" s="247"/>
      <c r="G496" s="247"/>
      <c r="H496" s="246" t="s">
        <v>91</v>
      </c>
      <c r="I496" s="246" t="s">
        <v>385</v>
      </c>
      <c r="J496" s="248">
        <v>70.0</v>
      </c>
      <c r="K496" s="249">
        <v>2350000.0</v>
      </c>
      <c r="L496" s="249">
        <v>2350000.0</v>
      </c>
      <c r="M496" s="249">
        <v>645008.0</v>
      </c>
      <c r="N496" s="249">
        <v>645008.0</v>
      </c>
      <c r="O496" s="250">
        <f t="shared" ref="O496:P496" si="495">K496+M496</f>
        <v>2995008</v>
      </c>
      <c r="P496" s="250">
        <f t="shared" si="495"/>
        <v>2995008</v>
      </c>
    </row>
    <row r="497">
      <c r="A497" s="246" t="s">
        <v>280</v>
      </c>
      <c r="B497" s="246" t="s">
        <v>122</v>
      </c>
      <c r="C497" s="246" t="s">
        <v>89</v>
      </c>
      <c r="D497" s="246" t="s">
        <v>91</v>
      </c>
      <c r="E497" s="246" t="s">
        <v>87</v>
      </c>
      <c r="F497" s="246" t="s">
        <v>84</v>
      </c>
      <c r="G497" s="247"/>
      <c r="H497" s="246" t="s">
        <v>91</v>
      </c>
      <c r="I497" s="246" t="s">
        <v>386</v>
      </c>
      <c r="J497" s="248">
        <v>140.0</v>
      </c>
      <c r="K497" s="249">
        <v>3750000.0</v>
      </c>
      <c r="L497" s="249">
        <v>3750000.0</v>
      </c>
      <c r="M497" s="249">
        <v>1290016.0</v>
      </c>
      <c r="N497" s="249">
        <v>1290016.0</v>
      </c>
      <c r="O497" s="250">
        <f t="shared" ref="O497:P497" si="496">K497+M497</f>
        <v>5040016</v>
      </c>
      <c r="P497" s="250">
        <f t="shared" si="496"/>
        <v>5040016</v>
      </c>
    </row>
    <row r="498">
      <c r="A498" s="246" t="s">
        <v>280</v>
      </c>
      <c r="B498" s="246" t="s">
        <v>122</v>
      </c>
      <c r="C498" s="246" t="s">
        <v>89</v>
      </c>
      <c r="D498" s="246" t="s">
        <v>91</v>
      </c>
      <c r="E498" s="246" t="s">
        <v>87</v>
      </c>
      <c r="F498" s="246" t="s">
        <v>85</v>
      </c>
      <c r="G498" s="247"/>
      <c r="H498" s="246" t="s">
        <v>91</v>
      </c>
      <c r="I498" s="246" t="s">
        <v>387</v>
      </c>
      <c r="J498" s="248">
        <v>100.0</v>
      </c>
      <c r="K498" s="249">
        <v>2950000.0</v>
      </c>
      <c r="L498" s="249">
        <v>2950000.0</v>
      </c>
      <c r="M498" s="249">
        <v>921440.0</v>
      </c>
      <c r="N498" s="249">
        <v>921440.0</v>
      </c>
      <c r="O498" s="250">
        <f t="shared" ref="O498:P498" si="497">K498+M498</f>
        <v>3871440</v>
      </c>
      <c r="P498" s="250">
        <f t="shared" si="497"/>
        <v>3871440</v>
      </c>
    </row>
    <row r="499">
      <c r="A499" s="246" t="s">
        <v>280</v>
      </c>
      <c r="B499" s="246" t="s">
        <v>122</v>
      </c>
      <c r="C499" s="246" t="s">
        <v>89</v>
      </c>
      <c r="D499" s="246" t="s">
        <v>91</v>
      </c>
      <c r="E499" s="246" t="s">
        <v>88</v>
      </c>
      <c r="F499" s="247"/>
      <c r="G499" s="247"/>
      <c r="H499" s="246" t="s">
        <v>91</v>
      </c>
      <c r="I499" s="246" t="s">
        <v>388</v>
      </c>
      <c r="J499" s="248">
        <v>40.0</v>
      </c>
      <c r="K499" s="249">
        <v>1430000.0</v>
      </c>
      <c r="L499" s="249">
        <v>1430000.0</v>
      </c>
      <c r="M499" s="249">
        <v>368576.0</v>
      </c>
      <c r="N499" s="249">
        <v>368576.0</v>
      </c>
      <c r="O499" s="250">
        <f t="shared" ref="O499:P499" si="498">K499+M499</f>
        <v>1798576</v>
      </c>
      <c r="P499" s="250">
        <f t="shared" si="498"/>
        <v>1798576</v>
      </c>
    </row>
    <row r="500">
      <c r="A500" s="246" t="s">
        <v>280</v>
      </c>
      <c r="B500" s="246" t="s">
        <v>122</v>
      </c>
      <c r="C500" s="246" t="s">
        <v>89</v>
      </c>
      <c r="D500" s="246" t="s">
        <v>91</v>
      </c>
      <c r="E500" s="246" t="s">
        <v>88</v>
      </c>
      <c r="F500" s="246" t="s">
        <v>85</v>
      </c>
      <c r="G500" s="247"/>
      <c r="H500" s="246" t="s">
        <v>91</v>
      </c>
      <c r="I500" s="246" t="s">
        <v>389</v>
      </c>
      <c r="J500" s="248">
        <v>60.0</v>
      </c>
      <c r="K500" s="249">
        <v>2300000.0</v>
      </c>
      <c r="L500" s="249">
        <v>2300000.0</v>
      </c>
      <c r="M500" s="249">
        <v>552864.0</v>
      </c>
      <c r="N500" s="249">
        <v>552864.0</v>
      </c>
      <c r="O500" s="250">
        <f t="shared" ref="O500:P500" si="499">K500+M500</f>
        <v>2852864</v>
      </c>
      <c r="P500" s="250">
        <f t="shared" si="499"/>
        <v>2852864</v>
      </c>
    </row>
    <row r="501">
      <c r="A501" s="246" t="s">
        <v>280</v>
      </c>
      <c r="B501" s="246" t="s">
        <v>122</v>
      </c>
      <c r="C501" s="246" t="s">
        <v>89</v>
      </c>
      <c r="D501" s="246" t="s">
        <v>91</v>
      </c>
      <c r="E501" s="246" t="s">
        <v>88</v>
      </c>
      <c r="F501" s="246" t="s">
        <v>86</v>
      </c>
      <c r="G501" s="247"/>
      <c r="H501" s="246" t="s">
        <v>91</v>
      </c>
      <c r="I501" s="246" t="s">
        <v>390</v>
      </c>
      <c r="J501" s="248">
        <v>80.0</v>
      </c>
      <c r="K501" s="249">
        <v>2340000.0</v>
      </c>
      <c r="L501" s="249">
        <v>2340000.0</v>
      </c>
      <c r="M501" s="249">
        <v>737152.0</v>
      </c>
      <c r="N501" s="249">
        <v>737152.0</v>
      </c>
      <c r="O501" s="250">
        <f t="shared" ref="O501:P501" si="500">K501+M501</f>
        <v>3077152</v>
      </c>
      <c r="P501" s="250">
        <f t="shared" si="500"/>
        <v>3077152</v>
      </c>
    </row>
    <row r="502">
      <c r="A502" s="246" t="s">
        <v>280</v>
      </c>
      <c r="B502" s="246" t="s">
        <v>122</v>
      </c>
      <c r="C502" s="246" t="s">
        <v>89</v>
      </c>
      <c r="D502" s="246" t="s">
        <v>91</v>
      </c>
      <c r="E502" s="246" t="s">
        <v>88</v>
      </c>
      <c r="F502" s="246" t="s">
        <v>85</v>
      </c>
      <c r="G502" s="246" t="s">
        <v>86</v>
      </c>
      <c r="H502" s="246" t="s">
        <v>91</v>
      </c>
      <c r="I502" s="246" t="s">
        <v>391</v>
      </c>
      <c r="J502" s="248">
        <v>85.0</v>
      </c>
      <c r="K502" s="249">
        <v>2620000.0</v>
      </c>
      <c r="L502" s="249">
        <v>2620000.0</v>
      </c>
      <c r="M502" s="249">
        <v>783224.0</v>
      </c>
      <c r="N502" s="249">
        <v>783224.0</v>
      </c>
      <c r="O502" s="250">
        <f t="shared" ref="O502:P502" si="501">K502+M502</f>
        <v>3403224</v>
      </c>
      <c r="P502" s="250">
        <f t="shared" si="501"/>
        <v>3403224</v>
      </c>
    </row>
    <row r="503">
      <c r="A503" s="246" t="s">
        <v>280</v>
      </c>
      <c r="B503" s="246" t="s">
        <v>122</v>
      </c>
      <c r="C503" s="246" t="s">
        <v>92</v>
      </c>
      <c r="D503" s="246" t="s">
        <v>90</v>
      </c>
      <c r="E503" s="246" t="s">
        <v>96</v>
      </c>
      <c r="F503" s="247"/>
      <c r="G503" s="247"/>
      <c r="H503" s="247"/>
      <c r="I503" s="246" t="s">
        <v>247</v>
      </c>
      <c r="J503" s="248">
        <v>65.0</v>
      </c>
      <c r="K503" s="249">
        <v>1930000.0</v>
      </c>
      <c r="L503" s="249">
        <v>1930000.0</v>
      </c>
      <c r="M503" s="249">
        <v>691080.0</v>
      </c>
      <c r="N503" s="249">
        <v>691080.0</v>
      </c>
      <c r="O503" s="250">
        <f t="shared" ref="O503:P503" si="502">K503+M503</f>
        <v>2621080</v>
      </c>
      <c r="P503" s="250">
        <f t="shared" si="502"/>
        <v>2621080</v>
      </c>
    </row>
    <row r="504">
      <c r="A504" s="246" t="s">
        <v>280</v>
      </c>
      <c r="B504" s="246" t="s">
        <v>122</v>
      </c>
      <c r="C504" s="246" t="s">
        <v>92</v>
      </c>
      <c r="D504" s="246" t="s">
        <v>96</v>
      </c>
      <c r="E504" s="246" t="s">
        <v>84</v>
      </c>
      <c r="F504" s="247"/>
      <c r="G504" s="247"/>
      <c r="H504" s="246" t="s">
        <v>91</v>
      </c>
      <c r="I504" s="246" t="s">
        <v>410</v>
      </c>
      <c r="J504" s="248">
        <v>65.0</v>
      </c>
      <c r="K504" s="249">
        <v>1930000.0</v>
      </c>
      <c r="L504" s="249">
        <v>1930000.0</v>
      </c>
      <c r="M504" s="249">
        <v>691080.0</v>
      </c>
      <c r="N504" s="249">
        <v>691080.0</v>
      </c>
      <c r="O504" s="250">
        <f t="shared" ref="O504:P504" si="503">K504+M504</f>
        <v>2621080</v>
      </c>
      <c r="P504" s="250">
        <f t="shared" si="503"/>
        <v>2621080</v>
      </c>
    </row>
    <row r="505">
      <c r="A505" s="246" t="s">
        <v>280</v>
      </c>
      <c r="B505" s="246" t="s">
        <v>122</v>
      </c>
      <c r="C505" s="246" t="s">
        <v>92</v>
      </c>
      <c r="D505" s="246" t="s">
        <v>90</v>
      </c>
      <c r="E505" s="246" t="s">
        <v>96</v>
      </c>
      <c r="F505" s="247"/>
      <c r="G505" s="247"/>
      <c r="H505" s="247"/>
      <c r="I505" s="246" t="s">
        <v>247</v>
      </c>
      <c r="J505" s="248">
        <v>65.0</v>
      </c>
      <c r="K505" s="249">
        <v>1930000.0</v>
      </c>
      <c r="L505" s="249">
        <v>1930000.0</v>
      </c>
      <c r="M505" s="249">
        <v>691080.0</v>
      </c>
      <c r="N505" s="249">
        <v>691080.0</v>
      </c>
      <c r="O505" s="250">
        <f t="shared" ref="O505:P505" si="504">K505+M505</f>
        <v>2621080</v>
      </c>
      <c r="P505" s="250">
        <f t="shared" si="504"/>
        <v>2621080</v>
      </c>
    </row>
    <row r="506">
      <c r="A506" s="246" t="s">
        <v>280</v>
      </c>
      <c r="B506" s="246" t="s">
        <v>122</v>
      </c>
      <c r="C506" s="246" t="s">
        <v>92</v>
      </c>
      <c r="D506" s="246" t="s">
        <v>96</v>
      </c>
      <c r="E506" s="246" t="s">
        <v>85</v>
      </c>
      <c r="F506" s="247"/>
      <c r="G506" s="247"/>
      <c r="H506" s="246" t="s">
        <v>91</v>
      </c>
      <c r="I506" s="246" t="s">
        <v>411</v>
      </c>
      <c r="J506" s="248">
        <v>75.0</v>
      </c>
      <c r="K506" s="249">
        <v>2120000.0</v>
      </c>
      <c r="L506" s="249">
        <v>2120000.0</v>
      </c>
      <c r="M506" s="249">
        <v>797400.0</v>
      </c>
      <c r="N506" s="249">
        <v>797400.0</v>
      </c>
      <c r="O506" s="250">
        <f t="shared" ref="O506:P506" si="505">K506+M506</f>
        <v>2917400</v>
      </c>
      <c r="P506" s="250">
        <f t="shared" si="505"/>
        <v>2917400</v>
      </c>
    </row>
    <row r="507">
      <c r="A507" s="246" t="s">
        <v>280</v>
      </c>
      <c r="B507" s="246" t="s">
        <v>122</v>
      </c>
      <c r="C507" s="246" t="s">
        <v>92</v>
      </c>
      <c r="D507" s="246" t="s">
        <v>90</v>
      </c>
      <c r="E507" s="246" t="s">
        <v>96</v>
      </c>
      <c r="F507" s="247"/>
      <c r="G507" s="247"/>
      <c r="H507" s="247"/>
      <c r="I507" s="246" t="s">
        <v>247</v>
      </c>
      <c r="J507" s="248">
        <v>65.0</v>
      </c>
      <c r="K507" s="249">
        <v>2030000.0</v>
      </c>
      <c r="L507" s="249">
        <v>2030000.0</v>
      </c>
      <c r="M507" s="249">
        <v>691080.0</v>
      </c>
      <c r="N507" s="249">
        <v>691080.0</v>
      </c>
      <c r="O507" s="250">
        <f t="shared" ref="O507:P507" si="506">K507+M507</f>
        <v>2721080</v>
      </c>
      <c r="P507" s="250">
        <f t="shared" si="506"/>
        <v>2721080</v>
      </c>
    </row>
    <row r="508">
      <c r="A508" s="246" t="s">
        <v>280</v>
      </c>
      <c r="B508" s="246" t="s">
        <v>122</v>
      </c>
      <c r="C508" s="246" t="s">
        <v>92</v>
      </c>
      <c r="D508" s="246" t="s">
        <v>96</v>
      </c>
      <c r="E508" s="246" t="s">
        <v>86</v>
      </c>
      <c r="F508" s="247"/>
      <c r="G508" s="247"/>
      <c r="H508" s="246" t="s">
        <v>91</v>
      </c>
      <c r="I508" s="246" t="s">
        <v>412</v>
      </c>
      <c r="J508" s="248">
        <v>85.0</v>
      </c>
      <c r="K508" s="249">
        <v>2250000.0</v>
      </c>
      <c r="L508" s="249">
        <v>2250000.0</v>
      </c>
      <c r="M508" s="249">
        <v>903720.0</v>
      </c>
      <c r="N508" s="249">
        <v>903720.0</v>
      </c>
      <c r="O508" s="250">
        <f t="shared" ref="O508:P508" si="507">K508+M508</f>
        <v>3153720</v>
      </c>
      <c r="P508" s="250">
        <f t="shared" si="507"/>
        <v>3153720</v>
      </c>
    </row>
    <row r="509">
      <c r="A509" s="246" t="s">
        <v>280</v>
      </c>
      <c r="B509" s="246" t="s">
        <v>122</v>
      </c>
      <c r="C509" s="246" t="s">
        <v>92</v>
      </c>
      <c r="D509" s="246" t="s">
        <v>90</v>
      </c>
      <c r="E509" s="246" t="s">
        <v>97</v>
      </c>
      <c r="F509" s="247"/>
      <c r="G509" s="247"/>
      <c r="H509" s="247"/>
      <c r="I509" s="246" t="s">
        <v>251</v>
      </c>
      <c r="J509" s="248">
        <v>25.0</v>
      </c>
      <c r="K509" s="249">
        <v>1670000.0</v>
      </c>
      <c r="L509" s="249">
        <v>1670000.0</v>
      </c>
      <c r="M509" s="249">
        <v>265800.0</v>
      </c>
      <c r="N509" s="249">
        <v>265800.0</v>
      </c>
      <c r="O509" s="250">
        <f t="shared" ref="O509:P509" si="508">K509+M509</f>
        <v>1935800</v>
      </c>
      <c r="P509" s="250">
        <f t="shared" si="508"/>
        <v>1935800</v>
      </c>
    </row>
    <row r="510">
      <c r="A510" s="246" t="s">
        <v>280</v>
      </c>
      <c r="B510" s="246" t="s">
        <v>122</v>
      </c>
      <c r="C510" s="246" t="s">
        <v>92</v>
      </c>
      <c r="D510" s="246" t="s">
        <v>97</v>
      </c>
      <c r="E510" s="246" t="s">
        <v>84</v>
      </c>
      <c r="F510" s="247"/>
      <c r="G510" s="247"/>
      <c r="H510" s="246" t="s">
        <v>91</v>
      </c>
      <c r="I510" s="246" t="s">
        <v>413</v>
      </c>
      <c r="J510" s="248">
        <v>120.0</v>
      </c>
      <c r="K510" s="249">
        <v>2580000.0</v>
      </c>
      <c r="L510" s="249">
        <v>2580000.0</v>
      </c>
      <c r="M510" s="249">
        <v>1275840.0</v>
      </c>
      <c r="N510" s="249">
        <v>1275840.0</v>
      </c>
      <c r="O510" s="250">
        <f t="shared" ref="O510:P510" si="509">K510+M510</f>
        <v>3855840</v>
      </c>
      <c r="P510" s="250">
        <f t="shared" si="509"/>
        <v>3855840</v>
      </c>
    </row>
    <row r="511">
      <c r="A511" s="246" t="s">
        <v>280</v>
      </c>
      <c r="B511" s="246" t="s">
        <v>122</v>
      </c>
      <c r="C511" s="246" t="s">
        <v>92</v>
      </c>
      <c r="D511" s="246" t="s">
        <v>90</v>
      </c>
      <c r="E511" s="246" t="s">
        <v>97</v>
      </c>
      <c r="F511" s="247"/>
      <c r="G511" s="247"/>
      <c r="H511" s="247"/>
      <c r="I511" s="246" t="s">
        <v>251</v>
      </c>
      <c r="J511" s="248">
        <v>25.0</v>
      </c>
      <c r="K511" s="249">
        <v>1670000.0</v>
      </c>
      <c r="L511" s="249">
        <v>1670000.0</v>
      </c>
      <c r="M511" s="249">
        <v>265800.0</v>
      </c>
      <c r="N511" s="249">
        <v>265800.0</v>
      </c>
      <c r="O511" s="250">
        <f t="shared" ref="O511:P511" si="510">K511+M511</f>
        <v>1935800</v>
      </c>
      <c r="P511" s="250">
        <f t="shared" si="510"/>
        <v>1935800</v>
      </c>
    </row>
    <row r="512">
      <c r="A512" s="246" t="s">
        <v>280</v>
      </c>
      <c r="B512" s="246" t="s">
        <v>122</v>
      </c>
      <c r="C512" s="246" t="s">
        <v>92</v>
      </c>
      <c r="D512" s="246" t="s">
        <v>97</v>
      </c>
      <c r="E512" s="246" t="s">
        <v>85</v>
      </c>
      <c r="F512" s="247"/>
      <c r="G512" s="247"/>
      <c r="H512" s="246" t="s">
        <v>91</v>
      </c>
      <c r="I512" s="246" t="s">
        <v>414</v>
      </c>
      <c r="J512" s="248">
        <v>25.0</v>
      </c>
      <c r="K512" s="249">
        <v>1670000.0</v>
      </c>
      <c r="L512" s="249">
        <v>1670000.0</v>
      </c>
      <c r="M512" s="249">
        <v>265800.0</v>
      </c>
      <c r="N512" s="249">
        <v>265800.0</v>
      </c>
      <c r="O512" s="250">
        <f t="shared" ref="O512:P512" si="511">K512+M512</f>
        <v>1935800</v>
      </c>
      <c r="P512" s="250">
        <f t="shared" si="511"/>
        <v>1935800</v>
      </c>
    </row>
    <row r="513">
      <c r="A513" s="246" t="s">
        <v>280</v>
      </c>
      <c r="B513" s="246" t="s">
        <v>122</v>
      </c>
      <c r="C513" s="246" t="s">
        <v>92</v>
      </c>
      <c r="D513" s="246" t="s">
        <v>90</v>
      </c>
      <c r="E513" s="246" t="s">
        <v>97</v>
      </c>
      <c r="F513" s="247"/>
      <c r="G513" s="247"/>
      <c r="H513" s="247"/>
      <c r="I513" s="246" t="s">
        <v>251</v>
      </c>
      <c r="J513" s="248">
        <v>25.0</v>
      </c>
      <c r="K513" s="249">
        <v>1670000.0</v>
      </c>
      <c r="L513" s="249">
        <v>1670000.0</v>
      </c>
      <c r="M513" s="249">
        <v>265800.0</v>
      </c>
      <c r="N513" s="249">
        <v>265800.0</v>
      </c>
      <c r="O513" s="250">
        <f t="shared" ref="O513:P513" si="512">K513+M513</f>
        <v>1935800</v>
      </c>
      <c r="P513" s="250">
        <f t="shared" si="512"/>
        <v>1935800</v>
      </c>
    </row>
    <row r="514">
      <c r="A514" s="246" t="s">
        <v>280</v>
      </c>
      <c r="B514" s="246" t="s">
        <v>122</v>
      </c>
      <c r="C514" s="246" t="s">
        <v>92</v>
      </c>
      <c r="D514" s="246" t="s">
        <v>97</v>
      </c>
      <c r="E514" s="246" t="s">
        <v>86</v>
      </c>
      <c r="F514" s="247"/>
      <c r="G514" s="247"/>
      <c r="H514" s="246" t="s">
        <v>91</v>
      </c>
      <c r="I514" s="246" t="s">
        <v>415</v>
      </c>
      <c r="J514" s="248">
        <v>50.0</v>
      </c>
      <c r="K514" s="249">
        <v>2030000.0</v>
      </c>
      <c r="L514" s="249">
        <v>2030000.0</v>
      </c>
      <c r="M514" s="249">
        <v>531600.0</v>
      </c>
      <c r="N514" s="249">
        <v>531600.0</v>
      </c>
      <c r="O514" s="250">
        <f t="shared" ref="O514:P514" si="513">K514+M514</f>
        <v>2561600</v>
      </c>
      <c r="P514" s="250">
        <f t="shared" si="513"/>
        <v>2561600</v>
      </c>
    </row>
    <row r="515">
      <c r="A515" s="246" t="s">
        <v>280</v>
      </c>
      <c r="B515" s="246" t="s">
        <v>122</v>
      </c>
      <c r="C515" s="246" t="s">
        <v>92</v>
      </c>
      <c r="D515" s="246" t="s">
        <v>90</v>
      </c>
      <c r="E515" s="246" t="s">
        <v>98</v>
      </c>
      <c r="F515" s="247"/>
      <c r="G515" s="247"/>
      <c r="H515" s="247"/>
      <c r="I515" s="246" t="s">
        <v>255</v>
      </c>
      <c r="J515" s="248">
        <v>30.0</v>
      </c>
      <c r="K515" s="249">
        <v>1810000.0</v>
      </c>
      <c r="L515" s="249">
        <v>1810000.0</v>
      </c>
      <c r="M515" s="249">
        <v>318960.0</v>
      </c>
      <c r="N515" s="249">
        <v>318960.0</v>
      </c>
      <c r="O515" s="250">
        <f t="shared" ref="O515:P515" si="514">K515+M515</f>
        <v>2128960</v>
      </c>
      <c r="P515" s="250">
        <f t="shared" si="514"/>
        <v>2128960</v>
      </c>
    </row>
    <row r="516">
      <c r="A516" s="246" t="s">
        <v>280</v>
      </c>
      <c r="B516" s="246" t="s">
        <v>122</v>
      </c>
      <c r="C516" s="246" t="s">
        <v>92</v>
      </c>
      <c r="D516" s="246" t="s">
        <v>98</v>
      </c>
      <c r="E516" s="246" t="s">
        <v>84</v>
      </c>
      <c r="F516" s="247"/>
      <c r="G516" s="247"/>
      <c r="H516" s="246" t="s">
        <v>91</v>
      </c>
      <c r="I516" s="246" t="s">
        <v>416</v>
      </c>
      <c r="J516" s="248">
        <v>120.0</v>
      </c>
      <c r="K516" s="249">
        <v>2680000.0</v>
      </c>
      <c r="L516" s="249">
        <v>2680000.0</v>
      </c>
      <c r="M516" s="249">
        <v>1275840.0</v>
      </c>
      <c r="N516" s="249">
        <v>1275840.0</v>
      </c>
      <c r="O516" s="250">
        <f t="shared" ref="O516:P516" si="515">K516+M516</f>
        <v>3955840</v>
      </c>
      <c r="P516" s="250">
        <f t="shared" si="515"/>
        <v>3955840</v>
      </c>
    </row>
    <row r="517">
      <c r="A517" s="246" t="s">
        <v>280</v>
      </c>
      <c r="B517" s="246" t="s">
        <v>122</v>
      </c>
      <c r="C517" s="246" t="s">
        <v>92</v>
      </c>
      <c r="D517" s="246" t="s">
        <v>90</v>
      </c>
      <c r="E517" s="246" t="s">
        <v>98</v>
      </c>
      <c r="F517" s="247"/>
      <c r="G517" s="247"/>
      <c r="H517" s="247"/>
      <c r="I517" s="246" t="s">
        <v>255</v>
      </c>
      <c r="J517" s="248">
        <v>30.0</v>
      </c>
      <c r="K517" s="249">
        <v>1710000.0</v>
      </c>
      <c r="L517" s="249">
        <v>1710000.0</v>
      </c>
      <c r="M517" s="249">
        <v>318960.0</v>
      </c>
      <c r="N517" s="249">
        <v>318960.0</v>
      </c>
      <c r="O517" s="250">
        <f t="shared" ref="O517:P517" si="516">K517+M517</f>
        <v>2028960</v>
      </c>
      <c r="P517" s="250">
        <f t="shared" si="516"/>
        <v>2028960</v>
      </c>
    </row>
    <row r="518">
      <c r="A518" s="246" t="s">
        <v>280</v>
      </c>
      <c r="B518" s="246" t="s">
        <v>122</v>
      </c>
      <c r="C518" s="246" t="s">
        <v>92</v>
      </c>
      <c r="D518" s="246" t="s">
        <v>98</v>
      </c>
      <c r="E518" s="246" t="s">
        <v>85</v>
      </c>
      <c r="F518" s="247"/>
      <c r="G518" s="247"/>
      <c r="H518" s="246" t="s">
        <v>91</v>
      </c>
      <c r="I518" s="246" t="s">
        <v>417</v>
      </c>
      <c r="J518" s="248">
        <v>50.0</v>
      </c>
      <c r="K518" s="249">
        <v>1930000.0</v>
      </c>
      <c r="L518" s="249">
        <v>1930000.0</v>
      </c>
      <c r="M518" s="249">
        <v>531600.0</v>
      </c>
      <c r="N518" s="249">
        <v>531600.0</v>
      </c>
      <c r="O518" s="250">
        <f t="shared" ref="O518:P518" si="517">K518+M518</f>
        <v>2461600</v>
      </c>
      <c r="P518" s="250">
        <f t="shared" si="517"/>
        <v>2461600</v>
      </c>
    </row>
    <row r="519">
      <c r="A519" s="246" t="s">
        <v>280</v>
      </c>
      <c r="B519" s="246" t="s">
        <v>122</v>
      </c>
      <c r="C519" s="246" t="s">
        <v>92</v>
      </c>
      <c r="D519" s="246" t="s">
        <v>90</v>
      </c>
      <c r="E519" s="246" t="s">
        <v>98</v>
      </c>
      <c r="F519" s="247"/>
      <c r="G519" s="247"/>
      <c r="H519" s="247"/>
      <c r="I519" s="246" t="s">
        <v>255</v>
      </c>
      <c r="J519" s="248">
        <v>30.0</v>
      </c>
      <c r="K519" s="249">
        <v>1710000.0</v>
      </c>
      <c r="L519" s="249">
        <v>1710000.0</v>
      </c>
      <c r="M519" s="249">
        <v>318960.0</v>
      </c>
      <c r="N519" s="249">
        <v>318960.0</v>
      </c>
      <c r="O519" s="250">
        <f t="shared" ref="O519:P519" si="518">K519+M519</f>
        <v>2028960</v>
      </c>
      <c r="P519" s="250">
        <f t="shared" si="518"/>
        <v>2028960</v>
      </c>
    </row>
    <row r="520">
      <c r="A520" s="246" t="s">
        <v>280</v>
      </c>
      <c r="B520" s="246" t="s">
        <v>122</v>
      </c>
      <c r="C520" s="246" t="s">
        <v>92</v>
      </c>
      <c r="D520" s="246" t="s">
        <v>98</v>
      </c>
      <c r="E520" s="246" t="s">
        <v>86</v>
      </c>
      <c r="F520" s="247"/>
      <c r="G520" s="247"/>
      <c r="H520" s="246" t="s">
        <v>91</v>
      </c>
      <c r="I520" s="246" t="s">
        <v>418</v>
      </c>
      <c r="J520" s="248">
        <v>30.0</v>
      </c>
      <c r="K520" s="249">
        <v>1710000.0</v>
      </c>
      <c r="L520" s="249">
        <v>1710000.0</v>
      </c>
      <c r="M520" s="249">
        <v>318960.0</v>
      </c>
      <c r="N520" s="249">
        <v>318960.0</v>
      </c>
      <c r="O520" s="250">
        <f t="shared" ref="O520:P520" si="519">K520+M520</f>
        <v>2028960</v>
      </c>
      <c r="P520" s="250">
        <f t="shared" si="519"/>
        <v>2028960</v>
      </c>
    </row>
    <row r="521">
      <c r="A521" s="246" t="s">
        <v>280</v>
      </c>
      <c r="B521" s="246" t="s">
        <v>122</v>
      </c>
      <c r="C521" s="246" t="s">
        <v>102</v>
      </c>
      <c r="D521" s="246" t="s">
        <v>103</v>
      </c>
      <c r="E521" s="246" t="s">
        <v>84</v>
      </c>
      <c r="F521" s="247"/>
      <c r="G521" s="247"/>
      <c r="H521" s="246" t="s">
        <v>91</v>
      </c>
      <c r="I521" s="246" t="s">
        <v>401</v>
      </c>
      <c r="J521" s="248">
        <v>80.0</v>
      </c>
      <c r="K521" s="249">
        <v>2730000.0</v>
      </c>
      <c r="L521" s="249">
        <v>2730000.0</v>
      </c>
      <c r="M521" s="249">
        <v>850560.0</v>
      </c>
      <c r="N521" s="249">
        <v>850560.0</v>
      </c>
      <c r="O521" s="250">
        <f t="shared" ref="O521:P521" si="520">K521+M521</f>
        <v>3580560</v>
      </c>
      <c r="P521" s="250">
        <f t="shared" si="520"/>
        <v>3580560</v>
      </c>
    </row>
    <row r="522">
      <c r="A522" s="246" t="s">
        <v>280</v>
      </c>
      <c r="B522" s="246" t="s">
        <v>122</v>
      </c>
      <c r="C522" s="246" t="s">
        <v>102</v>
      </c>
      <c r="D522" s="246" t="s">
        <v>103</v>
      </c>
      <c r="E522" s="246" t="s">
        <v>85</v>
      </c>
      <c r="F522" s="247"/>
      <c r="G522" s="247"/>
      <c r="H522" s="246" t="s">
        <v>91</v>
      </c>
      <c r="I522" s="246" t="s">
        <v>402</v>
      </c>
      <c r="J522" s="248">
        <v>70.0</v>
      </c>
      <c r="K522" s="249">
        <v>2500000.0</v>
      </c>
      <c r="L522" s="249">
        <v>2500000.0</v>
      </c>
      <c r="M522" s="249">
        <v>744240.0</v>
      </c>
      <c r="N522" s="249">
        <v>744240.0</v>
      </c>
      <c r="O522" s="250">
        <f t="shared" ref="O522:P522" si="521">K522+M522</f>
        <v>3244240</v>
      </c>
      <c r="P522" s="250">
        <f t="shared" si="521"/>
        <v>3244240</v>
      </c>
    </row>
    <row r="523">
      <c r="A523" s="246" t="s">
        <v>280</v>
      </c>
      <c r="B523" s="246" t="s">
        <v>122</v>
      </c>
      <c r="C523" s="246" t="s">
        <v>102</v>
      </c>
      <c r="D523" s="246" t="s">
        <v>103</v>
      </c>
      <c r="E523" s="246" t="s">
        <v>86</v>
      </c>
      <c r="F523" s="247"/>
      <c r="G523" s="247"/>
      <c r="H523" s="246" t="s">
        <v>91</v>
      </c>
      <c r="I523" s="246" t="s">
        <v>403</v>
      </c>
      <c r="J523" s="248">
        <v>80.0</v>
      </c>
      <c r="K523" s="249">
        <v>2530000.0</v>
      </c>
      <c r="L523" s="249">
        <v>2530000.0</v>
      </c>
      <c r="M523" s="249">
        <v>850560.0</v>
      </c>
      <c r="N523" s="249">
        <v>850560.0</v>
      </c>
      <c r="O523" s="250">
        <f t="shared" ref="O523:P523" si="522">K523+M523</f>
        <v>3380560</v>
      </c>
      <c r="P523" s="250">
        <f t="shared" si="522"/>
        <v>3380560</v>
      </c>
    </row>
    <row r="524">
      <c r="A524" s="246" t="s">
        <v>280</v>
      </c>
      <c r="B524" s="246" t="s">
        <v>122</v>
      </c>
      <c r="C524" s="246" t="s">
        <v>102</v>
      </c>
      <c r="D524" s="246" t="s">
        <v>104</v>
      </c>
      <c r="E524" s="246" t="s">
        <v>84</v>
      </c>
      <c r="F524" s="247"/>
      <c r="G524" s="247"/>
      <c r="H524" s="246" t="s">
        <v>91</v>
      </c>
      <c r="I524" s="246" t="s">
        <v>404</v>
      </c>
      <c r="J524" s="248">
        <v>150.0</v>
      </c>
      <c r="K524" s="249">
        <v>3460000.0</v>
      </c>
      <c r="L524" s="249">
        <v>3460000.0</v>
      </c>
      <c r="M524" s="249">
        <v>1594800.0</v>
      </c>
      <c r="N524" s="249">
        <v>1594800.0</v>
      </c>
      <c r="O524" s="250">
        <f t="shared" ref="O524:P524" si="523">K524+M524</f>
        <v>5054800</v>
      </c>
      <c r="P524" s="250">
        <f t="shared" si="523"/>
        <v>5054800</v>
      </c>
    </row>
    <row r="525">
      <c r="A525" s="246" t="s">
        <v>280</v>
      </c>
      <c r="B525" s="246" t="s">
        <v>122</v>
      </c>
      <c r="C525" s="246" t="s">
        <v>102</v>
      </c>
      <c r="D525" s="246" t="s">
        <v>104</v>
      </c>
      <c r="E525" s="246" t="s">
        <v>85</v>
      </c>
      <c r="F525" s="247"/>
      <c r="G525" s="247"/>
      <c r="H525" s="246" t="s">
        <v>91</v>
      </c>
      <c r="I525" s="246" t="s">
        <v>405</v>
      </c>
      <c r="J525" s="248">
        <v>60.0</v>
      </c>
      <c r="K525" s="249">
        <v>2460000.0</v>
      </c>
      <c r="L525" s="249">
        <v>2460000.0</v>
      </c>
      <c r="M525" s="249">
        <v>637920.0</v>
      </c>
      <c r="N525" s="249">
        <v>637920.0</v>
      </c>
      <c r="O525" s="250">
        <f t="shared" ref="O525:P525" si="524">K525+M525</f>
        <v>3097920</v>
      </c>
      <c r="P525" s="250">
        <f t="shared" si="524"/>
        <v>3097920</v>
      </c>
    </row>
    <row r="526">
      <c r="A526" s="246" t="s">
        <v>280</v>
      </c>
      <c r="B526" s="246" t="s">
        <v>122</v>
      </c>
      <c r="C526" s="246" t="s">
        <v>102</v>
      </c>
      <c r="D526" s="246" t="s">
        <v>104</v>
      </c>
      <c r="E526" s="246" t="s">
        <v>86</v>
      </c>
      <c r="F526" s="247"/>
      <c r="G526" s="247"/>
      <c r="H526" s="246" t="s">
        <v>91</v>
      </c>
      <c r="I526" s="246" t="s">
        <v>406</v>
      </c>
      <c r="J526" s="248">
        <v>70.0</v>
      </c>
      <c r="K526" s="249">
        <v>2500000.0</v>
      </c>
      <c r="L526" s="249">
        <v>2500000.0</v>
      </c>
      <c r="M526" s="249">
        <v>744240.0</v>
      </c>
      <c r="N526" s="249">
        <v>744240.0</v>
      </c>
      <c r="O526" s="250">
        <f t="shared" ref="O526:P526" si="525">K526+M526</f>
        <v>3244240</v>
      </c>
      <c r="P526" s="250">
        <f t="shared" si="525"/>
        <v>3244240</v>
      </c>
    </row>
    <row r="527">
      <c r="A527" s="246" t="s">
        <v>280</v>
      </c>
      <c r="B527" s="246" t="s">
        <v>122</v>
      </c>
      <c r="C527" s="246" t="s">
        <v>102</v>
      </c>
      <c r="D527" s="246" t="s">
        <v>105</v>
      </c>
      <c r="E527" s="246" t="s">
        <v>84</v>
      </c>
      <c r="F527" s="247"/>
      <c r="G527" s="247"/>
      <c r="H527" s="246" t="s">
        <v>91</v>
      </c>
      <c r="I527" s="246" t="s">
        <v>407</v>
      </c>
      <c r="J527" s="248">
        <v>110.0</v>
      </c>
      <c r="K527" s="249">
        <v>3320000.0</v>
      </c>
      <c r="L527" s="249">
        <v>3320000.0</v>
      </c>
      <c r="M527" s="249">
        <v>1169520.0</v>
      </c>
      <c r="N527" s="249">
        <v>1169520.0</v>
      </c>
      <c r="O527" s="250">
        <f t="shared" ref="O527:P527" si="526">K527+M527</f>
        <v>4489520</v>
      </c>
      <c r="P527" s="250">
        <f t="shared" si="526"/>
        <v>4489520</v>
      </c>
    </row>
    <row r="528">
      <c r="A528" s="246" t="s">
        <v>280</v>
      </c>
      <c r="B528" s="246" t="s">
        <v>122</v>
      </c>
      <c r="C528" s="246" t="s">
        <v>102</v>
      </c>
      <c r="D528" s="246" t="s">
        <v>105</v>
      </c>
      <c r="E528" s="246" t="s">
        <v>85</v>
      </c>
      <c r="F528" s="247"/>
      <c r="G528" s="247"/>
      <c r="H528" s="246" t="s">
        <v>91</v>
      </c>
      <c r="I528" s="246" t="s">
        <v>408</v>
      </c>
      <c r="J528" s="248">
        <v>60.0</v>
      </c>
      <c r="K528" s="249">
        <v>2460000.0</v>
      </c>
      <c r="L528" s="249">
        <v>2460000.0</v>
      </c>
      <c r="M528" s="249">
        <v>637920.0</v>
      </c>
      <c r="N528" s="249">
        <v>637920.0</v>
      </c>
      <c r="O528" s="250">
        <f t="shared" ref="O528:P528" si="527">K528+M528</f>
        <v>3097920</v>
      </c>
      <c r="P528" s="250">
        <f t="shared" si="527"/>
        <v>3097920</v>
      </c>
    </row>
    <row r="529">
      <c r="A529" s="246" t="s">
        <v>280</v>
      </c>
      <c r="B529" s="246" t="s">
        <v>122</v>
      </c>
      <c r="C529" s="246" t="s">
        <v>102</v>
      </c>
      <c r="D529" s="246" t="s">
        <v>105</v>
      </c>
      <c r="E529" s="246" t="s">
        <v>86</v>
      </c>
      <c r="F529" s="247"/>
      <c r="G529" s="247"/>
      <c r="H529" s="246" t="s">
        <v>91</v>
      </c>
      <c r="I529" s="246" t="s">
        <v>409</v>
      </c>
      <c r="J529" s="248">
        <v>80.0</v>
      </c>
      <c r="K529" s="249">
        <v>2530000.0</v>
      </c>
      <c r="L529" s="249">
        <v>2530000.0</v>
      </c>
      <c r="M529" s="249">
        <v>850560.0</v>
      </c>
      <c r="N529" s="249">
        <v>850560.0</v>
      </c>
      <c r="O529" s="250">
        <f t="shared" ref="O529:P529" si="528">K529+M529</f>
        <v>3380560</v>
      </c>
      <c r="P529" s="250">
        <f t="shared" si="528"/>
        <v>3380560</v>
      </c>
    </row>
  </sheetData>
  <drawing r:id="rId1"/>
</worksheet>
</file>